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26"/>
  <workbookPr/>
  <mc:AlternateContent xmlns:mc="http://schemas.openxmlformats.org/markup-compatibility/2006">
    <mc:Choice Requires="x15">
      <x15ac:absPath xmlns:x15ac="http://schemas.microsoft.com/office/spreadsheetml/2010/11/ac" url="D:\Visual_Studio_Codes\Data-Bank-System\references\"/>
    </mc:Choice>
  </mc:AlternateContent>
  <xr:revisionPtr revIDLastSave="0" documentId="13_ncr:1_{DA5DA088-A24E-4D18-89B6-6E9BE375C724}" xr6:coauthVersionLast="47" xr6:coauthVersionMax="47" xr10:uidLastSave="{00000000-0000-0000-0000-000000000000}"/>
  <bookViews>
    <workbookView xWindow="-108" yWindow="-108" windowWidth="23256" windowHeight="12456" xr2:uid="{00000000-000D-0000-FFFF-FFFF00000000}"/>
  </bookViews>
  <sheets>
    <sheet name="GJSG Indicators" sheetId="1" r:id="rId1"/>
    <sheet name="CASG HDI ++" sheetId="2" r:id="rId2"/>
    <sheet name="Department Targets" sheetId="3" r:id="rId3"/>
    <sheet name="Measure" sheetId="4" r:id="rId4"/>
    <sheet name="PIO" sheetId="5" r:id="rId5"/>
    <sheet name="PEO" sheetId="6" r:id="rId6"/>
    <sheet name="PG-ENRO" sheetId="7" r:id="rId7"/>
    <sheet name="PDRMMO" sheetId="8" r:id="rId8"/>
    <sheet name="PHRMO" sheetId="9" r:id="rId9"/>
    <sheet name="PPO" sheetId="10" r:id="rId10"/>
    <sheet name="PPDC" sheetId="11" r:id="rId11"/>
    <sheet name="BHSO" sheetId="12" r:id="rId12"/>
    <sheet name="BPPPIC" sheetId="13" r:id="rId13"/>
    <sheet name="ADMIN" sheetId="14" r:id="rId14"/>
    <sheet name="LEGAL" sheetId="15" r:id="rId15"/>
    <sheet name="OSSP" sheetId="16" r:id="rId16"/>
    <sheet name="OMSP" sheetId="17" r:id="rId17"/>
    <sheet name="OVG" sheetId="18" r:id="rId18"/>
    <sheet name=" ACCTNG" sheetId="19" r:id="rId19"/>
    <sheet name="BUDGET" sheetId="20" r:id="rId20"/>
    <sheet name="PTO" sheetId="21" r:id="rId21"/>
    <sheet name="PCEDO" sheetId="22" r:id="rId22"/>
    <sheet name="PESO" sheetId="23" r:id="rId23"/>
    <sheet name="ASSESSOR" sheetId="24" r:id="rId24"/>
    <sheet name="PGSO" sheetId="25" r:id="rId25"/>
    <sheet name="PITO" sheetId="26" r:id="rId26"/>
    <sheet name="PGO" sheetId="27" r:id="rId27"/>
    <sheet name="OPA" sheetId="28" r:id="rId28"/>
    <sheet name="PHO" sheetId="29" r:id="rId29"/>
    <sheet name="VET" sheetId="30" r:id="rId30"/>
    <sheet name="PSWDO" sheetId="31" r:id="rId31"/>
    <sheet name="TOURISM" sheetId="32" r:id="rId32"/>
    <sheet name="MBDA" sheetId="33" r:id="rId33"/>
    <sheet name="JCPMH" sheetId="34" r:id="rId34"/>
    <sheet name="ODH" sheetId="35" r:id="rId35"/>
    <sheet name="BCMH" sheetId="36" r:id="rId36"/>
    <sheet name="MDH" sheetId="37" r:id="rId37"/>
  </sheets>
  <definedNames>
    <definedName name="_xlnm._FilterDatabase" localSheetId="0" hidden="1">'GJSG Indicators'!$D$1:$D$861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15" i="37" l="1"/>
  <c r="C12" i="37"/>
  <c r="B12" i="37"/>
  <c r="B9" i="37"/>
  <c r="C9" i="37" s="1"/>
  <c r="C4" i="37"/>
  <c r="B4" i="37"/>
  <c r="D15" i="36"/>
  <c r="C12" i="36"/>
  <c r="B12" i="36"/>
  <c r="B9" i="36"/>
  <c r="C9" i="36" s="1"/>
  <c r="C15" i="36" s="1"/>
  <c r="C4" i="36"/>
  <c r="B4" i="36"/>
  <c r="D15" i="35"/>
  <c r="C12" i="35"/>
  <c r="B12" i="35"/>
  <c r="B9" i="35"/>
  <c r="C9" i="35" s="1"/>
  <c r="C15" i="35" s="1"/>
  <c r="C4" i="35"/>
  <c r="B4" i="35"/>
  <c r="D15" i="34"/>
  <c r="C12" i="34"/>
  <c r="B12" i="34"/>
  <c r="B9" i="34"/>
  <c r="C9" i="34" s="1"/>
  <c r="C15" i="34" s="1"/>
  <c r="C4" i="34"/>
  <c r="B4" i="34"/>
  <c r="D15" i="33"/>
  <c r="C12" i="33"/>
  <c r="B12" i="33"/>
  <c r="B9" i="33"/>
  <c r="C9" i="33" s="1"/>
  <c r="C15" i="33" s="1"/>
  <c r="C4" i="33"/>
  <c r="B4" i="33"/>
  <c r="D23" i="32"/>
  <c r="C12" i="32"/>
  <c r="B12" i="32"/>
  <c r="B9" i="32"/>
  <c r="C9" i="32" s="1"/>
  <c r="C23" i="32" s="1"/>
  <c r="C4" i="32"/>
  <c r="B4" i="32"/>
  <c r="D32" i="31"/>
  <c r="C13" i="31"/>
  <c r="B13" i="31"/>
  <c r="B10" i="31"/>
  <c r="C10" i="31" s="1"/>
  <c r="C32" i="31" s="1"/>
  <c r="C4" i="31"/>
  <c r="B4" i="31"/>
  <c r="D16" i="30"/>
  <c r="C13" i="30"/>
  <c r="B13" i="30"/>
  <c r="B10" i="30"/>
  <c r="C10" i="30" s="1"/>
  <c r="C16" i="30" s="1"/>
  <c r="C4" i="30"/>
  <c r="B4" i="30"/>
  <c r="D15" i="29"/>
  <c r="C12" i="29"/>
  <c r="B12" i="29"/>
  <c r="B9" i="29"/>
  <c r="C9" i="29" s="1"/>
  <c r="C15" i="29" s="1"/>
  <c r="C4" i="29"/>
  <c r="B4" i="29"/>
  <c r="D14" i="28"/>
  <c r="C11" i="28"/>
  <c r="B11" i="28"/>
  <c r="B8" i="28"/>
  <c r="C8" i="28" s="1"/>
  <c r="C14" i="28" s="1"/>
  <c r="C4" i="28"/>
  <c r="B4" i="28"/>
  <c r="A57" i="27"/>
  <c r="D28" i="27"/>
  <c r="B18" i="27"/>
  <c r="C18" i="27" s="1"/>
  <c r="C11" i="27"/>
  <c r="B11" i="27"/>
  <c r="B4" i="27"/>
  <c r="C4" i="27" s="1"/>
  <c r="C28" i="27" s="1"/>
  <c r="D19" i="26"/>
  <c r="B16" i="26"/>
  <c r="C16" i="26" s="1"/>
  <c r="C9" i="26"/>
  <c r="B9" i="26"/>
  <c r="B4" i="26"/>
  <c r="C4" i="26" s="1"/>
  <c r="D26" i="25"/>
  <c r="B23" i="25"/>
  <c r="C23" i="25" s="1"/>
  <c r="C19" i="25"/>
  <c r="B19" i="25"/>
  <c r="B4" i="25"/>
  <c r="C4" i="25" s="1"/>
  <c r="C26" i="25" s="1"/>
  <c r="D14" i="24"/>
  <c r="B11" i="24"/>
  <c r="C11" i="24" s="1"/>
  <c r="C8" i="24"/>
  <c r="B8" i="24"/>
  <c r="B4" i="24"/>
  <c r="C4" i="24" s="1"/>
  <c r="D23" i="23"/>
  <c r="B18" i="23"/>
  <c r="C18" i="23" s="1"/>
  <c r="C15" i="23"/>
  <c r="B15" i="23"/>
  <c r="B4" i="23"/>
  <c r="C4" i="23" s="1"/>
  <c r="C23" i="23" s="1"/>
  <c r="D15" i="22"/>
  <c r="B12" i="22"/>
  <c r="C12" i="22" s="1"/>
  <c r="C9" i="22"/>
  <c r="B9" i="22"/>
  <c r="B4" i="22"/>
  <c r="C4" i="22" s="1"/>
  <c r="D15" i="21"/>
  <c r="B12" i="21"/>
  <c r="C12" i="21" s="1"/>
  <c r="C9" i="21"/>
  <c r="B9" i="21"/>
  <c r="B4" i="21"/>
  <c r="C4" i="21" s="1"/>
  <c r="C15" i="21" s="1"/>
  <c r="D15" i="20"/>
  <c r="B12" i="20"/>
  <c r="C12" i="20" s="1"/>
  <c r="C9" i="20"/>
  <c r="B9" i="20"/>
  <c r="B4" i="20"/>
  <c r="C4" i="20" s="1"/>
  <c r="D20" i="19"/>
  <c r="B17" i="19"/>
  <c r="C17" i="19" s="1"/>
  <c r="C10" i="19"/>
  <c r="B10" i="19"/>
  <c r="B4" i="19"/>
  <c r="C4" i="19" s="1"/>
  <c r="C20" i="19" s="1"/>
  <c r="D15" i="18"/>
  <c r="B12" i="18"/>
  <c r="C12" i="18" s="1"/>
  <c r="C9" i="18"/>
  <c r="B9" i="18"/>
  <c r="B4" i="18"/>
  <c r="C4" i="18" s="1"/>
  <c r="D16" i="17"/>
  <c r="B12" i="17"/>
  <c r="C12" i="17" s="1"/>
  <c r="C9" i="17"/>
  <c r="B9" i="17"/>
  <c r="B4" i="17"/>
  <c r="C4" i="17" s="1"/>
  <c r="C16" i="17" s="1"/>
  <c r="D15" i="16"/>
  <c r="B12" i="16"/>
  <c r="C12" i="16" s="1"/>
  <c r="C9" i="16"/>
  <c r="B9" i="16"/>
  <c r="B4" i="16"/>
  <c r="C4" i="16" s="1"/>
  <c r="D17" i="15"/>
  <c r="B14" i="15"/>
  <c r="C14" i="15" s="1"/>
  <c r="C10" i="15"/>
  <c r="B10" i="15"/>
  <c r="B4" i="15"/>
  <c r="C4" i="15" s="1"/>
  <c r="C17" i="15" s="1"/>
  <c r="D15" i="14"/>
  <c r="B12" i="14"/>
  <c r="C12" i="14" s="1"/>
  <c r="C9" i="14"/>
  <c r="B9" i="14"/>
  <c r="B4" i="14"/>
  <c r="C4" i="14" s="1"/>
  <c r="D19" i="13"/>
  <c r="B13" i="13"/>
  <c r="C13" i="13" s="1"/>
  <c r="C10" i="13"/>
  <c r="B10" i="13"/>
  <c r="B4" i="13"/>
  <c r="C4" i="13" s="1"/>
  <c r="C19" i="13" s="1"/>
  <c r="C15" i="12"/>
  <c r="A12" i="12"/>
  <c r="B12" i="12" s="1"/>
  <c r="B9" i="12"/>
  <c r="A9" i="12"/>
  <c r="A4" i="12"/>
  <c r="B4" i="12" s="1"/>
  <c r="D17" i="11"/>
  <c r="B14" i="11"/>
  <c r="C14" i="11" s="1"/>
  <c r="C11" i="11"/>
  <c r="B11" i="11"/>
  <c r="B4" i="11"/>
  <c r="C4" i="11" s="1"/>
  <c r="C17" i="11" s="1"/>
  <c r="D16" i="10"/>
  <c r="B11" i="10"/>
  <c r="C11" i="10" s="1"/>
  <c r="C8" i="10"/>
  <c r="B8" i="10"/>
  <c r="B4" i="10"/>
  <c r="D17" i="9"/>
  <c r="C14" i="9"/>
  <c r="B14" i="9"/>
  <c r="B11" i="9"/>
  <c r="C11" i="9" s="1"/>
  <c r="C17" i="9" s="1"/>
  <c r="C4" i="9"/>
  <c r="B4" i="9"/>
  <c r="D19" i="8"/>
  <c r="C13" i="8"/>
  <c r="B13" i="8"/>
  <c r="B10" i="8"/>
  <c r="C10" i="8" s="1"/>
  <c r="C19" i="8" s="1"/>
  <c r="C4" i="8"/>
  <c r="B4" i="8"/>
  <c r="D16" i="7"/>
  <c r="D15" i="7"/>
  <c r="B12" i="7"/>
  <c r="C12" i="7" s="1"/>
  <c r="C9" i="7"/>
  <c r="B9" i="7"/>
  <c r="B4" i="7"/>
  <c r="C4" i="7" s="1"/>
  <c r="D21" i="6"/>
  <c r="D20" i="6"/>
  <c r="C17" i="6"/>
  <c r="C14" i="6"/>
  <c r="B14" i="6"/>
  <c r="B4" i="6"/>
  <c r="C4" i="6" s="1"/>
  <c r="C20" i="6" s="1"/>
  <c r="D16" i="5"/>
  <c r="D15" i="5"/>
  <c r="B12" i="5"/>
  <c r="C12" i="5" s="1"/>
  <c r="C9" i="5"/>
  <c r="B9" i="5"/>
  <c r="B4" i="5"/>
  <c r="C4" i="5" s="1"/>
  <c r="C18" i="3"/>
  <c r="B15" i="3"/>
  <c r="B11" i="3"/>
  <c r="B5" i="3"/>
  <c r="C15" i="14" l="1"/>
  <c r="C15" i="18"/>
  <c r="C15" i="22"/>
  <c r="C19" i="26"/>
  <c r="C15" i="5"/>
  <c r="C15" i="7"/>
  <c r="C16" i="10"/>
  <c r="B15" i="12"/>
  <c r="C15" i="16"/>
  <c r="C15" i="20"/>
  <c r="C14" i="24"/>
  <c r="C15" i="37"/>
</calcChain>
</file>

<file path=xl/sharedStrings.xml><?xml version="1.0" encoding="utf-8"?>
<sst xmlns="http://schemas.openxmlformats.org/spreadsheetml/2006/main" count="2081" uniqueCount="1046">
  <si>
    <t>SECTOR</t>
  </si>
  <si>
    <t>DIMENSION</t>
  </si>
  <si>
    <t>INDICATOR</t>
  </si>
  <si>
    <t>Lead Department</t>
  </si>
  <si>
    <t>Support Departments</t>
  </si>
  <si>
    <t>Universe
(Long-Term Target)</t>
  </si>
  <si>
    <t>Baseline Year</t>
  </si>
  <si>
    <t>2025
(Target)</t>
  </si>
  <si>
    <t>Priority Number</t>
  </si>
  <si>
    <t>Proposed FY 2025-2026 PPAs Contributing to the Achievement of the Target</t>
  </si>
  <si>
    <t>Description</t>
  </si>
  <si>
    <t>Development Admininstration</t>
  </si>
  <si>
    <t>Governance</t>
  </si>
  <si>
    <t>% improvement in data transparency through the HDI++ data center</t>
  </si>
  <si>
    <t>OPPDC</t>
  </si>
  <si>
    <t>All Departments</t>
  </si>
  <si>
    <t>001</t>
  </si>
  <si>
    <t>Meritocracy – Setup Data Center for HDI++</t>
  </si>
  <si>
    <t>Establish a data center for tracking key metrics</t>
  </si>
  <si>
    <t>% increase in citizen concerns addressed via the 8888 hotline</t>
  </si>
  <si>
    <t>Legal &amp; PHRMO</t>
  </si>
  <si>
    <t>PGO-IAS</t>
  </si>
  <si>
    <t>002</t>
  </si>
  <si>
    <t>Provincial/Bunker 8888 Hotline</t>
  </si>
  <si>
    <t>Implement a hotline to handle citizen feedback and concerns​</t>
  </si>
  <si>
    <t>% reduction in crime rates through collaboration with law enforcement</t>
  </si>
  <si>
    <t>MBDA</t>
  </si>
  <si>
    <t>003</t>
  </si>
  <si>
    <t>Peace and Order Program</t>
  </si>
  <si>
    <t>Collaborate with law enforcement to set targets and enforce the MBDA law​</t>
  </si>
  <si>
    <t>% improvement in government service delivery via social media</t>
  </si>
  <si>
    <t>PIO</t>
  </si>
  <si>
    <t>004</t>
  </si>
  <si>
    <t>Social Media Programs</t>
  </si>
  <si>
    <t>Use social media to target specific markets and improve public service engagement​</t>
  </si>
  <si>
    <t>% increase in implementation of digital governance systems</t>
  </si>
  <si>
    <t>PITO</t>
  </si>
  <si>
    <t>005</t>
  </si>
  <si>
    <t>PGB Systems</t>
  </si>
  <si>
    <t>Implement systems such as eSig, Human Resources Information System (HRIS), Financial Management Information System (FMIS), and procurement system to enhance digital governance​</t>
  </si>
  <si>
    <t>% improvement in citizen access to services</t>
  </si>
  <si>
    <t>PGO</t>
  </si>
  <si>
    <t>PGO-PRRT</t>
  </si>
  <si>
    <t>006</t>
  </si>
  <si>
    <t>Bataeño Pass Implementation</t>
  </si>
  <si>
    <t>Implement a unified digital pass system for better public service delivery​</t>
  </si>
  <si>
    <t>% of LGUs enrolled in the Performance Governance System (PGS) with performance-based incentives</t>
  </si>
  <si>
    <t>PMT</t>
  </si>
  <si>
    <t>007</t>
  </si>
  <si>
    <t>Performance Governance System (PGS)</t>
  </si>
  <si>
    <t>Enroll all LGUs in the system and establish performance-based incentives to improve governance and accountability​</t>
  </si>
  <si>
    <t>% improvement in management and efficiency of public enterprises</t>
  </si>
  <si>
    <t>PGSO-PMO</t>
  </si>
  <si>
    <t>PPPIC, PTourism,</t>
  </si>
  <si>
    <t>008</t>
  </si>
  <si>
    <t>PGB Enterprise Management</t>
  </si>
  <si>
    <t>Oversee and manage public enterprises like the Bataan People’s Center, Bataan Tourism Park, Bataan Tourism Pavillion ,Capitol Compound Parking, Bunker Maintenance, and The Link​</t>
  </si>
  <si>
    <t>% improvement in government employee service quality</t>
  </si>
  <si>
    <t>PHRMO</t>
  </si>
  <si>
    <t>009</t>
  </si>
  <si>
    <t>PGB Employees Outreach Programs</t>
  </si>
  <si>
    <t>Strengthen the culture of service among government employees through targeted outreach and service improvement initiatives​</t>
  </si>
  <si>
    <t>% increase in barangays with completed Barangay Master Development Plans</t>
  </si>
  <si>
    <t>PITO, PGO</t>
  </si>
  <si>
    <t>010</t>
  </si>
  <si>
    <t>Barangay Master Development Plan</t>
  </si>
  <si>
    <t>Roll out the Barangay Management Information System (BMIS) for improved governance at the barangay level​</t>
  </si>
  <si>
    <t>% increase in disaster-resilient infrastructure</t>
  </si>
  <si>
    <t>PEO</t>
  </si>
  <si>
    <t>PDRRMO</t>
  </si>
  <si>
    <t>011</t>
  </si>
  <si>
    <t>*Disaster-Resilient Infrastructure</t>
  </si>
  <si>
    <t>Build flood control systems, evacuation centers, and coastal protection projects​.</t>
  </si>
  <si>
    <t>Economic</t>
  </si>
  <si>
    <t>Standard of Living</t>
  </si>
  <si>
    <t>% increase in locators in FAB Expansion Areas (Registered)</t>
  </si>
  <si>
    <t>PPPIC</t>
  </si>
  <si>
    <t>012</t>
  </si>
  <si>
    <t>Promote Locators in FAB Expansion Areas</t>
  </si>
  <si>
    <t>Attract businesses in electric vehicles, silicon manufacturing, data centers, and blockchain technology​</t>
  </si>
  <si>
    <t>% increase in public-private partnerships (PPPs)</t>
  </si>
  <si>
    <t>013</t>
  </si>
  <si>
    <t>Set Goals for Strategic PPPs</t>
  </si>
  <si>
    <t>Establish partnerships in renewable energy, EV charging networks, and assess existing PPPs like Bunker and 1BITS​</t>
  </si>
  <si>
    <t>% increase in government revenue</t>
  </si>
  <si>
    <t>LFC</t>
  </si>
  <si>
    <t>014</t>
  </si>
  <si>
    <t>Revenue-Generating Measures</t>
  </si>
  <si>
    <t xml:space="preserve">Implement revenue measures such as carbon tax, truck fees, quarry permit enforcement, and improve tax collection efficiency​. Also, tapping external sources and disposal of assets. </t>
  </si>
  <si>
    <t>% increase in innovation hubs established</t>
  </si>
  <si>
    <t>015</t>
  </si>
  <si>
    <t>Establishment of Innovation Hubs</t>
  </si>
  <si>
    <t>Create barangay learning hubs to foster innovation and skills development​</t>
  </si>
  <si>
    <t>% increase in SMEs using online systems for business permits</t>
  </si>
  <si>
    <t>PCEDO</t>
  </si>
  <si>
    <t>PPPIC, DPWH and LGUs</t>
  </si>
  <si>
    <t>016</t>
  </si>
  <si>
    <t>Support for SMEs</t>
  </si>
  <si>
    <r>
      <rPr>
        <sz val="10"/>
        <color theme="1"/>
        <rFont val="Arial"/>
      </rPr>
      <t xml:space="preserve">Facilitate online business permit applications, provide special lanes for startups​ </t>
    </r>
    <r>
      <rPr>
        <sz val="10"/>
        <color rgb="FF1C4587"/>
        <rFont val="Arial"/>
      </rPr>
      <t xml:space="preserve">and monitor the compliance in licensing and building permits. </t>
    </r>
  </si>
  <si>
    <t>% reduction in inflation rates through price monitoring and direct selling of basic commodities</t>
  </si>
  <si>
    <t>OPA, VET</t>
  </si>
  <si>
    <t>017</t>
  </si>
  <si>
    <t>Lowering Inflation</t>
  </si>
  <si>
    <t>Monitor prices, set up direct selling of basic commodities, and monitor services provided by PENELCO and water districts​</t>
  </si>
  <si>
    <t>% growth in defense industry investments</t>
  </si>
  <si>
    <t>018</t>
  </si>
  <si>
    <t>Defense Industry Development</t>
  </si>
  <si>
    <t>Coordinate with SPEDZA to develop defense-related industries​</t>
  </si>
  <si>
    <t>% increase in tourism activities, festival participation and revenue from festivals (Trade Fairs)</t>
  </si>
  <si>
    <t>PTourism</t>
  </si>
  <si>
    <t>019</t>
  </si>
  <si>
    <t>Tourism Activities and Festivals</t>
  </si>
  <si>
    <t>Organize and promote events such as Bataan Foundation Day, Araw ng Kagitingan, and Pawikan Festival</t>
  </si>
  <si>
    <t>% increase in compliance with ecological and tourism fees</t>
  </si>
  <si>
    <t>SP</t>
  </si>
  <si>
    <t>020</t>
  </si>
  <si>
    <t>Uniform Ecological Policy for Bataan</t>
  </si>
  <si>
    <t>Implement a uniform ecological fee covering environmental, tourism, accommodation, and cultural sectors​.</t>
  </si>
  <si>
    <t>% adoption of electric vehicles in public transport</t>
  </si>
  <si>
    <t>ENRO, OPPDC, MBDA, PPPIC</t>
  </si>
  <si>
    <t>021</t>
  </si>
  <si>
    <t>Transitioning Transport Groups to Electric Vehicles</t>
  </si>
  <si>
    <t>Support the transition to electric vehicles in the transport sector​</t>
  </si>
  <si>
    <t>ENRO
OPPDC
PPPIC</t>
  </si>
  <si>
    <t>% increase in TNVS (Transport Network Vehicle Service) slots for public transport</t>
  </si>
  <si>
    <t>Legal</t>
  </si>
  <si>
    <t>022</t>
  </si>
  <si>
    <t>Rolling Out TNVS Slots</t>
  </si>
  <si>
    <t>Implement 150 additional slots for Transport Network Vehicle Services (TNVS)</t>
  </si>
  <si>
    <t>% improvement in food security (through agricultural production)</t>
  </si>
  <si>
    <t>OPA</t>
  </si>
  <si>
    <t>PVO. Legal, SP</t>
  </si>
  <si>
    <t>023</t>
  </si>
  <si>
    <t>Food Security Program</t>
  </si>
  <si>
    <t>Set production targets to ensure food security across the province​</t>
  </si>
  <si>
    <t>% increase in employment through industries, tourism, and entrepreneurship</t>
  </si>
  <si>
    <t>OPESM</t>
  </si>
  <si>
    <t>PPPIC, PGO-INB. PTourism, PCEDO</t>
  </si>
  <si>
    <t>024</t>
  </si>
  <si>
    <t>*Job Creation Programs</t>
  </si>
  <si>
    <t>Promote industries, tourism, and entrepreneurship to boost employment​</t>
  </si>
  <si>
    <t>% improvement in infrastructure and market access</t>
  </si>
  <si>
    <t>OPA, PGO-ABE, OPPDC, PPPIC, Legal</t>
  </si>
  <si>
    <t>025</t>
  </si>
  <si>
    <t>*Economic Infrastructure Development</t>
  </si>
  <si>
    <t>Build roads, public transport, and infrastructure to improve connectivity​</t>
  </si>
  <si>
    <t>% increase in renewable energy projects and green mobility adoption</t>
  </si>
  <si>
    <t>PG-ENRO, PPPIC</t>
  </si>
  <si>
    <t>026</t>
  </si>
  <si>
    <t>*Green Mobility and Renewable Energy</t>
  </si>
  <si>
    <r>
      <rPr>
        <sz val="10"/>
        <color theme="1"/>
        <rFont val="Arial"/>
      </rPr>
      <t xml:space="preserve">Invest in green mobility and renewable energy projects​ </t>
    </r>
    <r>
      <rPr>
        <sz val="10"/>
        <color rgb="FF1C4587"/>
        <rFont val="Arial"/>
      </rPr>
      <t>with End-of-Life Management</t>
    </r>
  </si>
  <si>
    <t>ENRO</t>
  </si>
  <si>
    <t>% increase in affordable housing beneficiaries (1Bataan Village Housing Project)</t>
  </si>
  <si>
    <t>BHSO</t>
  </si>
  <si>
    <t>LGUs, PAssO</t>
  </si>
  <si>
    <t>027</t>
  </si>
  <si>
    <t>1Bataan Village Housing Project</t>
  </si>
  <si>
    <t>Manage estate services and provide affordable housing under the 1Bataan Village Housing Project</t>
  </si>
  <si>
    <t>Social</t>
  </si>
  <si>
    <t>Health</t>
  </si>
  <si>
    <t>% increase in Barangay Health Workers (BHWs) trained and deployed</t>
  </si>
  <si>
    <t>PHO</t>
  </si>
  <si>
    <t>028</t>
  </si>
  <si>
    <t>Increase number of BHWs</t>
  </si>
  <si>
    <t>Achieve a 1:50 ratio through training and roll out of a health app​.</t>
  </si>
  <si>
    <t>% increase in community participation in fitness programs</t>
  </si>
  <si>
    <t>PHO, PIO</t>
  </si>
  <si>
    <t>029</t>
  </si>
  <si>
    <t>Institutionalize Hataw Takbo Bataan</t>
  </si>
  <si>
    <t>Involve running clubs and barangays in regular community-based fun runs​.</t>
  </si>
  <si>
    <t xml:space="preserve">% improvement in school health programs </t>
  </si>
  <si>
    <t>030</t>
  </si>
  <si>
    <t>Bataan Healthy School Settings (BHSS)</t>
  </si>
  <si>
    <t>Improve school health programs, including lunch, physical activity, mental health, and anti-vices campaigns​.</t>
  </si>
  <si>
    <t>% of barangays complying with 1Bataan Seal of Healthy Barangay standards</t>
  </si>
  <si>
    <t>031</t>
  </si>
  <si>
    <t>1Bataan Seal of Healthy Barangay</t>
  </si>
  <si>
    <t>Encourage majority of barangays to comply with health standards​.</t>
  </si>
  <si>
    <t>% reduction in youth smoking and vaping rates</t>
  </si>
  <si>
    <t>PHO, OPPO</t>
  </si>
  <si>
    <t>032</t>
  </si>
  <si>
    <t>Anti-Smoking/Vaping Campaign</t>
  </si>
  <si>
    <t>Promote the Tobacco-Free Generation and expand the Youth Health Ambassadors network​.</t>
  </si>
  <si>
    <t>OPPO</t>
  </si>
  <si>
    <t>% increase in RHUs and hospitals providing PhilHealth Konsulta services</t>
  </si>
  <si>
    <t>033</t>
  </si>
  <si>
    <t>Primary Care Provider Network (PCPN)</t>
  </si>
  <si>
    <t>Enable RHUs and district hospitals to provide services under the PhilHealth Konsulta Package​.</t>
  </si>
  <si>
    <t>% increase in LGUs connected to BP-IAC</t>
  </si>
  <si>
    <t>PSWDO</t>
  </si>
  <si>
    <t>034</t>
  </si>
  <si>
    <t>BP-IAC (Bagong Pilipinas Integrated Action Center)</t>
  </si>
  <si>
    <t>Expand the reach of BP-IAC to all LGUs​.</t>
  </si>
  <si>
    <t>% access to mental health services across the province</t>
  </si>
  <si>
    <t>District Hospitals</t>
  </si>
  <si>
    <t>035</t>
  </si>
  <si>
    <t>Mental Health Programs</t>
  </si>
  <si>
    <t>Establish a provincial mental health program with MMWGH​.</t>
  </si>
  <si>
    <t xml:space="preserve"> Tdddztzttnjdev  z</t>
  </si>
  <si>
    <t>% increase in healthcare facilities using Electronic Medical Records (EMR)</t>
  </si>
  <si>
    <t>036</t>
  </si>
  <si>
    <t>Electronic Medical Records (EMR)</t>
  </si>
  <si>
    <t>Finalize the EMR provider and link with other health facilities​.</t>
  </si>
  <si>
    <t>% reduction in maternal and infant mortality rates</t>
  </si>
  <si>
    <t>037</t>
  </si>
  <si>
    <t>Zero Maternal and Infant Mortality Rate Program</t>
  </si>
  <si>
    <t>Aim for zero maternal and infant mortality​.</t>
  </si>
  <si>
    <t>% reduction in teenage pregnancy rates</t>
  </si>
  <si>
    <t>038</t>
  </si>
  <si>
    <t>Lower Teenage Pregnancy Program</t>
  </si>
  <si>
    <t>Implement initiatives to reduce teenage pregnancy rates​.</t>
  </si>
  <si>
    <t>% increase in participation in sports programs</t>
  </si>
  <si>
    <t>039</t>
  </si>
  <si>
    <t>Bataan Sports Development Program</t>
  </si>
  <si>
    <t>Promote participation in sports activities for health and fitness​.</t>
  </si>
  <si>
    <t>% increase in access to healthcare facilities</t>
  </si>
  <si>
    <t>040</t>
  </si>
  <si>
    <t>*Access to Healthcare - Social Infrastructure Development</t>
  </si>
  <si>
    <t>Improve availability and quality of health services, including hospitals, clinics, and rural health units​</t>
  </si>
  <si>
    <t>% increase in vaccination coverage and disease prevention campaigns</t>
  </si>
  <si>
    <t>041</t>
  </si>
  <si>
    <t>*Disease Prevention Programs</t>
  </si>
  <si>
    <t>Launch vaccination campaigns and disease prevention initiatives​</t>
  </si>
  <si>
    <t>% increase in access to clean water and sanitation facilities</t>
  </si>
  <si>
    <t>042</t>
  </si>
  <si>
    <t>*Clean Water and Sanitation  - Social Infrastructure Development</t>
  </si>
  <si>
    <t>Ensure access to potable water and sanitation facilities to reduce waterborne diseases​</t>
  </si>
  <si>
    <t>Education</t>
  </si>
  <si>
    <t>% increase in scholarship recipients and licensure exam pass rates</t>
  </si>
  <si>
    <t>PGO- INB</t>
  </si>
  <si>
    <t>043</t>
  </si>
  <si>
    <t>Iskolar ng Bataan</t>
  </si>
  <si>
    <t>Provide scholarships and establish a review center for licensure exams and assessments​.</t>
  </si>
  <si>
    <t>% increase in students participating in hands-on, industry-relevant training</t>
  </si>
  <si>
    <t>PGO-INB</t>
  </si>
  <si>
    <t>044</t>
  </si>
  <si>
    <t>Dual Training Center</t>
  </si>
  <si>
    <t>Offer hands-on training in collaboration with senior high schools, AFAB, and PEZA​.</t>
  </si>
  <si>
    <t>% increase in teacher capacity building and use of Learning Management Systems (LMS)</t>
  </si>
  <si>
    <t>045</t>
  </si>
  <si>
    <t>Teacher Needs Assessment and LMS Utilization</t>
  </si>
  <si>
    <t>Assess teacher needs, build capacity, and promote full use of LMS and Achieve 3000 SRA​.</t>
  </si>
  <si>
    <t>% integration of values education in school curricula</t>
  </si>
  <si>
    <t>PSWDO, SP</t>
  </si>
  <si>
    <t>046</t>
  </si>
  <si>
    <t>Create Values Formation Program</t>
  </si>
  <si>
    <t>Integrate values education into basic and higher education curricula​.</t>
  </si>
  <si>
    <t>% reduction in out-of-school youth through skills and employment programs</t>
  </si>
  <si>
    <t>PSWDO, OPESM</t>
  </si>
  <si>
    <t>047</t>
  </si>
  <si>
    <t>Out-of-School Youth Programs</t>
  </si>
  <si>
    <t>Provide skills development and employment pathways for out-of-school youth, including upgrading skills​.</t>
  </si>
  <si>
    <t>% increase in family engagement in children's education through Educhild Campaign</t>
  </si>
  <si>
    <t>048</t>
  </si>
  <si>
    <t>Educhild Campaign</t>
  </si>
  <si>
    <t>Strengthen family-based education by involving parents and guardians in children’s learning​.</t>
  </si>
  <si>
    <t>% improvement in school health and wellness programs (nutrition, physical activity, mental health)</t>
  </si>
  <si>
    <t>PGO-BHSS</t>
  </si>
  <si>
    <t>049</t>
  </si>
  <si>
    <t>Bataan Healthy School Settings</t>
  </si>
  <si>
    <t>Promote health and wellness in schools with a focus on nutrition, physical activities, and mental health​.</t>
  </si>
  <si>
    <t>% increase in job placements through job fairs and online systems</t>
  </si>
  <si>
    <t>PESO</t>
  </si>
  <si>
    <t>050</t>
  </si>
  <si>
    <t>Job Placements</t>
  </si>
  <si>
    <t>Organize job fairs and provide online job placement systems for students and graduates​.</t>
  </si>
  <si>
    <t>% increase in school infrastructure development</t>
  </si>
  <si>
    <t>051</t>
  </si>
  <si>
    <t>*Accessible Education - Social Infrastructure Development</t>
  </si>
  <si>
    <t>Build and upgrade schools, particularly in rural areas, to reduce dropout rates​</t>
  </si>
  <si>
    <t>% increase in adult literacy and participation in lifelong learning programs</t>
  </si>
  <si>
    <t>052</t>
  </si>
  <si>
    <t>*Lifelong Learning Programs</t>
  </si>
  <si>
    <t>Implement adult literacy and continuing education programs, focusing on out-of-school youth​</t>
  </si>
  <si>
    <t>PARTNER AGENCY (SOURCE)</t>
  </si>
  <si>
    <t>Frequency</t>
  </si>
  <si>
    <t>HEALTH</t>
  </si>
  <si>
    <t>% increase in vaccination (COVID19) among eligible members, % increase in vaccination on children (with booster)</t>
  </si>
  <si>
    <t>PHO, DOH</t>
  </si>
  <si>
    <t>Quarterly</t>
  </si>
  <si>
    <t>% reduction on Mortality rate</t>
  </si>
  <si>
    <t>% reduction on Communicable Diseases</t>
  </si>
  <si>
    <t>% reduction on Non-Communicable Diseases</t>
  </si>
  <si>
    <t>% reduction on Maternal &amp; Child Death</t>
  </si>
  <si>
    <t>% reduction on Teenage Pregnancy (New &amp; Repeated)</t>
  </si>
  <si>
    <t>% reduction on Animal Bite</t>
  </si>
  <si>
    <t>% reduction on Dengue</t>
  </si>
  <si>
    <t>% reduction on Malnourished children</t>
  </si>
  <si>
    <t>% reduction on Smoking</t>
  </si>
  <si>
    <t>% of reduction on hospitalization of communicable and non-communicable diseases</t>
  </si>
  <si>
    <t>PHO/PhilHealth</t>
  </si>
  <si>
    <t>PhilHealth</t>
  </si>
  <si>
    <t>% of reduction of PhilHealth expenditures on dialysis, communicable, and non-communicable diseases</t>
  </si>
  <si>
    <t>No increase (growth rate) in the number of dialysis patients</t>
  </si>
  <si>
    <t>No. of health-related activities conducted by the barangay</t>
  </si>
  <si>
    <t>Barangay LGU</t>
  </si>
  <si>
    <t>No. of environment-related activities conducted by the barangay</t>
  </si>
  <si>
    <t>% reduction on Solid &amp; Liquid Waste (environment)</t>
  </si>
  <si>
    <t>DENR</t>
  </si>
  <si>
    <t>DENR/PENRO</t>
  </si>
  <si>
    <t>PG-ENRO</t>
  </si>
  <si>
    <t>EDUCATION</t>
  </si>
  <si>
    <t>% increase in School Age Participation Rate</t>
  </si>
  <si>
    <t>DEPED/SDO Balanga and SDO Bataan</t>
  </si>
  <si>
    <t>DepEd Bataan</t>
  </si>
  <si>
    <t>DepEd Balanga City</t>
  </si>
  <si>
    <t>% increase in Cohort Survival Rate</t>
  </si>
  <si>
    <t>% reduction on Drop Out</t>
  </si>
  <si>
    <t>% increase in Numeracy Rate</t>
  </si>
  <si>
    <t>% increase in Literacy Rate</t>
  </si>
  <si>
    <t>% increase in NAT results</t>
  </si>
  <si>
    <t>% reduction on OSY</t>
  </si>
  <si>
    <t>YDO, SK</t>
  </si>
  <si>
    <t>SK</t>
  </si>
  <si>
    <t>% increase in Board Passers</t>
  </si>
  <si>
    <t>CHED, HEls</t>
  </si>
  <si>
    <t>CHED</t>
  </si>
  <si>
    <t>% reduction in college dropouts</t>
  </si>
  <si>
    <t>CHED, HElS</t>
  </si>
  <si>
    <t>STANDARDS OF LIVING</t>
  </si>
  <si>
    <t>% increase in employed population</t>
  </si>
  <si>
    <t>PAGIBIG MEMBERS, Informal, Other Economic Sectors,</t>
  </si>
  <si>
    <t>PAGIBIG</t>
  </si>
  <si>
    <t>SSS</t>
  </si>
  <si>
    <t>GSIS</t>
  </si>
  <si>
    <t>% increase in households monthly electric consumption</t>
  </si>
  <si>
    <t>PENELCO</t>
  </si>
  <si>
    <t>% increase of persons with bank/deposit accounts</t>
  </si>
  <si>
    <t>BSP, local banks</t>
  </si>
  <si>
    <t>BSP</t>
  </si>
  <si>
    <t>% increase population of households with livelihood (e.g. farmers, fishers, registered sari-sari stores)</t>
  </si>
  <si>
    <t>MAO/CAO, DTI, PCEDO, LCR</t>
  </si>
  <si>
    <t>DTI</t>
  </si>
  <si>
    <t>% increase in the households with internet connectivity</t>
  </si>
  <si>
    <t>Cable and internet companies</t>
  </si>
  <si>
    <t>% increase IRA/NTA independence</t>
  </si>
  <si>
    <t>Local Treasurer's Office</t>
  </si>
  <si>
    <t>Annually</t>
  </si>
  <si>
    <t>PTO</t>
  </si>
  <si>
    <t>% increase in the no. of households with real property tax declaration</t>
  </si>
  <si>
    <t>BIR, Assessor's Office</t>
  </si>
  <si>
    <t>BIR</t>
  </si>
  <si>
    <t>Assessor's Office</t>
  </si>
  <si>
    <t>PEACE AND ORDER &amp; PUBLIC SAFETY</t>
  </si>
  <si>
    <t>% reductions on accidents (place of occurrence)</t>
  </si>
  <si>
    <t>PDRRM, MBDA</t>
  </si>
  <si>
    <t>Monthly</t>
  </si>
  <si>
    <t>% reduction of injury among affected population during calamity</t>
  </si>
  <si>
    <t>During (SitRep)</t>
  </si>
  <si>
    <t>% reduction on casualty during calamity</t>
  </si>
  <si>
    <t>PDRRM</t>
  </si>
  <si>
    <t>% decrease on index crime (CIRAS)</t>
  </si>
  <si>
    <t>PNP</t>
  </si>
  <si>
    <t xml:space="preserve">Monthly </t>
  </si>
  <si>
    <t>Drug Free (certification)</t>
  </si>
  <si>
    <t>PDEA</t>
  </si>
  <si>
    <t>Insurgency Free (certification)</t>
  </si>
  <si>
    <t>ARMY</t>
  </si>
  <si>
    <t>INFLATION</t>
  </si>
  <si>
    <t>% decrease on price of goods in local markets</t>
  </si>
  <si>
    <t>Municipal/CityLGU, DTI</t>
  </si>
  <si>
    <t>Agri Products</t>
  </si>
  <si>
    <t>% decrease on price of fuel, electricity and other utilites</t>
  </si>
  <si>
    <t>PENELCO, Water District, Gas stations</t>
  </si>
  <si>
    <t>Check online reference for fuel price</t>
  </si>
  <si>
    <t>% decrease on cost of public transportation (fares)</t>
  </si>
  <si>
    <t>Local transport group, PCEDO, Municipal/City LGU</t>
  </si>
  <si>
    <t>LTFRB</t>
  </si>
  <si>
    <t>Department</t>
  </si>
  <si>
    <t>Name:</t>
  </si>
  <si>
    <t>Weight</t>
  </si>
  <si>
    <t>Note</t>
  </si>
  <si>
    <t>Target Unit</t>
  </si>
  <si>
    <t>Target</t>
  </si>
  <si>
    <t>Balance Score Card</t>
  </si>
  <si>
    <t xml:space="preserve">Core/ Mandates: </t>
  </si>
  <si>
    <t>Mandate 1</t>
  </si>
  <si>
    <t>Mandate 2</t>
  </si>
  <si>
    <t>Mandate 3</t>
  </si>
  <si>
    <t>Mandate 4</t>
  </si>
  <si>
    <t>Strategic Initiative:</t>
  </si>
  <si>
    <t>Strategic Initiative 1</t>
  </si>
  <si>
    <t>Strategic Initiative 2</t>
  </si>
  <si>
    <t>Administrative:</t>
  </si>
  <si>
    <t xml:space="preserve">Administrative Support </t>
  </si>
  <si>
    <t>Support Functions:</t>
  </si>
  <si>
    <t xml:space="preserve">General Administrative Support </t>
  </si>
  <si>
    <t>Good Governance</t>
  </si>
  <si>
    <t>Major Activities: Foundation Day, Independence Day, Day of Valor, Flag Ceremonies, Outreach Program</t>
  </si>
  <si>
    <t>Others: Orientations, Womens Month, Pawikan Festival</t>
  </si>
  <si>
    <t xml:space="preserve">Poor </t>
  </si>
  <si>
    <t xml:space="preserve">Unsatisfactory </t>
  </si>
  <si>
    <t xml:space="preserve">Satisfactory </t>
  </si>
  <si>
    <t xml:space="preserve">Very Satisfactory </t>
  </si>
  <si>
    <t>Outstanding</t>
  </si>
  <si>
    <t>50% &amp; below</t>
  </si>
  <si>
    <t>51%-89%</t>
  </si>
  <si>
    <t>90%-114%</t>
  </si>
  <si>
    <t>115%-129%</t>
  </si>
  <si>
    <t>Beyond 100% Targets</t>
  </si>
  <si>
    <t>SPMS Rating Scale</t>
  </si>
  <si>
    <t>Performance was consistently below expectations, and/or reasonable progress toward critical goals was not made. Significant improvement is needed in one or more important areas.</t>
  </si>
  <si>
    <t>Performance failed to meet expectations, and/or one or more of the most critical goals were not met.</t>
  </si>
  <si>
    <t>Performance met expectations in terms of quality of work, efficiency, and timeliness. The most critical annual goals were met.</t>
  </si>
  <si>
    <t>Performance exceeded expectations. All goals, objectives, and targets were achieved above the established standards.</t>
  </si>
  <si>
    <t>Performance represents an extraordinary level of achievement and commitment in terms of quality and time, technical skills and knowledge, ingenuity, creativity, and initiative. Employees at this performance level should have demonstrated exceptional job mastery in all major areas of responsibility. Employee achievement and contributions to the organization are of marked excellence.</t>
  </si>
  <si>
    <r>
      <rPr>
        <sz val="10"/>
        <color theme="1"/>
        <rFont val="Arial"/>
      </rPr>
      <t xml:space="preserve">Name of Department: </t>
    </r>
    <r>
      <rPr>
        <b/>
        <sz val="10"/>
        <color theme="1"/>
        <rFont val="Arial"/>
      </rPr>
      <t>Provincial Information Office</t>
    </r>
  </si>
  <si>
    <r>
      <rPr>
        <sz val="10"/>
        <color theme="1"/>
        <rFont val="Arial"/>
      </rPr>
      <t xml:space="preserve">Department Head Name: </t>
    </r>
    <r>
      <rPr>
        <b/>
        <sz val="10"/>
        <color theme="1"/>
        <rFont val="Arial"/>
      </rPr>
      <t>Angeline OL. Lara</t>
    </r>
  </si>
  <si>
    <t>Actual Rating</t>
  </si>
  <si>
    <t>Range (-)</t>
  </si>
  <si>
    <t>Range (+)</t>
  </si>
  <si>
    <t xml:space="preserve">Core Functions: </t>
  </si>
  <si>
    <t xml:space="preserve">MFO 1: Public Information  Strategic Planning  and Research </t>
  </si>
  <si>
    <t>MFO 2: Public Information Production and Implementation</t>
  </si>
  <si>
    <t>MFO 3: Monitoring and Evaluation of Public Engagement</t>
  </si>
  <si>
    <t>Strategic Priority:</t>
  </si>
  <si>
    <r>
      <rPr>
        <b/>
        <sz val="10"/>
        <color theme="1"/>
        <rFont val="Arial"/>
      </rPr>
      <t>Strategic Initiative 1:</t>
    </r>
    <r>
      <rPr>
        <sz val="10"/>
        <color theme="1"/>
        <rFont val="Arial"/>
      </rPr>
      <t xml:space="preserve"> Bataeño Pass Implementation</t>
    </r>
  </si>
  <si>
    <t xml:space="preserve">200,000 Students </t>
  </si>
  <si>
    <t>Percentage</t>
  </si>
  <si>
    <t>Compliance Rate &amp; Participation Rate</t>
  </si>
  <si>
    <t>Compliance Rate</t>
  </si>
  <si>
    <r>
      <rPr>
        <b/>
        <sz val="10"/>
        <color theme="1"/>
        <rFont val="Arial"/>
      </rPr>
      <t xml:space="preserve">LCE Priority 
</t>
    </r>
    <r>
      <rPr>
        <i/>
        <sz val="8"/>
        <color theme="1"/>
        <rFont val="Arial"/>
      </rPr>
      <t>For Monitoring</t>
    </r>
  </si>
  <si>
    <r>
      <rPr>
        <b/>
        <sz val="10"/>
        <color theme="1"/>
        <rFont val="Arial"/>
      </rPr>
      <t xml:space="preserve">LCE Priority 004: Social Media Programs
</t>
    </r>
    <r>
      <rPr>
        <i/>
        <sz val="10"/>
        <color theme="1"/>
        <rFont val="Arial"/>
      </rPr>
      <t>Use social media to target specific markets and improve public service engagement​</t>
    </r>
  </si>
  <si>
    <t>Lead</t>
  </si>
  <si>
    <t>_% improvement in government service delivery via social media</t>
  </si>
  <si>
    <t>Number</t>
  </si>
  <si>
    <r>
      <rPr>
        <b/>
        <sz val="10"/>
        <color theme="1"/>
        <rFont val="Arial"/>
      </rPr>
      <t xml:space="preserve">LCE Priority 006: Bataeño Pass Implementation
</t>
    </r>
    <r>
      <rPr>
        <sz val="10"/>
        <color theme="1"/>
        <rFont val="Arial"/>
      </rPr>
      <t>Implement a unified digital pass system for better public service delivery​</t>
    </r>
  </si>
  <si>
    <t>Support</t>
  </si>
  <si>
    <r>
      <rPr>
        <sz val="10"/>
        <color theme="1"/>
        <rFont val="Arial"/>
      </rPr>
      <t xml:space="preserve">(Lead) % improvement in citizen access to services
</t>
    </r>
    <r>
      <rPr>
        <i/>
        <sz val="8"/>
        <color theme="1"/>
        <rFont val="Arial"/>
      </rPr>
      <t xml:space="preserve">Indicate your deliverable/s as support department
</t>
    </r>
    <r>
      <rPr>
        <sz val="10"/>
        <color theme="1"/>
        <rFont val="Arial"/>
      </rPr>
      <t>(Support)</t>
    </r>
  </si>
  <si>
    <r>
      <rPr>
        <b/>
        <sz val="10"/>
        <color theme="1"/>
        <rFont val="Arial"/>
      </rPr>
      <t xml:space="preserve">LCE Priority 029: Institutionalize Hataw Takbo Bataan
</t>
    </r>
    <r>
      <rPr>
        <i/>
        <sz val="10"/>
        <color theme="1"/>
        <rFont val="Arial"/>
      </rPr>
      <t>Involve running clubs and barangays in regular community-based fun runs​.</t>
    </r>
  </si>
  <si>
    <r>
      <rPr>
        <sz val="10"/>
        <color theme="1"/>
        <rFont val="Arial"/>
      </rPr>
      <t xml:space="preserve">(Lead) % increase in community participation in fitness programs (support via social media)
</t>
    </r>
    <r>
      <rPr>
        <i/>
        <sz val="8"/>
        <color theme="1"/>
        <rFont val="Arial"/>
      </rPr>
      <t xml:space="preserve">Indicate your deliverable/s as support department
</t>
    </r>
    <r>
      <rPr>
        <sz val="10"/>
        <color theme="1"/>
        <rFont val="Arial"/>
      </rPr>
      <t xml:space="preserve">(Support) </t>
    </r>
  </si>
  <si>
    <t>Already included in MFO1</t>
  </si>
  <si>
    <r>
      <rPr>
        <sz val="10"/>
        <color theme="1"/>
        <rFont val="Arial"/>
      </rPr>
      <t xml:space="preserve">Name of Department: </t>
    </r>
    <r>
      <rPr>
        <b/>
        <sz val="10"/>
        <color theme="1"/>
        <rFont val="Arial"/>
      </rPr>
      <t>Office of the Provincial Engineer</t>
    </r>
  </si>
  <si>
    <r>
      <rPr>
        <sz val="10"/>
        <color theme="1"/>
        <rFont val="Arial"/>
      </rPr>
      <t xml:space="preserve">Department Head Name: </t>
    </r>
    <r>
      <rPr>
        <b/>
        <sz val="10"/>
        <color theme="1"/>
        <rFont val="Arial"/>
      </rPr>
      <t>Engr. Arleen R. Santos</t>
    </r>
  </si>
  <si>
    <t>MFO 1: Infrastructure Planning</t>
  </si>
  <si>
    <t>100% of duly identified priority projects with completed DED</t>
  </si>
  <si>
    <t xml:space="preserve">80% of budgeted projects vs. planned projects </t>
  </si>
  <si>
    <t xml:space="preserve">90% accuracy of DED/ Budget Forecasting (Planned vs. Actual) </t>
  </si>
  <si>
    <t>MFO 2: Infrastructure Project Implementation</t>
  </si>
  <si>
    <t>100% of  implemented projects vs. budgeted projects</t>
  </si>
  <si>
    <t>10% variance between planned and actual project timeline (schedule variance)</t>
  </si>
  <si>
    <t>MFO 3: Maintenance of Roads and Bridges</t>
  </si>
  <si>
    <t>% of all provincial roads and bridges based on road and bridges inventory maintained with evaluation and assessment report (1st Semester - Roads=30%; Bridges=40%)</t>
  </si>
  <si>
    <t>Roads - 83.60 km.
Bridges - 322 lm.</t>
  </si>
  <si>
    <t>70% of local road network inventory established with updated information</t>
  </si>
  <si>
    <t>MFO4: Project Monitoring, Evaluation and Technical Supervision</t>
  </si>
  <si>
    <t>80% of completed infrastructure projects with complete engineering requirements processed (for Fund Utilization)</t>
  </si>
  <si>
    <t>70% of engineering-related technical services provided/assisted with documented/response outputs</t>
  </si>
  <si>
    <r>
      <rPr>
        <b/>
        <sz val="10"/>
        <color theme="1"/>
        <rFont val="Arial"/>
      </rPr>
      <t>Strategic Initiative 1:</t>
    </r>
    <r>
      <rPr>
        <sz val="10"/>
        <color theme="1"/>
        <rFont val="Arial"/>
      </rPr>
      <t xml:space="preserve"> Establishment Of Provincial Geo-Database System (PGDS) - Local Road Network (LRN)</t>
    </r>
  </si>
  <si>
    <t>1 LGU with geo-tagged road networks (National, Provincial and Municipal Road Network) and processed in GIS platform</t>
  </si>
  <si>
    <t>415 road networks</t>
  </si>
  <si>
    <r>
      <rPr>
        <b/>
        <sz val="10"/>
        <color theme="1"/>
        <rFont val="Arial"/>
      </rPr>
      <t>Strategic Initiative 2:</t>
    </r>
    <r>
      <rPr>
        <sz val="10"/>
        <color theme="1"/>
        <rFont val="Arial"/>
      </rPr>
      <t xml:space="preserve"> Establishment Of Provincial Geo-Database System (PGDS) - Community-Based Facilities (CBF)</t>
    </r>
  </si>
  <si>
    <t>1 congressional district with geo-tagged community-based facilities and processed in GIS platform (District II)</t>
  </si>
  <si>
    <t>79 community-based facilities</t>
  </si>
  <si>
    <t>reports submitted on or before the deadline</t>
  </si>
  <si>
    <r>
      <rPr>
        <b/>
        <sz val="10"/>
        <color theme="1"/>
        <rFont val="Arial"/>
      </rPr>
      <t xml:space="preserve">LCE Priority 
</t>
    </r>
    <r>
      <rPr>
        <i/>
        <sz val="8"/>
        <color theme="1"/>
        <rFont val="Arial"/>
      </rPr>
      <t>For Monitoring</t>
    </r>
  </si>
  <si>
    <r>
      <rPr>
        <b/>
        <sz val="10"/>
        <color theme="1"/>
        <rFont val="Arial"/>
      </rPr>
      <t xml:space="preserve">LCE Priority 011: *Disaster-Resilient Infrastructure
</t>
    </r>
    <r>
      <rPr>
        <i/>
        <sz val="10"/>
        <color theme="1"/>
        <rFont val="Arial"/>
      </rPr>
      <t>Build flood control systems, evacuation centers, and coastal protection projects​.</t>
    </r>
  </si>
  <si>
    <t>% increase in disaster-resilient infrastructure 
Note: (included in WW - Project Implementation)</t>
  </si>
  <si>
    <r>
      <rPr>
        <b/>
        <sz val="10"/>
        <color theme="1"/>
        <rFont val="Arial"/>
      </rPr>
      <t xml:space="preserve">LCE Priority 026: *Economic Infrastructure Development
</t>
    </r>
    <r>
      <rPr>
        <i/>
        <sz val="10"/>
        <color theme="1"/>
        <rFont val="Arial"/>
      </rPr>
      <t>Build roads, public transport, and infrastructure to improve connectivity​</t>
    </r>
  </si>
  <si>
    <t>% improvement in infrastructure and market access
Note: (included in WW - Project Implementation)</t>
  </si>
  <si>
    <r>
      <rPr>
        <b/>
        <sz val="10"/>
        <color theme="1"/>
        <rFont val="Arial"/>
      </rPr>
      <t xml:space="preserve">LCE Priority 040: *Access to Healthcare - Social Infrastructure Development
</t>
    </r>
    <r>
      <rPr>
        <i/>
        <sz val="10"/>
        <color theme="1"/>
        <rFont val="Arial"/>
      </rPr>
      <t>Improve availability and quality of health services, including hospitals, clinics, and rural health units​</t>
    </r>
  </si>
  <si>
    <t>% increase in access to healthcare facilities 
Note: (included in WW - Project Implementation)</t>
  </si>
  <si>
    <t>no target for this semester</t>
  </si>
  <si>
    <r>
      <rPr>
        <b/>
        <sz val="10"/>
        <color theme="1"/>
        <rFont val="Arial"/>
      </rPr>
      <t xml:space="preserve">LCE Priority 042: *Clean Water and Sanitation  - Social Infrastructure Development
</t>
    </r>
    <r>
      <rPr>
        <i/>
        <sz val="10"/>
        <color theme="1"/>
        <rFont val="Arial"/>
      </rPr>
      <t>Ensure access to potable water and sanitation facilities to reduce waterborne diseases​​</t>
    </r>
  </si>
  <si>
    <t>% increase in access to clean water and sanitation facilities 
Note: (included in WW - Project Implementation)</t>
  </si>
  <si>
    <r>
      <rPr>
        <b/>
        <sz val="10"/>
        <color theme="1"/>
        <rFont val="Arial"/>
      </rPr>
      <t xml:space="preserve">LCE Priority 051: *Accessible Education - Social Infrastructure Development
</t>
    </r>
    <r>
      <rPr>
        <i/>
        <sz val="10"/>
        <color theme="1"/>
        <rFont val="Arial"/>
      </rPr>
      <t>Build and upgrade schools, particularly in rural areas, to reduce dropout rates​​​</t>
    </r>
  </si>
  <si>
    <t>% increase in school infrastructure development 
Note: (included in WW - Project Implementation)</t>
  </si>
  <si>
    <t xml:space="preserve">Name of Department: Office of the Provincial Government- Environment and Natural Resources Officer </t>
  </si>
  <si>
    <r>
      <rPr>
        <sz val="10"/>
        <color theme="1"/>
        <rFont val="Arial"/>
      </rPr>
      <t xml:space="preserve">Department Head Name: </t>
    </r>
    <r>
      <rPr>
        <b/>
        <sz val="10"/>
        <color theme="1"/>
        <rFont val="Arial"/>
      </rPr>
      <t>Raphael C. De Leon</t>
    </r>
  </si>
  <si>
    <t>MFO 1: Environment and Natural Resources Policy, Planning and Research</t>
  </si>
  <si>
    <t>TARGET:
1 policy (amendment of Environment Code)</t>
  </si>
  <si>
    <t>Number of ENR sector policy/plan formulated/ reviewed/ updated</t>
  </si>
  <si>
    <t>1st sem: policy review and updating
2nd sem: policy recommendation submitted to SP</t>
  </si>
  <si>
    <t>MFO 2: Environment and Natural Resources Management and Conservation</t>
  </si>
  <si>
    <t>TARGETS:
a.1 4 planting activities
a.2 8 plantations
b. 80%
c. 100%
d. 3%
e. 4 per special body
f. 1</t>
  </si>
  <si>
    <t>MEASURES:
a.1 Number of planting activities
a.2 Number of plantations monitored
b. Coverage rate of environmental and compliance monitoring (air quality, water quality, permitted quarry operations)
c. Percentage of waste disposed within 8 hours from collection
d. Percentage increase in areal extent of coastal/marine areas conserved as LMMPA or CGZ
e. Number of quarterly meetings of special bodies convened (PSWMB, PMRB, 1PawiCAN)
f. Number of province-wide clean-up drive organized in partnership with C/MLGUs</t>
  </si>
  <si>
    <t xml:space="preserve">Outcome indicators (not for rating but for information and decision aid):
a. Survival Rate
b. Air and Water Quality Standards
1st sem:
a.1 3 (2 mangrove + 1 tree)
a.2 8 plantations
b. 80%
c. 100%
d. 3%
e. 2 per special body
2nd sem:
a.1 3 (2 tree + 1 bamboo)
a.2 8 plantations
b. 80%
c. 100%
e. 2 per special body
f. 1 (ICC)
</t>
  </si>
  <si>
    <t>MFO 3: Environment and Natural Resources Frontline and Extension Services</t>
  </si>
  <si>
    <t>TARGET:
100% (CEC, small-scale mining permits, documents/requests)</t>
  </si>
  <si>
    <t>Percentage of applications and requests acted upon within the prescribed period</t>
  </si>
  <si>
    <r>
      <rPr>
        <b/>
        <sz val="10"/>
        <color theme="1"/>
        <rFont val="Arial"/>
      </rPr>
      <t>Strategic Initiative 1:</t>
    </r>
    <r>
      <rPr>
        <sz val="10"/>
        <color theme="1"/>
        <rFont val="Arial"/>
      </rPr>
      <t xml:space="preserve"> TRANSFORM Bataan</t>
    </r>
  </si>
  <si>
    <t xml:space="preserve">TARGET:  4 </t>
  </si>
  <si>
    <t>Number of environmental PPAs implemented with support from private sector CSR</t>
  </si>
  <si>
    <r>
      <rPr>
        <b/>
        <sz val="10"/>
        <color theme="1"/>
        <rFont val="Arial"/>
      </rPr>
      <t xml:space="preserve">Strategic Initaitive 2: </t>
    </r>
    <r>
      <rPr>
        <sz val="10"/>
        <color theme="1"/>
        <rFont val="Arial"/>
      </rPr>
      <t>Workplace Greening</t>
    </r>
  </si>
  <si>
    <t>TARGET: 4 (at least 1 per floor)</t>
  </si>
  <si>
    <t>Number of green spaces developed/established</t>
  </si>
  <si>
    <t>SGLG Compliance (Environmental Management)</t>
  </si>
  <si>
    <r>
      <rPr>
        <b/>
        <sz val="10"/>
        <color theme="1"/>
        <rFont val="Arial"/>
      </rPr>
      <t xml:space="preserve">LCE Priority 
</t>
    </r>
    <r>
      <rPr>
        <i/>
        <sz val="8"/>
        <color theme="1"/>
        <rFont val="Arial"/>
      </rPr>
      <t>For Monitoring</t>
    </r>
  </si>
  <si>
    <r>
      <rPr>
        <b/>
        <sz val="10"/>
        <color theme="1"/>
        <rFont val="Arial"/>
      </rPr>
      <t xml:space="preserve">LCE Priority 022: *Transitioning Transport Groups to Electric Vehicles
</t>
    </r>
    <r>
      <rPr>
        <i/>
        <sz val="10"/>
        <color theme="1"/>
        <rFont val="Arial"/>
      </rPr>
      <t>Support the transition to electric vehicles in the transport sector​</t>
    </r>
  </si>
  <si>
    <r>
      <rPr>
        <sz val="10"/>
        <color theme="1"/>
        <rFont val="Arial"/>
      </rPr>
      <t xml:space="preserve">% adoption of electric vehicles in public transport
</t>
    </r>
    <r>
      <rPr>
        <i/>
        <sz val="8"/>
        <color theme="1"/>
        <rFont val="Arial"/>
      </rPr>
      <t>Annual average PM2.5 concentration within or better than air quality standard</t>
    </r>
    <r>
      <rPr>
        <sz val="10"/>
        <color theme="1"/>
        <rFont val="Arial"/>
      </rPr>
      <t xml:space="preserve">
(Support)</t>
    </r>
  </si>
  <si>
    <t>Under MFO 2 (air quality monitoring)</t>
  </si>
  <si>
    <r>
      <rPr>
        <b/>
        <sz val="10"/>
        <color theme="1"/>
        <rFont val="Arial"/>
      </rPr>
      <t xml:space="preserve">LCE Priority 027: *Green Mobility and Renewable Energy
</t>
    </r>
    <r>
      <rPr>
        <i/>
        <sz val="10"/>
        <color theme="1"/>
        <rFont val="Arial"/>
      </rPr>
      <t>Invest in green mobility and renewable energy projects​ with End-of-Life Management</t>
    </r>
  </si>
  <si>
    <r>
      <rPr>
        <sz val="10"/>
        <color theme="1"/>
        <rFont val="Arial"/>
      </rPr>
      <t xml:space="preserve">% increase in renewable energy projects and green mobility adoption
</t>
    </r>
    <r>
      <rPr>
        <i/>
        <sz val="8"/>
        <color theme="1"/>
        <rFont val="Arial"/>
      </rPr>
      <t>Number of new EV/RE-related projects implemented with support from private sector CSR</t>
    </r>
    <r>
      <rPr>
        <sz val="10"/>
        <color theme="1"/>
        <rFont val="Arial"/>
      </rPr>
      <t xml:space="preserve">
(Support)</t>
    </r>
  </si>
  <si>
    <t>Under SI 1</t>
  </si>
  <si>
    <t xml:space="preserve">Name of Department: Office of the Provincial Disaster Risk Reduction and Management Officer </t>
  </si>
  <si>
    <r>
      <rPr>
        <sz val="10"/>
        <color theme="1"/>
        <rFont val="Arial"/>
      </rPr>
      <t xml:space="preserve">Department Head Name: </t>
    </r>
    <r>
      <rPr>
        <b/>
        <sz val="10"/>
        <color theme="1"/>
        <rFont val="Arial"/>
      </rPr>
      <t>Arvin J. Catipon</t>
    </r>
  </si>
  <si>
    <t>Remarks</t>
  </si>
  <si>
    <t>MFO 1: Disaster Mitigation</t>
  </si>
  <si>
    <t>MFO 2: Disaster Preparedness</t>
  </si>
  <si>
    <t>MFO 3: Disaster Response</t>
  </si>
  <si>
    <t>MFO 4: Rehabilitation and Recovery</t>
  </si>
  <si>
    <t>MFO 5: Reporting and Evaluation</t>
  </si>
  <si>
    <r>
      <rPr>
        <b/>
        <sz val="10"/>
        <color theme="1"/>
        <rFont val="Arial"/>
      </rPr>
      <t>Strategic Initiative 1:</t>
    </r>
    <r>
      <rPr>
        <sz val="10"/>
        <color theme="1"/>
        <rFont val="Arial"/>
      </rPr>
      <t xml:space="preserve"> 1BATAAN REAdi (Resiliency and Emergency Alertness Disaster Information) Web Application</t>
    </r>
  </si>
  <si>
    <t>70% system development</t>
  </si>
  <si>
    <r>
      <rPr>
        <b/>
        <sz val="10"/>
        <color theme="1"/>
        <rFont val="Arial"/>
      </rPr>
      <t>Strategic Initiative 2:</t>
    </r>
    <r>
      <rPr>
        <sz val="10"/>
        <color theme="1"/>
        <rFont val="Arial"/>
      </rPr>
      <t xml:space="preserve"> 1Bataan Barangay Resilience Bingo Scorecard Awards</t>
    </r>
  </si>
  <si>
    <t>50% of Barangays in the Province of Bataan that have transition to Adapt Phase will participate with 50% of Top Performing Twelve (12) Barangays will be awarded</t>
  </si>
  <si>
    <t>-SGLG Compliance</t>
  </si>
  <si>
    <t xml:space="preserve">-Executive Order, Ordinance, or similar issuance
creating the LDRRMC
-Certificates of Accreditation or Certification of
Selection
</t>
  </si>
  <si>
    <t>SGLG</t>
  </si>
  <si>
    <t>-LDRRMC Notice of Meetings, Agenda, and Minutes
of the Meetings for CY 202_</t>
  </si>
  <si>
    <t>-Gawad Kalasag Compliance</t>
  </si>
  <si>
    <r>
      <rPr>
        <b/>
        <sz val="10"/>
        <color theme="1"/>
        <rFont val="Arial"/>
      </rPr>
      <t xml:space="preserve">LCE Priority 
</t>
    </r>
    <r>
      <rPr>
        <i/>
        <sz val="8"/>
        <color theme="1"/>
        <rFont val="Arial"/>
      </rPr>
      <t>For Monitoring</t>
    </r>
  </si>
  <si>
    <r>
      <rPr>
        <b/>
        <sz val="10"/>
        <color theme="1"/>
        <rFont val="Arial"/>
      </rPr>
      <t xml:space="preserve">LCE Priority 011: *Disaster-Resilient Infrastructure
</t>
    </r>
    <r>
      <rPr>
        <i/>
        <sz val="10"/>
        <color theme="1"/>
        <rFont val="Arial"/>
      </rPr>
      <t>Build flood control systems, evacuation centers, and coastal protection projects​.</t>
    </r>
  </si>
  <si>
    <t xml:space="preserve">included in PDRRMO Core Function (MFO 5) </t>
  </si>
  <si>
    <t>Name of Department: Office of the Provincial Human Resource Management Officer</t>
  </si>
  <si>
    <r>
      <rPr>
        <sz val="10"/>
        <color theme="1"/>
        <rFont val="Arial"/>
      </rPr>
      <t xml:space="preserve">Department Head Name: </t>
    </r>
    <r>
      <rPr>
        <b/>
        <sz val="10"/>
        <color theme="1"/>
        <rFont val="Arial"/>
      </rPr>
      <t>Luz R. Enriquez</t>
    </r>
  </si>
  <si>
    <t>MFO 1: Recruitment, Selection and Placement</t>
  </si>
  <si>
    <t>Personnel Requisition, On  Boarding, Placement (Job Order)</t>
  </si>
  <si>
    <t>MFO 2: Performance Management</t>
  </si>
  <si>
    <t>Feedback Tabulation, Conflict Resolution, IPCR Assessment</t>
  </si>
  <si>
    <t>MFO 3: Rewards and Recognition</t>
  </si>
  <si>
    <t>MFO 4: Learning and Development</t>
  </si>
  <si>
    <t>Conduct of training/ interventions per identified competency gaps, Training Plan 2026, Learning and Development Analysis, Professional Development Plan Assessment</t>
  </si>
  <si>
    <t>MFO 5: Records, Payroll Management and Leave Administration</t>
  </si>
  <si>
    <t>Records Management, Employee Records Processing and Issuance, Employee Conduct and Standards Policy Development, DTR and Payroll Preparation, Leave Administration</t>
  </si>
  <si>
    <r>
      <rPr>
        <b/>
        <sz val="10"/>
        <color theme="1"/>
        <rFont val="Arial"/>
      </rPr>
      <t>Strategic Initiative 1:</t>
    </r>
    <r>
      <rPr>
        <sz val="10"/>
        <color theme="1"/>
        <rFont val="Arial"/>
      </rPr>
      <t xml:space="preserve"> DiversiTEAM: Fostering Diversity, Equity and Inclusion in the Workplace</t>
    </r>
  </si>
  <si>
    <t>At least 70% Inclusion Index Score of PGB Employees in the Bunker Bldg.</t>
  </si>
  <si>
    <t>Reports submitted to other agency/department</t>
  </si>
  <si>
    <t xml:space="preserve">Major Activities: Foundation Day, Independence Day, Day of Valor, Flag Ceremonies
Others: Orientations, Womens Month, Pawikan Festival, Outreach Program, </t>
  </si>
  <si>
    <r>
      <rPr>
        <b/>
        <sz val="10"/>
        <color theme="1"/>
        <rFont val="Arial"/>
      </rPr>
      <t xml:space="preserve">LCE Priority 
</t>
    </r>
    <r>
      <rPr>
        <i/>
        <sz val="8"/>
        <color theme="1"/>
        <rFont val="Arial"/>
      </rPr>
      <t>For Monitoring</t>
    </r>
  </si>
  <si>
    <r>
      <rPr>
        <b/>
        <sz val="10"/>
        <color theme="1"/>
        <rFont val="Arial"/>
      </rPr>
      <t xml:space="preserve">LCE Priority 002: Provincial/Bunker 8888 Hotline
</t>
    </r>
    <r>
      <rPr>
        <i/>
        <sz val="10"/>
        <color theme="1"/>
        <rFont val="Arial"/>
      </rPr>
      <t>Implement a hotline to handle citizen feedback and concerns​</t>
    </r>
  </si>
  <si>
    <t>% of actionable 8888 hotline concerns referred to appropriate offices</t>
  </si>
  <si>
    <r>
      <rPr>
        <b/>
        <sz val="10"/>
        <color theme="1"/>
        <rFont val="Arial"/>
      </rPr>
      <t xml:space="preserve">LCE Priority 009: PGB Employees Outreach Programs
</t>
    </r>
    <r>
      <rPr>
        <i/>
        <sz val="10"/>
        <color theme="1"/>
        <rFont val="Arial"/>
      </rPr>
      <t>Strengthen the culture of service among government employees through targeted outreach and service improvement initiatives​​</t>
    </r>
  </si>
  <si>
    <t>% of outreach programs with post-activity evaluations and documented impact</t>
  </si>
  <si>
    <t>HRIS</t>
  </si>
  <si>
    <t>leave and timekeeping transactions processed through HRIS</t>
  </si>
  <si>
    <t>Name of Department: Office of the Provincial Population Officer</t>
  </si>
  <si>
    <r>
      <rPr>
        <sz val="10"/>
        <color theme="1"/>
        <rFont val="Arial"/>
      </rPr>
      <t xml:space="preserve">Department Head Name: </t>
    </r>
    <r>
      <rPr>
        <b/>
        <sz val="10"/>
        <color theme="1"/>
        <rFont val="Arial"/>
      </rPr>
      <t>Will Ann M. Garcia</t>
    </r>
  </si>
  <si>
    <t>MFO 1: Population and Development Planning and Research</t>
  </si>
  <si>
    <t>MFO 2: Population and Development Program Implementation</t>
  </si>
  <si>
    <r>
      <rPr>
        <b/>
        <sz val="10"/>
        <color theme="1"/>
        <rFont val="Arial"/>
      </rPr>
      <t>Strategic Initiative 1:</t>
    </r>
    <r>
      <rPr>
        <sz val="10"/>
        <color theme="1"/>
        <rFont val="Arial"/>
      </rPr>
      <t xml:space="preserve"> 1kaBataan: Provincial Integration of Teen Information Centers in Bataan</t>
    </r>
  </si>
  <si>
    <t>100 barangays with access to TICs and ISDN
1 Provincial ISDN formed</t>
  </si>
  <si>
    <t xml:space="preserve">- EO or similar issuance institutionalizing LGU GAD Focal Point System 
- Ordinance approving/amending/revising LGU’s GAD Code 
- Resolution localizing Provincial GAD Code (for cities and municipalities) 
- Printed / electronic /online GAD database or 
information management system that can generate gender statistics, and sex disaggregated data 
- CY 2023 and 2024 GAD Plan and Budget 
- CY 2023 GAD Accomplishment Report 
- Certification on GAD Plans Submission (Certified Form 2E DILG Field Office) 
- GAD Funds Disbursement Data (Certified Form 2A Accounting Office) 
- Report on CY 2023 GAD Plan’s PPAs completion (Certified Form 2H Planning and Development Office) </t>
  </si>
  <si>
    <t xml:space="preserve">- Certified Form 2E (Photo documentation) 
- Appointment/Designation of Population 
Officer/Coordinator </t>
  </si>
  <si>
    <r>
      <rPr>
        <b/>
        <sz val="10"/>
        <color theme="1"/>
        <rFont val="Arial"/>
      </rPr>
      <t xml:space="preserve">LCE Priority 
</t>
    </r>
    <r>
      <rPr>
        <i/>
        <sz val="8"/>
        <color theme="1"/>
        <rFont val="Arial"/>
      </rPr>
      <t>For Monitoring</t>
    </r>
  </si>
  <si>
    <r>
      <rPr>
        <b/>
        <sz val="10"/>
        <color theme="1"/>
        <rFont val="Arial"/>
      </rPr>
      <t xml:space="preserve">LCE Priority 032: Anti-Smoking/Vaping Campaign
</t>
    </r>
    <r>
      <rPr>
        <i/>
        <sz val="10"/>
        <color theme="1"/>
        <rFont val="Arial"/>
      </rPr>
      <t>Promote the Tobacco-Free Generation and expand the Youth Health Ambassadors network​.</t>
    </r>
  </si>
  <si>
    <r>
      <rPr>
        <b/>
        <sz val="10"/>
        <color theme="1"/>
        <rFont val="Arial"/>
      </rPr>
      <t xml:space="preserve">LCE Priority 038: Lower Teenage Pregnancy Program
</t>
    </r>
    <r>
      <rPr>
        <i/>
        <sz val="10"/>
        <color theme="1"/>
        <rFont val="Arial"/>
      </rPr>
      <t>Implement initiatives to reduce teenage pregnancy rates​.</t>
    </r>
  </si>
  <si>
    <t>Name of Department: Office of the Provincial Planning and Development Coordinator</t>
  </si>
  <si>
    <r>
      <rPr>
        <sz val="10"/>
        <color theme="1"/>
        <rFont val="Arial"/>
      </rPr>
      <t xml:space="preserve">Department Head Name: </t>
    </r>
    <r>
      <rPr>
        <b/>
        <sz val="10"/>
        <color theme="1"/>
        <rFont val="Arial"/>
      </rPr>
      <t>Ar. Mc Jefferson M. Valerio</t>
    </r>
  </si>
  <si>
    <t>MFO 1: IntegratIon and alignment of plans and policies</t>
  </si>
  <si>
    <t>MFO 2: Data Gathering, Research, and Statistics</t>
  </si>
  <si>
    <t>MFO 3: Sectoral Planning and Coordination</t>
  </si>
  <si>
    <t>MFO 4: Investment Programming</t>
  </si>
  <si>
    <t>MFO 5: Strategic Management</t>
  </si>
  <si>
    <t>MFO 6: Monitoring and Evaluation</t>
  </si>
  <si>
    <r>
      <rPr>
        <b/>
        <sz val="10"/>
        <color theme="1"/>
        <rFont val="Arial"/>
      </rPr>
      <t>Strategic Initiative 1:</t>
    </r>
    <r>
      <rPr>
        <sz val="10"/>
        <color theme="1"/>
        <rFont val="Arial"/>
      </rPr>
      <t xml:space="preserve"> 1Bataan Central Database</t>
    </r>
  </si>
  <si>
    <t>1 Final Report of 1Bataan Central Database</t>
  </si>
  <si>
    <r>
      <rPr>
        <b/>
        <sz val="10"/>
        <color theme="1"/>
        <rFont val="Arial"/>
      </rPr>
      <t xml:space="preserve">LCE Priority 
</t>
    </r>
    <r>
      <rPr>
        <i/>
        <sz val="8"/>
        <color theme="1"/>
        <rFont val="Arial"/>
      </rPr>
      <t>For Monitoring</t>
    </r>
  </si>
  <si>
    <r>
      <rPr>
        <b/>
        <sz val="10"/>
        <color theme="1"/>
        <rFont val="Arial"/>
      </rPr>
      <t xml:space="preserve">LCE Priority 001: Meritocracy – Setup Data Center for HDI++
</t>
    </r>
    <r>
      <rPr>
        <i/>
        <sz val="10"/>
        <color theme="1"/>
        <rFont val="Arial"/>
      </rPr>
      <t>Establish a data center for tracking key metrics</t>
    </r>
  </si>
  <si>
    <t xml:space="preserve">% improvement in data transparency through the HDI++ data center </t>
  </si>
  <si>
    <t>Part of MFO 2 and MFO 6</t>
  </si>
  <si>
    <r>
      <rPr>
        <b/>
        <sz val="10"/>
        <color theme="1"/>
        <rFont val="Arial"/>
      </rPr>
      <t xml:space="preserve">LCE Priority 010: Barangay Master Development Plan
</t>
    </r>
    <r>
      <rPr>
        <i/>
        <sz val="10"/>
        <color theme="1"/>
        <rFont val="Arial"/>
      </rPr>
      <t>Roll out the Barangay Management Information System (BMIS) for improved governance at the barangay level​</t>
    </r>
  </si>
  <si>
    <t>Part of MFO 1</t>
  </si>
  <si>
    <r>
      <rPr>
        <b/>
        <sz val="10"/>
        <color theme="1"/>
        <rFont val="Arial"/>
      </rPr>
      <t xml:space="preserve">LCE Priority 017: Lowering Inflation
</t>
    </r>
    <r>
      <rPr>
        <i/>
        <sz val="10"/>
        <color theme="1"/>
        <rFont val="Arial"/>
      </rPr>
      <t>Monitor prices, set up direct selling of basic commodities, and monitor services provided by PENELCO and water districts​</t>
    </r>
  </si>
  <si>
    <r>
      <rPr>
        <b/>
        <sz val="10"/>
        <color theme="1"/>
        <rFont val="Arial"/>
      </rPr>
      <t xml:space="preserve">LCE Priority 022: Transitioning Transport Groups to Electric Vehicles
</t>
    </r>
    <r>
      <rPr>
        <i/>
        <sz val="10"/>
        <color theme="1"/>
        <rFont val="Arial"/>
      </rPr>
      <t>Support the transition to electric vehicles in the transport sector​</t>
    </r>
  </si>
  <si>
    <t>Part of MFO 3</t>
  </si>
  <si>
    <r>
      <rPr>
        <b/>
        <sz val="10"/>
        <color theme="1"/>
        <rFont val="Arial"/>
      </rPr>
      <t xml:space="preserve">LCE Priority 026: *Economic Infrastructure Development
</t>
    </r>
    <r>
      <rPr>
        <i/>
        <sz val="10"/>
        <color theme="1"/>
        <rFont val="Arial"/>
      </rPr>
      <t>Build roads, public transport, and infrastructure to improve connectivity​</t>
    </r>
  </si>
  <si>
    <t>Part of MFO 3 and MFO 4</t>
  </si>
  <si>
    <t xml:space="preserve">Construction of 2,100 housing units														</t>
  </si>
  <si>
    <t xml:space="preserve">Name of Department: Bataan Public-Private Partnership and Investmnet Center </t>
  </si>
  <si>
    <r>
      <rPr>
        <sz val="10"/>
        <color theme="1"/>
        <rFont val="Arial"/>
      </rPr>
      <t xml:space="preserve">Department Head Name: </t>
    </r>
    <r>
      <rPr>
        <b/>
        <sz val="10"/>
        <color theme="1"/>
        <rFont val="Arial"/>
      </rPr>
      <t>Abul Khayr Amalon M. Alonto II</t>
    </r>
  </si>
  <si>
    <t>PPPIC Remarks</t>
  </si>
  <si>
    <t>MFO 1: Enhanced public welfare through PPP and investment promotion initiatives
Investment Promotion Initiatives</t>
  </si>
  <si>
    <t>Q - 10 investment promotion activities and engagements with prospective investors to boost investments in the Province of Bataan
E1 - Facilitate 100% of sublease/lease/renewal/any related requests for The Bunker and Bunker-Link locators
E2 - 100% updated and detailed spreadsheet for The Bunker sublease</t>
  </si>
  <si>
    <t>Q - number
E - percentage</t>
  </si>
  <si>
    <t>MFO 2:  Sustainable Development and Community Well-being through Public-Private Partnerships
Implementation of the process in the PPP Code</t>
  </si>
  <si>
    <t>Q - 1 Pre-bidding Conference conducted for a PPP Project
E - 100% of PPP Projects in the pipeline facilitated and monitored</t>
  </si>
  <si>
    <t>MFO 3:  Regulate and manage PPP projects under implementation stage to ensure transparency, efficiency, and value for public resources
Contract Management of PPP Projects</t>
  </si>
  <si>
    <t>E- 100% monitored and updated
Q - 50% of PPP Projects with Quarterly PPP Project Monitoring Report</t>
  </si>
  <si>
    <t>MFO 4:  Execute additional PPPIC related tasks as directed by PPP Regulatory Authority and other requesting agencies
Submission of External Reports</t>
  </si>
  <si>
    <t>E - 100% of reports submitted
T - on or before the deadline</t>
  </si>
  <si>
    <t>T - time
E - percentage</t>
  </si>
  <si>
    <r>
      <rPr>
        <b/>
        <sz val="10"/>
        <color theme="1"/>
        <rFont val="Arial"/>
      </rPr>
      <t>Strategic Initiative 1:</t>
    </r>
    <r>
      <rPr>
        <sz val="10"/>
        <color theme="1"/>
        <rFont val="Arial"/>
      </rPr>
      <t xml:space="preserve"> 1Bataan S.A.N.D.B.O.X. Project</t>
    </r>
  </si>
  <si>
    <t>1 IRR for SP Ordinance No. 28</t>
  </si>
  <si>
    <r>
      <rPr>
        <b/>
        <sz val="10"/>
        <color theme="1"/>
        <rFont val="Arial"/>
      </rPr>
      <t>Strategic Initiative 2:</t>
    </r>
    <r>
      <rPr>
        <sz val="10"/>
        <color theme="1"/>
        <rFont val="Arial"/>
      </rPr>
      <t xml:space="preserve"> Bataan CSR Initiatives</t>
    </r>
  </si>
  <si>
    <t>1 CSR Alignment Workshop</t>
  </si>
  <si>
    <t>Copy of Recognition received from PCCI</t>
  </si>
  <si>
    <t xml:space="preserve">- Ordinance creating LEDIP Office/Unit 
- Executive order or similar issuance designating a LEDIPO with listed functions, duties and responsibilities </t>
  </si>
  <si>
    <t>- Ordinance adopting the LIIC 
- Ordinance amending/ revising particular section(s) of existing LIIC 
- PPP Code/JV Code/PEZA Code (as applicable)</t>
  </si>
  <si>
    <r>
      <rPr>
        <b/>
        <sz val="10"/>
        <color theme="1"/>
        <rFont val="Arial"/>
      </rPr>
      <t xml:space="preserve">LCE Priority 
</t>
    </r>
    <r>
      <rPr>
        <i/>
        <sz val="8"/>
        <color theme="1"/>
        <rFont val="Arial"/>
      </rPr>
      <t>For Monitoring</t>
    </r>
  </si>
  <si>
    <r>
      <rPr>
        <b/>
        <sz val="10"/>
        <color theme="1"/>
        <rFont val="Arial"/>
      </rPr>
      <t xml:space="preserve">LCE Priority 008: PGB Enterprise Management
</t>
    </r>
    <r>
      <rPr>
        <i/>
        <sz val="10"/>
        <color theme="1"/>
        <rFont val="Arial"/>
      </rPr>
      <t>Oversee and manage public enterprises like the Bataan People’s Center, Bataan Tourism Park, Bataan Tourism Pavillion, Capitol Compound Parking, Bunker Maintenance, and The Link​</t>
    </r>
  </si>
  <si>
    <t># of facilitated PPP or lease arrangement to enhance the operations or utilization of a provincial enterprise</t>
  </si>
  <si>
    <t>This is already part of BPPPIC Core Function - MFO 1: Investment Promotion Initiatives</t>
  </si>
  <si>
    <r>
      <rPr>
        <b/>
        <sz val="10"/>
        <color rgb="FF000000"/>
        <rFont val="Arial"/>
      </rPr>
      <t xml:space="preserve">LCE Priority 012: Promote Locators in FAB Expansion Areas of the PGB (i.e. Capitol Compound, Calaylayan, Abucay &amp; 1Bataan Command Center)
</t>
    </r>
    <r>
      <rPr>
        <i/>
        <sz val="10"/>
        <color rgb="FF000000"/>
        <rFont val="Arial"/>
      </rPr>
      <t>Support AFAB in the promotion of FAB Expansion Areas of the PGB to attract businesses in electric vehicles, silicon manufacturing, data centers, and blockchain technology​</t>
    </r>
  </si>
  <si>
    <t># of Letters of Intent (LOI) to Locate in FAB Expansion Areas of the PGB (Registered)</t>
  </si>
  <si>
    <t>This is AFAB's mandate. BPPPIC will continue promoting FAB expansion areas.</t>
  </si>
  <si>
    <r>
      <rPr>
        <b/>
        <sz val="10"/>
        <color theme="1"/>
        <rFont val="Arial"/>
      </rPr>
      <t xml:space="preserve">LCE Priority 013: Set Goals for Strategic PPPs
</t>
    </r>
    <r>
      <rPr>
        <i/>
        <sz val="10"/>
        <color theme="1"/>
        <rFont val="Arial"/>
      </rPr>
      <t>Establish partnerships in renewable energy and green infrastructures like EV charging networks and solar streetlights</t>
    </r>
  </si>
  <si>
    <t># of engagements and other related activities for the renewable energy and green infrastucture projects</t>
  </si>
  <si>
    <t>This is already included in the BPPPIC Core Functions.</t>
  </si>
  <si>
    <r>
      <rPr>
        <b/>
        <sz val="10"/>
        <color theme="1"/>
        <rFont val="Arial"/>
      </rPr>
      <t xml:space="preserve">LCE Priority 015: Establishment of Innovation Hubs
</t>
    </r>
    <r>
      <rPr>
        <i/>
        <sz val="10"/>
        <color theme="1"/>
        <rFont val="Arial"/>
      </rPr>
      <t>Create barangay learning hubs to foster innovation and skills development​</t>
    </r>
  </si>
  <si>
    <t># of innovation hub established</t>
  </si>
  <si>
    <t>This is already included in the BPPPIC Strategic Initiative: 1Bataan SANDBOX Project</t>
  </si>
  <si>
    <r>
      <rPr>
        <b/>
        <sz val="10"/>
        <color theme="1"/>
        <rFont val="Arial"/>
      </rPr>
      <t xml:space="preserve">LCE Priority 016: Support for SMEs
</t>
    </r>
    <r>
      <rPr>
        <i/>
        <sz val="10"/>
        <color theme="1"/>
        <rFont val="Arial"/>
      </rPr>
      <t xml:space="preserve">Facilitate online business permit applications, provide special lanes for startups​ and monitor the compliance in licensing and building permits. </t>
    </r>
  </si>
  <si>
    <t>n/a</t>
  </si>
  <si>
    <t>The facilitation of online business permit applications, provision of special lanes for startups, and compliance monitoring are functions of city and municipal LGUs under the Local Government Code of 1991. The Provincial Government is not mandated to issue permits or enforce compliance. PCEDO, whose mandate includes monitoring and supporting MSMEs, is the appropriate office for this priority, while PPPIC focuses on large businesses, investment promotion, and PPPs.</t>
  </si>
  <si>
    <r>
      <rPr>
        <b/>
        <sz val="10"/>
        <color theme="1"/>
        <rFont val="Arial"/>
      </rPr>
      <t xml:space="preserve">LCE Priority 018: Defense Industry Development
</t>
    </r>
    <r>
      <rPr>
        <i/>
        <sz val="10"/>
        <color theme="1"/>
        <rFont val="Arial"/>
      </rPr>
      <t>Coordinate with SPEDZA to develop defense-related industries​</t>
    </r>
  </si>
  <si>
    <t># of coordination with SPEDZA and facilitation of investment lead or PPP opportunity related to defense industry development</t>
  </si>
  <si>
    <r>
      <rPr>
        <b/>
        <sz val="10"/>
        <color theme="1"/>
        <rFont val="Arial"/>
      </rPr>
      <t xml:space="preserve">LCE Priority 022: Transitioning Transport Groups to Electric Vehicles
</t>
    </r>
    <r>
      <rPr>
        <i/>
        <sz val="10"/>
        <color theme="1"/>
        <rFont val="Arial"/>
      </rPr>
      <t>Support the transition to electric vehicles in the transport sector​</t>
    </r>
  </si>
  <si>
    <t># of engagements related to electric vehicles in public transport</t>
  </si>
  <si>
    <r>
      <rPr>
        <b/>
        <sz val="10"/>
        <color theme="1"/>
        <rFont val="Arial"/>
      </rPr>
      <t xml:space="preserve">LCE Priority 025: *Job Creation Programs
</t>
    </r>
    <r>
      <rPr>
        <i/>
        <sz val="10"/>
        <color theme="1"/>
        <rFont val="Arial"/>
      </rPr>
      <t>Promote industrial, tourism, transportation, infrastructure or commercial sector to boost employment​</t>
    </r>
  </si>
  <si>
    <t># of new investment or PPP project in the industrial, tourism, transportation, infrastructure or commercial sector to support job creation in the province</t>
  </si>
  <si>
    <r>
      <rPr>
        <b/>
        <sz val="10"/>
        <color theme="1"/>
        <rFont val="Arial"/>
      </rPr>
      <t xml:space="preserve">LCE Priority 026: *Economic Infrastructure Development
</t>
    </r>
    <r>
      <rPr>
        <i/>
        <sz val="10"/>
        <color theme="1"/>
        <rFont val="Arial"/>
      </rPr>
      <t>Build roads, public transport, and infrastructure to improve connectivity​</t>
    </r>
  </si>
  <si>
    <t># of Identified or initiated the development of PPP project focused on transport or connectivity infrastructure</t>
  </si>
  <si>
    <r>
      <rPr>
        <b/>
        <sz val="10"/>
        <color theme="1"/>
        <rFont val="Arial"/>
      </rPr>
      <t xml:space="preserve">LCE Priority 027: *Green Mobility and Renewable Energy
</t>
    </r>
    <r>
      <rPr>
        <i/>
        <sz val="10"/>
        <color theme="1"/>
        <rFont val="Arial"/>
      </rPr>
      <t>Invest in green mobility and renewable energy projects​ with End-of-Life Management</t>
    </r>
  </si>
  <si>
    <t># of identified or initiated development of PPP project in renewable energy or green mobility</t>
  </si>
  <si>
    <t>Noted by:</t>
  </si>
  <si>
    <t>Acknowledged by:</t>
  </si>
  <si>
    <t>MARY LOUISE C. PEÑA-CRUZ</t>
  </si>
  <si>
    <t>ABUL KHAYR ALONTO II</t>
  </si>
  <si>
    <t>Performance Manager</t>
  </si>
  <si>
    <t>Department Head</t>
  </si>
  <si>
    <t>Name of Department: Office of the Provincial Administrator</t>
  </si>
  <si>
    <r>
      <rPr>
        <sz val="10"/>
        <color theme="1"/>
        <rFont val="Arial"/>
      </rPr>
      <t xml:space="preserve">Department Head Name: </t>
    </r>
    <r>
      <rPr>
        <b/>
        <sz val="10"/>
        <color theme="1"/>
        <rFont val="Arial"/>
      </rPr>
      <t>Alicia D. Pizarro</t>
    </r>
  </si>
  <si>
    <t>MFO 1: Document Tracking</t>
  </si>
  <si>
    <t>MFO 2: Administrative Support Services</t>
  </si>
  <si>
    <t>MFO 3: Program implementation, Coordination, and Supervision</t>
  </si>
  <si>
    <t xml:space="preserve">MFO 4: Program assessment and evaluation
</t>
  </si>
  <si>
    <r>
      <rPr>
        <b/>
        <sz val="10"/>
        <color theme="1"/>
        <rFont val="Arial"/>
      </rPr>
      <t>Strategic Initiative 1:</t>
    </r>
    <r>
      <rPr>
        <sz val="10"/>
        <color theme="1"/>
        <rFont val="Arial"/>
      </rPr>
      <t xml:space="preserve"> Creation of the Bunker Event Management Team</t>
    </r>
  </si>
  <si>
    <t>Establishment of a dedicated committee to handle and oversee all events of the Provincial Government of Bataan at The Bunker</t>
  </si>
  <si>
    <r>
      <rPr>
        <b/>
        <sz val="10"/>
        <color theme="1"/>
        <rFont val="Arial"/>
      </rPr>
      <t xml:space="preserve">LCE Priority 
</t>
    </r>
    <r>
      <rPr>
        <i/>
        <sz val="8"/>
        <color theme="1"/>
        <rFont val="Arial"/>
      </rPr>
      <t>For Monitoring</t>
    </r>
  </si>
  <si>
    <t>Name of Department: Office of the Provincial Legal Officer</t>
  </si>
  <si>
    <r>
      <rPr>
        <sz val="10"/>
        <color theme="1"/>
        <rFont val="Arial"/>
      </rPr>
      <t xml:space="preserve">Department Head Name: </t>
    </r>
    <r>
      <rPr>
        <b/>
        <sz val="10"/>
        <color theme="1"/>
        <rFont val="Arial"/>
      </rPr>
      <t>Atty. Fernando S. Mendoza II</t>
    </r>
  </si>
  <si>
    <t xml:space="preserve">MFO 1: Legal Assistance and Paralegal Operations </t>
  </si>
  <si>
    <t>MFO 2: Legal Documentation and Research</t>
  </si>
  <si>
    <t>MFO 3: Legal Investigation</t>
  </si>
  <si>
    <t>MFO 4: Legal Opinion</t>
  </si>
  <si>
    <t>MFO 5: Legal Representation</t>
  </si>
  <si>
    <r>
      <rPr>
        <b/>
        <sz val="10"/>
        <color theme="1"/>
        <rFont val="Arial"/>
      </rPr>
      <t>Strategic Initiative 1:</t>
    </r>
    <r>
      <rPr>
        <sz val="10"/>
        <color theme="1"/>
        <rFont val="Arial"/>
      </rPr>
      <t xml:space="preserve"> Lecture on Cyber Crimes relative to the use of Social Media</t>
    </r>
  </si>
  <si>
    <t>9 lectures (minimum 20 participants)</t>
  </si>
  <si>
    <r>
      <rPr>
        <b/>
        <sz val="10"/>
        <color theme="1"/>
        <rFont val="Arial"/>
      </rPr>
      <t>Strategic Initiative 2:</t>
    </r>
    <r>
      <rPr>
        <sz val="10"/>
        <color theme="1"/>
        <rFont val="Arial"/>
      </rPr>
      <t xml:space="preserve"> Online case/ legal documents tracking system-To monitor legal requests, status updates, and documents processing</t>
    </r>
  </si>
  <si>
    <t xml:space="preserve">1 Online case/ legal documents tracking system                                                                                                                </t>
  </si>
  <si>
    <r>
      <rPr>
        <b/>
        <sz val="10"/>
        <color theme="1"/>
        <rFont val="Arial"/>
      </rPr>
      <t>Strategic Initiative 3:</t>
    </r>
    <r>
      <rPr>
        <sz val="10"/>
        <color theme="1"/>
        <rFont val="Arial"/>
      </rPr>
      <t xml:space="preserve"> Rehabilitation and Empowerment of Adults and Children with Handicap in Bataan</t>
    </r>
  </si>
  <si>
    <t>1 Signed SP Request Letter</t>
  </si>
  <si>
    <r>
      <rPr>
        <b/>
        <sz val="10"/>
        <color theme="1"/>
        <rFont val="Arial"/>
      </rPr>
      <t xml:space="preserve">LCE Priority 
</t>
    </r>
    <r>
      <rPr>
        <i/>
        <sz val="8"/>
        <color theme="1"/>
        <rFont val="Arial"/>
      </rPr>
      <t>For Monitoring</t>
    </r>
  </si>
  <si>
    <r>
      <rPr>
        <b/>
        <sz val="10"/>
        <color theme="1"/>
        <rFont val="Arial"/>
      </rPr>
      <t xml:space="preserve">LCE Priority 002: Provincial/Bunker 8888 Hotline
</t>
    </r>
    <r>
      <rPr>
        <i/>
        <sz val="10"/>
        <color theme="1"/>
        <rFont val="Arial"/>
      </rPr>
      <t>Implement a hotline to handle citizen feedback and concerns​</t>
    </r>
  </si>
  <si>
    <r>
      <rPr>
        <b/>
        <sz val="10"/>
        <color theme="1"/>
        <rFont val="Arial"/>
      </rPr>
      <t xml:space="preserve">LCE Priority 023: Rolling Out TNVS Slots
</t>
    </r>
    <r>
      <rPr>
        <i/>
        <sz val="10"/>
        <color theme="1"/>
        <rFont val="Arial"/>
      </rPr>
      <t>Implement 150 additional slots for Transport Network Vehicle Services (TNVS)</t>
    </r>
  </si>
  <si>
    <r>
      <rPr>
        <b/>
        <sz val="10"/>
        <color theme="1"/>
        <rFont val="Arial"/>
      </rPr>
      <t xml:space="preserve">LCE Priority 024: Food Security Program
</t>
    </r>
    <r>
      <rPr>
        <i/>
        <sz val="10"/>
        <color theme="1"/>
        <rFont val="Arial"/>
      </rPr>
      <t>Set production targets to ensure food security across the province​</t>
    </r>
  </si>
  <si>
    <r>
      <rPr>
        <b/>
        <sz val="10"/>
        <color theme="1"/>
        <rFont val="Arial"/>
      </rPr>
      <t xml:space="preserve">LCE Priority 026: *Economic Infrastructure Development
</t>
    </r>
    <r>
      <rPr>
        <i/>
        <sz val="10"/>
        <color theme="1"/>
        <rFont val="Arial"/>
      </rPr>
      <t>Build roads, public transport, and infrastructure to improve connectivity​</t>
    </r>
  </si>
  <si>
    <t>Name of Department: Office of the Secretary to the Sangguniang Panlalawigan</t>
  </si>
  <si>
    <r>
      <rPr>
        <sz val="10"/>
        <color theme="1"/>
        <rFont val="Arial"/>
      </rPr>
      <t xml:space="preserve">Department Head Name: </t>
    </r>
    <r>
      <rPr>
        <b/>
        <sz val="10"/>
        <color theme="1"/>
        <rFont val="Arial"/>
      </rPr>
      <t>Atty. Mark Lorenz C. Quezon</t>
    </r>
  </si>
  <si>
    <t>MFO 1:  Plenary and Committee Affairs Support Services</t>
  </si>
  <si>
    <t>MFO 2:  Records Management and Safekeeping.</t>
  </si>
  <si>
    <t>MFO 3:  Public Information and Dissemination of Approved Ordinances, Resolutions, and SP Activities</t>
  </si>
  <si>
    <r>
      <rPr>
        <b/>
        <sz val="10"/>
        <color theme="1"/>
        <rFont val="Arial"/>
      </rPr>
      <t>Strategic Initiative 1:</t>
    </r>
    <r>
      <rPr>
        <sz val="10"/>
        <color theme="1"/>
        <rFont val="Arial"/>
      </rPr>
      <t xml:space="preserve"> Sunset Review of Provincial Ordinances enacted from (2010-2018)</t>
    </r>
  </si>
  <si>
    <t>100% of enacted ordinances from 2010-2018 with analysis report</t>
  </si>
  <si>
    <r>
      <rPr>
        <b/>
        <sz val="10"/>
        <color theme="1"/>
        <rFont val="Arial"/>
      </rPr>
      <t xml:space="preserve">LCE Priority 
</t>
    </r>
    <r>
      <rPr>
        <i/>
        <sz val="8"/>
        <color theme="1"/>
        <rFont val="Arial"/>
      </rPr>
      <t>For Monitoring</t>
    </r>
  </si>
  <si>
    <r>
      <rPr>
        <b/>
        <sz val="10"/>
        <color theme="1"/>
        <rFont val="Arial"/>
      </rPr>
      <t xml:space="preserve">LCE Priority 020: Uniform Ecological Policy for Bataan
</t>
    </r>
    <r>
      <rPr>
        <i/>
        <sz val="10"/>
        <color theme="1"/>
        <rFont val="Arial"/>
      </rPr>
      <t>Implement a uniform ecological fee covering environmental, tourism, accommodation, and cultural sectors​.​</t>
    </r>
  </si>
  <si>
    <r>
      <rPr>
        <b/>
        <sz val="10"/>
        <color theme="1"/>
        <rFont val="Arial"/>
      </rPr>
      <t xml:space="preserve">LCE Priority 024: Food Security Program
</t>
    </r>
    <r>
      <rPr>
        <i/>
        <sz val="10"/>
        <color theme="1"/>
        <rFont val="Arial"/>
      </rPr>
      <t>Set production targets to ensure food security across the province​</t>
    </r>
  </si>
  <si>
    <r>
      <rPr>
        <b/>
        <sz val="10"/>
        <color theme="1"/>
        <rFont val="Arial"/>
      </rPr>
      <t xml:space="preserve">LCE Priority 046: Create Values Formation Program
</t>
    </r>
    <r>
      <rPr>
        <i/>
        <sz val="10"/>
        <color theme="1"/>
        <rFont val="Arial"/>
      </rPr>
      <t>Integrate values education into basic and higher education curricula​.</t>
    </r>
  </si>
  <si>
    <t>Name of Department: Office of the Members of the Sangguniang Panlalawigan</t>
  </si>
  <si>
    <r>
      <rPr>
        <sz val="10"/>
        <color theme="1"/>
        <rFont val="Arial"/>
      </rPr>
      <t xml:space="preserve">Department Head Name: </t>
    </r>
    <r>
      <rPr>
        <b/>
        <sz val="10"/>
        <color theme="1"/>
        <rFont val="Arial"/>
      </rPr>
      <t>Hon. Ma. Cristina C. Garcia</t>
    </r>
  </si>
  <si>
    <t>MFO 1: Proposal and Approval of Resolutions/Ordinances per sector</t>
  </si>
  <si>
    <t>MFO 2: Generation and maximization of the use of resources and revenues for PGB's development plans, program objectives and priorities</t>
  </si>
  <si>
    <t>FOR DELETION</t>
  </si>
  <si>
    <t>MFO 3: Security Management</t>
  </si>
  <si>
    <t>MFO 4: Document Tracking</t>
  </si>
  <si>
    <r>
      <rPr>
        <b/>
        <sz val="10"/>
        <color theme="1"/>
        <rFont val="Arial"/>
      </rPr>
      <t>Strategic Initiative 1:</t>
    </r>
    <r>
      <rPr>
        <sz val="10"/>
        <color theme="1"/>
        <rFont val="Arial"/>
      </rPr>
      <t xml:space="preserve"> SP Bataan: Values in Action</t>
    </r>
  </si>
  <si>
    <t>Conduct at least 10 Values Formation Talks, engage 150+ participants across key sectors, achieve 80% positive feedback, and institutionalize the program as a regular governance initiative by 2026.</t>
  </si>
  <si>
    <t xml:space="preserve">- Certificate of Affirmation received by IPMR 
- Copy of at least one payroll for CY 2024 
- Minutes of the Meetings for CY 2024 
- NCIP-RO Hold-over resolution, if the case may be </t>
  </si>
  <si>
    <r>
      <rPr>
        <b/>
        <sz val="10"/>
        <color theme="1"/>
        <rFont val="Arial"/>
      </rPr>
      <t xml:space="preserve">LCE Priority 
</t>
    </r>
    <r>
      <rPr>
        <i/>
        <sz val="8"/>
        <color theme="1"/>
        <rFont val="Arial"/>
      </rPr>
      <t>For Monitoring</t>
    </r>
  </si>
  <si>
    <r>
      <rPr>
        <b/>
        <sz val="10"/>
        <color theme="1"/>
        <rFont val="Arial"/>
      </rPr>
      <t xml:space="preserve">LCE Priority 020: Unifrom Ecological Policy for Bataan </t>
    </r>
    <r>
      <rPr>
        <sz val="10"/>
        <color theme="1"/>
        <rFont val="Arial"/>
      </rPr>
      <t>Implement a uniform ecological fee covering environmental, tourism accommodation, and cultural sectors.</t>
    </r>
  </si>
  <si>
    <t xml:space="preserve">% increase in compliance with ecological and tourism fees </t>
  </si>
  <si>
    <r>
      <rPr>
        <b/>
        <sz val="10"/>
        <color theme="1"/>
        <rFont val="Arial"/>
      </rPr>
      <t xml:space="preserve">LCE Priority 024: Food Security Program </t>
    </r>
    <r>
      <rPr>
        <sz val="10"/>
        <color theme="1"/>
        <rFont val="Arial"/>
      </rPr>
      <t>Set production targets to ensure food securiy across the province</t>
    </r>
  </si>
  <si>
    <t>% improvement in food security (through agricultutal production)</t>
  </si>
  <si>
    <r>
      <rPr>
        <b/>
        <sz val="10"/>
        <color theme="1"/>
        <rFont val="Arial"/>
      </rPr>
      <t xml:space="preserve">LCE Priority 046: Create Values Formation Program </t>
    </r>
    <r>
      <rPr>
        <sz val="10"/>
        <color theme="1"/>
        <rFont val="Arial"/>
      </rPr>
      <t>Integrate values education into basic and higher education curricula.</t>
    </r>
  </si>
  <si>
    <t>% integratio of values education in school curricula</t>
  </si>
  <si>
    <t>Name of Department: Office of the Vice Governor</t>
  </si>
  <si>
    <r>
      <rPr>
        <sz val="10"/>
        <color theme="1"/>
        <rFont val="Arial"/>
      </rPr>
      <t xml:space="preserve">Department Head Name: </t>
    </r>
    <r>
      <rPr>
        <b/>
        <sz val="10"/>
        <color theme="1"/>
        <rFont val="Arial"/>
      </rPr>
      <t>Hon. Ma. Cristina C. Garcia</t>
    </r>
  </si>
  <si>
    <t>MFO 2: Monitoring of SP Expenditures</t>
  </si>
  <si>
    <t>MFO 3: Attestation of Adopted Resolutions and Enacted Ordinances</t>
  </si>
  <si>
    <t>MFO 4: Security Management</t>
  </si>
  <si>
    <r>
      <rPr>
        <b/>
        <sz val="10"/>
        <color theme="1"/>
        <rFont val="Arial"/>
      </rPr>
      <t>Strategic Initiative 1:</t>
    </r>
    <r>
      <rPr>
        <sz val="10"/>
        <color theme="1"/>
        <rFont val="Arial"/>
      </rPr>
      <t xml:space="preserve"> Establishment of Partnership for Teletherapy - Free Virtual Therapy for Individuals with Special Needs</t>
    </r>
  </si>
  <si>
    <t>1 Established of Partnership for Teletherapy</t>
  </si>
  <si>
    <r>
      <rPr>
        <b/>
        <sz val="10"/>
        <color theme="1"/>
        <rFont val="Arial"/>
      </rPr>
      <t xml:space="preserve">LCE Priority 
</t>
    </r>
    <r>
      <rPr>
        <i/>
        <sz val="8"/>
        <color theme="1"/>
        <rFont val="Arial"/>
      </rPr>
      <t>For Monitoring</t>
    </r>
  </si>
  <si>
    <t xml:space="preserve">LCE Priority 00: </t>
  </si>
  <si>
    <r>
      <rPr>
        <b/>
        <sz val="10"/>
        <color theme="1"/>
        <rFont val="Arial"/>
      </rPr>
      <t xml:space="preserve">LCE Priority 020: Uniform Ecological Policy for Bataan
</t>
    </r>
    <r>
      <rPr>
        <i/>
        <sz val="10"/>
        <color theme="1"/>
        <rFont val="Arial"/>
      </rPr>
      <t>Implement a uniform ecological fee covering environmental, tourism, accommodation, and cultural sectors​.​</t>
    </r>
  </si>
  <si>
    <r>
      <rPr>
        <b/>
        <sz val="10"/>
        <color theme="1"/>
        <rFont val="Arial"/>
      </rPr>
      <t xml:space="preserve">LCE Priority 024: Food Security Program
</t>
    </r>
    <r>
      <rPr>
        <i/>
        <sz val="10"/>
        <color theme="1"/>
        <rFont val="Arial"/>
      </rPr>
      <t>Set production targets to ensure food security across the province​</t>
    </r>
  </si>
  <si>
    <r>
      <rPr>
        <b/>
        <sz val="10"/>
        <color theme="1"/>
        <rFont val="Arial"/>
      </rPr>
      <t xml:space="preserve">LCE Priority 046: Create Values Formation Program
</t>
    </r>
    <r>
      <rPr>
        <i/>
        <sz val="10"/>
        <color theme="1"/>
        <rFont val="Arial"/>
      </rPr>
      <t>Integrate values education into basic and higher education curricula​.</t>
    </r>
  </si>
  <si>
    <t>Name of Department: Office of the Provincial Accountant</t>
  </si>
  <si>
    <r>
      <rPr>
        <sz val="10"/>
        <color theme="1"/>
        <rFont val="Arial"/>
      </rPr>
      <t xml:space="preserve">Department Head Name: </t>
    </r>
    <r>
      <rPr>
        <b/>
        <sz val="10"/>
        <color theme="1"/>
        <rFont val="Arial"/>
      </rPr>
      <t>Myrna B. Roman</t>
    </r>
  </si>
  <si>
    <t>MFO 1:  Pre-Audit, Processing and Certification of Completeness and Propriety of Supporting Documents
 for the Disbursement Transactions of the Province</t>
  </si>
  <si>
    <t>MFO 2:  RECORDING and SUMMARIZING of ALL ACCOUNTS</t>
  </si>
  <si>
    <t>MFO 3:  Preparation  and Submission of Financial Reports</t>
  </si>
  <si>
    <t>MFO 4: COMPUTATION of PERMANENT EMPLOYEES' PAYROLL and DEDUCTIONS / COMPUTATION of JOB ORDER WORKERS' PAYROLL  and DEDUCTIONS</t>
  </si>
  <si>
    <r>
      <rPr>
        <b/>
        <sz val="10"/>
        <color theme="1"/>
        <rFont val="Arial"/>
      </rPr>
      <t>Strategic Initiative 1:</t>
    </r>
    <r>
      <rPr>
        <sz val="10"/>
        <color theme="1"/>
        <rFont val="Arial"/>
      </rPr>
      <t xml:space="preserve"> Financial Control Enhancement Initiative (FCEI): Strengthening Internal Controls through fully functional FMIS with Local Finance Committee Collaboration</t>
    </r>
  </si>
  <si>
    <t xml:space="preserve">Percentage of financial transactions processed through the FMIS.                                                                                                                </t>
  </si>
  <si>
    <t>Strategic Initiative 1: Financial Control Enhancement Initiative (FCEI): Strengthening Internal Controls through fully functional FMIS with Local Finance Committee Collaboration</t>
  </si>
  <si>
    <r>
      <rPr>
        <b/>
        <sz val="10"/>
        <color theme="1"/>
        <rFont val="Arial"/>
      </rPr>
      <t xml:space="preserve">LCE Priority 
</t>
    </r>
    <r>
      <rPr>
        <i/>
        <sz val="8"/>
        <color theme="1"/>
        <rFont val="Arial"/>
      </rPr>
      <t>For Monitoring</t>
    </r>
  </si>
  <si>
    <t>Name of Department: Office of the Provincial Budget Officer</t>
  </si>
  <si>
    <r>
      <rPr>
        <sz val="10"/>
        <color theme="1"/>
        <rFont val="Arial"/>
      </rPr>
      <t xml:space="preserve">Department Head Name: </t>
    </r>
    <r>
      <rPr>
        <b/>
        <sz val="10"/>
        <color theme="1"/>
        <rFont val="Arial"/>
      </rPr>
      <t>Eduardo Banzon</t>
    </r>
  </si>
  <si>
    <t>MFO 1: PREPARATION OF BUDGET OF THE PROVINCE OF BATAAN</t>
  </si>
  <si>
    <t>MFO 2 : ASSISTANCE IN REVIEWING THE BUDGET OF THE LGUs</t>
  </si>
  <si>
    <t>MFO 3: EXECUTION OF THE APPROVED BUDGET</t>
  </si>
  <si>
    <t>MFO 4: PREPARATION AND SUBMISSION OF BUDGETARY REPORTS</t>
  </si>
  <si>
    <r>
      <rPr>
        <b/>
        <sz val="10"/>
        <color theme="1"/>
        <rFont val="Arial"/>
      </rPr>
      <t>Strategic Initiative 1:</t>
    </r>
    <r>
      <rPr>
        <sz val="10"/>
        <color theme="1"/>
        <rFont val="Arial"/>
      </rPr>
      <t xml:space="preserve"> FINANCIAL MANAGEMENT INTEGRATED SYSTEM (FMIS)</t>
    </r>
  </si>
  <si>
    <t>100% of encoded data of Obligation Request FY 2025 and Annual Budget FY 2026</t>
  </si>
  <si>
    <r>
      <rPr>
        <b/>
        <sz val="10"/>
        <color theme="1"/>
        <rFont val="Arial"/>
      </rPr>
      <t xml:space="preserve">LCE Priority 
</t>
    </r>
    <r>
      <rPr>
        <i/>
        <sz val="8"/>
        <color theme="1"/>
        <rFont val="Arial"/>
      </rPr>
      <t>For Monitoring</t>
    </r>
  </si>
  <si>
    <t>Name of Department: Office of the Provincial Treasurer</t>
  </si>
  <si>
    <r>
      <rPr>
        <sz val="10"/>
        <color theme="1"/>
        <rFont val="Arial"/>
      </rPr>
      <t xml:space="preserve">Department Head Name:  </t>
    </r>
    <r>
      <rPr>
        <b/>
        <sz val="10"/>
        <color theme="1"/>
        <rFont val="Arial"/>
      </rPr>
      <t xml:space="preserve">Maria Rosario R. Carlos </t>
    </r>
  </si>
  <si>
    <t>MFO 1:  Fund Management (Collection and Disbursement)</t>
  </si>
  <si>
    <t>MFO 2:  Taxpayer Database and System Enhancement</t>
  </si>
  <si>
    <t>MFO 3: Supervisory audit of Municipal Treasury and District Hospitals operations, performance and accountabilities</t>
  </si>
  <si>
    <r>
      <rPr>
        <b/>
        <sz val="10"/>
        <color theme="1"/>
        <rFont val="Arial"/>
      </rPr>
      <t>Strategic Initiative 1:</t>
    </r>
    <r>
      <rPr>
        <sz val="10"/>
        <color theme="1"/>
        <rFont val="Arial"/>
      </rPr>
      <t xml:space="preserve"> Integration of RPTCS to TOSS</t>
    </r>
  </si>
  <si>
    <t>100% completion of integration for both system</t>
  </si>
  <si>
    <r>
      <rPr>
        <b/>
        <sz val="10"/>
        <color theme="1"/>
        <rFont val="Arial"/>
      </rPr>
      <t xml:space="preserve">LCE Priority 
</t>
    </r>
    <r>
      <rPr>
        <i/>
        <sz val="8"/>
        <color theme="1"/>
        <rFont val="Arial"/>
      </rPr>
      <t>For Monitoring</t>
    </r>
  </si>
  <si>
    <t>Name of Department: Office of the Provincial Cooperative and Enterprise Development Officer</t>
  </si>
  <si>
    <r>
      <rPr>
        <sz val="10"/>
        <color theme="1"/>
        <rFont val="Arial"/>
      </rPr>
      <t xml:space="preserve">Department Head Name:  </t>
    </r>
    <r>
      <rPr>
        <b/>
        <sz val="10"/>
        <color theme="1"/>
        <rFont val="Arial"/>
      </rPr>
      <t>Ludivina G. Banzon</t>
    </r>
  </si>
  <si>
    <t>MFO 1: Cooperative and MSME Development and Rehabilitation</t>
  </si>
  <si>
    <t>MFO 2. Cooperative and MSME Promotion and Advocacy</t>
  </si>
  <si>
    <t>MFO 3: Monitoring and Evaluation</t>
  </si>
  <si>
    <r>
      <rPr>
        <b/>
        <sz val="10"/>
        <color theme="1"/>
        <rFont val="Arial"/>
      </rPr>
      <t>Strategic Initiative 1:</t>
    </r>
    <r>
      <rPr>
        <sz val="10"/>
        <color theme="1"/>
        <rFont val="Arial"/>
      </rPr>
      <t xml:space="preserve"> Facilitation and Assistance to Application of Transport Network Vehicle Servcies (TNVS) in the Province of Bataan</t>
    </r>
  </si>
  <si>
    <t>50 TNVS applications with 10% being E-vehicles</t>
  </si>
  <si>
    <r>
      <rPr>
        <b/>
        <sz val="10"/>
        <color theme="1"/>
        <rFont val="Arial"/>
      </rPr>
      <t>Strategic Initiative 2:</t>
    </r>
    <r>
      <rPr>
        <sz val="10"/>
        <color theme="1"/>
        <rFont val="Arial"/>
      </rPr>
      <t xml:space="preserve"> Geotagging and Databanking  Lecture and Hands-on Training</t>
    </r>
  </si>
  <si>
    <t>Training of Cooperative Development Officers in the Province</t>
  </si>
  <si>
    <r>
      <rPr>
        <b/>
        <sz val="10"/>
        <color theme="1"/>
        <rFont val="Arial"/>
      </rPr>
      <t xml:space="preserve">LCE Priority 
</t>
    </r>
    <r>
      <rPr>
        <i/>
        <sz val="8"/>
        <color theme="1"/>
        <rFont val="Arial"/>
      </rPr>
      <t>For Monitoring</t>
    </r>
  </si>
  <si>
    <r>
      <rPr>
        <b/>
        <sz val="10"/>
        <color theme="1"/>
        <rFont val="Arial"/>
      </rPr>
      <t xml:space="preserve">LCE Priority 016: Support for SMEs
</t>
    </r>
    <r>
      <rPr>
        <i/>
        <sz val="10"/>
        <color theme="1"/>
        <rFont val="Arial"/>
      </rPr>
      <t xml:space="preserve">Facilitate online business permit applications, provide special lanes for startups​ and monitor the compliance in licensing and building permits. </t>
    </r>
  </si>
  <si>
    <t>c/o BPLOs</t>
  </si>
  <si>
    <r>
      <rPr>
        <b/>
        <sz val="10"/>
        <color theme="1"/>
        <rFont val="Arial"/>
      </rPr>
      <t xml:space="preserve">LCE Priority 019: Tourism Activities and Festivals
</t>
    </r>
    <r>
      <rPr>
        <i/>
        <sz val="10"/>
        <color theme="1"/>
        <rFont val="Arial"/>
      </rPr>
      <t>Organize and promote events such as Bataan Foundation Day, Araw ng Kagitingan, and Pawikan Festival</t>
    </r>
  </si>
  <si>
    <t>1.5M total amount of sales generated from Trade Fairs
180 total of MSMEs participated into Trade Fairs</t>
  </si>
  <si>
    <r>
      <rPr>
        <b/>
        <sz val="10"/>
        <color theme="1"/>
        <rFont val="Arial"/>
      </rPr>
      <t xml:space="preserve">LCE Priority 022: Transitioning Transport Groups to Electric Vehicles
</t>
    </r>
    <r>
      <rPr>
        <i/>
        <sz val="10"/>
        <color theme="1"/>
        <rFont val="Arial"/>
      </rPr>
      <t>Support the transition to electric vehicles in the transport sector​</t>
    </r>
  </si>
  <si>
    <r>
      <rPr>
        <b/>
        <sz val="10"/>
        <color theme="1"/>
        <rFont val="Arial"/>
      </rPr>
      <t xml:space="preserve">LCE Priority 023: Rolling Out TNVS Slots
</t>
    </r>
    <r>
      <rPr>
        <i/>
        <sz val="10"/>
        <color theme="1"/>
        <rFont val="Arial"/>
      </rPr>
      <t>Implement 150 additional slots for Transport Network Vehicle Services (TNVS)</t>
    </r>
  </si>
  <si>
    <r>
      <rPr>
        <sz val="10"/>
        <color theme="1"/>
        <rFont val="Arial"/>
      </rPr>
      <t xml:space="preserve">50 TNVS applications with 10% being E-vehicles
</t>
    </r>
    <r>
      <rPr>
        <i/>
        <sz val="10"/>
        <color rgb="FF980000"/>
        <rFont val="Arial"/>
      </rPr>
      <t>(already part of our SI)</t>
    </r>
  </si>
  <si>
    <r>
      <rPr>
        <b/>
        <sz val="10"/>
        <color theme="1"/>
        <rFont val="Arial"/>
      </rPr>
      <t xml:space="preserve">LCE Priority 025: *Job Creation Programs
</t>
    </r>
    <r>
      <rPr>
        <i/>
        <sz val="10"/>
        <color theme="1"/>
        <rFont val="Arial"/>
      </rPr>
      <t>Promote industries, tourism, and entrepreneurship to boost employment​</t>
    </r>
  </si>
  <si>
    <t>c/o PESO</t>
  </si>
  <si>
    <t>Name of Department: Office of the Provincial Public Employment and Service Manager</t>
  </si>
  <si>
    <r>
      <rPr>
        <sz val="10"/>
        <color theme="1"/>
        <rFont val="Arial"/>
      </rPr>
      <t xml:space="preserve">Department Head Name:  </t>
    </r>
    <r>
      <rPr>
        <b/>
        <sz val="10"/>
        <color theme="1"/>
        <rFont val="Arial"/>
      </rPr>
      <t xml:space="preserve">Maria Eva M. Basalo </t>
    </r>
  </si>
  <si>
    <t>Proposed Revision</t>
  </si>
  <si>
    <t>MFO 1:  Employment Facilitation Services</t>
  </si>
  <si>
    <r>
      <rPr>
        <b/>
        <sz val="10"/>
        <color theme="1"/>
        <rFont val="Arial"/>
      </rPr>
      <t xml:space="preserve">LCE Priority 025: *Job Creation Programs
</t>
    </r>
    <r>
      <rPr>
        <i/>
        <sz val="10"/>
        <color theme="1"/>
        <rFont val="Arial"/>
      </rPr>
      <t>Promote industries, tourism, and entrepreneurship to boost employment​</t>
    </r>
  </si>
  <si>
    <t>Conduct a survey among active industries, tourism enterprises, and establishments and strengthen engagement and ensure efficient referral and placement of job applicants</t>
  </si>
  <si>
    <t>% increase in partnerships or engagements with industries and the tourism sector
% increase in livelihood grants facilitated through collaboration with national agencies (e.g., DOLE, DTI, etc.)</t>
  </si>
  <si>
    <t xml:space="preserve">Percentage </t>
  </si>
  <si>
    <t>5-10%</t>
  </si>
  <si>
    <r>
      <rPr>
        <b/>
        <sz val="10"/>
        <color theme="1"/>
        <rFont val="Arial"/>
      </rPr>
      <t xml:space="preserve">LCE Priority 050: Job Placements
</t>
    </r>
    <r>
      <rPr>
        <i/>
        <sz val="10"/>
        <color theme="1"/>
        <rFont val="Arial"/>
      </rPr>
      <t>Organize job fairs and provide online job placement systems for students and graduates​.</t>
    </r>
  </si>
  <si>
    <t>Prepare a proposal for the development of an online job portal aligned with PESO reportorial requirements, in collaboration with PITO as the lead agency for system development, including recommendations for the integration of employment data into the Bataan Pass.</t>
  </si>
  <si>
    <t>MFO 2:  Employment Guidance and Counselling</t>
  </si>
  <si>
    <r>
      <rPr>
        <b/>
        <sz val="10"/>
        <color theme="1"/>
        <rFont val="Arial"/>
      </rPr>
      <t xml:space="preserve">LCE Priority 044: Dual Training Center
</t>
    </r>
    <r>
      <rPr>
        <i/>
        <sz val="10"/>
        <color theme="1"/>
        <rFont val="Arial"/>
      </rPr>
      <t>Offer hands-on training in collaboration with senior high schools, AFAB, and HEIP​.</t>
    </r>
  </si>
  <si>
    <t>Prepare a concept paper and conduct data gathering on existing locators within AFAB/HEIP to analyze and recommend the alignment of Senior High School (SHS) strands with industry demands to support relevant work immersion opportunities and workforce readiness.</t>
  </si>
  <si>
    <t>% increase in Senior High School (SHS) student referrals to industries within AFAB for work immersion</t>
  </si>
  <si>
    <r>
      <rPr>
        <b/>
        <sz val="10"/>
        <color theme="1"/>
        <rFont val="Arial"/>
      </rPr>
      <t xml:space="preserve">LCE Priority 047: Out-of-School Youth Programs
</t>
    </r>
    <r>
      <rPr>
        <i/>
        <sz val="10"/>
        <color theme="1"/>
        <rFont val="Arial"/>
      </rPr>
      <t>Provide skills development and employment pathways for out-of-school youth, including upgrading skills​.</t>
    </r>
  </si>
  <si>
    <t>Recommend appropriate programs and services for Out-of-School Youth (OSY) in collaboration with PSWDO for OSY data and DepEd for dropout data, and conduct a Training Needs Analysis (TNA) to serve as basis for targeted referrals and skills training interventions</t>
  </si>
  <si>
    <t>% increase in tagged Out-of-School Youth (OSY) enrolled in skills development programs and referred for employment</t>
  </si>
  <si>
    <r>
      <rPr>
        <b/>
        <sz val="10"/>
        <color theme="1"/>
        <rFont val="Arial"/>
      </rPr>
      <t xml:space="preserve">LCE Priority 052: *Lifelong Learning Programs
</t>
    </r>
    <r>
      <rPr>
        <i/>
        <sz val="10"/>
        <color theme="1"/>
        <rFont val="Arial"/>
      </rPr>
      <t>Implement adult literacy and continuing education programs, focusing on out-of-school youth​</t>
    </r>
  </si>
  <si>
    <t>Number of LGUs reached through the Bisita sa Bayan initiative for the conduct of Pre-Employment Orientation Seminars (PEOS) in collaboration with BYDO.</t>
  </si>
  <si>
    <t>% increase in adult literacy and continuing education programs conducted for Out-of-School Youth (OSY)</t>
  </si>
  <si>
    <t>MFO 3:  Welfare Promotion and Protection of OFWs and Disadvantaged Workers</t>
  </si>
  <si>
    <t>MFO 4: Employment Planning and Programming</t>
  </si>
  <si>
    <r>
      <rPr>
        <b/>
        <sz val="10"/>
        <color theme="1"/>
        <rFont val="Arial"/>
      </rPr>
      <t>Strategic Initiative 1:</t>
    </r>
    <r>
      <rPr>
        <sz val="10"/>
        <color theme="1"/>
        <rFont val="Arial"/>
      </rPr>
      <t xml:space="preserve"> Train and Explore para sa Trabaho (TET)</t>
    </r>
  </si>
  <si>
    <t>1 Pilot Training Conducted</t>
  </si>
  <si>
    <t xml:space="preserve">- Copy of Ordinance creating PESO 
- Appointment/Designation of PESO Manager </t>
  </si>
  <si>
    <t>- Certification from TESDA that the LGU has 
conducted community-based technical education and skills development training 
- CDP, LDIP, AIP, or Annual Budget 
- Post-activity reports</t>
  </si>
  <si>
    <r>
      <rPr>
        <b/>
        <sz val="10"/>
        <color theme="1"/>
        <rFont val="Arial"/>
      </rPr>
      <t xml:space="preserve">LCE Priority 
</t>
    </r>
    <r>
      <rPr>
        <i/>
        <sz val="8"/>
        <color theme="1"/>
        <rFont val="Arial"/>
      </rPr>
      <t>For Monitoring</t>
    </r>
  </si>
  <si>
    <r>
      <rPr>
        <b/>
        <sz val="10"/>
        <color theme="1"/>
        <rFont val="Arial"/>
      </rPr>
      <t xml:space="preserve">LCE Priority 025: *Job Creation Programs
</t>
    </r>
    <r>
      <rPr>
        <i/>
        <sz val="10"/>
        <color theme="1"/>
        <rFont val="Arial"/>
      </rPr>
      <t>Promote industries, tourism, and entrepreneurship to boost employment​</t>
    </r>
  </si>
  <si>
    <r>
      <rPr>
        <b/>
        <sz val="10"/>
        <color theme="1"/>
        <rFont val="Arial"/>
      </rPr>
      <t xml:space="preserve">LCE Priority 044: Dual Training Center
</t>
    </r>
    <r>
      <rPr>
        <i/>
        <sz val="10"/>
        <color theme="1"/>
        <rFont val="Arial"/>
      </rPr>
      <t>Offer hands-on training in collaboration with senior high schools, AFAB, and PEZA​.</t>
    </r>
  </si>
  <si>
    <r>
      <rPr>
        <b/>
        <sz val="10"/>
        <color theme="1"/>
        <rFont val="Arial"/>
      </rPr>
      <t xml:space="preserve">LCE Priority 047: Out-of-School Youth Programs
</t>
    </r>
    <r>
      <rPr>
        <i/>
        <sz val="10"/>
        <color theme="1"/>
        <rFont val="Arial"/>
      </rPr>
      <t>Provide skills development and employment pathways for out-of-school youth, including upgrading skills​.</t>
    </r>
  </si>
  <si>
    <r>
      <rPr>
        <b/>
        <sz val="10"/>
        <color theme="1"/>
        <rFont val="Arial"/>
      </rPr>
      <t xml:space="preserve">LCE Priority 052: *Lifelong Learning Programs
</t>
    </r>
    <r>
      <rPr>
        <i/>
        <sz val="10"/>
        <color theme="1"/>
        <rFont val="Arial"/>
      </rPr>
      <t>Implement adult literacy and continuing education programs, focusing on out-of-school youth​</t>
    </r>
  </si>
  <si>
    <r>
      <rPr>
        <b/>
        <sz val="10"/>
        <color theme="1"/>
        <rFont val="Arial"/>
      </rPr>
      <t xml:space="preserve">LCE Priority 050: Job Placements
</t>
    </r>
    <r>
      <rPr>
        <i/>
        <sz val="10"/>
        <color theme="1"/>
        <rFont val="Arial"/>
      </rPr>
      <t>Organize job fairs and provide online job placement systems for students and graduates​.</t>
    </r>
  </si>
  <si>
    <t>Name of Department: Office of the Provincial Assessor</t>
  </si>
  <si>
    <r>
      <rPr>
        <sz val="10"/>
        <color theme="1"/>
        <rFont val="Arial"/>
      </rPr>
      <t xml:space="preserve">Department Head Name:  </t>
    </r>
    <r>
      <rPr>
        <b/>
        <sz val="10"/>
        <color theme="1"/>
        <rFont val="Arial"/>
      </rPr>
      <t>Engr. Ricardo C. Herrera</t>
    </r>
  </si>
  <si>
    <t>MFO 1: Assessment and Appraisal</t>
  </si>
  <si>
    <t>MFO 2:  Tax Mapping Operations</t>
  </si>
  <si>
    <t>MFO 3: Records and Information System Management</t>
  </si>
  <si>
    <r>
      <rPr>
        <b/>
        <sz val="10"/>
        <color theme="1"/>
        <rFont val="Arial"/>
      </rPr>
      <t>Strategic Initiative 1:</t>
    </r>
    <r>
      <rPr>
        <sz val="10"/>
        <color theme="1"/>
        <rFont val="Arial"/>
      </rPr>
      <t xml:space="preserve"> Implementation of the Calendar of Activities for the Real Property Valuation and Assessment Reform Act (RA 12001)</t>
    </r>
  </si>
  <si>
    <t>Percentage of activities completed as scheduled in the Calendar of Activities for RA 12001 implementation.</t>
  </si>
  <si>
    <r>
      <rPr>
        <b/>
        <sz val="10"/>
        <color theme="1"/>
        <rFont val="Arial"/>
      </rPr>
      <t xml:space="preserve">LCE Priority 
</t>
    </r>
    <r>
      <rPr>
        <i/>
        <sz val="8"/>
        <color theme="1"/>
        <rFont val="Arial"/>
      </rPr>
      <t>For Monitoring</t>
    </r>
  </si>
  <si>
    <r>
      <rPr>
        <b/>
        <sz val="10"/>
        <color theme="1"/>
        <rFont val="Arial"/>
      </rPr>
      <t xml:space="preserve">LCE Priority 014: Revenue-Generating Measures
</t>
    </r>
    <r>
      <rPr>
        <i/>
        <sz val="10"/>
        <color theme="1"/>
        <rFont val="Arial"/>
      </rPr>
      <t xml:space="preserve">Implement revenue measures such as carbon tax, truck fees, quarry permit enforcement, and improve tax collection efficiency​. Also, tapping external sources and disposal of assets. </t>
    </r>
  </si>
  <si>
    <t>***Revenue Generation is already part of our strategic initiative***</t>
  </si>
  <si>
    <t>Name of Department: Office of the Provincial General Services Officer</t>
  </si>
  <si>
    <t>Department Head Name:  Joseph Andrew J. Jalober</t>
  </si>
  <si>
    <t>MFO 1: PROPERTIES AND SUPPLIES MANAGEMENT</t>
  </si>
  <si>
    <t>turned around time per request (average number of days)</t>
  </si>
  <si>
    <t xml:space="preserve">Average time </t>
  </si>
  <si>
    <t>50% of PGB assets properly accounted (2020-2024)</t>
  </si>
  <si>
    <t>MFO 2: RECORD MANAGEMENT AND ARCHIVING</t>
  </si>
  <si>
    <t>15% of land titles owned by PGB digitalized (traceback)</t>
  </si>
  <si>
    <t>100% of legal document for 2025 digitalized</t>
  </si>
  <si>
    <t xml:space="preserve">MFO 3: GENERAL SERVICES </t>
  </si>
  <si>
    <t>100% of requests are acted upon</t>
  </si>
  <si>
    <t>90% of scheduled maintenance complied</t>
  </si>
  <si>
    <t>Reactive vs. Preventive Maintenance ratio</t>
  </si>
  <si>
    <t>ratio</t>
  </si>
  <si>
    <t>MFO 4: LEASE/RENTAL SERVICES</t>
  </si>
  <si>
    <t>percentage of satisfied clients</t>
  </si>
  <si>
    <t>Percentage of Lease Contracts implemented and monitored</t>
  </si>
  <si>
    <t>MFO 5: AUTOMOTIVE AND LAND TRANSPORT SERVICES</t>
  </si>
  <si>
    <t>Preventive Maintenance Compliance rate 
(% of vehicles regularly maintained)</t>
  </si>
  <si>
    <t>Vehicle Downtime (No. of hours/days vehicles are under repair/ unavailable)</t>
  </si>
  <si>
    <t>average number of days</t>
  </si>
  <si>
    <t>Fuel Efficiency per vehicle (Average km per liter per vehicle)</t>
  </si>
  <si>
    <t>number</t>
  </si>
  <si>
    <t>Vehicle Availability Rate (No. of available vehicles over total fleet)</t>
  </si>
  <si>
    <r>
      <rPr>
        <b/>
        <sz val="10"/>
        <color theme="1"/>
        <rFont val="Arial"/>
      </rPr>
      <t xml:space="preserve">Strategic Initiative 1: </t>
    </r>
    <r>
      <rPr>
        <sz val="10"/>
        <color theme="1"/>
        <rFont val="Arial"/>
      </rPr>
      <t>PPE Inventory Management System</t>
    </r>
  </si>
  <si>
    <t>1 PPE asset management within the PGB</t>
  </si>
  <si>
    <r>
      <rPr>
        <b/>
        <sz val="10"/>
        <color theme="1"/>
        <rFont val="Arial"/>
      </rPr>
      <t xml:space="preserve">Strategic Initiative 2: </t>
    </r>
    <r>
      <rPr>
        <sz val="10"/>
        <color theme="1"/>
        <rFont val="Arial"/>
      </rPr>
      <t>FMIS</t>
    </r>
  </si>
  <si>
    <t>% of Purchase Request encoded on system</t>
  </si>
  <si>
    <r>
      <rPr>
        <b/>
        <sz val="10"/>
        <color theme="1"/>
        <rFont val="Arial"/>
      </rPr>
      <t xml:space="preserve">Strategic Initiative 3: </t>
    </r>
    <r>
      <rPr>
        <sz val="10"/>
        <color theme="1"/>
        <rFont val="Arial"/>
      </rPr>
      <t>Workplace Greening</t>
    </r>
  </si>
  <si>
    <t>4 green spaces</t>
  </si>
  <si>
    <r>
      <rPr>
        <b/>
        <sz val="10"/>
        <color theme="1"/>
        <rFont val="Arial"/>
      </rPr>
      <t xml:space="preserve">LCE Priority 
</t>
    </r>
    <r>
      <rPr>
        <i/>
        <sz val="8"/>
        <color theme="1"/>
        <rFont val="Arial"/>
      </rPr>
      <t>For Monitoring</t>
    </r>
  </si>
  <si>
    <r>
      <rPr>
        <b/>
        <sz val="10"/>
        <color theme="1"/>
        <rFont val="Arial"/>
      </rPr>
      <t xml:space="preserve">LCE Priority 014: Revenue-Generating Measures
</t>
    </r>
    <r>
      <rPr>
        <i/>
        <sz val="10"/>
        <color theme="1"/>
        <rFont val="Arial"/>
      </rPr>
      <t xml:space="preserve">Implement revenue measures such as carbon tax, truck fees, quarry permit enforcement, and improve tax collection efficiency​. Also, tapping external sources and disposal of assets. </t>
    </r>
  </si>
  <si>
    <t>Name of Department: Office of the Provincial Information Technology Officer</t>
  </si>
  <si>
    <t>Department Head Name:  Eduardo D. Banzon</t>
  </si>
  <si>
    <t>MFO 1: Implementation &amp; Maintenance of Information Systems</t>
  </si>
  <si>
    <t>MFO 2: IT &amp; Multimedia Support</t>
  </si>
  <si>
    <t>MFO 3: Website Maintenance</t>
  </si>
  <si>
    <r>
      <rPr>
        <b/>
        <sz val="10"/>
        <color theme="1"/>
        <rFont val="Arial"/>
      </rPr>
      <t>Strategic Initiative 1:</t>
    </r>
    <r>
      <rPr>
        <sz val="10"/>
        <color theme="1"/>
        <rFont val="Arial"/>
      </rPr>
      <t xml:space="preserve"> GB ICT Literacy Assessment and Training Program</t>
    </r>
  </si>
  <si>
    <t>2 ICT trainings (1 per semester)</t>
  </si>
  <si>
    <r>
      <rPr>
        <b/>
        <sz val="10"/>
        <color theme="1"/>
        <rFont val="Arial"/>
      </rPr>
      <t xml:space="preserve">Strategic Initiative 2: </t>
    </r>
    <r>
      <rPr>
        <sz val="10"/>
        <color theme="1"/>
        <rFont val="Arial"/>
      </rPr>
      <t>Localized Data Management System</t>
    </r>
  </si>
  <si>
    <t>1 functional localized Data Management System</t>
  </si>
  <si>
    <r>
      <rPr>
        <b/>
        <sz val="10"/>
        <color theme="1"/>
        <rFont val="Arial"/>
      </rPr>
      <t>Strategic Initiative 3</t>
    </r>
    <r>
      <rPr>
        <sz val="10"/>
        <color theme="1"/>
        <rFont val="Arial"/>
      </rPr>
      <t>: Bataeño Pass Phase 1 Implementation</t>
    </r>
  </si>
  <si>
    <t>Development and deployment of the Bataeño Pass system</t>
  </si>
  <si>
    <r>
      <rPr>
        <b/>
        <sz val="10"/>
        <color theme="1"/>
        <rFont val="Arial"/>
      </rPr>
      <t>Strategic Initiative 4:</t>
    </r>
    <r>
      <rPr>
        <sz val="10"/>
        <color theme="1"/>
        <rFont val="Arial"/>
      </rPr>
      <t xml:space="preserve"> PPE Inventory System   </t>
    </r>
  </si>
  <si>
    <t xml:space="preserve">Development and deployment of the PPE Inventory Management System                                                                                                                </t>
  </si>
  <si>
    <r>
      <rPr>
        <b/>
        <sz val="10"/>
        <color theme="1"/>
        <rFont val="Arial"/>
      </rPr>
      <t>Strategic Initiative 5</t>
    </r>
    <r>
      <rPr>
        <sz val="10"/>
        <color theme="1"/>
        <rFont val="Arial"/>
      </rPr>
      <t>: 1BATAAN REAdi (Resiliency and Emergency Alertness Disaster Information) Web Application</t>
    </r>
  </si>
  <si>
    <t>70% System development completion</t>
  </si>
  <si>
    <r>
      <rPr>
        <b/>
        <sz val="10"/>
        <color theme="1"/>
        <rFont val="Arial"/>
      </rPr>
      <t xml:space="preserve">Strategic Initiative 6: </t>
    </r>
    <r>
      <rPr>
        <sz val="10"/>
        <color theme="1"/>
        <rFont val="Arial"/>
      </rPr>
      <t>1Bataan Bagong Pilipinas Integrated Action Center (1BBPIAC)</t>
    </r>
  </si>
  <si>
    <t>Development and deployment of the 1BBPIAC system</t>
  </si>
  <si>
    <r>
      <rPr>
        <b/>
        <sz val="10"/>
        <color theme="1"/>
        <rFont val="Arial"/>
      </rPr>
      <t xml:space="preserve">LCE Priority 
</t>
    </r>
    <r>
      <rPr>
        <i/>
        <sz val="8"/>
        <color theme="1"/>
        <rFont val="Arial"/>
      </rPr>
      <t>For Monitoring</t>
    </r>
  </si>
  <si>
    <r>
      <rPr>
        <b/>
        <sz val="10"/>
        <color theme="1"/>
        <rFont val="Arial"/>
      </rPr>
      <t xml:space="preserve">LCE Priority 005: PGB Systems
</t>
    </r>
    <r>
      <rPr>
        <i/>
        <sz val="10"/>
        <color theme="1"/>
        <rFont val="Arial"/>
      </rPr>
      <t xml:space="preserve">Implement systems such as eSig, Human Resources Information System (HRIS), Financial Management Information System (FMIS), and procurement system to enhance digital governance​ </t>
    </r>
  </si>
  <si>
    <r>
      <rPr>
        <b/>
        <sz val="10"/>
        <color theme="1"/>
        <rFont val="Arial"/>
      </rPr>
      <t xml:space="preserve">LCE Priority 010: Barangay Master Development Plan
</t>
    </r>
    <r>
      <rPr>
        <i/>
        <sz val="10"/>
        <color theme="1"/>
        <rFont val="Arial"/>
      </rPr>
      <t>Roll out the Barangay Management Information System (BMIS) for improved governance at the barangay level​</t>
    </r>
  </si>
  <si>
    <r>
      <rPr>
        <b/>
        <sz val="10"/>
        <color theme="1"/>
        <rFont val="Arial"/>
      </rPr>
      <t xml:space="preserve">LCE Priority 028: Increase number of BHWs
</t>
    </r>
    <r>
      <rPr>
        <i/>
        <sz val="10"/>
        <color theme="1"/>
        <rFont val="Arial"/>
      </rPr>
      <t>Achieve a 1:50 ratio through training and roll out of a health app​.</t>
    </r>
  </si>
  <si>
    <r>
      <rPr>
        <b/>
        <sz val="10"/>
        <color theme="1"/>
        <rFont val="Arial"/>
      </rPr>
      <t xml:space="preserve">LCE Priority 045: Teacher Needs Assessment and LMS Utilization
</t>
    </r>
    <r>
      <rPr>
        <i/>
        <sz val="10"/>
        <color theme="1"/>
        <rFont val="Arial"/>
      </rPr>
      <t>Assess teacher needs, build capacity, and promote full use of LMS and Achieve 3000 SRA​.</t>
    </r>
  </si>
  <si>
    <t>Name of Department: Office of the Provincial Governor</t>
  </si>
  <si>
    <t>Department Head Name:  Jeffrey T. Calma</t>
  </si>
  <si>
    <t>MFO 1: Monitoring and Evaluation of; and Facilitation Work on Executive Priorities</t>
  </si>
  <si>
    <t>MFO 2: Provision of Socio - Civic Assistance</t>
  </si>
  <si>
    <t>MFO 4: Procurement Services</t>
  </si>
  <si>
    <t>MFO 5: Agricultural and Biosystems Engineering Services</t>
  </si>
  <si>
    <t>MFO 6: Internal Audit Services</t>
  </si>
  <si>
    <r>
      <rPr>
        <b/>
        <sz val="10"/>
        <color theme="1"/>
        <rFont val="Arial"/>
      </rPr>
      <t xml:space="preserve">Strategic Initiative 1: </t>
    </r>
    <r>
      <rPr>
        <sz val="10"/>
        <color theme="1"/>
        <rFont val="Arial"/>
      </rPr>
      <t>Bataan Healthy School Settings - Healthy Lunch Activities</t>
    </r>
  </si>
  <si>
    <t>168 ELEMENTARY SCHOOLS (Grade 1 &amp; 2 - 27,636 Beneficiaries)</t>
  </si>
  <si>
    <r>
      <rPr>
        <b/>
        <sz val="10"/>
        <color theme="1"/>
        <rFont val="Arial"/>
      </rPr>
      <t xml:space="preserve">Strategic Initiative 2: </t>
    </r>
    <r>
      <rPr>
        <sz val="10"/>
        <color theme="1"/>
        <rFont val="Arial"/>
      </rPr>
      <t>Iskolar ng Bataan Foundation - Fund Raising Project</t>
    </r>
  </si>
  <si>
    <t>1M</t>
  </si>
  <si>
    <r>
      <rPr>
        <b/>
        <sz val="10"/>
        <color theme="1"/>
        <rFont val="Arial"/>
      </rPr>
      <t xml:space="preserve">Strategic Initiative 3: </t>
    </r>
    <r>
      <rPr>
        <sz val="10"/>
        <color theme="1"/>
        <rFont val="Arial"/>
      </rPr>
      <t>Bataan Return Service</t>
    </r>
  </si>
  <si>
    <t>70% completion</t>
  </si>
  <si>
    <r>
      <rPr>
        <b/>
        <sz val="10"/>
        <color theme="1"/>
        <rFont val="Arial"/>
      </rPr>
      <t>Strategic Initiative 4:</t>
    </r>
    <r>
      <rPr>
        <sz val="10"/>
        <color theme="1"/>
        <rFont val="Arial"/>
      </rPr>
      <t>Monitoring And Assistance In Registration Of Ownership Of Agricultural And Fisheries Machines And Equipment System (RAFMES) In Bataan</t>
    </r>
  </si>
  <si>
    <t>80% Of Total Targetted Agricultural And Fishery Machinery And Equipment Registered To RAFMES</t>
  </si>
  <si>
    <r>
      <rPr>
        <b/>
        <sz val="10"/>
        <color theme="1"/>
        <rFont val="Arial"/>
      </rPr>
      <t xml:space="preserve">Strategic Initiative 5: </t>
    </r>
    <r>
      <rPr>
        <sz val="10"/>
        <color theme="1"/>
        <rFont val="Arial"/>
      </rPr>
      <t>Train and Explore para sa Trabaho (TET) - proposed project name in lieu of the 1Bataan Skills and Employment Program (SEP)</t>
    </r>
  </si>
  <si>
    <t>- Executive Order or Resolution creating the LDC (with names of member-CSOs and official representatives) 
- LDC Minutes of the Meetings for CY 202_
- Executive Order creating LDC Executive Committee 
- Executive Order creating/organizing the Local Project Monitoring Committee 
For Socio-economic plans and policies: 
- Sanggunian resolution approving CDP 
- Sanggunian resolution approving LDIP 
- Sanggunian resolution approving AIP</t>
  </si>
  <si>
    <t xml:space="preserve">- List of organized and accredited CSOs 
CSO Plan of Action, if any 
- Documentation of workshops on project prioritization conducted in CY 2023, if any 
- Post-activity report, if any 
- Project monitoring report, if any </t>
  </si>
  <si>
    <t>- Copy of Executive Order or similar issuance creating the SWM Board 
- Minutes of the meeting in CY 202_
- Certification from LG-ENRO and BPLO if there is no recycling industry and manufacturing or packaging industry</t>
  </si>
  <si>
    <t xml:space="preserve">- Copy of NSWMC Resolution approving the LGU’s SWM Plan 
- Approved SWM Plan 
- Certified Form 2M (Local ENRO) 
In case the plan is still under review of NSWMC:  
- Receiving copy of LGU’s letter submitting its Plan for 
NSWMC’s review </t>
  </si>
  <si>
    <t xml:space="preserve">- Ordinance establishing wetland/s or water body as conservation area or with protection purposes 
- Ecological Profile 
- Relevant comprehensive and thematic plans and investment programs that should be approved/ adopted by the LGU (e.g., PDPFP, CLUP, CDP, FLUP, LCCAP, LDIP, AIP) 
- Sanggunian-adopted Management plan for an inland wetland or waterbody 
- Accomplishment report on the program or project conducted on biodiversity conservation and enhancement or water quality management  
- Wetland information sheet (technical assistance from DENR regional offices) </t>
  </si>
  <si>
    <t xml:space="preserve">- Water Quality Monitoring Results 
- EO or other issuance creating the Water Quality Monitoring Unit 
- Copy of AIP 
- Copy of LDIP 
- Accomplishment Report on the program/project activity conducted on water quality management and monitoring 
- Request for DENR EMB’s technical assistance on water quality monitoring  
- WQMA Accomplishment Report (for LGU WQMA Members) 
- Compliance scheme or localized Water Quality Management Area Action Plan (for LGU WQMA Members) 
- WQMA Governing Board Resolution (for LGU WQMA Members) </t>
  </si>
  <si>
    <t xml:space="preserve">- Site profile and assessment of public parks and green spaces 
- Ordinance supporting the establishment and maintenance of a public park/green open space 
- Accomplishment Report of Program or project conducted for public parks and green spaces </t>
  </si>
  <si>
    <r>
      <rPr>
        <b/>
        <sz val="10"/>
        <color theme="1"/>
        <rFont val="Arial"/>
      </rPr>
      <t xml:space="preserve">LCE Priority 
</t>
    </r>
    <r>
      <rPr>
        <i/>
        <sz val="8"/>
        <color theme="1"/>
        <rFont val="Arial"/>
      </rPr>
      <t>For Monitoring</t>
    </r>
  </si>
  <si>
    <r>
      <rPr>
        <b/>
        <sz val="10"/>
        <color theme="1"/>
        <rFont val="Arial"/>
      </rPr>
      <t xml:space="preserve">LCE Priority 006: Bataeño Pass Implementation
</t>
    </r>
    <r>
      <rPr>
        <i/>
        <sz val="10"/>
        <color theme="1"/>
        <rFont val="Arial"/>
      </rPr>
      <t>Implement a unified digital pass system for better public service delivery​</t>
    </r>
  </si>
  <si>
    <r>
      <rPr>
        <b/>
        <sz val="10"/>
        <color theme="1"/>
        <rFont val="Arial"/>
      </rPr>
      <t xml:space="preserve">LCE Priority 007: Performance Governance System (PGS)
</t>
    </r>
    <r>
      <rPr>
        <i/>
        <sz val="10"/>
        <color theme="1"/>
        <rFont val="Arial"/>
      </rPr>
      <t>Enroll all LGUs in the system and establish performance-based incentives to improve governance and accountability​</t>
    </r>
  </si>
  <si>
    <r>
      <rPr>
        <b/>
        <sz val="10"/>
        <color theme="1"/>
        <rFont val="Arial"/>
      </rPr>
      <t xml:space="preserve">LCE Priority 010: Barangay Master Development Plan
</t>
    </r>
    <r>
      <rPr>
        <i/>
        <sz val="10"/>
        <color theme="1"/>
        <rFont val="Arial"/>
      </rPr>
      <t>Roll out the Barangay Management Information System (BMIS) for improved governance at the barangay level​</t>
    </r>
  </si>
  <si>
    <r>
      <rPr>
        <b/>
        <sz val="10"/>
        <color theme="1"/>
        <rFont val="Arial"/>
      </rPr>
      <t xml:space="preserve">LCE Priority 015: Establishment of Innovation Hubs
</t>
    </r>
    <r>
      <rPr>
        <i/>
        <sz val="10"/>
        <color theme="1"/>
        <rFont val="Arial"/>
      </rPr>
      <t>Create barangay learning hubs to foster innovation and skills development​</t>
    </r>
  </si>
  <si>
    <r>
      <rPr>
        <b/>
        <sz val="10"/>
        <color theme="1"/>
        <rFont val="Arial"/>
      </rPr>
      <t xml:space="preserve">LCE Priority 018: Defense Industry Development
</t>
    </r>
    <r>
      <rPr>
        <i/>
        <sz val="10"/>
        <color theme="1"/>
        <rFont val="Arial"/>
      </rPr>
      <t>Coordinate with SPEDZA to develop defense-related industries​</t>
    </r>
  </si>
  <si>
    <r>
      <rPr>
        <b/>
        <sz val="10"/>
        <color theme="1"/>
        <rFont val="Arial"/>
      </rPr>
      <t xml:space="preserve">LCE Priority 027: *Green Mobility and Renewable Energy
</t>
    </r>
    <r>
      <rPr>
        <i/>
        <sz val="10"/>
        <color theme="1"/>
        <rFont val="Arial"/>
      </rPr>
      <t>Invest in green mobility and renewable energy projects​ with End-of-Life Management</t>
    </r>
  </si>
  <si>
    <r>
      <rPr>
        <b/>
        <sz val="10"/>
        <color theme="1"/>
        <rFont val="Arial"/>
      </rPr>
      <t xml:space="preserve">LCE Priority 029: Institutionalize Hataw Takbo Bataan
</t>
    </r>
    <r>
      <rPr>
        <i/>
        <sz val="10"/>
        <color theme="1"/>
        <rFont val="Arial"/>
      </rPr>
      <t>Involve running clubs and barangays in regular community-based fun runs​.</t>
    </r>
  </si>
  <si>
    <r>
      <rPr>
        <b/>
        <sz val="10"/>
        <color theme="1"/>
        <rFont val="Arial"/>
      </rPr>
      <t xml:space="preserve">LCE Priority 030: Bataan Healthy School Settings (BHSS)
</t>
    </r>
    <r>
      <rPr>
        <i/>
        <sz val="10"/>
        <color theme="1"/>
        <rFont val="Arial"/>
      </rPr>
      <t>Improve school health programs, including lunch, physical activity, mental health, and anti-vices campaigns​.</t>
    </r>
  </si>
  <si>
    <r>
      <rPr>
        <b/>
        <sz val="10"/>
        <color theme="1"/>
        <rFont val="Arial"/>
      </rPr>
      <t xml:space="preserve">LCE Priority 032: Anti-Smoking/Vaping Campaign
</t>
    </r>
    <r>
      <rPr>
        <i/>
        <sz val="10"/>
        <color theme="1"/>
        <rFont val="Arial"/>
      </rPr>
      <t>Promote the Tobacco-Free Generation and expand the Youth Health Ambassadors network​.</t>
    </r>
  </si>
  <si>
    <r>
      <rPr>
        <b/>
        <sz val="10"/>
        <color theme="1"/>
        <rFont val="Arial"/>
      </rPr>
      <t xml:space="preserve">LCE Priority 039: Bataan Sports Development Program
</t>
    </r>
    <r>
      <rPr>
        <i/>
        <sz val="10"/>
        <color theme="1"/>
        <rFont val="Arial"/>
      </rPr>
      <t>Promote participation in sports activities for health and fitness​.</t>
    </r>
  </si>
  <si>
    <r>
      <rPr>
        <b/>
        <sz val="10"/>
        <color theme="1"/>
        <rFont val="Arial"/>
      </rPr>
      <t xml:space="preserve">LCE Priority 040: *Access to Healthcare - Social Infrastructure Development
</t>
    </r>
    <r>
      <rPr>
        <i/>
        <sz val="10"/>
        <color theme="1"/>
        <rFont val="Arial"/>
      </rPr>
      <t>Improve availability and quality of health services, including hospitals, clinics, and rural health units​</t>
    </r>
  </si>
  <si>
    <r>
      <rPr>
        <b/>
        <sz val="10"/>
        <color theme="1"/>
        <rFont val="Arial"/>
      </rPr>
      <t xml:space="preserve">LCE Priority 045: Teacher Needs Assessment and LMS Utilization
</t>
    </r>
    <r>
      <rPr>
        <i/>
        <sz val="10"/>
        <color theme="1"/>
        <rFont val="Arial"/>
      </rPr>
      <t>Assess teacher needs, build capacity, and promote full use of LMS and Achieve 3000 SRA​.</t>
    </r>
  </si>
  <si>
    <r>
      <rPr>
        <b/>
        <sz val="10"/>
        <color theme="1"/>
        <rFont val="Arial"/>
      </rPr>
      <t xml:space="preserve">LCE Priority 046: Create Values Formation Program
</t>
    </r>
    <r>
      <rPr>
        <i/>
        <sz val="10"/>
        <color theme="1"/>
        <rFont val="Arial"/>
      </rPr>
      <t>Integrate values education into basic and higher education curricula​.</t>
    </r>
  </si>
  <si>
    <r>
      <rPr>
        <b/>
        <sz val="10"/>
        <color theme="1"/>
        <rFont val="Arial"/>
      </rPr>
      <t xml:space="preserve">LCE Priority 047: Out-of-School Youth Programs
</t>
    </r>
    <r>
      <rPr>
        <i/>
        <sz val="10"/>
        <color theme="1"/>
        <rFont val="Arial"/>
      </rPr>
      <t>Provide skills development and employment pathways for out-of-school youth, including upgrading skills​.</t>
    </r>
  </si>
  <si>
    <r>
      <rPr>
        <b/>
        <sz val="10"/>
        <color theme="1"/>
        <rFont val="Arial"/>
      </rPr>
      <t xml:space="preserve">LCE Priority 048: Educhild Campaign
</t>
    </r>
    <r>
      <rPr>
        <i/>
        <sz val="10"/>
        <color theme="1"/>
        <rFont val="Arial"/>
      </rPr>
      <t>Strengthen family-based education by involving parents and guardians in children’s learning​.</t>
    </r>
  </si>
  <si>
    <r>
      <rPr>
        <b/>
        <sz val="10"/>
        <color theme="1"/>
        <rFont val="Arial"/>
      </rPr>
      <t xml:space="preserve">LCE Priority 052: *Lifelong Learning Programs
</t>
    </r>
    <r>
      <rPr>
        <i/>
        <sz val="10"/>
        <color theme="1"/>
        <rFont val="Arial"/>
      </rPr>
      <t>Implement adult literacy and continuing education programs, focusing on out-of-school youth​</t>
    </r>
  </si>
  <si>
    <r>
      <rPr>
        <b/>
        <sz val="10"/>
        <color theme="1"/>
        <rFont val="Arial"/>
      </rPr>
      <t xml:space="preserve">LCE Priority 002: Provincial/Bunker 8888 Hotline
</t>
    </r>
    <r>
      <rPr>
        <i/>
        <sz val="10"/>
        <color theme="1"/>
        <rFont val="Arial"/>
      </rPr>
      <t>Implement a hotline to handle citizen feedback and concerns​</t>
    </r>
  </si>
  <si>
    <r>
      <rPr>
        <b/>
        <sz val="10"/>
        <color theme="1"/>
        <rFont val="Arial"/>
      </rPr>
      <t xml:space="preserve">LCE Priority 025: *Job Creation Programs
</t>
    </r>
    <r>
      <rPr>
        <i/>
        <sz val="10"/>
        <color theme="1"/>
        <rFont val="Arial"/>
      </rPr>
      <t>Promote industries, tourism, and entrepreneurship to boost employment​</t>
    </r>
  </si>
  <si>
    <r>
      <rPr>
        <b/>
        <sz val="10"/>
        <color theme="1"/>
        <rFont val="Arial"/>
      </rPr>
      <t xml:space="preserve">LCE Priority 026: *Economic Infrastructure Development
</t>
    </r>
    <r>
      <rPr>
        <i/>
        <sz val="10"/>
        <color theme="1"/>
        <rFont val="Arial"/>
      </rPr>
      <t>Build roads, public transport, and infrastructure to improve connectivity​</t>
    </r>
  </si>
  <si>
    <r>
      <rPr>
        <b/>
        <sz val="10"/>
        <color theme="1"/>
        <rFont val="Arial"/>
      </rPr>
      <t xml:space="preserve">LCE Priority 043: Iskolar ng Bataan
</t>
    </r>
    <r>
      <rPr>
        <i/>
        <sz val="10"/>
        <color theme="1"/>
        <rFont val="Arial"/>
      </rPr>
      <t>Provide scholarships and establish a review center for licensure exams and assessments​.​</t>
    </r>
  </si>
  <si>
    <r>
      <rPr>
        <b/>
        <sz val="10"/>
        <color theme="1"/>
        <rFont val="Arial"/>
      </rPr>
      <t xml:space="preserve">LCE Priority 044: Dual Training Center
</t>
    </r>
    <r>
      <rPr>
        <i/>
        <sz val="10"/>
        <color theme="1"/>
        <rFont val="Arial"/>
      </rPr>
      <t>Offer hands-on training in collaboration with senior high schools, AFAB, and PEZA​.</t>
    </r>
  </si>
  <si>
    <r>
      <rPr>
        <b/>
        <sz val="10"/>
        <color theme="1"/>
        <rFont val="Arial"/>
      </rPr>
      <t xml:space="preserve">LCE Priority 049: Bataan Healthy School Settings
</t>
    </r>
    <r>
      <rPr>
        <i/>
        <sz val="10"/>
        <color theme="1"/>
        <rFont val="Arial"/>
      </rPr>
      <t>Promote health and wellness in schools with a focus on nutrition, physical activities, and mental health​.</t>
    </r>
  </si>
  <si>
    <t xml:space="preserve">80% OF TOTAL TARGETTED AGRICULTURAL AND FISHERY MACHINERY AND EQUIPMENT REGISTERED TO RAFMES														</t>
  </si>
  <si>
    <t>Name of Department: Office of the Provincial Agriculturist</t>
  </si>
  <si>
    <t>Department Head Name:  Johanna Dizon</t>
  </si>
  <si>
    <t>MFO 1: Agriculture and Fishery Policy and Planning</t>
  </si>
  <si>
    <t>MFO 2: Agriculture and Fishery Research, Development and Extension Services</t>
  </si>
  <si>
    <r>
      <rPr>
        <b/>
        <sz val="10"/>
        <color theme="1"/>
        <rFont val="Arial"/>
      </rPr>
      <t xml:space="preserve">Strategic Initiative 1: </t>
    </r>
    <r>
      <rPr>
        <sz val="10"/>
        <color theme="1"/>
        <rFont val="Arial"/>
      </rPr>
      <t>Conduct of KADIWA ng Pangulo</t>
    </r>
  </si>
  <si>
    <t>8 KADIWA ng Pangulo Trade Fairs Conducted</t>
  </si>
  <si>
    <r>
      <rPr>
        <b/>
        <sz val="10"/>
        <color theme="1"/>
        <rFont val="Arial"/>
      </rPr>
      <t xml:space="preserve">LCE Priority 
</t>
    </r>
    <r>
      <rPr>
        <i/>
        <sz val="8"/>
        <color theme="1"/>
        <rFont val="Arial"/>
      </rPr>
      <t>For Monitoring</t>
    </r>
  </si>
  <si>
    <r>
      <rPr>
        <b/>
        <sz val="10"/>
        <color theme="1"/>
        <rFont val="Arial"/>
      </rPr>
      <t xml:space="preserve">LCE Priority 017: Lowering Inflation
</t>
    </r>
    <r>
      <rPr>
        <i/>
        <sz val="10"/>
        <color theme="1"/>
        <rFont val="Arial"/>
      </rPr>
      <t>Monitor prices, set up direct selling of basic commodities, and monitor services provided by PENELCO and water districts​</t>
    </r>
  </si>
  <si>
    <r>
      <rPr>
        <sz val="10"/>
        <color theme="1"/>
        <rFont val="Arial"/>
      </rPr>
      <t xml:space="preserve">% reduction in inflation rates through price monitoring and direct selling of basic commodities
</t>
    </r>
    <r>
      <rPr>
        <sz val="10"/>
        <color rgb="FFFF0000"/>
        <rFont val="Arial"/>
      </rPr>
      <t>included in MFO1 PPA: price monitoring and SI1: Conduct of KADIWA ng Pangulo</t>
    </r>
  </si>
  <si>
    <r>
      <rPr>
        <b/>
        <sz val="10"/>
        <color theme="1"/>
        <rFont val="Arial"/>
      </rPr>
      <t xml:space="preserve">LCE Priority 024: Food Security Program
</t>
    </r>
    <r>
      <rPr>
        <i/>
        <sz val="10"/>
        <color theme="1"/>
        <rFont val="Arial"/>
      </rPr>
      <t>Set production targets to ensure food security across the province​​</t>
    </r>
  </si>
  <si>
    <r>
      <rPr>
        <sz val="10"/>
        <color theme="1"/>
        <rFont val="Arial"/>
      </rPr>
      <t xml:space="preserve">% improvement in food security (through agricultural production)
</t>
    </r>
    <r>
      <rPr>
        <sz val="10"/>
        <color rgb="FFFF0000"/>
        <rFont val="Arial"/>
      </rPr>
      <t>included in MFO2 PPAs (Technical Assistance to Agri-Fishery Stakeholders; Provision of Agri-Fishery Inputs/Supplies/Equipment; Research Studies and Development; Season-long training/Technology Transfer Monitoring; Conduct of Trainings/Seminars)</t>
    </r>
  </si>
  <si>
    <r>
      <rPr>
        <b/>
        <sz val="10"/>
        <color theme="1"/>
        <rFont val="Arial"/>
      </rPr>
      <t xml:space="preserve">LCE Priority 026: *Economic Infrastructure Development
</t>
    </r>
    <r>
      <rPr>
        <i/>
        <sz val="10"/>
        <color theme="1"/>
        <rFont val="Arial"/>
      </rPr>
      <t>Build roads, public transport, and infrastructure to improve connectivity​</t>
    </r>
  </si>
  <si>
    <r>
      <rPr>
        <sz val="10"/>
        <color theme="1"/>
        <rFont val="Arial"/>
      </rPr>
      <t xml:space="preserve">% improvement in infrastructure and market access
</t>
    </r>
    <r>
      <rPr>
        <sz val="10"/>
        <color rgb="FFFF0000"/>
        <rFont val="Arial"/>
      </rPr>
      <t>Related PPAs are performed by ABE, hence LCE Priority 026 should be transferred to PGO; As stated in MC 41, S2024 issued by the DA Secretary, agri mechanization projects are to be endorsed by ABE (endorsement by OPA is no longer required)</t>
    </r>
  </si>
  <si>
    <t>Name of Department: Office of the Provincial Health Officer</t>
  </si>
  <si>
    <r>
      <rPr>
        <sz val="10"/>
        <color theme="1"/>
        <rFont val="Arial"/>
      </rPr>
      <t xml:space="preserve">Department Head Name:  </t>
    </r>
    <r>
      <rPr>
        <b/>
        <sz val="10"/>
        <color theme="1"/>
        <rFont val="Arial"/>
      </rPr>
      <t>Dr. Rosanna M. Buccahan</t>
    </r>
  </si>
  <si>
    <t>MFO 1: HEALTH SERVICE DELIVERY</t>
  </si>
  <si>
    <t>MFO 2: HEALTH SYSTEMS SUPPORT TO THE PROVINCE-WIDE INTEGRATION</t>
  </si>
  <si>
    <t>MFO 3: HEALTH OPERATIONAL SUPPORT SERVICES</t>
  </si>
  <si>
    <r>
      <rPr>
        <b/>
        <sz val="10"/>
        <color theme="1"/>
        <rFont val="Arial"/>
      </rPr>
      <t>Strategic Initiative 1:</t>
    </r>
    <r>
      <rPr>
        <sz val="10"/>
        <color theme="1"/>
        <rFont val="Arial"/>
      </rPr>
      <t xml:space="preserve"> Centralized Procurement Strategy for District Hospital's Medical Needs</t>
    </r>
  </si>
  <si>
    <t>100% of District Hospitals with Centralized Procurement Strategy</t>
  </si>
  <si>
    <r>
      <rPr>
        <b/>
        <sz val="10"/>
        <color theme="1"/>
        <rFont val="Arial"/>
      </rPr>
      <t xml:space="preserve">LCE Priority 
</t>
    </r>
    <r>
      <rPr>
        <i/>
        <sz val="8"/>
        <color theme="1"/>
        <rFont val="Arial"/>
      </rPr>
      <t>For Monitoring</t>
    </r>
  </si>
  <si>
    <r>
      <rPr>
        <b/>
        <sz val="10"/>
        <color theme="1"/>
        <rFont val="Arial"/>
      </rPr>
      <t xml:space="preserve">LCE Priority 028: Increase number of BHWs
</t>
    </r>
    <r>
      <rPr>
        <i/>
        <sz val="10"/>
        <color theme="1"/>
        <rFont val="Arial"/>
      </rPr>
      <t>Achieve a 1:50 ratio through training and roll out of a health app​.</t>
    </r>
  </si>
  <si>
    <r>
      <rPr>
        <b/>
        <sz val="10"/>
        <color theme="1"/>
        <rFont val="Arial"/>
      </rPr>
      <t xml:space="preserve">LCE Priority 031: 1Bataan Seal of Healthy Barangay
</t>
    </r>
    <r>
      <rPr>
        <i/>
        <sz val="10"/>
        <color theme="1"/>
        <rFont val="Arial"/>
      </rPr>
      <t>Encourage majority of barangays to comply with health standards​.</t>
    </r>
  </si>
  <si>
    <r>
      <rPr>
        <b/>
        <sz val="10"/>
        <color theme="1"/>
        <rFont val="Arial"/>
      </rPr>
      <t xml:space="preserve">LCE Priority 033: Primary Care Provider Network (PCPN)
</t>
    </r>
    <r>
      <rPr>
        <i/>
        <sz val="10"/>
        <color theme="1"/>
        <rFont val="Arial"/>
      </rPr>
      <t>Enable RHUs and district hospitals to provide services under the PhilHealth Konsulta Package​.</t>
    </r>
  </si>
  <si>
    <r>
      <rPr>
        <b/>
        <sz val="10"/>
        <color theme="1"/>
        <rFont val="Arial"/>
      </rPr>
      <t xml:space="preserve">LCE Priority 035: Mental Health Programs
</t>
    </r>
    <r>
      <rPr>
        <i/>
        <sz val="10"/>
        <color theme="1"/>
        <rFont val="Arial"/>
      </rPr>
      <t>Establish a provincial mental health program with MMWGH​.</t>
    </r>
  </si>
  <si>
    <r>
      <rPr>
        <b/>
        <sz val="10"/>
        <color theme="1"/>
        <rFont val="Arial"/>
      </rPr>
      <t xml:space="preserve">LCE Priority 036: Electronic Medical Records (EMR)
</t>
    </r>
    <r>
      <rPr>
        <i/>
        <sz val="10"/>
        <color theme="1"/>
        <rFont val="Arial"/>
      </rPr>
      <t>Finalize the EMR provider and link with other health facilities​.</t>
    </r>
  </si>
  <si>
    <r>
      <rPr>
        <b/>
        <sz val="10"/>
        <color theme="1"/>
        <rFont val="Arial"/>
      </rPr>
      <t xml:space="preserve">LCE Priority 037: Zero Maternal and Infant Mortality Rate Program
</t>
    </r>
    <r>
      <rPr>
        <i/>
        <sz val="10"/>
        <color theme="1"/>
        <rFont val="Arial"/>
      </rPr>
      <t>Aim for zero maternal and infant mortality​.</t>
    </r>
  </si>
  <si>
    <r>
      <rPr>
        <b/>
        <sz val="10"/>
        <color theme="1"/>
        <rFont val="Arial"/>
      </rPr>
      <t xml:space="preserve">LCE Priority 038: Lower Teenage Pregnancy Program
</t>
    </r>
    <r>
      <rPr>
        <i/>
        <sz val="10"/>
        <color theme="1"/>
        <rFont val="Arial"/>
      </rPr>
      <t>Implement initiatives to reduce teenage pregnancy rates​.</t>
    </r>
  </si>
  <si>
    <r>
      <rPr>
        <b/>
        <sz val="10"/>
        <color theme="1"/>
        <rFont val="Arial"/>
      </rPr>
      <t xml:space="preserve">LCE Priority 041: *Disease Prevention Programs
</t>
    </r>
    <r>
      <rPr>
        <i/>
        <sz val="10"/>
        <color theme="1"/>
        <rFont val="Arial"/>
      </rPr>
      <t>Launch vaccination campaigns and disease prevention initiatives​</t>
    </r>
  </si>
  <si>
    <r>
      <rPr>
        <b/>
        <sz val="10"/>
        <color theme="1"/>
        <rFont val="Arial"/>
      </rPr>
      <t xml:space="preserve">LCE Priority 029: Institutionalize Hataw Takbo Bataan
</t>
    </r>
    <r>
      <rPr>
        <i/>
        <sz val="10"/>
        <color theme="1"/>
        <rFont val="Arial"/>
      </rPr>
      <t>Involve running clubs and barangays in regular community-based fun runs​.</t>
    </r>
  </si>
  <si>
    <r>
      <rPr>
        <b/>
        <sz val="10"/>
        <color theme="1"/>
        <rFont val="Arial"/>
      </rPr>
      <t xml:space="preserve">LCE Priority 032: Anti-Smoking/Vaping Campaign
</t>
    </r>
    <r>
      <rPr>
        <i/>
        <sz val="10"/>
        <color theme="1"/>
        <rFont val="Arial"/>
      </rPr>
      <t>Promote the Tobacco-Free Generation and expand the Youth Health Ambassadors network​.</t>
    </r>
  </si>
  <si>
    <r>
      <rPr>
        <b/>
        <sz val="10"/>
        <color theme="1"/>
        <rFont val="Arial"/>
      </rPr>
      <t xml:space="preserve">LCE Priority 042: *Clean Water and Sanitation  - Social Infrastructure Development
</t>
    </r>
    <r>
      <rPr>
        <i/>
        <sz val="10"/>
        <color theme="1"/>
        <rFont val="Arial"/>
      </rPr>
      <t>Ensure access to potable water and sanitation facilities to reduce waterborne diseases​</t>
    </r>
  </si>
  <si>
    <t>Name of Department: Office of the Provincial Veterinarian</t>
  </si>
  <si>
    <r>
      <rPr>
        <sz val="10"/>
        <color theme="1"/>
        <rFont val="Arial"/>
      </rPr>
      <t xml:space="preserve">Department Head Name:  </t>
    </r>
    <r>
      <rPr>
        <b/>
        <sz val="10"/>
        <color theme="1"/>
        <rFont val="Arial"/>
      </rPr>
      <t>Dr. Alberto S. Venturina</t>
    </r>
  </si>
  <si>
    <t xml:space="preserve">MFO 1: Veterinary Policy and Planning </t>
  </si>
  <si>
    <t xml:space="preserve">MFO 2: Animal Industry Regulation and Monitoring </t>
  </si>
  <si>
    <t>MFO 3: Veterinary Public Health Services</t>
  </si>
  <si>
    <t>MFO 4: Agricultural Support and Extension Services</t>
  </si>
  <si>
    <r>
      <rPr>
        <b/>
        <sz val="10"/>
        <color theme="1"/>
        <rFont val="Arial"/>
      </rPr>
      <t>Strategic Initiative 1:</t>
    </r>
    <r>
      <rPr>
        <sz val="10"/>
        <color theme="1"/>
        <rFont val="Arial"/>
      </rPr>
      <t xml:space="preserve"> Establishment of multiplier farms</t>
    </r>
  </si>
  <si>
    <t>100% Establishment of multiplier farms</t>
  </si>
  <si>
    <r>
      <rPr>
        <b/>
        <sz val="10"/>
        <color theme="1"/>
        <rFont val="Arial"/>
      </rPr>
      <t xml:space="preserve">LCE Priority 
</t>
    </r>
    <r>
      <rPr>
        <i/>
        <sz val="8"/>
        <color theme="1"/>
        <rFont val="Arial"/>
      </rPr>
      <t>For Monitoring</t>
    </r>
  </si>
  <si>
    <r>
      <rPr>
        <b/>
        <sz val="10"/>
        <color theme="1"/>
        <rFont val="Arial"/>
      </rPr>
      <t xml:space="preserve">LCE Priority 017: Lowering Inflation
</t>
    </r>
    <r>
      <rPr>
        <i/>
        <sz val="10"/>
        <color theme="1"/>
        <rFont val="Arial"/>
      </rPr>
      <t>Monitor prices, set up direct selling of basic commodities, and monitor services provided by PENELCO and water districts​</t>
    </r>
  </si>
  <si>
    <t>Name of Department: Office of the Provincial Social Welfare and Development Officer</t>
  </si>
  <si>
    <r>
      <rPr>
        <sz val="10"/>
        <color theme="1"/>
        <rFont val="Arial"/>
      </rPr>
      <t xml:space="preserve">Department Head Name:  </t>
    </r>
    <r>
      <rPr>
        <b/>
        <sz val="10"/>
        <color theme="1"/>
        <rFont val="Arial"/>
      </rPr>
      <t>Ma. Cristina Vergara</t>
    </r>
  </si>
  <si>
    <t>MFO 1: Social Welfare and Development Planning</t>
  </si>
  <si>
    <t>MFO 2: Social Protection</t>
  </si>
  <si>
    <t>MFO 3: Social Welfare Program Implementation</t>
  </si>
  <si>
    <t>MFO 4: Crisis Intervention and  Rehabilitation</t>
  </si>
  <si>
    <t>MFO 5: Monitoring and Evaluation</t>
  </si>
  <si>
    <r>
      <rPr>
        <b/>
        <sz val="10"/>
        <color theme="1"/>
        <rFont val="Arial"/>
      </rPr>
      <t>Strategic Initiative 1:</t>
    </r>
    <r>
      <rPr>
        <sz val="10"/>
        <color theme="1"/>
        <rFont val="Arial"/>
      </rPr>
      <t xml:space="preserve"> Establishment and Operationalization of 1Bataan Bagong Pilipinas Integrated Action Center</t>
    </r>
  </si>
  <si>
    <t>Lessen the number of clients or amount of utilization of PGB General Fund for the implementation of Support Services to Individuals in Crisis</t>
  </si>
  <si>
    <t xml:space="preserve">- EO or similar issuance organizing LCAT-VAWC 
- Minutes of the LCAT-VAWC meetings in CY 202_
- Percentage of barangays with VAW Desks and 
Monitoring Report of the Submission of Barangay Quarterly VAWC Reports (Certified Form 2J Social Welfare and Development Office) </t>
  </si>
  <si>
    <t xml:space="preserve">- Ordinance approving/amending/revising LGU’s Code for Children 
- Copy of other Code or ordinance where Local Code for Children is integrated  </t>
  </si>
  <si>
    <t xml:space="preserve">- Form 2G: Photo Documentation and Information 
(Engineering Office) 
- Form 2E: Photo Documentation of DILG Field Office 
- NHIP Certification for LG buildings declared as 
historical sites
- Copy of building plan if LG building is under 
construction 
- Copy of plan (stand-alone) to be implemented in the next 2 years for the primary health facility 
- Copy of CDP/PDPFP, LIPH, LDIP, AIP, or annual budget with the proposed PAPs for the primary health facility </t>
  </si>
  <si>
    <t xml:space="preserve">- Ordinance/EO creating PDAO 
- Executive Order or similar issuance appointing PDAO Head/Focal Person 
- Copy of Appointment of PDAO Head 
- PRPWD-generated report on the PWDs issued with ID 
- PDAO CY 202_ accomplishment report 
- PDAO Citizen’s Charter indicating mechanism for the issuance of persons with disability ID </t>
  </si>
  <si>
    <t>- Appointment paper of sign language interpreter 
- Executive Order or similar issuance appointing sign language interpreter 
- Documents as proof of hiring sign language 
interpreter (e.g. contract of service, etc.) Proof of engagement with external service provider (e.g. MOU etc.) 
-LDIP, AIP, or annual budget  
-Certificate of Training(s) attended relative to sign language</t>
  </si>
  <si>
    <t xml:space="preserve">-Certified Form 2A (Accounting Office) (Report on funds disbursed signed by the Local Accountant) 
-Approved LGU Annual Plan and Budget 
-Report on PAPs completion signed by the LPDC (Certified Form 2H Planning and Development Office) </t>
  </si>
  <si>
    <t>- Accreditation of the facility issued by DSWD- 
Standards Bureau or BARMM MSSD 
- Form 2E – Photo Documentation 
In case partner-facility is managed by DSWD Field Office:  
- Accreditation issued by DSWD- Standards Bureau or BARMM MSSD; and 
- Proof of transfer of residents
In case partner-facility is private Social Welfare and Development Agency (SWDA):  
- Accreditation of the facility issued by DSWD- 
Standards Bureau or BARMM MSSD; and 
- Memorandum of Agreement between LGU and partner-organization managing the facility
Copy of valid Certificate of Accreditation if LGU is not listed in NGA data</t>
  </si>
  <si>
    <t xml:space="preserve">- LGU Monitoring Tool 
- Copy of ordinance, CDP, LDIP, AIP, or LPRAP, or 202_/202_ annual budget indicating allocation for 4Ps 
-Sustainability Plan or C/MAP, or Local Transition Plan </t>
  </si>
  <si>
    <t xml:space="preserve">- Appointment of P/C/MSWDO with CSC-attestation (In case the LGU is accredited, the CSC Resolution granting the LGU authority to take final action on its appointment) 
- PRC license of LSWDO or staff in case of exemption 
- Any proof of granting Magna Carta benefits (e.g. Annual Budget, payroll) 
- CBMS database or other database/tracking system that can help identify individuals and households who will be beneficiaries of social protection interventions.  
- Proof of LGU efforts to implement CBMS (e.g. 
CBMS-related PAPs in Annual Budget, etc.) </t>
  </si>
  <si>
    <t>- Social Protection Development Report developed in CY 2019 onwards 
- Social Development Plan integrated in local plans certified by the local planning officer 
- Ordinance or similar issuance on any area of 
recommendation of the SPDR 
- Copy of endorsement letter duly received by the 
PSWDO</t>
  </si>
  <si>
    <t>-Executive order or similar issuance creating the
LYDC
-Copy of YORP Certificates / Organizational Profile of
Registration of the Organization (LYDO)</t>
  </si>
  <si>
    <t>-Official written notice and LYDC Approved Minutes of
the Quarterly Meetings in CY 2023
-One agenda reflecting a discussion on the monitoring
or development of LYDP
-Approved attendance sheet</t>
  </si>
  <si>
    <t>-Training Certificates
-Post-Activity Report / Highlights of the training with
photo documentation
-List of existing LYDC members</t>
  </si>
  <si>
    <t>-Appointment of LYDO Officer – Head of Office with CSC attestation
-Executive Order or similar issuance for
designation of LYDO Officer
For cases with CSC appointments:
-CSC Resolution granting the LGU authority to take final action on its appointment, in case the LGU is accredited
-Letter for CSC Field Office transmitting copy, and
requesting attestation of appointment, in case LGU is not accredited
For designated LYDOs:
-Certification from Budget Officer indicating that
the LGU has met the PS limitation (Form 2C – Budget Officer)</t>
  </si>
  <si>
    <t>-Updated list of youth organizations or youth serving
organizations registered and verified under YORP as
of CY 202_
-Process Flow of Registration (or has at
Revitalized YORP Guidelines on hand, if localized
flow is not available)
-List of Registration Certificates issued to Youth
Organizations</t>
  </si>
  <si>
    <t>-Certified Form 2A (Accounting Office)
-CY 202_ Approved Annual Work and Financial
Plan (WFP) for LYDO signed by LCE and Budget Officer, supported by a Resolution from the LDC</t>
  </si>
  <si>
    <r>
      <rPr>
        <b/>
        <sz val="10"/>
        <color theme="1"/>
        <rFont val="Arial"/>
      </rPr>
      <t xml:space="preserve">LCE Priority 
</t>
    </r>
    <r>
      <rPr>
        <i/>
        <sz val="8"/>
        <color theme="1"/>
        <rFont val="Arial"/>
      </rPr>
      <t>For Monitoring</t>
    </r>
  </si>
  <si>
    <r>
      <rPr>
        <b/>
        <sz val="10"/>
        <color theme="1"/>
        <rFont val="Arial"/>
      </rPr>
      <t xml:space="preserve">LCE Priority 034: BP-IAC (Bagong Pilipinas Integrated Action Center)
</t>
    </r>
    <r>
      <rPr>
        <i/>
        <sz val="10"/>
        <color theme="1"/>
        <rFont val="Arial"/>
      </rPr>
      <t>Expand the reach of BP-IAC to all LGUs​.​</t>
    </r>
  </si>
  <si>
    <r>
      <rPr>
        <b/>
        <sz val="10"/>
        <color theme="1"/>
        <rFont val="Arial"/>
      </rPr>
      <t xml:space="preserve">LCE Priority 046: Create Values Formation Program
</t>
    </r>
    <r>
      <rPr>
        <i/>
        <sz val="10"/>
        <color theme="1"/>
        <rFont val="Arial"/>
      </rPr>
      <t>Integrate values education into basic and higher education curricula​.</t>
    </r>
  </si>
  <si>
    <r>
      <rPr>
        <b/>
        <sz val="10"/>
        <color theme="1"/>
        <rFont val="Arial"/>
      </rPr>
      <t xml:space="preserve">LCE Priority 047: Out-of-School Youth Programs
</t>
    </r>
    <r>
      <rPr>
        <i/>
        <sz val="10"/>
        <color theme="1"/>
        <rFont val="Arial"/>
      </rPr>
      <t>Provide skills development and employment pathways for out-of-school youth, including upgrading skills​.</t>
    </r>
  </si>
  <si>
    <r>
      <rPr>
        <b/>
        <sz val="10"/>
        <color theme="1"/>
        <rFont val="Arial"/>
      </rPr>
      <t xml:space="preserve">LCE Priority 048: Educhild Campaign
</t>
    </r>
    <r>
      <rPr>
        <i/>
        <sz val="10"/>
        <color theme="1"/>
        <rFont val="Arial"/>
      </rPr>
      <t>Strengthen family-based education by involving parents and guardians in children’s learning​.</t>
    </r>
  </si>
  <si>
    <t>Name of Department: Office of the Provincial Tourism Officer</t>
  </si>
  <si>
    <r>
      <rPr>
        <sz val="10"/>
        <color theme="1"/>
        <rFont val="Arial"/>
      </rPr>
      <t xml:space="preserve">Department Head Name:  </t>
    </r>
    <r>
      <rPr>
        <b/>
        <sz val="10"/>
        <color theme="1"/>
        <rFont val="Arial"/>
      </rPr>
      <t>Danica Lolita Tigas</t>
    </r>
  </si>
  <si>
    <t>MFO 1: Tourism Statistics, Research and Development Planning</t>
  </si>
  <si>
    <t xml:space="preserve">Targets: 
(a) Submission of 6 monthly reports for demand database and 3 reports for supply database
(b) Draft of updated Bataan Tourism Development Plan 
</t>
  </si>
  <si>
    <t>(a) Number of reports submitted
(b) Number of development plan with updated draft</t>
  </si>
  <si>
    <t>MFO 2: Tourism Regulation and Training</t>
  </si>
  <si>
    <t>Targets: 
(a) 100% of the accredited primary establishments are inspected and 50% of the tourism accommodation establishments monitored / inspected with percentage of data updated. 
(b) Two (2) tourism related trainings conducted
(c) Assessment and report on the current implementation of LGUs environmental and ecological fees (*LCE Priority)</t>
  </si>
  <si>
    <t xml:space="preserve">(a) Number of primary establishments inspected
(b) Number of trainings conducted
</t>
  </si>
  <si>
    <t>MFO 3: Tourism Development, Promotion and Marketing</t>
  </si>
  <si>
    <t>Targets: 
(a) 100% conduct of the following events (1st sem: Bataan Foundation Day, National Arts Month, Araw ng Kagitingan and Filipino Food Month; 2nd sem: Tourism Month, Pawikan Festival and Outreach Performance at Bataan Tourism Park) 
(b) 1 Marketing collateral
(c) 2 Tour Packages
(d) 1 Travel Fair
(e) 350 postings 
(f) 40% of LGU Registered establishments are posted on Behold Bataan Website 
(g) Assistance attended and acted upon</t>
  </si>
  <si>
    <t xml:space="preserve">(a) Number of events conducted and % increase of tourism activities (*LCE Priority)
(b) Number of marketing collateral
(c) Number of tour packages
(d) Number of Travel Fair
(e) Number of postings  
(f) Percentage of posted establishment 
(g) Percentage of request / assistance acted on </t>
  </si>
  <si>
    <t>MFO 4: Cultural Heritage Preservation</t>
  </si>
  <si>
    <t>(a) updated cultural inventory
(b) collation of 2 published narrative on local history and culture
(c) 1 heritage marker
(d) 100% Operations of Bahay-Wika</t>
  </si>
  <si>
    <t>(a) Number of updated cultural inventory
(b) Number of narrative collated 
(c) Number of heritage marker
(d) Percentage rate of operations</t>
  </si>
  <si>
    <r>
      <rPr>
        <b/>
        <sz val="10"/>
        <color theme="1"/>
        <rFont val="Arial"/>
      </rPr>
      <t>Strategic Initiative 1:</t>
    </r>
    <r>
      <rPr>
        <sz val="10"/>
        <color theme="1"/>
        <rFont val="Arial"/>
      </rPr>
      <t xml:space="preserve"> Behold Bataan: Pillars of Action Program (Phase II)</t>
    </r>
  </si>
  <si>
    <t>One (1) functional Tourism Statistics System.</t>
  </si>
  <si>
    <r>
      <rPr>
        <b/>
        <sz val="10"/>
        <color theme="1"/>
        <rFont val="Arial"/>
      </rPr>
      <t>Strategic Initiative 2:</t>
    </r>
    <r>
      <rPr>
        <sz val="10"/>
        <color theme="1"/>
        <rFont val="Arial"/>
      </rPr>
      <t xml:space="preserve"> 1SIKLAB: An Emergence of Creative Tourism</t>
    </r>
  </si>
  <si>
    <t>One (1) established 1Siklab creative workforce database</t>
  </si>
  <si>
    <t xml:space="preserve">- Appointment of local tourism officer with CSC 
attestation or Executive order designating an officer for tourism 
development and promotion with listed functions, 
duties, and responsibilities </t>
  </si>
  <si>
    <t xml:space="preserve">- Form 2E: Photo Documentation (DILG Field Office) 
- Ordinance or similar issuance creating the tourist information and assistance center or desk </t>
  </si>
  <si>
    <t>- Approved Local Tourism Development Plan or Copy of draft Local Tourism Development Plan</t>
  </si>
  <si>
    <t xml:space="preserve">- Certification from DOT Regional Office certifying the submission of provinces, cities, and municipalities of their respective reports using the standard template, the following are the reports: (1) Annual Supply Tourism Statistics Report for CY xxxx 
(2) Copy of transmittal of Annual Supply Tourism Statistics Report for CY xxxx
(3)  Supply Database for Accommodation Establishments (SAE1) 
(4) Supply Database for Tourist Attractions (STA) 
(5) Supply Database for other Tourism Enterprises (STE) 
(6) Annual Demand Tourism Statistics Report for CY xxxx
(7) Copy of transmittal of Annual Demand Tourism Statistics Report for CY xxxx
(8) Demand Database for Accommodation Establishments (DAE3B,  AE3B.2 and DAE3) 
(9) Demand Database for Tourist Attractions (DTA) 
      Demand Database for MICE Facilities (CUS) Remarks: Currently N/A as per DOT
 </t>
  </si>
  <si>
    <t xml:space="preserve">-Copy of Local Ordinance or Sanggunian resolution or a similar issuance creating an LCAC with functions, duties, and responsibilities </t>
  </si>
  <si>
    <t xml:space="preserve">- CY 2023 Annual Appropriations Ordinance indicating budget for the conservation of tangible cultural property or safeguarding of intangible cultural property, including cultural mapping; and 
- Disbursement Data per Certified Form 2A Accounting Office </t>
  </si>
  <si>
    <t xml:space="preserve">- Updated Local Cultural inventory using the updated templates prescribed under DILG-NCCA JMC No. 2021-001 
- Proof of transmittal of the inventory to the NCCA 
- Sanggunian Resolution adopting the inventory 
- Valid Certificate of Compliance issued by the 
NCCA </t>
  </si>
  <si>
    <t>- Copy of published narrative of history and culture  
- Form 2E: Photo Documentation 
- Ordinance, Sanggunian resolution, executive order, or other similar issuance indicating LGU acknowledgment of the published narrative</t>
  </si>
  <si>
    <r>
      <rPr>
        <b/>
        <sz val="10"/>
        <color theme="1"/>
        <rFont val="Arial"/>
      </rPr>
      <t xml:space="preserve">LCE Priority 
</t>
    </r>
    <r>
      <rPr>
        <i/>
        <sz val="8"/>
        <color theme="1"/>
        <rFont val="Arial"/>
      </rPr>
      <t>For Monitoring</t>
    </r>
  </si>
  <si>
    <r>
      <rPr>
        <b/>
        <sz val="10"/>
        <color theme="1"/>
        <rFont val="Arial"/>
      </rPr>
      <t xml:space="preserve">LCE Priority 019: Tourism Activities and Festivals
</t>
    </r>
    <r>
      <rPr>
        <i/>
        <sz val="10"/>
        <color theme="1"/>
        <rFont val="Arial"/>
      </rPr>
      <t xml:space="preserve">Organize and promote events such as Bataan Foundation Day, Araw ng Kagitingan, and Pawikan Festival </t>
    </r>
  </si>
  <si>
    <t>% increase in tourism activities, festival participation and revenue from festivals (Trade Fairs)
Remarks: Can be included under MFO # 3 Tourism Development, Promotion and Marketing</t>
  </si>
  <si>
    <r>
      <rPr>
        <b/>
        <sz val="10"/>
        <color theme="1"/>
        <rFont val="Arial"/>
      </rPr>
      <t xml:space="preserve">LCE Priority 020: Uniform Ecological Policy for Bataan
</t>
    </r>
    <r>
      <rPr>
        <i/>
        <sz val="10"/>
        <color theme="1"/>
        <rFont val="Arial"/>
      </rPr>
      <t xml:space="preserve">Implement a uniform ecological fee covering environmental, tourism, accommodation, and cultural sectors​. </t>
    </r>
  </si>
  <si>
    <t xml:space="preserve">% increase in compliance with ecological and tourism fees
Remarks: Can be included under MFO # 2 - Tourism Regulation and Training </t>
  </si>
  <si>
    <r>
      <rPr>
        <b/>
        <sz val="10"/>
        <color theme="1"/>
        <rFont val="Arial"/>
      </rPr>
      <t xml:space="preserve">LCE Priority 025: *Job Creation Programs
</t>
    </r>
    <r>
      <rPr>
        <i/>
        <sz val="10"/>
        <color theme="1"/>
        <rFont val="Arial"/>
      </rPr>
      <t>Promote industries, tourism, and entrepreneurship to boost employment​</t>
    </r>
  </si>
  <si>
    <t xml:space="preserve">% increase in employment through industries, tourism, and entrepreneurship
Remarks: Can be included under MFO # 2 - Tourism Regulation and Training </t>
  </si>
  <si>
    <r>
      <rPr>
        <b/>
        <sz val="10"/>
        <color theme="1"/>
        <rFont val="Arial"/>
      </rPr>
      <t xml:space="preserve">LCE Priority 008: PGB Enterprise Management
</t>
    </r>
    <r>
      <rPr>
        <i/>
        <sz val="10"/>
        <color theme="1"/>
        <rFont val="Arial"/>
      </rPr>
      <t>Oversee and manage public enterprises like the Bataan People’s Center, Bataan Tourism Park, Bataan Tourism Pavillion ,Capitol Compound Parking, Bunker Maintenance, and The Link​</t>
    </r>
  </si>
  <si>
    <t>% improvement in management and efficiency of public enterprises
Remarks: Can be included under MFO # 3 Tourism Development, Promotion and Marketing</t>
  </si>
  <si>
    <t>Name of Department: Metro Bataan Development Authority</t>
  </si>
  <si>
    <r>
      <rPr>
        <sz val="10"/>
        <color theme="1"/>
        <rFont val="Arial"/>
      </rPr>
      <t xml:space="preserve">Department Head Name:  </t>
    </r>
    <r>
      <rPr>
        <b/>
        <sz val="10"/>
        <color theme="1"/>
        <rFont val="Arial"/>
      </rPr>
      <t>Christopher Pizarro</t>
    </r>
  </si>
  <si>
    <t>MFO 1: Transport and Traffic Management</t>
  </si>
  <si>
    <t>Monthly report for assistance on events and activities</t>
  </si>
  <si>
    <t>number of assistance provided on events and activities</t>
  </si>
  <si>
    <t>MFO 2: Public Safety Administration</t>
  </si>
  <si>
    <t>Monthly tabulation of vehicular accident and response time, performance report dispatch, pre hospital care report, apprehension and vehicle assistance and response to specific public concerns</t>
  </si>
  <si>
    <t>Monthly summary report</t>
  </si>
  <si>
    <t>MFO 3: Enforcement of Ordinances</t>
  </si>
  <si>
    <t>70% apprehension of identified and reported violators</t>
  </si>
  <si>
    <t>Monthly report on enforcement of ordinances</t>
  </si>
  <si>
    <r>
      <rPr>
        <b/>
        <sz val="10"/>
        <color theme="1"/>
        <rFont val="Arial"/>
      </rPr>
      <t>Strategic Initiative 1:</t>
    </r>
    <r>
      <rPr>
        <sz val="10"/>
        <color theme="1"/>
        <rFont val="Arial"/>
      </rPr>
      <t xml:space="preserve"> Formulation of Bataan Traffic Code</t>
    </r>
  </si>
  <si>
    <t>Approval of the Bataan Traffic Code</t>
  </si>
  <si>
    <t xml:space="preserve"> Approval and Implementation of the Bataan Traffic Code</t>
  </si>
  <si>
    <r>
      <rPr>
        <b/>
        <sz val="10"/>
        <color theme="1"/>
        <rFont val="Arial"/>
      </rPr>
      <t>Strategic Initiative 2:</t>
    </r>
    <r>
      <rPr>
        <sz val="10"/>
        <color theme="1"/>
        <rFont val="Arial"/>
      </rPr>
      <t xml:space="preserve"> LGU Monitoring Scorecard</t>
    </r>
  </si>
  <si>
    <t>100% monitoring of all identified sectors in the LMS in the Province of Bataan</t>
  </si>
  <si>
    <t>% support to office maintenance and regular reporting as required by PGB</t>
  </si>
  <si>
    <t>Number of reports submitted</t>
  </si>
  <si>
    <r>
      <rPr>
        <b/>
        <sz val="10"/>
        <color theme="1"/>
        <rFont val="Arial"/>
      </rPr>
      <t xml:space="preserve">LCE Priority 
</t>
    </r>
    <r>
      <rPr>
        <i/>
        <sz val="8"/>
        <color theme="1"/>
        <rFont val="Arial"/>
      </rPr>
      <t>For Monitoring</t>
    </r>
  </si>
  <si>
    <r>
      <rPr>
        <b/>
        <sz val="10"/>
        <color theme="1"/>
        <rFont val="Arial"/>
      </rPr>
      <t xml:space="preserve">LCE Priority 003: Peace and Order Program
</t>
    </r>
    <r>
      <rPr>
        <i/>
        <sz val="10"/>
        <color theme="1"/>
        <rFont val="Arial"/>
      </rPr>
      <t>Collaborate with law enforcement to set targets and enforce the MBDA law​</t>
    </r>
  </si>
  <si>
    <r>
      <rPr>
        <b/>
        <sz val="10"/>
        <color theme="1"/>
        <rFont val="Arial"/>
      </rPr>
      <t xml:space="preserve">LCE Priority 022: Transitioning Transport Groups to Electric Vehicles
</t>
    </r>
    <r>
      <rPr>
        <i/>
        <sz val="10"/>
        <color theme="1"/>
        <rFont val="Arial"/>
      </rPr>
      <t>Support the transition to electric vehicles in the transport sector​</t>
    </r>
  </si>
  <si>
    <t>Name of Department:  Jose C. Payumo Jr. Memorial Hospital</t>
  </si>
  <si>
    <r>
      <rPr>
        <sz val="10"/>
        <color theme="1"/>
        <rFont val="Arial"/>
      </rPr>
      <t xml:space="preserve">Department Head Name:  </t>
    </r>
    <r>
      <rPr>
        <b/>
        <sz val="10"/>
        <color theme="1"/>
        <rFont val="Arial"/>
      </rPr>
      <t>Dr. Gena A. Abara</t>
    </r>
  </si>
  <si>
    <t>MFO 1: Hospital Administration Services</t>
  </si>
  <si>
    <t>MFO 2: Ancillary Healthcare Services</t>
  </si>
  <si>
    <t>MFO 3: Preventive Health Services</t>
  </si>
  <si>
    <t>MFO 4: Curative Health Services</t>
  </si>
  <si>
    <r>
      <rPr>
        <b/>
        <sz val="10"/>
        <color theme="1"/>
        <rFont val="Arial"/>
      </rPr>
      <t>Strategic Initiative 1:</t>
    </r>
    <r>
      <rPr>
        <sz val="10"/>
        <color theme="1"/>
        <rFont val="Arial"/>
      </rPr>
      <t xml:space="preserve"> </t>
    </r>
  </si>
  <si>
    <r>
      <rPr>
        <b/>
        <sz val="10"/>
        <color theme="1"/>
        <rFont val="Arial"/>
      </rPr>
      <t xml:space="preserve">LCE Priority 
</t>
    </r>
    <r>
      <rPr>
        <i/>
        <sz val="8"/>
        <color theme="1"/>
        <rFont val="Arial"/>
      </rPr>
      <t>For Monitoring</t>
    </r>
  </si>
  <si>
    <r>
      <rPr>
        <b/>
        <sz val="10"/>
        <color theme="1"/>
        <rFont val="Arial"/>
      </rPr>
      <t xml:space="preserve">LCE Priority 035: Mental Health Programs
</t>
    </r>
    <r>
      <rPr>
        <i/>
        <sz val="10"/>
        <color theme="1"/>
        <rFont val="Arial"/>
      </rPr>
      <t>Establish a provincial mental health program with MMWGH​.</t>
    </r>
  </si>
  <si>
    <r>
      <rPr>
        <b/>
        <sz val="10"/>
        <color theme="1"/>
        <rFont val="Arial"/>
      </rPr>
      <t xml:space="preserve">LCE Priority 036: Electronic Medical Records (EMR)
</t>
    </r>
    <r>
      <rPr>
        <i/>
        <sz val="10"/>
        <color theme="1"/>
        <rFont val="Arial"/>
      </rPr>
      <t>Finalize the EMR provider and link with other health facilities​.</t>
    </r>
  </si>
  <si>
    <r>
      <rPr>
        <b/>
        <sz val="10"/>
        <color theme="1"/>
        <rFont val="Arial"/>
      </rPr>
      <t xml:space="preserve">LCE Priority 037: Zero Maternal and Infant Mortality Rate Program
</t>
    </r>
    <r>
      <rPr>
        <i/>
        <sz val="10"/>
        <color theme="1"/>
        <rFont val="Arial"/>
      </rPr>
      <t>Aim for zero maternal and infant mortality​.</t>
    </r>
  </si>
  <si>
    <t>Name of Department:  Orani District Hospital</t>
  </si>
  <si>
    <r>
      <rPr>
        <sz val="10"/>
        <color theme="1"/>
        <rFont val="Arial"/>
      </rPr>
      <t xml:space="preserve">Department Head Name:  </t>
    </r>
    <r>
      <rPr>
        <b/>
        <sz val="10"/>
        <color theme="1"/>
        <rFont val="Arial"/>
      </rPr>
      <t>Dr. Rosalie P. Manubay</t>
    </r>
  </si>
  <si>
    <t>MFO 1: Curative Health Services</t>
  </si>
  <si>
    <t>MFO 2: Preventive Health Services</t>
  </si>
  <si>
    <t>MFO 3:  Ancillary Healthcare Services</t>
  </si>
  <si>
    <t>MFO 4:  Hospital Administration Services</t>
  </si>
  <si>
    <r>
      <rPr>
        <b/>
        <sz val="10"/>
        <color theme="1"/>
        <rFont val="Arial"/>
      </rPr>
      <t>Strategic Initiative 1:</t>
    </r>
    <r>
      <rPr>
        <sz val="10"/>
        <color theme="1"/>
        <rFont val="Arial"/>
      </rPr>
      <t xml:space="preserve"> </t>
    </r>
  </si>
  <si>
    <t>Centralized Procurement Strategy for Orani District Hospital Medical Needs</t>
  </si>
  <si>
    <r>
      <rPr>
        <b/>
        <sz val="10"/>
        <color theme="1"/>
        <rFont val="Arial"/>
      </rPr>
      <t xml:space="preserve">LCE Priority 
</t>
    </r>
    <r>
      <rPr>
        <i/>
        <sz val="8"/>
        <color theme="1"/>
        <rFont val="Arial"/>
      </rPr>
      <t>For Monitoring</t>
    </r>
  </si>
  <si>
    <r>
      <rPr>
        <b/>
        <sz val="10"/>
        <color theme="1"/>
        <rFont val="Arial"/>
      </rPr>
      <t xml:space="preserve">LCE Priority 035: Mental Health Programs
</t>
    </r>
    <r>
      <rPr>
        <i/>
        <sz val="10"/>
        <color theme="1"/>
        <rFont val="Arial"/>
      </rPr>
      <t>Establish a provincial mental health program with MMWGH​.</t>
    </r>
  </si>
  <si>
    <r>
      <rPr>
        <b/>
        <sz val="10"/>
        <color theme="1"/>
        <rFont val="Arial"/>
      </rPr>
      <t xml:space="preserve">LCE Priority 036: Electronic Medical Records (EMR)
</t>
    </r>
    <r>
      <rPr>
        <i/>
        <sz val="10"/>
        <color theme="1"/>
        <rFont val="Arial"/>
      </rPr>
      <t>Finalize the EMR provider and link with other health facilities​.</t>
    </r>
  </si>
  <si>
    <r>
      <rPr>
        <b/>
        <sz val="10"/>
        <color theme="1"/>
        <rFont val="Arial"/>
      </rPr>
      <t xml:space="preserve">LCE Priority 037: Zero Maternal and Infant Mortality Rate Program
</t>
    </r>
    <r>
      <rPr>
        <i/>
        <sz val="10"/>
        <color theme="1"/>
        <rFont val="Arial"/>
      </rPr>
      <t>Aim for zero maternal and infant mortality​.</t>
    </r>
  </si>
  <si>
    <t>Name of Department:  Bagac Community and Medicare Hospital</t>
  </si>
  <si>
    <r>
      <rPr>
        <sz val="10"/>
        <color theme="1"/>
        <rFont val="Arial"/>
      </rPr>
      <t xml:space="preserve">Department Head Name:  </t>
    </r>
    <r>
      <rPr>
        <b/>
        <sz val="10"/>
        <color theme="1"/>
        <rFont val="Arial"/>
      </rPr>
      <t>Dr. Ma. Bhanghielynne C. Castro</t>
    </r>
  </si>
  <si>
    <r>
      <rPr>
        <b/>
        <sz val="10"/>
        <color theme="1"/>
        <rFont val="Arial"/>
      </rPr>
      <t>Strategic Initiative 1:</t>
    </r>
    <r>
      <rPr>
        <sz val="10"/>
        <color theme="1"/>
        <rFont val="Arial"/>
      </rPr>
      <t xml:space="preserve"> </t>
    </r>
  </si>
  <si>
    <r>
      <rPr>
        <b/>
        <sz val="10"/>
        <color theme="1"/>
        <rFont val="Arial"/>
      </rPr>
      <t xml:space="preserve">LCE Priority 
</t>
    </r>
    <r>
      <rPr>
        <i/>
        <sz val="8"/>
        <color theme="1"/>
        <rFont val="Arial"/>
      </rPr>
      <t>For Monitoring</t>
    </r>
  </si>
  <si>
    <r>
      <rPr>
        <b/>
        <sz val="10"/>
        <color theme="1"/>
        <rFont val="Arial"/>
      </rPr>
      <t xml:space="preserve">LCE Priority 035: Mental Health Programs
</t>
    </r>
    <r>
      <rPr>
        <i/>
        <sz val="10"/>
        <color theme="1"/>
        <rFont val="Arial"/>
      </rPr>
      <t>Establish a provincial mental health program with MMWGH​.</t>
    </r>
  </si>
  <si>
    <r>
      <rPr>
        <b/>
        <sz val="10"/>
        <color theme="1"/>
        <rFont val="Arial"/>
      </rPr>
      <t xml:space="preserve">LCE Priority 036: Electronic Medical Records (EMR)
</t>
    </r>
    <r>
      <rPr>
        <i/>
        <sz val="10"/>
        <color theme="1"/>
        <rFont val="Arial"/>
      </rPr>
      <t>Finalize the EMR provider and link with other health facilities​.</t>
    </r>
  </si>
  <si>
    <r>
      <rPr>
        <b/>
        <sz val="10"/>
        <color theme="1"/>
        <rFont val="Arial"/>
      </rPr>
      <t xml:space="preserve">LCE Priority 037: Zero Maternal and Infant Mortality Rate Program
</t>
    </r>
    <r>
      <rPr>
        <i/>
        <sz val="10"/>
        <color theme="1"/>
        <rFont val="Arial"/>
      </rPr>
      <t>Aim for zero maternal and infant mortality​.</t>
    </r>
  </si>
  <si>
    <t>Name of Department:  Mariveles District Hospital</t>
  </si>
  <si>
    <r>
      <rPr>
        <sz val="10"/>
        <color theme="1"/>
        <rFont val="Arial"/>
      </rPr>
      <t xml:space="preserve">Department Head Name:  </t>
    </r>
    <r>
      <rPr>
        <b/>
        <sz val="10"/>
        <color theme="1"/>
        <rFont val="Arial"/>
      </rPr>
      <t>Dr. Hector Santos</t>
    </r>
  </si>
  <si>
    <r>
      <rPr>
        <b/>
        <sz val="10"/>
        <color theme="1"/>
        <rFont val="Arial"/>
      </rPr>
      <t>Strategic Initiative 1:</t>
    </r>
    <r>
      <rPr>
        <sz val="10"/>
        <color theme="1"/>
        <rFont val="Arial"/>
      </rPr>
      <t xml:space="preserve"> </t>
    </r>
  </si>
  <si>
    <t>Centralized Procurement Strategy for Mariveles District Hospital</t>
  </si>
  <si>
    <r>
      <rPr>
        <b/>
        <sz val="10"/>
        <color theme="1"/>
        <rFont val="Arial"/>
      </rPr>
      <t xml:space="preserve">LCE Priority 
</t>
    </r>
    <r>
      <rPr>
        <i/>
        <sz val="8"/>
        <color theme="1"/>
        <rFont val="Arial"/>
      </rPr>
      <t>For Monitoring</t>
    </r>
  </si>
  <si>
    <r>
      <rPr>
        <b/>
        <sz val="10"/>
        <color theme="1"/>
        <rFont val="Arial"/>
      </rPr>
      <t xml:space="preserve">LCE Priority 035: Mental Health Programs
</t>
    </r>
    <r>
      <rPr>
        <i/>
        <sz val="10"/>
        <color theme="1"/>
        <rFont val="Arial"/>
      </rPr>
      <t>Establish a provincial mental health program with MMWGH​.</t>
    </r>
  </si>
  <si>
    <r>
      <rPr>
        <b/>
        <sz val="10"/>
        <color theme="1"/>
        <rFont val="Arial"/>
      </rPr>
      <t xml:space="preserve">LCE Priority 036: Electronic Medical Records (EMR)
</t>
    </r>
    <r>
      <rPr>
        <i/>
        <sz val="10"/>
        <color theme="1"/>
        <rFont val="Arial"/>
      </rPr>
      <t>Finalize the EMR provider and link with other health facilities​.</t>
    </r>
  </si>
  <si>
    <r>
      <rPr>
        <b/>
        <sz val="10"/>
        <color theme="1"/>
        <rFont val="Arial"/>
      </rPr>
      <t xml:space="preserve">LCE Priority 037: Zero Maternal and Infant Mortality Rate Program
</t>
    </r>
    <r>
      <rPr>
        <i/>
        <sz val="10"/>
        <color theme="1"/>
        <rFont val="Arial"/>
      </rPr>
      <t>Aim for zero maternal and infant mortality​.</t>
    </r>
  </si>
  <si>
    <t>tignan beneficiaries, total area, business involve</t>
  </si>
  <si>
    <t>Per program lang daw and beneficiaries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</si>
</sst>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4" x14ac:knownFonts="1">
    <font>
      <sz val="10"/>
      <color rgb="FF000000"/>
      <name val="Arial"/>
      <scheme val="minor"/>
    </font>
    <font>
      <b/>
      <sz val="10"/>
      <color theme="1"/>
      <name val="Helvetica"/>
    </font>
    <font>
      <b/>
      <sz val="10"/>
      <color theme="1"/>
      <name val="Arial"/>
    </font>
    <font>
      <b/>
      <sz val="10"/>
      <color theme="1"/>
      <name val="Arial"/>
      <scheme val="minor"/>
    </font>
    <font>
      <b/>
      <sz val="10"/>
      <color theme="1"/>
      <name val="Arial"/>
      <scheme val="minor"/>
    </font>
    <font>
      <b/>
      <sz val="10"/>
      <color rgb="FF000000"/>
      <name val="Arial"/>
      <scheme val="minor"/>
    </font>
    <font>
      <sz val="10"/>
      <color theme="1"/>
      <name val="Arial"/>
      <scheme val="minor"/>
    </font>
    <font>
      <sz val="10"/>
      <color rgb="FF000000"/>
      <name val="Arial"/>
      <scheme val="minor"/>
    </font>
    <font>
      <sz val="10"/>
      <color rgb="FF073763"/>
      <name val="Arial"/>
      <scheme val="minor"/>
    </font>
    <font>
      <i/>
      <sz val="10"/>
      <color theme="1"/>
      <name val="Arial"/>
      <scheme val="minor"/>
    </font>
    <font>
      <b/>
      <sz val="9"/>
      <color theme="1"/>
      <name val="Helvetica"/>
    </font>
    <font>
      <sz val="9"/>
      <color theme="1"/>
      <name val="Helvetica"/>
    </font>
    <font>
      <sz val="9"/>
      <color rgb="FF000000"/>
      <name val="Helvetica"/>
    </font>
    <font>
      <sz val="10"/>
      <color rgb="FFD9EAD3"/>
      <name val="Arial"/>
      <scheme val="minor"/>
    </font>
    <font>
      <sz val="10"/>
      <color theme="1"/>
      <name val="Arial"/>
      <scheme val="minor"/>
    </font>
    <font>
      <sz val="10"/>
      <color theme="0"/>
      <name val="Arial"/>
      <scheme val="minor"/>
    </font>
    <font>
      <sz val="8"/>
      <color theme="1"/>
      <name val="Arial"/>
      <scheme val="minor"/>
    </font>
    <font>
      <sz val="7"/>
      <color theme="1"/>
      <name val="Arial"/>
      <scheme val="minor"/>
    </font>
    <font>
      <sz val="10"/>
      <name val="Arial"/>
    </font>
    <font>
      <sz val="10"/>
      <color rgb="FF000000"/>
      <name val="Arial"/>
    </font>
    <font>
      <sz val="11"/>
      <color theme="1"/>
      <name val="Calibri"/>
    </font>
    <font>
      <sz val="12"/>
      <color theme="1"/>
      <name val="Calibri"/>
    </font>
    <font>
      <sz val="10"/>
      <color theme="1"/>
      <name val="Arial"/>
    </font>
    <font>
      <b/>
      <sz val="12"/>
      <color theme="1"/>
      <name val="Calibri"/>
    </font>
    <font>
      <sz val="10"/>
      <color rgb="FFFF0000"/>
      <name val="Arial"/>
      <scheme val="minor"/>
    </font>
    <font>
      <sz val="11"/>
      <color theme="1"/>
      <name val="Arial"/>
      <scheme val="minor"/>
    </font>
    <font>
      <b/>
      <sz val="10"/>
      <color rgb="FF000000"/>
      <name val="Arial"/>
      <scheme val="minor"/>
    </font>
    <font>
      <sz val="10"/>
      <color rgb="FF1C4587"/>
      <name val="Arial"/>
    </font>
    <font>
      <i/>
      <sz val="8"/>
      <color theme="1"/>
      <name val="Arial"/>
    </font>
    <font>
      <i/>
      <sz val="10"/>
      <color theme="1"/>
      <name val="Arial"/>
    </font>
    <font>
      <b/>
      <sz val="10"/>
      <color rgb="FF000000"/>
      <name val="Arial"/>
    </font>
    <font>
      <i/>
      <sz val="10"/>
      <color rgb="FF000000"/>
      <name val="Arial"/>
    </font>
    <font>
      <i/>
      <sz val="10"/>
      <color rgb="FF980000"/>
      <name val="Arial"/>
    </font>
    <font>
      <sz val="10"/>
      <color rgb="FFFF0000"/>
      <name val="Arial"/>
    </font>
  </fonts>
  <fills count="8">
    <fill>
      <patternFill patternType="none"/>
    </fill>
    <fill>
      <patternFill patternType="gray125"/>
    </fill>
    <fill>
      <patternFill patternType="solid">
        <fgColor rgb="FF00FF00"/>
        <bgColor rgb="FF00FF00"/>
      </patternFill>
    </fill>
    <fill>
      <patternFill patternType="solid">
        <fgColor rgb="FFD0E0E3"/>
        <bgColor rgb="FFD0E0E3"/>
      </patternFill>
    </fill>
    <fill>
      <patternFill patternType="solid">
        <fgColor rgb="FFFFFF00"/>
        <bgColor rgb="FFFFFF00"/>
      </patternFill>
    </fill>
    <fill>
      <patternFill patternType="solid">
        <fgColor rgb="FFD9EAD3"/>
        <bgColor rgb="FFD9EAD3"/>
      </patternFill>
    </fill>
    <fill>
      <patternFill patternType="solid">
        <fgColor rgb="FFFFFFFF"/>
        <bgColor rgb="FFFFFFFF"/>
      </patternFill>
    </fill>
    <fill>
      <patternFill patternType="solid">
        <fgColor rgb="FFC9DAF8"/>
        <bgColor rgb="FFC9DAF8"/>
      </patternFill>
    </fill>
  </fills>
  <borders count="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157">
    <xf numFmtId="0" fontId="0" fillId="0" borderId="0" xfId="0"/>
    <xf numFmtId="0" fontId="1" fillId="0" borderId="0" xfId="0" applyFont="1" applyAlignment="1">
      <alignment horizontal="center" vertical="center" wrapText="1"/>
    </xf>
    <xf numFmtId="0" fontId="2" fillId="0" borderId="0" xfId="0" applyFont="1" applyAlignment="1">
      <alignment horizontal="center" vertical="center" wrapText="1"/>
    </xf>
    <xf numFmtId="0" fontId="3" fillId="0" borderId="0" xfId="0" applyFont="1" applyAlignment="1">
      <alignment horizontal="center" vertical="center" wrapText="1"/>
    </xf>
    <xf numFmtId="0" fontId="3" fillId="0" borderId="0" xfId="0" applyFont="1" applyAlignment="1">
      <alignment horizontal="center" vertical="center"/>
    </xf>
    <xf numFmtId="0" fontId="4" fillId="0" borderId="0" xfId="0" applyFont="1" applyAlignment="1">
      <alignment horizontal="center" vertical="center" wrapText="1"/>
    </xf>
    <xf numFmtId="0" fontId="5" fillId="0" borderId="0" xfId="0" applyFont="1" applyAlignment="1">
      <alignment horizontal="center" vertical="center" wrapText="1"/>
    </xf>
    <xf numFmtId="0" fontId="6" fillId="0" borderId="0" xfId="0" applyFont="1" applyAlignment="1">
      <alignment wrapText="1"/>
    </xf>
    <xf numFmtId="0" fontId="6" fillId="0" borderId="0" xfId="0" quotePrefix="1" applyFont="1" applyAlignment="1">
      <alignment horizontal="right" wrapText="1"/>
    </xf>
    <xf numFmtId="0" fontId="6" fillId="0" borderId="0" xfId="0" applyFont="1" applyAlignment="1">
      <alignment horizontal="right" wrapText="1"/>
    </xf>
    <xf numFmtId="0" fontId="6" fillId="2" borderId="0" xfId="0" applyFont="1" applyFill="1"/>
    <xf numFmtId="0" fontId="7" fillId="3" borderId="0" xfId="0" applyFont="1" applyFill="1" applyAlignment="1">
      <alignment wrapText="1"/>
    </xf>
    <xf numFmtId="0" fontId="6" fillId="3" borderId="0" xfId="0" applyFont="1" applyFill="1" applyAlignment="1">
      <alignment wrapText="1"/>
    </xf>
    <xf numFmtId="0" fontId="6" fillId="3" borderId="0" xfId="0" quotePrefix="1" applyFont="1" applyFill="1" applyAlignment="1">
      <alignment horizontal="right" wrapText="1"/>
    </xf>
    <xf numFmtId="0" fontId="6" fillId="3" borderId="0" xfId="0" applyFont="1" applyFill="1" applyAlignment="1">
      <alignment horizontal="right" wrapText="1"/>
    </xf>
    <xf numFmtId="0" fontId="8" fillId="3" borderId="0" xfId="0" applyFont="1" applyFill="1" applyAlignment="1">
      <alignment wrapText="1"/>
    </xf>
    <xf numFmtId="0" fontId="7" fillId="0" borderId="0" xfId="0" applyFont="1" applyAlignment="1">
      <alignment wrapText="1"/>
    </xf>
    <xf numFmtId="0" fontId="7" fillId="0" borderId="0" xfId="0" quotePrefix="1" applyFont="1" applyAlignment="1">
      <alignment horizontal="right" wrapText="1"/>
    </xf>
    <xf numFmtId="0" fontId="7" fillId="0" borderId="0" xfId="0" applyFont="1" applyAlignment="1">
      <alignment horizontal="right" wrapText="1"/>
    </xf>
    <xf numFmtId="0" fontId="6" fillId="0" borderId="0" xfId="0" applyFont="1"/>
    <xf numFmtId="0" fontId="9" fillId="0" borderId="0" xfId="0" applyFont="1"/>
    <xf numFmtId="0" fontId="7" fillId="3" borderId="0" xfId="0" quotePrefix="1" applyFont="1" applyFill="1" applyAlignment="1">
      <alignment horizontal="right" wrapText="1"/>
    </xf>
    <xf numFmtId="0" fontId="7" fillId="3" borderId="0" xfId="0" applyFont="1" applyFill="1" applyAlignment="1">
      <alignment horizontal="right" wrapText="1"/>
    </xf>
    <xf numFmtId="0" fontId="6" fillId="3" borderId="0" xfId="0" applyFont="1" applyFill="1"/>
    <xf numFmtId="0" fontId="10" fillId="0" borderId="0" xfId="0" applyFont="1" applyAlignment="1">
      <alignment horizontal="center" vertical="top"/>
    </xf>
    <xf numFmtId="0" fontId="11" fillId="0" borderId="0" xfId="0" applyFont="1" applyAlignment="1">
      <alignment vertical="top"/>
    </xf>
    <xf numFmtId="0" fontId="11" fillId="4" borderId="0" xfId="0" applyFont="1" applyFill="1" applyAlignment="1">
      <alignment vertical="top"/>
    </xf>
    <xf numFmtId="0" fontId="12" fillId="5" borderId="0" xfId="0" applyFont="1" applyFill="1" applyAlignment="1">
      <alignment vertical="top"/>
    </xf>
    <xf numFmtId="0" fontId="11" fillId="5" borderId="0" xfId="0" applyFont="1" applyFill="1" applyAlignment="1">
      <alignment vertical="top"/>
    </xf>
    <xf numFmtId="0" fontId="13" fillId="0" borderId="0" xfId="0" applyFont="1"/>
    <xf numFmtId="0" fontId="6" fillId="6" borderId="0" xfId="0" applyFont="1" applyFill="1"/>
    <xf numFmtId="0" fontId="14" fillId="0" borderId="0" xfId="0" applyFont="1" applyAlignment="1">
      <alignment wrapText="1"/>
    </xf>
    <xf numFmtId="0" fontId="14" fillId="0" borderId="0" xfId="0" applyFont="1"/>
    <xf numFmtId="0" fontId="4" fillId="0" borderId="0" xfId="0" applyFont="1" applyAlignment="1">
      <alignment wrapText="1"/>
    </xf>
    <xf numFmtId="9" fontId="5" fillId="0" borderId="0" xfId="0" applyNumberFormat="1" applyFont="1"/>
    <xf numFmtId="9" fontId="4" fillId="0" borderId="0" xfId="0" applyNumberFormat="1" applyFont="1"/>
    <xf numFmtId="10" fontId="6" fillId="0" borderId="0" xfId="0" applyNumberFormat="1" applyFont="1"/>
    <xf numFmtId="0" fontId="15" fillId="0" borderId="0" xfId="0" applyFont="1"/>
    <xf numFmtId="0" fontId="7" fillId="0" borderId="0" xfId="0" applyFont="1"/>
    <xf numFmtId="9" fontId="7" fillId="0" borderId="0" xfId="0" applyNumberFormat="1" applyFont="1"/>
    <xf numFmtId="0" fontId="4" fillId="0" borderId="0" xfId="0" applyFont="1"/>
    <xf numFmtId="0" fontId="4" fillId="7" borderId="1" xfId="0" applyFont="1" applyFill="1" applyBorder="1" applyAlignment="1">
      <alignment wrapText="1"/>
    </xf>
    <xf numFmtId="0" fontId="6" fillId="0" borderId="1" xfId="0" applyFont="1" applyBorder="1" applyAlignment="1">
      <alignment wrapText="1"/>
    </xf>
    <xf numFmtId="0" fontId="4" fillId="0" borderId="1" xfId="0" applyFont="1" applyBorder="1" applyAlignment="1">
      <alignment wrapText="1"/>
    </xf>
    <xf numFmtId="0" fontId="16" fillId="0" borderId="0" xfId="0" applyFont="1" applyAlignment="1">
      <alignment wrapText="1"/>
    </xf>
    <xf numFmtId="0" fontId="6" fillId="5" borderId="0" xfId="0" applyFont="1" applyFill="1" applyAlignment="1">
      <alignment wrapText="1"/>
    </xf>
    <xf numFmtId="9" fontId="6" fillId="5" borderId="0" xfId="0" applyNumberFormat="1" applyFont="1" applyFill="1" applyAlignment="1">
      <alignment wrapText="1"/>
    </xf>
    <xf numFmtId="0" fontId="17" fillId="0" borderId="0" xfId="0" applyFont="1" applyAlignment="1">
      <alignment wrapText="1"/>
    </xf>
    <xf numFmtId="0" fontId="6" fillId="3" borderId="0" xfId="0" applyFont="1" applyFill="1" applyAlignment="1">
      <alignment horizontal="left" vertical="top" wrapText="1"/>
    </xf>
    <xf numFmtId="0" fontId="3" fillId="0" borderId="1" xfId="0" applyFont="1" applyBorder="1"/>
    <xf numFmtId="0" fontId="3" fillId="0" borderId="1" xfId="0" applyFont="1" applyBorder="1" applyAlignment="1">
      <alignment horizontal="center" wrapText="1"/>
    </xf>
    <xf numFmtId="0" fontId="4" fillId="0" borderId="1" xfId="0" applyFont="1" applyBorder="1" applyAlignment="1">
      <alignment horizontal="center" wrapText="1"/>
    </xf>
    <xf numFmtId="0" fontId="4" fillId="0" borderId="1" xfId="0" applyFont="1" applyBorder="1" applyAlignment="1">
      <alignment horizontal="center"/>
    </xf>
    <xf numFmtId="0" fontId="4" fillId="0" borderId="1" xfId="0" applyFont="1" applyBorder="1"/>
    <xf numFmtId="9" fontId="5" fillId="7" borderId="1" xfId="0" applyNumberFormat="1" applyFont="1" applyFill="1" applyBorder="1"/>
    <xf numFmtId="9" fontId="6" fillId="7" borderId="1" xfId="0" applyNumberFormat="1" applyFont="1" applyFill="1" applyBorder="1"/>
    <xf numFmtId="9" fontId="4" fillId="7" borderId="1" xfId="0" applyNumberFormat="1" applyFont="1" applyFill="1" applyBorder="1"/>
    <xf numFmtId="0" fontId="6" fillId="7" borderId="1" xfId="0" applyFont="1" applyFill="1" applyBorder="1" applyAlignment="1">
      <alignment wrapText="1"/>
    </xf>
    <xf numFmtId="0" fontId="6" fillId="7" borderId="1" xfId="0" applyFont="1" applyFill="1" applyBorder="1"/>
    <xf numFmtId="9" fontId="6" fillId="0" borderId="1" xfId="0" applyNumberFormat="1" applyFont="1" applyBorder="1"/>
    <xf numFmtId="0" fontId="6" fillId="0" borderId="1" xfId="0" applyFont="1" applyBorder="1"/>
    <xf numFmtId="9" fontId="6" fillId="0" borderId="1" xfId="0" applyNumberFormat="1" applyFont="1" applyBorder="1" applyAlignment="1">
      <alignment wrapText="1"/>
    </xf>
    <xf numFmtId="10" fontId="6" fillId="0" borderId="1" xfId="0" applyNumberFormat="1" applyFont="1" applyBorder="1"/>
    <xf numFmtId="0" fontId="6" fillId="0" borderId="1" xfId="0" applyFont="1" applyBorder="1" applyAlignment="1">
      <alignment horizontal="center" wrapText="1"/>
    </xf>
    <xf numFmtId="9" fontId="4" fillId="0" borderId="1" xfId="0" applyNumberFormat="1" applyFont="1" applyBorder="1"/>
    <xf numFmtId="9" fontId="4" fillId="7" borderId="1" xfId="0" applyNumberFormat="1" applyFont="1" applyFill="1" applyBorder="1" applyAlignment="1">
      <alignment wrapText="1"/>
    </xf>
    <xf numFmtId="0" fontId="4" fillId="0" borderId="1" xfId="0" applyFont="1" applyBorder="1" applyAlignment="1">
      <alignment vertical="top" wrapText="1"/>
    </xf>
    <xf numFmtId="0" fontId="7" fillId="0" borderId="1" xfId="0" applyFont="1" applyBorder="1" applyAlignment="1">
      <alignment vertical="top"/>
    </xf>
    <xf numFmtId="0" fontId="14" fillId="0" borderId="1" xfId="0" applyFont="1" applyBorder="1" applyAlignment="1">
      <alignment vertical="center" wrapText="1"/>
    </xf>
    <xf numFmtId="0" fontId="6" fillId="0" borderId="1" xfId="0" applyFont="1" applyBorder="1" applyAlignment="1">
      <alignment horizontal="left" vertical="top" wrapText="1"/>
    </xf>
    <xf numFmtId="0" fontId="6" fillId="0" borderId="1" xfId="0" applyFont="1" applyBorder="1" applyAlignment="1">
      <alignment vertical="top" wrapText="1"/>
    </xf>
    <xf numFmtId="9" fontId="6" fillId="0" borderId="1" xfId="0" applyNumberFormat="1" applyFont="1" applyBorder="1" applyAlignment="1">
      <alignment vertical="top"/>
    </xf>
    <xf numFmtId="0" fontId="6" fillId="0" borderId="0" xfId="0" applyFont="1" applyAlignment="1">
      <alignment vertical="top"/>
    </xf>
    <xf numFmtId="9" fontId="6" fillId="0" borderId="1" xfId="0" applyNumberFormat="1" applyFont="1" applyBorder="1" applyAlignment="1">
      <alignment vertical="top" wrapText="1"/>
    </xf>
    <xf numFmtId="0" fontId="6" fillId="0" borderId="1" xfId="0" applyFont="1" applyBorder="1" applyAlignment="1">
      <alignment vertical="top"/>
    </xf>
    <xf numFmtId="9" fontId="5" fillId="0" borderId="1" xfId="0" applyNumberFormat="1" applyFont="1" applyBorder="1" applyAlignment="1">
      <alignment vertical="top"/>
    </xf>
    <xf numFmtId="9" fontId="4" fillId="0" borderId="1" xfId="0" applyNumberFormat="1" applyFont="1" applyBorder="1" applyAlignment="1">
      <alignment vertical="top"/>
    </xf>
    <xf numFmtId="0" fontId="4" fillId="0" borderId="1" xfId="0" applyFont="1" applyBorder="1" applyAlignment="1">
      <alignment vertical="top"/>
    </xf>
    <xf numFmtId="10" fontId="4" fillId="7" borderId="1" xfId="0" applyNumberFormat="1" applyFont="1" applyFill="1" applyBorder="1" applyAlignment="1">
      <alignment wrapText="1"/>
    </xf>
    <xf numFmtId="0" fontId="6" fillId="0" borderId="1" xfId="0" applyFont="1" applyBorder="1" applyAlignment="1">
      <alignment vertical="center" wrapText="1"/>
    </xf>
    <xf numFmtId="9" fontId="6" fillId="0" borderId="1" xfId="0" applyNumberFormat="1" applyFont="1" applyBorder="1" applyAlignment="1">
      <alignment vertical="center"/>
    </xf>
    <xf numFmtId="0" fontId="6" fillId="0" borderId="1" xfId="0" applyFont="1" applyBorder="1" applyAlignment="1">
      <alignment vertical="center"/>
    </xf>
    <xf numFmtId="0" fontId="6" fillId="0" borderId="0" xfId="0" applyFont="1" applyAlignment="1">
      <alignment horizontal="left" vertical="center"/>
    </xf>
    <xf numFmtId="0" fontId="4" fillId="0" borderId="1" xfId="0" applyFont="1" applyBorder="1" applyAlignment="1">
      <alignment vertical="center" wrapText="1"/>
    </xf>
    <xf numFmtId="0" fontId="19" fillId="0" borderId="0" xfId="0" applyFont="1" applyAlignment="1">
      <alignment horizontal="left" vertical="center"/>
    </xf>
    <xf numFmtId="0" fontId="6" fillId="0" borderId="0" xfId="0" applyFont="1" applyAlignment="1">
      <alignment vertical="center"/>
    </xf>
    <xf numFmtId="0" fontId="6" fillId="0" borderId="1" xfId="0" quotePrefix="1" applyFont="1" applyBorder="1" applyAlignment="1">
      <alignment wrapText="1"/>
    </xf>
    <xf numFmtId="0" fontId="9" fillId="0" borderId="1" xfId="0" quotePrefix="1" applyFont="1" applyBorder="1" applyAlignment="1">
      <alignment vertical="top" wrapText="1"/>
    </xf>
    <xf numFmtId="9" fontId="4" fillId="0" borderId="1" xfId="0" applyNumberFormat="1" applyFont="1" applyBorder="1" applyAlignment="1">
      <alignment wrapText="1"/>
    </xf>
    <xf numFmtId="0" fontId="6" fillId="0" borderId="0" xfId="0" applyFont="1" applyAlignment="1">
      <alignment vertical="top" wrapText="1"/>
    </xf>
    <xf numFmtId="0" fontId="9" fillId="0" borderId="1" xfId="0" applyFont="1" applyBorder="1" applyAlignment="1">
      <alignment vertical="top" wrapText="1"/>
    </xf>
    <xf numFmtId="10" fontId="6" fillId="7" borderId="1" xfId="0" applyNumberFormat="1" applyFont="1" applyFill="1" applyBorder="1"/>
    <xf numFmtId="10" fontId="4" fillId="0" borderId="1" xfId="0" applyNumberFormat="1" applyFont="1" applyBorder="1"/>
    <xf numFmtId="0" fontId="20" fillId="0" borderId="1" xfId="0" applyFont="1" applyBorder="1" applyAlignment="1">
      <alignment wrapText="1"/>
    </xf>
    <xf numFmtId="0" fontId="3" fillId="0" borderId="1" xfId="0" applyFont="1" applyBorder="1" applyAlignment="1">
      <alignment horizontal="center"/>
    </xf>
    <xf numFmtId="0" fontId="4" fillId="0" borderId="1" xfId="0" applyFont="1" applyBorder="1" applyAlignment="1">
      <alignment horizontal="center" vertical="center"/>
    </xf>
    <xf numFmtId="0" fontId="6" fillId="7" borderId="1" xfId="0" applyFont="1" applyFill="1" applyBorder="1" applyAlignment="1">
      <alignment vertical="center"/>
    </xf>
    <xf numFmtId="0" fontId="5" fillId="0" borderId="1" xfId="0" applyFont="1" applyBorder="1" applyAlignment="1">
      <alignment vertical="top" wrapText="1"/>
    </xf>
    <xf numFmtId="0" fontId="14" fillId="0" borderId="1" xfId="0" applyFont="1" applyBorder="1" applyAlignment="1">
      <alignment vertical="top" wrapText="1"/>
    </xf>
    <xf numFmtId="0" fontId="6" fillId="0" borderId="0" xfId="0" applyFont="1" applyAlignment="1">
      <alignment vertical="center" wrapText="1"/>
    </xf>
    <xf numFmtId="0" fontId="21" fillId="0" borderId="0" xfId="0" applyFont="1" applyAlignment="1">
      <alignment wrapText="1"/>
    </xf>
    <xf numFmtId="0" fontId="22" fillId="0" borderId="0" xfId="0" applyFont="1"/>
    <xf numFmtId="0" fontId="23" fillId="0" borderId="0" xfId="0" applyFont="1" applyAlignment="1">
      <alignment wrapText="1"/>
    </xf>
    <xf numFmtId="0" fontId="6" fillId="0" borderId="1" xfId="0" applyFont="1" applyBorder="1" applyAlignment="1">
      <alignment horizontal="center" vertical="center" wrapText="1"/>
    </xf>
    <xf numFmtId="0" fontId="24" fillId="0" borderId="1" xfId="0" applyFont="1" applyBorder="1" applyAlignment="1">
      <alignment wrapText="1"/>
    </xf>
    <xf numFmtId="9" fontId="24" fillId="0" borderId="1" xfId="0" applyNumberFormat="1" applyFont="1" applyBorder="1"/>
    <xf numFmtId="0" fontId="24" fillId="0" borderId="1" xfId="0" applyFont="1" applyBorder="1"/>
    <xf numFmtId="9" fontId="24" fillId="0" borderId="1" xfId="0" applyNumberFormat="1" applyFont="1" applyBorder="1" applyAlignment="1">
      <alignment wrapText="1"/>
    </xf>
    <xf numFmtId="0" fontId="9" fillId="0" borderId="5" xfId="0" applyFont="1" applyBorder="1" applyAlignment="1">
      <alignment vertical="top" wrapText="1"/>
    </xf>
    <xf numFmtId="0" fontId="4" fillId="4" borderId="1" xfId="0" applyFont="1" applyFill="1" applyBorder="1" applyAlignment="1">
      <alignment horizontal="center" wrapText="1"/>
    </xf>
    <xf numFmtId="0" fontId="6" fillId="4" borderId="1" xfId="0" applyFont="1" applyFill="1" applyBorder="1" applyAlignment="1">
      <alignment wrapText="1"/>
    </xf>
    <xf numFmtId="0" fontId="6" fillId="4" borderId="1" xfId="0" applyFont="1" applyFill="1" applyBorder="1" applyAlignment="1">
      <alignment horizontal="right" vertical="center" wrapText="1"/>
    </xf>
    <xf numFmtId="0" fontId="6" fillId="4" borderId="1" xfId="0" applyFont="1" applyFill="1" applyBorder="1" applyAlignment="1">
      <alignment horizontal="right" vertical="center"/>
    </xf>
    <xf numFmtId="9" fontId="6" fillId="4" borderId="1" xfId="0" applyNumberFormat="1" applyFont="1" applyFill="1" applyBorder="1" applyAlignment="1">
      <alignment horizontal="right" vertical="center"/>
    </xf>
    <xf numFmtId="9" fontId="6" fillId="4" borderId="1" xfId="0" applyNumberFormat="1" applyFont="1" applyFill="1" applyBorder="1" applyAlignment="1">
      <alignment wrapText="1"/>
    </xf>
    <xf numFmtId="9" fontId="6" fillId="6" borderId="1" xfId="0" applyNumberFormat="1" applyFont="1" applyFill="1" applyBorder="1" applyAlignment="1">
      <alignment wrapText="1"/>
    </xf>
    <xf numFmtId="9" fontId="6" fillId="0" borderId="1" xfId="0" applyNumberFormat="1" applyFont="1" applyBorder="1" applyAlignment="1">
      <alignment horizontal="right" vertical="center" wrapText="1"/>
    </xf>
    <xf numFmtId="9" fontId="6" fillId="0" borderId="1" xfId="0" applyNumberFormat="1" applyFont="1" applyBorder="1" applyAlignment="1">
      <alignment horizontal="right" vertical="center"/>
    </xf>
    <xf numFmtId="0" fontId="6" fillId="4" borderId="0" xfId="0" applyFont="1" applyFill="1" applyAlignment="1">
      <alignment wrapText="1"/>
    </xf>
    <xf numFmtId="0" fontId="14" fillId="4" borderId="1" xfId="0" applyFont="1" applyFill="1" applyBorder="1" applyAlignment="1">
      <alignment vertical="center" wrapText="1"/>
    </xf>
    <xf numFmtId="0" fontId="6" fillId="0" borderId="1" xfId="0" quotePrefix="1" applyFont="1" applyBorder="1" applyAlignment="1">
      <alignment vertical="top" wrapText="1"/>
    </xf>
    <xf numFmtId="0" fontId="25" fillId="0" borderId="1" xfId="0" applyFont="1" applyBorder="1" applyAlignment="1">
      <alignment horizontal="left" vertical="center" wrapText="1"/>
    </xf>
    <xf numFmtId="0" fontId="26" fillId="0" borderId="1" xfId="0" applyFont="1" applyBorder="1" applyAlignment="1">
      <alignment horizontal="center" wrapText="1"/>
    </xf>
    <xf numFmtId="0" fontId="5" fillId="0" borderId="1" xfId="0" applyFont="1" applyBorder="1" applyAlignment="1">
      <alignment horizontal="center" wrapText="1"/>
    </xf>
    <xf numFmtId="9" fontId="6" fillId="0" borderId="1" xfId="0" applyNumberFormat="1" applyFont="1" applyBorder="1" applyAlignment="1">
      <alignment vertical="center" wrapText="1"/>
    </xf>
    <xf numFmtId="0" fontId="7" fillId="0" borderId="1" xfId="0" applyFont="1" applyBorder="1" applyAlignment="1">
      <alignment vertical="center" wrapText="1"/>
    </xf>
    <xf numFmtId="0" fontId="24" fillId="0" borderId="0" xfId="0" applyFont="1" applyAlignment="1">
      <alignment horizontal="left" vertical="center" wrapText="1"/>
    </xf>
    <xf numFmtId="0" fontId="6" fillId="0" borderId="1" xfId="0" applyFont="1" applyBorder="1" applyAlignment="1">
      <alignment horizontal="left" wrapText="1"/>
    </xf>
    <xf numFmtId="0" fontId="7" fillId="0" borderId="1" xfId="0" applyFont="1" applyBorder="1" applyAlignment="1">
      <alignment wrapText="1"/>
    </xf>
    <xf numFmtId="0" fontId="4" fillId="0" borderId="0" xfId="0" applyFont="1" applyAlignment="1">
      <alignment horizontal="center" vertical="center" wrapText="1"/>
    </xf>
    <xf numFmtId="0" fontId="0" fillId="0" borderId="0" xfId="0"/>
    <xf numFmtId="0" fontId="5" fillId="0" borderId="0" xfId="0" applyFont="1" applyAlignment="1">
      <alignment horizontal="center" vertical="center" wrapText="1"/>
    </xf>
    <xf numFmtId="0" fontId="4" fillId="3" borderId="0" xfId="0" applyFont="1" applyFill="1" applyAlignment="1">
      <alignment horizontal="center" vertical="center" wrapText="1"/>
    </xf>
    <xf numFmtId="0" fontId="11" fillId="0" borderId="0" xfId="0" applyFont="1" applyAlignment="1">
      <alignment horizontal="center" vertical="center"/>
    </xf>
    <xf numFmtId="0" fontId="11" fillId="5" borderId="0" xfId="0" applyFont="1" applyFill="1" applyAlignment="1">
      <alignment horizontal="center" vertical="center"/>
    </xf>
    <xf numFmtId="0" fontId="11" fillId="0" borderId="0" xfId="0" applyFont="1" applyAlignment="1">
      <alignment horizontal="center" vertical="center" wrapText="1"/>
    </xf>
    <xf numFmtId="0" fontId="11" fillId="5" borderId="0" xfId="0" applyFont="1" applyFill="1" applyAlignment="1">
      <alignment horizontal="center" vertical="center" wrapText="1"/>
    </xf>
    <xf numFmtId="0" fontId="14" fillId="0" borderId="0" xfId="0" applyFont="1" applyAlignment="1">
      <alignment horizontal="center"/>
    </xf>
    <xf numFmtId="0" fontId="6" fillId="0" borderId="0" xfId="0" applyFont="1" applyAlignment="1">
      <alignment wrapText="1"/>
    </xf>
    <xf numFmtId="0" fontId="6" fillId="0" borderId="0" xfId="0" applyFont="1" applyAlignment="1">
      <alignment horizontal="center" wrapText="1"/>
    </xf>
    <xf numFmtId="0" fontId="4" fillId="0" borderId="0" xfId="0" applyFont="1" applyAlignment="1">
      <alignment horizontal="center" wrapText="1"/>
    </xf>
    <xf numFmtId="0" fontId="6" fillId="0" borderId="2" xfId="0" applyFont="1" applyBorder="1" applyAlignment="1">
      <alignment wrapText="1"/>
    </xf>
    <xf numFmtId="0" fontId="18" fillId="0" borderId="3" xfId="0" applyFont="1" applyBorder="1"/>
    <xf numFmtId="0" fontId="18" fillId="0" borderId="4" xfId="0" applyFont="1" applyBorder="1"/>
    <xf numFmtId="0" fontId="14" fillId="0" borderId="2" xfId="0" applyFont="1" applyBorder="1" applyAlignment="1">
      <alignment wrapText="1"/>
    </xf>
    <xf numFmtId="0" fontId="3" fillId="0" borderId="2" xfId="0" applyFont="1" applyBorder="1" applyAlignment="1">
      <alignment horizontal="center"/>
    </xf>
    <xf numFmtId="0" fontId="6" fillId="0" borderId="5" xfId="0" applyFont="1" applyBorder="1" applyAlignment="1">
      <alignment vertical="top" wrapText="1"/>
    </xf>
    <xf numFmtId="0" fontId="18" fillId="0" borderId="7" xfId="0" applyFont="1" applyBorder="1"/>
    <xf numFmtId="9" fontId="6" fillId="0" borderId="5" xfId="0" applyNumberFormat="1" applyFont="1" applyBorder="1" applyAlignment="1">
      <alignment vertical="top"/>
    </xf>
    <xf numFmtId="0" fontId="6" fillId="0" borderId="5" xfId="0" applyFont="1" applyBorder="1" applyAlignment="1">
      <alignment vertical="top"/>
    </xf>
    <xf numFmtId="0" fontId="18" fillId="0" borderId="6" xfId="0" applyFont="1" applyBorder="1"/>
    <xf numFmtId="0" fontId="9" fillId="0" borderId="5" xfId="0" quotePrefix="1" applyFont="1" applyBorder="1" applyAlignment="1">
      <alignment vertical="top" wrapText="1"/>
    </xf>
    <xf numFmtId="0" fontId="4" fillId="7" borderId="2" xfId="0" applyFont="1" applyFill="1" applyBorder="1" applyAlignment="1">
      <alignment wrapText="1"/>
    </xf>
    <xf numFmtId="0" fontId="4" fillId="0" borderId="5" xfId="0" applyFont="1" applyBorder="1" applyAlignment="1">
      <alignment vertical="top"/>
    </xf>
    <xf numFmtId="0" fontId="6" fillId="0" borderId="5" xfId="0" applyFont="1" applyBorder="1" applyAlignment="1">
      <alignment vertical="center" wrapText="1"/>
    </xf>
    <xf numFmtId="9" fontId="6" fillId="0" borderId="5" xfId="0" applyNumberFormat="1" applyFont="1" applyBorder="1" applyAlignment="1">
      <alignment vertical="center"/>
    </xf>
    <xf numFmtId="0" fontId="6" fillId="0" borderId="5" xfId="0" applyFont="1" applyBorder="1" applyAlignment="1">
      <alignmen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tyles" Target="styles.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AE861"/>
  <sheetViews>
    <sheetView tabSelected="1" workbookViewId="0">
      <pane ySplit="1" topLeftCell="A30" activePane="bottomLeft" state="frozen"/>
      <selection pane="bottomLeft" activeCell="C31" sqref="C31"/>
    </sheetView>
  </sheetViews>
  <sheetFormatPr defaultColWidth="12.6640625" defaultRowHeight="15.75" customHeight="1" x14ac:dyDescent="0.25"/>
  <cols>
    <col min="1" max="1" width="14.109375" customWidth="1"/>
    <col min="2" max="2" width="12.6640625" customWidth="1"/>
    <col min="3" max="3" width="35" customWidth="1"/>
    <col min="4" max="4" width="11.44140625" customWidth="1"/>
    <col min="5" max="5" width="11.5546875" customWidth="1"/>
    <col min="6" max="8" width="15.109375" hidden="1" customWidth="1"/>
    <col min="9" max="9" width="8.33203125" customWidth="1"/>
    <col min="10" max="10" width="27" customWidth="1"/>
    <col min="11" max="11" width="35.6640625" customWidth="1"/>
    <col min="12" max="12" width="22.5546875" customWidth="1"/>
  </cols>
  <sheetData>
    <row r="1" spans="1:31" ht="39.6" x14ac:dyDescent="0.25">
      <c r="A1" s="1" t="s">
        <v>0</v>
      </c>
      <c r="B1" s="1" t="s">
        <v>1</v>
      </c>
      <c r="C1" s="1" t="s">
        <v>2</v>
      </c>
      <c r="D1" s="2" t="s">
        <v>3</v>
      </c>
      <c r="E1" s="2" t="s">
        <v>4</v>
      </c>
      <c r="F1" s="2" t="s">
        <v>5</v>
      </c>
      <c r="G1" s="2" t="s">
        <v>6</v>
      </c>
      <c r="H1" s="2" t="s">
        <v>7</v>
      </c>
      <c r="I1" s="3" t="s">
        <v>8</v>
      </c>
      <c r="J1" s="3" t="s">
        <v>9</v>
      </c>
      <c r="K1" s="3" t="s">
        <v>10</v>
      </c>
      <c r="L1" s="4"/>
      <c r="M1" s="4"/>
      <c r="N1" s="4"/>
      <c r="O1" s="4"/>
      <c r="P1" s="4"/>
      <c r="Q1" s="4"/>
      <c r="R1" s="4"/>
      <c r="S1" s="4"/>
      <c r="T1" s="4"/>
      <c r="U1" s="4"/>
      <c r="V1" s="4"/>
      <c r="W1" s="4"/>
      <c r="X1" s="4"/>
      <c r="Y1" s="4"/>
      <c r="Z1" s="4"/>
      <c r="AA1" s="4"/>
      <c r="AB1" s="4"/>
      <c r="AC1" s="4"/>
      <c r="AD1" s="4"/>
      <c r="AE1" s="4"/>
    </row>
    <row r="2" spans="1:31" ht="15.75" customHeight="1" x14ac:dyDescent="0.25">
      <c r="A2" s="129" t="s">
        <v>11</v>
      </c>
      <c r="B2" s="131" t="s">
        <v>12</v>
      </c>
      <c r="C2" s="7" t="s">
        <v>13</v>
      </c>
      <c r="D2" s="7" t="s">
        <v>14</v>
      </c>
      <c r="E2" s="7" t="s">
        <v>15</v>
      </c>
      <c r="F2" s="7"/>
      <c r="G2" s="7"/>
      <c r="H2" s="7"/>
      <c r="I2" s="8" t="s">
        <v>16</v>
      </c>
      <c r="J2" s="7" t="s">
        <v>17</v>
      </c>
      <c r="K2" s="7" t="s">
        <v>18</v>
      </c>
    </row>
    <row r="3" spans="1:31" ht="26.4" x14ac:dyDescent="0.25">
      <c r="A3" s="130"/>
      <c r="B3" s="130"/>
      <c r="C3" s="7" t="s">
        <v>19</v>
      </c>
      <c r="D3" s="7" t="s">
        <v>20</v>
      </c>
      <c r="E3" s="7" t="s">
        <v>21</v>
      </c>
      <c r="F3" s="7"/>
      <c r="G3" s="7"/>
      <c r="H3" s="7"/>
      <c r="I3" s="9" t="s">
        <v>22</v>
      </c>
      <c r="J3" s="7" t="s">
        <v>23</v>
      </c>
      <c r="K3" s="7" t="s">
        <v>24</v>
      </c>
      <c r="L3" s="10"/>
    </row>
    <row r="4" spans="1:31" ht="26.4" x14ac:dyDescent="0.25">
      <c r="A4" s="130"/>
      <c r="B4" s="130"/>
      <c r="C4" s="7" t="s">
        <v>25</v>
      </c>
      <c r="D4" s="7" t="s">
        <v>26</v>
      </c>
      <c r="E4" s="7"/>
      <c r="F4" s="7"/>
      <c r="G4" s="7"/>
      <c r="H4" s="7"/>
      <c r="I4" s="9" t="s">
        <v>27</v>
      </c>
      <c r="J4" s="7" t="s">
        <v>28</v>
      </c>
      <c r="K4" s="7" t="s">
        <v>29</v>
      </c>
    </row>
    <row r="5" spans="1:31" ht="39.6" x14ac:dyDescent="0.25">
      <c r="A5" s="130"/>
      <c r="B5" s="130"/>
      <c r="C5" s="7" t="s">
        <v>30</v>
      </c>
      <c r="D5" s="7" t="s">
        <v>31</v>
      </c>
      <c r="E5" s="7"/>
      <c r="F5" s="7"/>
      <c r="G5" s="7"/>
      <c r="H5" s="7"/>
      <c r="I5" s="9" t="s">
        <v>32</v>
      </c>
      <c r="J5" s="7" t="s">
        <v>33</v>
      </c>
      <c r="K5" s="7" t="s">
        <v>34</v>
      </c>
    </row>
    <row r="6" spans="1:31" ht="66" x14ac:dyDescent="0.25">
      <c r="A6" s="130"/>
      <c r="B6" s="130"/>
      <c r="C6" s="7" t="s">
        <v>35</v>
      </c>
      <c r="D6" s="7" t="s">
        <v>36</v>
      </c>
      <c r="E6" s="7"/>
      <c r="F6" s="7"/>
      <c r="G6" s="7"/>
      <c r="H6" s="7"/>
      <c r="I6" s="9" t="s">
        <v>37</v>
      </c>
      <c r="J6" s="7" t="s">
        <v>38</v>
      </c>
      <c r="K6" s="7" t="s">
        <v>39</v>
      </c>
    </row>
    <row r="7" spans="1:31" ht="26.4" x14ac:dyDescent="0.25">
      <c r="A7" s="130"/>
      <c r="B7" s="130"/>
      <c r="C7" s="7" t="s">
        <v>40</v>
      </c>
      <c r="D7" s="7" t="s">
        <v>41</v>
      </c>
      <c r="E7" s="7" t="s">
        <v>42</v>
      </c>
      <c r="F7" s="7"/>
      <c r="G7" s="7"/>
      <c r="H7" s="7"/>
      <c r="I7" s="9" t="s">
        <v>43</v>
      </c>
      <c r="J7" s="7" t="s">
        <v>44</v>
      </c>
      <c r="K7" s="7" t="s">
        <v>45</v>
      </c>
    </row>
    <row r="8" spans="1:31" ht="39.6" x14ac:dyDescent="0.25">
      <c r="A8" s="130"/>
      <c r="B8" s="130"/>
      <c r="C8" s="7" t="s">
        <v>46</v>
      </c>
      <c r="D8" s="7" t="s">
        <v>41</v>
      </c>
      <c r="E8" s="7" t="s">
        <v>47</v>
      </c>
      <c r="F8" s="7"/>
      <c r="G8" s="7"/>
      <c r="H8" s="7"/>
      <c r="I8" s="9" t="s">
        <v>48</v>
      </c>
      <c r="J8" s="7" t="s">
        <v>49</v>
      </c>
      <c r="K8" s="7" t="s">
        <v>50</v>
      </c>
    </row>
    <row r="9" spans="1:31" ht="66" x14ac:dyDescent="0.25">
      <c r="A9" s="130"/>
      <c r="B9" s="130"/>
      <c r="C9" s="7" t="s">
        <v>51</v>
      </c>
      <c r="D9" s="7" t="s">
        <v>52</v>
      </c>
      <c r="E9" s="7" t="s">
        <v>53</v>
      </c>
      <c r="F9" s="7"/>
      <c r="G9" s="7"/>
      <c r="H9" s="7"/>
      <c r="I9" s="9" t="s">
        <v>54</v>
      </c>
      <c r="J9" s="7" t="s">
        <v>55</v>
      </c>
      <c r="K9" s="7" t="s">
        <v>56</v>
      </c>
      <c r="L9" s="10"/>
    </row>
    <row r="10" spans="1:31" ht="52.8" x14ac:dyDescent="0.25">
      <c r="A10" s="130"/>
      <c r="B10" s="130"/>
      <c r="C10" s="7" t="s">
        <v>57</v>
      </c>
      <c r="D10" s="7" t="s">
        <v>58</v>
      </c>
      <c r="E10" s="7"/>
      <c r="F10" s="7"/>
      <c r="G10" s="7"/>
      <c r="H10" s="7"/>
      <c r="I10" s="9" t="s">
        <v>59</v>
      </c>
      <c r="J10" s="7" t="s">
        <v>60</v>
      </c>
      <c r="K10" s="7" t="s">
        <v>61</v>
      </c>
      <c r="L10" s="10"/>
    </row>
    <row r="11" spans="1:31" ht="39.6" x14ac:dyDescent="0.25">
      <c r="A11" s="130"/>
      <c r="B11" s="130"/>
      <c r="C11" s="7" t="s">
        <v>62</v>
      </c>
      <c r="D11" s="7" t="s">
        <v>14</v>
      </c>
      <c r="E11" s="7" t="s">
        <v>63</v>
      </c>
      <c r="F11" s="7"/>
      <c r="G11" s="7"/>
      <c r="H11" s="7"/>
      <c r="I11" s="9" t="s">
        <v>64</v>
      </c>
      <c r="J11" s="7" t="s">
        <v>65</v>
      </c>
      <c r="K11" s="7" t="s">
        <v>66</v>
      </c>
      <c r="L11" s="10"/>
    </row>
    <row r="12" spans="1:31" ht="26.4" x14ac:dyDescent="0.25">
      <c r="A12" s="5"/>
      <c r="B12" s="6"/>
      <c r="C12" s="7" t="s">
        <v>67</v>
      </c>
      <c r="D12" s="7" t="s">
        <v>68</v>
      </c>
      <c r="E12" s="7" t="s">
        <v>69</v>
      </c>
      <c r="F12" s="7"/>
      <c r="G12" s="7"/>
      <c r="H12" s="7"/>
      <c r="I12" s="9" t="s">
        <v>70</v>
      </c>
      <c r="J12" s="7" t="s">
        <v>71</v>
      </c>
      <c r="K12" s="7" t="s">
        <v>72</v>
      </c>
      <c r="L12" s="10"/>
    </row>
    <row r="13" spans="1:31" ht="39.6" x14ac:dyDescent="0.25">
      <c r="A13" s="132" t="s">
        <v>73</v>
      </c>
      <c r="B13" s="132" t="s">
        <v>74</v>
      </c>
      <c r="C13" s="11" t="s">
        <v>75</v>
      </c>
      <c r="D13" s="12" t="s">
        <v>76</v>
      </c>
      <c r="E13" s="12"/>
      <c r="F13" s="12"/>
      <c r="G13" s="12"/>
      <c r="H13" s="12"/>
      <c r="I13" s="13" t="s">
        <v>77</v>
      </c>
      <c r="J13" s="12" t="s">
        <v>78</v>
      </c>
      <c r="K13" s="12" t="s">
        <v>79</v>
      </c>
    </row>
    <row r="14" spans="1:31" ht="52.8" x14ac:dyDescent="0.25">
      <c r="A14" s="130"/>
      <c r="B14" s="130"/>
      <c r="C14" s="11" t="s">
        <v>80</v>
      </c>
      <c r="D14" s="12" t="s">
        <v>76</v>
      </c>
      <c r="E14" s="12"/>
      <c r="F14" s="12"/>
      <c r="G14" s="12"/>
      <c r="H14" s="12"/>
      <c r="I14" s="14" t="s">
        <v>81</v>
      </c>
      <c r="J14" s="12" t="s">
        <v>82</v>
      </c>
      <c r="K14" s="12" t="s">
        <v>83</v>
      </c>
    </row>
    <row r="15" spans="1:31" ht="66" x14ac:dyDescent="0.25">
      <c r="A15" s="130"/>
      <c r="B15" s="130"/>
      <c r="C15" s="11" t="s">
        <v>84</v>
      </c>
      <c r="D15" s="12" t="s">
        <v>85</v>
      </c>
      <c r="E15" s="12" t="s">
        <v>15</v>
      </c>
      <c r="F15" s="12"/>
      <c r="G15" s="12"/>
      <c r="H15" s="12"/>
      <c r="I15" s="14" t="s">
        <v>86</v>
      </c>
      <c r="J15" s="12" t="s">
        <v>87</v>
      </c>
      <c r="K15" s="12" t="s">
        <v>88</v>
      </c>
    </row>
    <row r="16" spans="1:31" ht="26.4" x14ac:dyDescent="0.25">
      <c r="A16" s="130"/>
      <c r="B16" s="130"/>
      <c r="C16" s="11" t="s">
        <v>89</v>
      </c>
      <c r="D16" s="12" t="s">
        <v>41</v>
      </c>
      <c r="E16" s="12" t="s">
        <v>76</v>
      </c>
      <c r="F16" s="12"/>
      <c r="G16" s="12"/>
      <c r="H16" s="12"/>
      <c r="I16" s="14" t="s">
        <v>90</v>
      </c>
      <c r="J16" s="12" t="s">
        <v>91</v>
      </c>
      <c r="K16" s="12" t="s">
        <v>92</v>
      </c>
    </row>
    <row r="17" spans="1:15" ht="52.8" x14ac:dyDescent="0.25">
      <c r="A17" s="130"/>
      <c r="B17" s="130"/>
      <c r="C17" s="11" t="s">
        <v>93</v>
      </c>
      <c r="D17" s="12" t="s">
        <v>94</v>
      </c>
      <c r="E17" s="12" t="s">
        <v>95</v>
      </c>
      <c r="F17" s="12"/>
      <c r="G17" s="12"/>
      <c r="H17" s="12"/>
      <c r="I17" s="14" t="s">
        <v>96</v>
      </c>
      <c r="J17" s="12" t="s">
        <v>97</v>
      </c>
      <c r="K17" s="12" t="s">
        <v>98</v>
      </c>
    </row>
    <row r="18" spans="1:15" ht="39.6" x14ac:dyDescent="0.25">
      <c r="A18" s="130"/>
      <c r="B18" s="130"/>
      <c r="C18" s="11" t="s">
        <v>99</v>
      </c>
      <c r="D18" s="12" t="s">
        <v>14</v>
      </c>
      <c r="E18" s="12" t="s">
        <v>100</v>
      </c>
      <c r="F18" s="12"/>
      <c r="G18" s="12"/>
      <c r="H18" s="12"/>
      <c r="I18" s="14" t="s">
        <v>101</v>
      </c>
      <c r="J18" s="12" t="s">
        <v>102</v>
      </c>
      <c r="K18" s="12" t="s">
        <v>103</v>
      </c>
    </row>
    <row r="19" spans="1:15" ht="26.4" x14ac:dyDescent="0.25">
      <c r="A19" s="130"/>
      <c r="B19" s="130"/>
      <c r="C19" s="11" t="s">
        <v>104</v>
      </c>
      <c r="D19" s="12" t="s">
        <v>41</v>
      </c>
      <c r="E19" s="12" t="s">
        <v>76</v>
      </c>
      <c r="F19" s="12"/>
      <c r="G19" s="12"/>
      <c r="H19" s="12"/>
      <c r="I19" s="14" t="s">
        <v>105</v>
      </c>
      <c r="J19" s="12" t="s">
        <v>106</v>
      </c>
      <c r="K19" s="12" t="s">
        <v>107</v>
      </c>
    </row>
    <row r="20" spans="1:15" ht="39.6" x14ac:dyDescent="0.25">
      <c r="A20" s="130"/>
      <c r="B20" s="130"/>
      <c r="C20" s="11" t="s">
        <v>108</v>
      </c>
      <c r="D20" s="12" t="s">
        <v>109</v>
      </c>
      <c r="E20" s="12" t="s">
        <v>94</v>
      </c>
      <c r="F20" s="12"/>
      <c r="G20" s="12"/>
      <c r="H20" s="12"/>
      <c r="I20" s="14" t="s">
        <v>110</v>
      </c>
      <c r="J20" s="12" t="s">
        <v>111</v>
      </c>
      <c r="K20" s="12" t="s">
        <v>112</v>
      </c>
    </row>
    <row r="21" spans="1:15" ht="39.6" x14ac:dyDescent="0.25">
      <c r="A21" s="130"/>
      <c r="B21" s="130"/>
      <c r="C21" s="15" t="s">
        <v>113</v>
      </c>
      <c r="D21" s="15" t="s">
        <v>109</v>
      </c>
      <c r="E21" s="15" t="s">
        <v>114</v>
      </c>
      <c r="F21" s="15"/>
      <c r="G21" s="15"/>
      <c r="H21" s="15"/>
      <c r="I21" s="14" t="s">
        <v>115</v>
      </c>
      <c r="J21" s="15" t="s">
        <v>116</v>
      </c>
      <c r="K21" s="15" t="s">
        <v>117</v>
      </c>
    </row>
    <row r="22" spans="1:15" ht="52.8" x14ac:dyDescent="0.25">
      <c r="A22" s="130"/>
      <c r="B22" s="130"/>
      <c r="C22" s="11" t="s">
        <v>118</v>
      </c>
      <c r="D22" s="12" t="s">
        <v>94</v>
      </c>
      <c r="E22" s="12" t="s">
        <v>119</v>
      </c>
      <c r="F22" s="12"/>
      <c r="G22" s="12"/>
      <c r="H22" s="12"/>
      <c r="I22" s="14" t="s">
        <v>120</v>
      </c>
      <c r="J22" s="12" t="s">
        <v>121</v>
      </c>
      <c r="K22" s="12" t="s">
        <v>122</v>
      </c>
      <c r="L22" s="10" t="s">
        <v>123</v>
      </c>
    </row>
    <row r="23" spans="1:15" ht="39.6" x14ac:dyDescent="0.25">
      <c r="A23" s="130"/>
      <c r="B23" s="130"/>
      <c r="C23" s="11" t="s">
        <v>124</v>
      </c>
      <c r="D23" s="12" t="s">
        <v>94</v>
      </c>
      <c r="E23" s="12" t="s">
        <v>125</v>
      </c>
      <c r="F23" s="12"/>
      <c r="G23" s="12"/>
      <c r="H23" s="12"/>
      <c r="I23" s="14" t="s">
        <v>126</v>
      </c>
      <c r="J23" s="12" t="s">
        <v>127</v>
      </c>
      <c r="K23" s="12" t="s">
        <v>128</v>
      </c>
    </row>
    <row r="24" spans="1:15" ht="26.4" x14ac:dyDescent="0.25">
      <c r="A24" s="130"/>
      <c r="B24" s="130"/>
      <c r="C24" s="11" t="s">
        <v>129</v>
      </c>
      <c r="D24" s="12" t="s">
        <v>130</v>
      </c>
      <c r="E24" s="12" t="s">
        <v>131</v>
      </c>
      <c r="F24" s="12"/>
      <c r="G24" s="12"/>
      <c r="H24" s="12"/>
      <c r="I24" s="14" t="s">
        <v>132</v>
      </c>
      <c r="J24" s="12" t="s">
        <v>133</v>
      </c>
      <c r="K24" s="12" t="s">
        <v>134</v>
      </c>
    </row>
    <row r="25" spans="1:15" ht="52.8" x14ac:dyDescent="0.25">
      <c r="A25" s="130"/>
      <c r="B25" s="130"/>
      <c r="C25" s="11" t="s">
        <v>135</v>
      </c>
      <c r="D25" s="12" t="s">
        <v>136</v>
      </c>
      <c r="E25" s="12" t="s">
        <v>137</v>
      </c>
      <c r="F25" s="12"/>
      <c r="G25" s="12"/>
      <c r="H25" s="12"/>
      <c r="I25" s="14" t="s">
        <v>138</v>
      </c>
      <c r="J25" s="12" t="s">
        <v>139</v>
      </c>
      <c r="K25" s="12" t="s">
        <v>140</v>
      </c>
    </row>
    <row r="26" spans="1:15" ht="66" x14ac:dyDescent="0.25">
      <c r="A26" s="130"/>
      <c r="B26" s="130"/>
      <c r="C26" s="11" t="s">
        <v>141</v>
      </c>
      <c r="D26" s="12" t="s">
        <v>68</v>
      </c>
      <c r="E26" s="12" t="s">
        <v>142</v>
      </c>
      <c r="F26" s="12"/>
      <c r="G26" s="12"/>
      <c r="H26" s="12"/>
      <c r="I26" s="14" t="s">
        <v>143</v>
      </c>
      <c r="J26" s="12" t="s">
        <v>144</v>
      </c>
      <c r="K26" s="12" t="s">
        <v>145</v>
      </c>
      <c r="L26" s="10"/>
    </row>
    <row r="27" spans="1:15" ht="39.6" x14ac:dyDescent="0.25">
      <c r="A27" s="130"/>
      <c r="B27" s="130"/>
      <c r="C27" s="11" t="s">
        <v>146</v>
      </c>
      <c r="D27" s="12" t="s">
        <v>41</v>
      </c>
      <c r="E27" s="12" t="s">
        <v>147</v>
      </c>
      <c r="F27" s="12"/>
      <c r="G27" s="12"/>
      <c r="H27" s="12"/>
      <c r="I27" s="14" t="s">
        <v>148</v>
      </c>
      <c r="J27" s="12" t="s">
        <v>149</v>
      </c>
      <c r="K27" s="12" t="s">
        <v>150</v>
      </c>
      <c r="L27" s="10" t="s">
        <v>151</v>
      </c>
    </row>
    <row r="28" spans="1:15" ht="39.6" x14ac:dyDescent="0.25">
      <c r="A28" s="5"/>
      <c r="B28" s="5"/>
      <c r="C28" s="16" t="s">
        <v>152</v>
      </c>
      <c r="D28" s="7" t="s">
        <v>153</v>
      </c>
      <c r="E28" s="7" t="s">
        <v>154</v>
      </c>
      <c r="F28" s="7"/>
      <c r="G28" s="7"/>
      <c r="H28" s="7"/>
      <c r="I28" s="9" t="s">
        <v>155</v>
      </c>
      <c r="J28" s="7" t="s">
        <v>156</v>
      </c>
      <c r="K28" s="7" t="s">
        <v>157</v>
      </c>
      <c r="L28" s="10"/>
    </row>
    <row r="29" spans="1:15" ht="26.4" x14ac:dyDescent="0.25">
      <c r="A29" s="129" t="s">
        <v>158</v>
      </c>
      <c r="B29" s="129" t="s">
        <v>159</v>
      </c>
      <c r="C29" s="16" t="s">
        <v>160</v>
      </c>
      <c r="D29" s="7" t="s">
        <v>161</v>
      </c>
      <c r="E29" s="7" t="s">
        <v>36</v>
      </c>
      <c r="F29" s="7"/>
      <c r="G29" s="7"/>
      <c r="H29" s="7"/>
      <c r="I29" s="17" t="s">
        <v>162</v>
      </c>
      <c r="J29" s="16" t="s">
        <v>163</v>
      </c>
      <c r="K29" s="16" t="s">
        <v>164</v>
      </c>
    </row>
    <row r="30" spans="1:15" ht="26.4" x14ac:dyDescent="0.25">
      <c r="A30" s="130"/>
      <c r="B30" s="130"/>
      <c r="C30" s="16" t="s">
        <v>165</v>
      </c>
      <c r="D30" s="7" t="s">
        <v>41</v>
      </c>
      <c r="E30" s="7" t="s">
        <v>166</v>
      </c>
      <c r="F30" s="7"/>
      <c r="G30" s="7"/>
      <c r="H30" s="7"/>
      <c r="I30" s="18" t="s">
        <v>167</v>
      </c>
      <c r="J30" s="16" t="s">
        <v>168</v>
      </c>
      <c r="K30" s="16" t="s">
        <v>169</v>
      </c>
    </row>
    <row r="31" spans="1:15" ht="39.6" x14ac:dyDescent="0.25">
      <c r="A31" s="130"/>
      <c r="B31" s="130"/>
      <c r="C31" s="16" t="s">
        <v>170</v>
      </c>
      <c r="D31" s="7" t="s">
        <v>41</v>
      </c>
      <c r="E31" s="7"/>
      <c r="F31" s="7"/>
      <c r="G31" s="7"/>
      <c r="H31" s="7"/>
      <c r="I31" s="18" t="s">
        <v>171</v>
      </c>
      <c r="J31" s="16" t="s">
        <v>172</v>
      </c>
      <c r="K31" s="16" t="s">
        <v>173</v>
      </c>
      <c r="L31" t="s">
        <v>1044</v>
      </c>
      <c r="O31" t="s">
        <v>1045</v>
      </c>
    </row>
    <row r="32" spans="1:15" ht="26.4" x14ac:dyDescent="0.25">
      <c r="A32" s="130"/>
      <c r="B32" s="130"/>
      <c r="C32" s="16" t="s">
        <v>174</v>
      </c>
      <c r="D32" s="7" t="s">
        <v>161</v>
      </c>
      <c r="E32" s="7"/>
      <c r="F32" s="7"/>
      <c r="G32" s="7"/>
      <c r="H32" s="7"/>
      <c r="I32" s="18" t="s">
        <v>175</v>
      </c>
      <c r="J32" s="16" t="s">
        <v>176</v>
      </c>
      <c r="K32" s="16" t="s">
        <v>177</v>
      </c>
    </row>
    <row r="33" spans="1:27" ht="39.6" x14ac:dyDescent="0.25">
      <c r="A33" s="130"/>
      <c r="B33" s="130"/>
      <c r="C33" s="16" t="s">
        <v>178</v>
      </c>
      <c r="D33" s="7" t="s">
        <v>41</v>
      </c>
      <c r="E33" s="7" t="s">
        <v>179</v>
      </c>
      <c r="F33" s="7"/>
      <c r="G33" s="7"/>
      <c r="H33" s="7"/>
      <c r="I33" s="18" t="s">
        <v>180</v>
      </c>
      <c r="J33" s="16" t="s">
        <v>181</v>
      </c>
      <c r="K33" s="16" t="s">
        <v>182</v>
      </c>
      <c r="L33" s="10" t="s">
        <v>183</v>
      </c>
    </row>
    <row r="34" spans="1:27" ht="39.6" x14ac:dyDescent="0.25">
      <c r="A34" s="130"/>
      <c r="B34" s="130"/>
      <c r="C34" s="16" t="s">
        <v>184</v>
      </c>
      <c r="D34" s="7" t="s">
        <v>161</v>
      </c>
      <c r="E34" s="7"/>
      <c r="F34" s="7"/>
      <c r="G34" s="7"/>
      <c r="H34" s="7"/>
      <c r="I34" s="18" t="s">
        <v>185</v>
      </c>
      <c r="J34" s="16" t="s">
        <v>186</v>
      </c>
      <c r="K34" s="16" t="s">
        <v>187</v>
      </c>
    </row>
    <row r="35" spans="1:27" ht="26.4" x14ac:dyDescent="0.25">
      <c r="A35" s="130"/>
      <c r="B35" s="130"/>
      <c r="C35" s="16" t="s">
        <v>188</v>
      </c>
      <c r="D35" s="7" t="s">
        <v>189</v>
      </c>
      <c r="E35" s="7"/>
      <c r="F35" s="7"/>
      <c r="G35" s="7"/>
      <c r="H35" s="7"/>
      <c r="I35" s="18" t="s">
        <v>190</v>
      </c>
      <c r="J35" s="16" t="s">
        <v>191</v>
      </c>
      <c r="K35" s="16" t="s">
        <v>192</v>
      </c>
    </row>
    <row r="36" spans="1:27" ht="26.4" x14ac:dyDescent="0.25">
      <c r="A36" s="130"/>
      <c r="B36" s="130"/>
      <c r="C36" s="16" t="s">
        <v>193</v>
      </c>
      <c r="D36" s="7" t="s">
        <v>161</v>
      </c>
      <c r="E36" s="7" t="s">
        <v>194</v>
      </c>
      <c r="F36" s="7"/>
      <c r="G36" s="7"/>
      <c r="H36" s="7"/>
      <c r="I36" s="18" t="s">
        <v>195</v>
      </c>
      <c r="J36" s="16" t="s">
        <v>196</v>
      </c>
      <c r="K36" s="16" t="s">
        <v>197</v>
      </c>
      <c r="AA36" s="19" t="s">
        <v>198</v>
      </c>
    </row>
    <row r="37" spans="1:27" ht="26.4" x14ac:dyDescent="0.25">
      <c r="A37" s="130"/>
      <c r="B37" s="130"/>
      <c r="C37" s="16" t="s">
        <v>199</v>
      </c>
      <c r="D37" s="7" t="s">
        <v>161</v>
      </c>
      <c r="E37" s="7" t="s">
        <v>194</v>
      </c>
      <c r="F37" s="7"/>
      <c r="G37" s="7"/>
      <c r="H37" s="7"/>
      <c r="I37" s="18" t="s">
        <v>200</v>
      </c>
      <c r="J37" s="16" t="s">
        <v>201</v>
      </c>
      <c r="K37" s="16" t="s">
        <v>202</v>
      </c>
    </row>
    <row r="38" spans="1:27" ht="26.4" x14ac:dyDescent="0.25">
      <c r="A38" s="130"/>
      <c r="B38" s="130"/>
      <c r="C38" s="16" t="s">
        <v>203</v>
      </c>
      <c r="D38" s="7" t="s">
        <v>161</v>
      </c>
      <c r="E38" s="7" t="s">
        <v>194</v>
      </c>
      <c r="F38" s="7"/>
      <c r="G38" s="7"/>
      <c r="H38" s="7"/>
      <c r="I38" s="18" t="s">
        <v>204</v>
      </c>
      <c r="J38" s="16" t="s">
        <v>205</v>
      </c>
      <c r="K38" s="16" t="s">
        <v>206</v>
      </c>
    </row>
    <row r="39" spans="1:27" ht="26.4" x14ac:dyDescent="0.25">
      <c r="A39" s="130"/>
      <c r="B39" s="130"/>
      <c r="C39" s="16" t="s">
        <v>207</v>
      </c>
      <c r="D39" s="7" t="s">
        <v>161</v>
      </c>
      <c r="E39" s="7" t="s">
        <v>183</v>
      </c>
      <c r="F39" s="7"/>
      <c r="G39" s="7"/>
      <c r="H39" s="7"/>
      <c r="I39" s="18" t="s">
        <v>208</v>
      </c>
      <c r="J39" s="16" t="s">
        <v>209</v>
      </c>
      <c r="K39" s="16" t="s">
        <v>210</v>
      </c>
      <c r="L39" s="10"/>
    </row>
    <row r="40" spans="1:27" ht="26.4" x14ac:dyDescent="0.25">
      <c r="A40" s="130"/>
      <c r="B40" s="130"/>
      <c r="C40" s="16" t="s">
        <v>211</v>
      </c>
      <c r="D40" s="7" t="s">
        <v>41</v>
      </c>
      <c r="E40" s="7"/>
      <c r="F40" s="7"/>
      <c r="G40" s="7"/>
      <c r="H40" s="7"/>
      <c r="I40" s="18" t="s">
        <v>212</v>
      </c>
      <c r="J40" s="16" t="s">
        <v>213</v>
      </c>
      <c r="K40" s="16" t="s">
        <v>214</v>
      </c>
    </row>
    <row r="41" spans="1:27" ht="39.6" x14ac:dyDescent="0.25">
      <c r="A41" s="130"/>
      <c r="B41" s="130"/>
      <c r="C41" s="16" t="s">
        <v>215</v>
      </c>
      <c r="D41" s="7" t="s">
        <v>68</v>
      </c>
      <c r="E41" s="7" t="s">
        <v>41</v>
      </c>
      <c r="F41" s="7"/>
      <c r="G41" s="7"/>
      <c r="H41" s="7"/>
      <c r="I41" s="18" t="s">
        <v>216</v>
      </c>
      <c r="J41" s="7" t="s">
        <v>217</v>
      </c>
      <c r="K41" s="7" t="s">
        <v>218</v>
      </c>
      <c r="L41" s="10"/>
      <c r="Y41" s="20"/>
    </row>
    <row r="42" spans="1:27" ht="26.4" x14ac:dyDescent="0.25">
      <c r="A42" s="130"/>
      <c r="B42" s="130"/>
      <c r="C42" s="16" t="s">
        <v>219</v>
      </c>
      <c r="D42" s="7" t="s">
        <v>161</v>
      </c>
      <c r="E42" s="7"/>
      <c r="F42" s="7"/>
      <c r="G42" s="7"/>
      <c r="H42" s="7"/>
      <c r="I42" s="18" t="s">
        <v>220</v>
      </c>
      <c r="J42" s="7" t="s">
        <v>221</v>
      </c>
      <c r="K42" s="7" t="s">
        <v>222</v>
      </c>
    </row>
    <row r="43" spans="1:27" ht="39.6" x14ac:dyDescent="0.25">
      <c r="A43" s="130"/>
      <c r="B43" s="130"/>
      <c r="C43" s="16" t="s">
        <v>223</v>
      </c>
      <c r="D43" s="7" t="s">
        <v>68</v>
      </c>
      <c r="E43" s="7" t="s">
        <v>161</v>
      </c>
      <c r="F43" s="7"/>
      <c r="G43" s="7"/>
      <c r="H43" s="7"/>
      <c r="I43" s="18" t="s">
        <v>224</v>
      </c>
      <c r="J43" s="7" t="s">
        <v>225</v>
      </c>
      <c r="K43" s="7" t="s">
        <v>226</v>
      </c>
      <c r="L43" s="10"/>
    </row>
    <row r="44" spans="1:27" ht="39.6" x14ac:dyDescent="0.25">
      <c r="A44" s="132" t="s">
        <v>158</v>
      </c>
      <c r="B44" s="132" t="s">
        <v>227</v>
      </c>
      <c r="C44" s="11" t="s">
        <v>228</v>
      </c>
      <c r="D44" s="12" t="s">
        <v>229</v>
      </c>
      <c r="E44" s="12"/>
      <c r="F44" s="12"/>
      <c r="G44" s="12"/>
      <c r="H44" s="12"/>
      <c r="I44" s="21" t="s">
        <v>230</v>
      </c>
      <c r="J44" s="11" t="s">
        <v>231</v>
      </c>
      <c r="K44" s="11" t="s">
        <v>232</v>
      </c>
    </row>
    <row r="45" spans="1:27" ht="39.6" x14ac:dyDescent="0.25">
      <c r="A45" s="130"/>
      <c r="B45" s="130"/>
      <c r="C45" s="11" t="s">
        <v>233</v>
      </c>
      <c r="D45" s="12" t="s">
        <v>136</v>
      </c>
      <c r="E45" s="12" t="s">
        <v>234</v>
      </c>
      <c r="F45" s="12"/>
      <c r="G45" s="12"/>
      <c r="H45" s="12"/>
      <c r="I45" s="22" t="s">
        <v>235</v>
      </c>
      <c r="J45" s="11" t="s">
        <v>236</v>
      </c>
      <c r="K45" s="11" t="s">
        <v>237</v>
      </c>
    </row>
    <row r="46" spans="1:27" ht="39.6" x14ac:dyDescent="0.25">
      <c r="A46" s="130"/>
      <c r="B46" s="130"/>
      <c r="C46" s="11" t="s">
        <v>238</v>
      </c>
      <c r="D46" s="12" t="s">
        <v>41</v>
      </c>
      <c r="E46" s="12" t="s">
        <v>36</v>
      </c>
      <c r="F46" s="12"/>
      <c r="G46" s="12"/>
      <c r="H46" s="12"/>
      <c r="I46" s="22" t="s">
        <v>239</v>
      </c>
      <c r="J46" s="11" t="s">
        <v>240</v>
      </c>
      <c r="K46" s="11" t="s">
        <v>241</v>
      </c>
    </row>
    <row r="47" spans="1:27" ht="26.4" x14ac:dyDescent="0.25">
      <c r="A47" s="130"/>
      <c r="B47" s="130"/>
      <c r="C47" s="11" t="s">
        <v>242</v>
      </c>
      <c r="D47" s="12" t="s">
        <v>41</v>
      </c>
      <c r="E47" s="12" t="s">
        <v>243</v>
      </c>
      <c r="F47" s="12"/>
      <c r="G47" s="12"/>
      <c r="H47" s="12"/>
      <c r="I47" s="22" t="s">
        <v>244</v>
      </c>
      <c r="J47" s="11" t="s">
        <v>245</v>
      </c>
      <c r="K47" s="11" t="s">
        <v>246</v>
      </c>
    </row>
    <row r="48" spans="1:27" ht="39.6" x14ac:dyDescent="0.25">
      <c r="A48" s="130"/>
      <c r="B48" s="130"/>
      <c r="C48" s="11" t="s">
        <v>247</v>
      </c>
      <c r="D48" s="12" t="s">
        <v>41</v>
      </c>
      <c r="E48" s="12" t="s">
        <v>248</v>
      </c>
      <c r="F48" s="12"/>
      <c r="G48" s="12"/>
      <c r="H48" s="12"/>
      <c r="I48" s="22" t="s">
        <v>249</v>
      </c>
      <c r="J48" s="11" t="s">
        <v>250</v>
      </c>
      <c r="K48" s="11" t="s">
        <v>251</v>
      </c>
    </row>
    <row r="49" spans="1:12" ht="39.6" x14ac:dyDescent="0.25">
      <c r="A49" s="130"/>
      <c r="B49" s="130"/>
      <c r="C49" s="11" t="s">
        <v>252</v>
      </c>
      <c r="D49" s="12" t="s">
        <v>41</v>
      </c>
      <c r="E49" s="12" t="s">
        <v>189</v>
      </c>
      <c r="F49" s="12"/>
      <c r="G49" s="12"/>
      <c r="H49" s="12"/>
      <c r="I49" s="22" t="s">
        <v>253</v>
      </c>
      <c r="J49" s="11" t="s">
        <v>254</v>
      </c>
      <c r="K49" s="11" t="s">
        <v>255</v>
      </c>
    </row>
    <row r="50" spans="1:12" ht="39.6" x14ac:dyDescent="0.25">
      <c r="A50" s="130"/>
      <c r="B50" s="130"/>
      <c r="C50" s="11" t="s">
        <v>256</v>
      </c>
      <c r="D50" s="12" t="s">
        <v>257</v>
      </c>
      <c r="E50" s="12"/>
      <c r="F50" s="12"/>
      <c r="G50" s="12"/>
      <c r="H50" s="12"/>
      <c r="I50" s="22" t="s">
        <v>258</v>
      </c>
      <c r="J50" s="11" t="s">
        <v>259</v>
      </c>
      <c r="K50" s="11" t="s">
        <v>260</v>
      </c>
    </row>
    <row r="51" spans="1:12" ht="39.6" x14ac:dyDescent="0.25">
      <c r="A51" s="130"/>
      <c r="B51" s="130"/>
      <c r="C51" s="11" t="s">
        <v>261</v>
      </c>
      <c r="D51" s="12" t="s">
        <v>262</v>
      </c>
      <c r="E51" s="12"/>
      <c r="F51" s="12"/>
      <c r="G51" s="12"/>
      <c r="H51" s="12"/>
      <c r="I51" s="22" t="s">
        <v>263</v>
      </c>
      <c r="J51" s="11" t="s">
        <v>264</v>
      </c>
      <c r="K51" s="11" t="s">
        <v>265</v>
      </c>
    </row>
    <row r="52" spans="1:12" ht="26.4" x14ac:dyDescent="0.25">
      <c r="A52" s="130"/>
      <c r="B52" s="130"/>
      <c r="C52" s="12" t="s">
        <v>266</v>
      </c>
      <c r="D52" s="12" t="s">
        <v>68</v>
      </c>
      <c r="E52" s="12"/>
      <c r="F52" s="12"/>
      <c r="G52" s="12"/>
      <c r="H52" s="12"/>
      <c r="I52" s="22" t="s">
        <v>267</v>
      </c>
      <c r="J52" s="12" t="s">
        <v>268</v>
      </c>
      <c r="K52" s="12" t="s">
        <v>269</v>
      </c>
      <c r="L52" s="10"/>
    </row>
    <row r="53" spans="1:12" ht="39.6" x14ac:dyDescent="0.25">
      <c r="A53" s="130"/>
      <c r="B53" s="130"/>
      <c r="C53" s="12" t="s">
        <v>270</v>
      </c>
      <c r="D53" s="23" t="s">
        <v>41</v>
      </c>
      <c r="E53" s="23" t="s">
        <v>136</v>
      </c>
      <c r="F53" s="23"/>
      <c r="G53" s="23"/>
      <c r="H53" s="23"/>
      <c r="I53" s="22" t="s">
        <v>271</v>
      </c>
      <c r="J53" s="23" t="s">
        <v>272</v>
      </c>
      <c r="K53" s="12" t="s">
        <v>273</v>
      </c>
    </row>
    <row r="54" spans="1:12" ht="13.2" x14ac:dyDescent="0.25">
      <c r="C54" s="7"/>
      <c r="K54" s="7"/>
    </row>
    <row r="55" spans="1:12" ht="13.2" x14ac:dyDescent="0.25">
      <c r="C55" s="7"/>
      <c r="K55" s="7"/>
    </row>
    <row r="56" spans="1:12" ht="13.2" x14ac:dyDescent="0.25">
      <c r="C56" s="7"/>
      <c r="K56" s="7"/>
    </row>
    <row r="57" spans="1:12" ht="13.2" x14ac:dyDescent="0.25">
      <c r="C57" s="7"/>
      <c r="K57" s="7"/>
    </row>
    <row r="58" spans="1:12" ht="13.2" x14ac:dyDescent="0.25">
      <c r="A58" s="7"/>
      <c r="B58" s="7"/>
      <c r="C58" s="7"/>
      <c r="D58" s="7"/>
      <c r="E58" s="7"/>
      <c r="F58" s="7"/>
      <c r="G58" s="7"/>
      <c r="H58" s="7"/>
      <c r="I58" s="7"/>
      <c r="J58" s="7"/>
      <c r="K58" s="7"/>
    </row>
    <row r="59" spans="1:12" ht="13.2" x14ac:dyDescent="0.25">
      <c r="A59" s="7"/>
      <c r="B59" s="7"/>
      <c r="C59" s="7"/>
      <c r="D59" s="7"/>
      <c r="E59" s="7"/>
      <c r="F59" s="7"/>
      <c r="G59" s="7"/>
      <c r="H59" s="7"/>
      <c r="I59" s="7"/>
      <c r="J59" s="7"/>
      <c r="K59" s="7"/>
    </row>
    <row r="60" spans="1:12" ht="13.2" x14ac:dyDescent="0.25">
      <c r="A60" s="7"/>
      <c r="B60" s="7"/>
      <c r="C60" s="7"/>
      <c r="D60" s="7"/>
      <c r="E60" s="7"/>
      <c r="F60" s="7"/>
      <c r="G60" s="7"/>
      <c r="H60" s="7"/>
      <c r="I60" s="7"/>
      <c r="J60" s="7"/>
      <c r="K60" s="7"/>
    </row>
    <row r="61" spans="1:12" ht="13.2" x14ac:dyDescent="0.25">
      <c r="A61" s="7"/>
      <c r="B61" s="7"/>
      <c r="C61" s="7"/>
      <c r="D61" s="7"/>
      <c r="E61" s="7"/>
      <c r="F61" s="7"/>
      <c r="G61" s="7"/>
      <c r="H61" s="7"/>
      <c r="I61" s="7"/>
      <c r="J61" s="7"/>
      <c r="K61" s="7"/>
    </row>
    <row r="62" spans="1:12" ht="13.2" x14ac:dyDescent="0.25">
      <c r="A62" s="7"/>
      <c r="B62" s="7"/>
      <c r="C62" s="7"/>
      <c r="D62" s="7"/>
      <c r="E62" s="7"/>
      <c r="F62" s="7"/>
      <c r="G62" s="7"/>
      <c r="H62" s="7"/>
      <c r="I62" s="7"/>
      <c r="J62" s="7"/>
      <c r="K62" s="7"/>
    </row>
    <row r="63" spans="1:12" ht="13.2" x14ac:dyDescent="0.25">
      <c r="A63" s="7"/>
      <c r="B63" s="7"/>
      <c r="C63" s="7"/>
      <c r="D63" s="7"/>
      <c r="E63" s="7"/>
      <c r="F63" s="7"/>
      <c r="G63" s="7"/>
      <c r="H63" s="7"/>
      <c r="I63" s="7"/>
      <c r="J63" s="7"/>
      <c r="K63" s="7"/>
    </row>
    <row r="64" spans="1:12" ht="13.2" x14ac:dyDescent="0.25">
      <c r="A64" s="7"/>
      <c r="B64" s="7"/>
      <c r="C64" s="7"/>
      <c r="D64" s="7"/>
      <c r="E64" s="7"/>
      <c r="F64" s="7"/>
      <c r="G64" s="7"/>
      <c r="H64" s="7"/>
      <c r="I64" s="7"/>
      <c r="J64" s="7"/>
      <c r="K64" s="7"/>
    </row>
    <row r="65" spans="1:11" ht="13.2" x14ac:dyDescent="0.25">
      <c r="A65" s="7"/>
      <c r="B65" s="7"/>
      <c r="C65" s="7"/>
      <c r="D65" s="7"/>
      <c r="E65" s="7"/>
      <c r="F65" s="7"/>
      <c r="G65" s="7"/>
      <c r="H65" s="7"/>
      <c r="I65" s="7"/>
      <c r="J65" s="7"/>
      <c r="K65" s="7"/>
    </row>
    <row r="66" spans="1:11" ht="13.2" x14ac:dyDescent="0.25">
      <c r="A66" s="7"/>
      <c r="B66" s="7"/>
      <c r="C66" s="7"/>
      <c r="D66" s="7"/>
      <c r="E66" s="7"/>
      <c r="F66" s="7"/>
      <c r="G66" s="7"/>
      <c r="H66" s="7"/>
      <c r="I66" s="7"/>
      <c r="J66" s="7"/>
      <c r="K66" s="7"/>
    </row>
    <row r="67" spans="1:11" ht="13.2" x14ac:dyDescent="0.25">
      <c r="A67" s="7"/>
      <c r="B67" s="7"/>
      <c r="C67" s="7"/>
      <c r="D67" s="7"/>
      <c r="E67" s="7"/>
      <c r="F67" s="7"/>
      <c r="G67" s="7"/>
      <c r="H67" s="7"/>
      <c r="I67" s="7"/>
      <c r="J67" s="7"/>
      <c r="K67" s="7"/>
    </row>
    <row r="68" spans="1:11" ht="13.2" x14ac:dyDescent="0.25">
      <c r="A68" s="7"/>
      <c r="B68" s="7"/>
      <c r="C68" s="7"/>
      <c r="D68" s="7"/>
      <c r="E68" s="7"/>
      <c r="F68" s="7"/>
      <c r="G68" s="7"/>
      <c r="H68" s="7"/>
      <c r="I68" s="7"/>
      <c r="J68" s="7"/>
      <c r="K68" s="7"/>
    </row>
    <row r="69" spans="1:11" ht="13.2" x14ac:dyDescent="0.25">
      <c r="A69" s="7"/>
      <c r="B69" s="7"/>
      <c r="C69" s="7"/>
      <c r="D69" s="7"/>
      <c r="E69" s="7"/>
      <c r="F69" s="7"/>
      <c r="G69" s="7"/>
      <c r="H69" s="7"/>
      <c r="I69" s="7"/>
      <c r="J69" s="7"/>
      <c r="K69" s="7"/>
    </row>
    <row r="70" spans="1:11" ht="13.2" x14ac:dyDescent="0.25">
      <c r="A70" s="7"/>
      <c r="B70" s="7"/>
      <c r="C70" s="7"/>
      <c r="D70" s="7"/>
      <c r="E70" s="7"/>
      <c r="F70" s="7"/>
      <c r="G70" s="7"/>
      <c r="H70" s="7"/>
      <c r="I70" s="7"/>
      <c r="J70" s="7"/>
      <c r="K70" s="7"/>
    </row>
    <row r="71" spans="1:11" ht="13.2" x14ac:dyDescent="0.25">
      <c r="A71" s="7"/>
      <c r="B71" s="7"/>
      <c r="C71" s="7"/>
      <c r="D71" s="7"/>
      <c r="E71" s="7"/>
      <c r="F71" s="7"/>
      <c r="G71" s="7"/>
      <c r="H71" s="7"/>
      <c r="I71" s="7"/>
      <c r="J71" s="7"/>
      <c r="K71" s="7"/>
    </row>
    <row r="72" spans="1:11" ht="13.2" x14ac:dyDescent="0.25">
      <c r="A72" s="7"/>
      <c r="B72" s="7"/>
      <c r="C72" s="7"/>
      <c r="D72" s="7"/>
      <c r="E72" s="7"/>
      <c r="F72" s="7"/>
      <c r="G72" s="7"/>
      <c r="H72" s="7"/>
      <c r="I72" s="7"/>
      <c r="J72" s="7"/>
      <c r="K72" s="7"/>
    </row>
    <row r="73" spans="1:11" ht="13.2" x14ac:dyDescent="0.25">
      <c r="A73" s="7"/>
      <c r="B73" s="7"/>
      <c r="C73" s="7"/>
      <c r="D73" s="7"/>
      <c r="E73" s="7"/>
      <c r="F73" s="7"/>
      <c r="G73" s="7"/>
      <c r="H73" s="7"/>
      <c r="I73" s="7"/>
      <c r="J73" s="7"/>
      <c r="K73" s="7"/>
    </row>
    <row r="74" spans="1:11" ht="13.2" x14ac:dyDescent="0.25">
      <c r="A74" s="7"/>
      <c r="B74" s="7"/>
      <c r="C74" s="7"/>
      <c r="D74" s="7"/>
      <c r="E74" s="7"/>
      <c r="F74" s="7"/>
      <c r="G74" s="7"/>
      <c r="H74" s="7"/>
      <c r="I74" s="7"/>
      <c r="J74" s="7"/>
      <c r="K74" s="7"/>
    </row>
    <row r="75" spans="1:11" ht="13.2" x14ac:dyDescent="0.25">
      <c r="A75" s="7"/>
      <c r="B75" s="7"/>
      <c r="C75" s="7"/>
      <c r="D75" s="7"/>
      <c r="E75" s="7"/>
      <c r="F75" s="7"/>
      <c r="G75" s="7"/>
      <c r="H75" s="7"/>
      <c r="I75" s="7"/>
      <c r="J75" s="7"/>
      <c r="K75" s="7"/>
    </row>
    <row r="76" spans="1:11" ht="13.2" x14ac:dyDescent="0.25">
      <c r="A76" s="7"/>
      <c r="B76" s="7"/>
      <c r="C76" s="7"/>
      <c r="D76" s="7"/>
      <c r="E76" s="7"/>
      <c r="F76" s="7"/>
      <c r="G76" s="7"/>
      <c r="H76" s="7"/>
      <c r="I76" s="7"/>
      <c r="J76" s="7"/>
      <c r="K76" s="7"/>
    </row>
    <row r="77" spans="1:11" ht="13.2" x14ac:dyDescent="0.25">
      <c r="A77" s="7"/>
      <c r="B77" s="7"/>
      <c r="C77" s="7"/>
      <c r="D77" s="7"/>
      <c r="E77" s="7"/>
      <c r="F77" s="7"/>
      <c r="G77" s="7"/>
      <c r="H77" s="7"/>
      <c r="I77" s="7"/>
      <c r="J77" s="7"/>
      <c r="K77" s="7"/>
    </row>
    <row r="78" spans="1:11" ht="13.2" x14ac:dyDescent="0.25">
      <c r="A78" s="7"/>
      <c r="B78" s="7"/>
      <c r="C78" s="7"/>
      <c r="D78" s="7"/>
      <c r="E78" s="7"/>
      <c r="F78" s="7"/>
      <c r="G78" s="7"/>
      <c r="H78" s="7"/>
      <c r="I78" s="7"/>
      <c r="J78" s="7"/>
      <c r="K78" s="7"/>
    </row>
    <row r="79" spans="1:11" ht="13.2" x14ac:dyDescent="0.25">
      <c r="A79" s="7"/>
      <c r="B79" s="7"/>
      <c r="C79" s="7"/>
      <c r="D79" s="7"/>
      <c r="E79" s="7"/>
      <c r="F79" s="7"/>
      <c r="G79" s="7"/>
      <c r="H79" s="7"/>
      <c r="I79" s="7"/>
      <c r="J79" s="7"/>
      <c r="K79" s="7"/>
    </row>
    <row r="80" spans="1:11" ht="13.2" x14ac:dyDescent="0.25">
      <c r="A80" s="7"/>
      <c r="B80" s="7"/>
      <c r="C80" s="7"/>
      <c r="D80" s="7"/>
      <c r="E80" s="7"/>
      <c r="F80" s="7"/>
      <c r="G80" s="7"/>
      <c r="H80" s="7"/>
      <c r="I80" s="7"/>
      <c r="J80" s="7"/>
      <c r="K80" s="7"/>
    </row>
    <row r="81" spans="1:11" ht="13.2" x14ac:dyDescent="0.25">
      <c r="A81" s="7"/>
      <c r="B81" s="7"/>
      <c r="C81" s="7"/>
      <c r="D81" s="7"/>
      <c r="E81" s="7"/>
      <c r="F81" s="7"/>
      <c r="G81" s="7"/>
      <c r="H81" s="7"/>
      <c r="I81" s="7"/>
      <c r="J81" s="7"/>
      <c r="K81" s="7"/>
    </row>
    <row r="82" spans="1:11" ht="13.2" x14ac:dyDescent="0.25">
      <c r="A82" s="7"/>
      <c r="B82" s="7"/>
      <c r="C82" s="7"/>
      <c r="D82" s="7"/>
      <c r="E82" s="7"/>
      <c r="F82" s="7"/>
      <c r="G82" s="7"/>
      <c r="H82" s="7"/>
      <c r="I82" s="7"/>
      <c r="J82" s="7"/>
      <c r="K82" s="7"/>
    </row>
    <row r="83" spans="1:11" ht="13.2" x14ac:dyDescent="0.25">
      <c r="A83" s="7"/>
      <c r="B83" s="7"/>
      <c r="C83" s="7"/>
      <c r="D83" s="7"/>
      <c r="E83" s="7"/>
      <c r="F83" s="7"/>
      <c r="G83" s="7"/>
      <c r="H83" s="7"/>
      <c r="I83" s="7"/>
      <c r="J83" s="7"/>
      <c r="K83" s="7"/>
    </row>
    <row r="84" spans="1:11" ht="13.2" x14ac:dyDescent="0.25">
      <c r="A84" s="7"/>
      <c r="B84" s="7"/>
      <c r="C84" s="7"/>
      <c r="D84" s="7"/>
      <c r="E84" s="7"/>
      <c r="F84" s="7"/>
      <c r="G84" s="7"/>
      <c r="H84" s="7"/>
      <c r="I84" s="7"/>
      <c r="J84" s="7"/>
      <c r="K84" s="7"/>
    </row>
    <row r="85" spans="1:11" ht="13.2" x14ac:dyDescent="0.25">
      <c r="A85" s="7"/>
      <c r="B85" s="7"/>
      <c r="C85" s="7"/>
      <c r="D85" s="7"/>
      <c r="E85" s="7"/>
      <c r="F85" s="7"/>
      <c r="G85" s="7"/>
      <c r="H85" s="7"/>
      <c r="I85" s="7"/>
      <c r="J85" s="7"/>
      <c r="K85" s="7"/>
    </row>
    <row r="86" spans="1:11" ht="13.2" x14ac:dyDescent="0.25">
      <c r="A86" s="7"/>
      <c r="B86" s="7"/>
      <c r="C86" s="7"/>
      <c r="D86" s="7"/>
      <c r="E86" s="7"/>
      <c r="F86" s="7"/>
      <c r="G86" s="7"/>
      <c r="H86" s="7"/>
      <c r="I86" s="7"/>
      <c r="J86" s="7"/>
      <c r="K86" s="7"/>
    </row>
    <row r="87" spans="1:11" ht="13.2" x14ac:dyDescent="0.25">
      <c r="A87" s="7"/>
      <c r="B87" s="7"/>
      <c r="C87" s="7"/>
      <c r="D87" s="7"/>
      <c r="E87" s="7"/>
      <c r="F87" s="7"/>
      <c r="G87" s="7"/>
      <c r="H87" s="7"/>
      <c r="I87" s="7"/>
      <c r="J87" s="7"/>
      <c r="K87" s="7"/>
    </row>
    <row r="88" spans="1:11" ht="13.2" x14ac:dyDescent="0.25">
      <c r="A88" s="7"/>
      <c r="B88" s="7"/>
      <c r="C88" s="7"/>
      <c r="D88" s="7"/>
      <c r="E88" s="7"/>
      <c r="F88" s="7"/>
      <c r="G88" s="7"/>
      <c r="H88" s="7"/>
      <c r="I88" s="7"/>
      <c r="J88" s="7"/>
      <c r="K88" s="7"/>
    </row>
    <row r="89" spans="1:11" ht="13.2" x14ac:dyDescent="0.25">
      <c r="A89" s="7"/>
      <c r="B89" s="7"/>
      <c r="C89" s="7"/>
      <c r="D89" s="7"/>
      <c r="E89" s="7"/>
      <c r="F89" s="7"/>
      <c r="G89" s="7"/>
      <c r="H89" s="7"/>
      <c r="I89" s="7"/>
      <c r="J89" s="7"/>
      <c r="K89" s="7"/>
    </row>
    <row r="90" spans="1:11" ht="13.2" x14ac:dyDescent="0.25">
      <c r="A90" s="7"/>
      <c r="B90" s="7"/>
      <c r="C90" s="7"/>
      <c r="D90" s="7"/>
      <c r="E90" s="7"/>
      <c r="F90" s="7"/>
      <c r="G90" s="7"/>
      <c r="H90" s="7"/>
      <c r="I90" s="7"/>
      <c r="J90" s="7"/>
      <c r="K90" s="7"/>
    </row>
    <row r="91" spans="1:11" ht="13.2" x14ac:dyDescent="0.25">
      <c r="A91" s="7"/>
      <c r="B91" s="7"/>
      <c r="C91" s="7"/>
      <c r="D91" s="7"/>
      <c r="E91" s="7"/>
      <c r="F91" s="7"/>
      <c r="G91" s="7"/>
      <c r="H91" s="7"/>
      <c r="I91" s="7"/>
      <c r="J91" s="7"/>
      <c r="K91" s="7"/>
    </row>
    <row r="92" spans="1:11" ht="13.2" x14ac:dyDescent="0.25">
      <c r="A92" s="7"/>
      <c r="B92" s="7"/>
      <c r="C92" s="7"/>
      <c r="D92" s="7"/>
      <c r="E92" s="7"/>
      <c r="F92" s="7"/>
      <c r="G92" s="7"/>
      <c r="H92" s="7"/>
      <c r="I92" s="7"/>
      <c r="J92" s="7"/>
      <c r="K92" s="7"/>
    </row>
    <row r="93" spans="1:11" ht="13.2" x14ac:dyDescent="0.25">
      <c r="A93" s="7"/>
      <c r="B93" s="7"/>
      <c r="C93" s="7"/>
      <c r="D93" s="7"/>
      <c r="E93" s="7"/>
      <c r="F93" s="7"/>
      <c r="G93" s="7"/>
      <c r="H93" s="7"/>
      <c r="I93" s="7"/>
      <c r="J93" s="7"/>
      <c r="K93" s="7"/>
    </row>
    <row r="94" spans="1:11" ht="13.2" x14ac:dyDescent="0.25">
      <c r="A94" s="7"/>
      <c r="B94" s="7"/>
      <c r="C94" s="7"/>
      <c r="D94" s="7"/>
      <c r="E94" s="7"/>
      <c r="F94" s="7"/>
      <c r="G94" s="7"/>
      <c r="H94" s="7"/>
      <c r="I94" s="7"/>
      <c r="J94" s="7"/>
      <c r="K94" s="7"/>
    </row>
    <row r="95" spans="1:11" ht="13.2" x14ac:dyDescent="0.25">
      <c r="A95" s="7"/>
      <c r="B95" s="7"/>
      <c r="C95" s="7"/>
      <c r="D95" s="7"/>
      <c r="E95" s="7"/>
      <c r="F95" s="7"/>
      <c r="G95" s="7"/>
      <c r="H95" s="7"/>
      <c r="I95" s="7"/>
      <c r="J95" s="7"/>
      <c r="K95" s="7"/>
    </row>
    <row r="96" spans="1:11" ht="13.2" x14ac:dyDescent="0.25">
      <c r="A96" s="7"/>
      <c r="B96" s="7"/>
      <c r="C96" s="7"/>
      <c r="D96" s="7"/>
      <c r="E96" s="7"/>
      <c r="F96" s="7"/>
      <c r="G96" s="7"/>
      <c r="H96" s="7"/>
      <c r="I96" s="7"/>
      <c r="J96" s="7"/>
      <c r="K96" s="7"/>
    </row>
    <row r="97" spans="1:11" ht="13.2" x14ac:dyDescent="0.25">
      <c r="A97" s="7"/>
      <c r="B97" s="7"/>
      <c r="C97" s="7"/>
      <c r="D97" s="7"/>
      <c r="E97" s="7"/>
      <c r="F97" s="7"/>
      <c r="G97" s="7"/>
      <c r="H97" s="7"/>
      <c r="I97" s="7"/>
      <c r="J97" s="7"/>
      <c r="K97" s="7"/>
    </row>
    <row r="98" spans="1:11" ht="13.2" x14ac:dyDescent="0.25">
      <c r="A98" s="7"/>
      <c r="B98" s="7"/>
      <c r="C98" s="7"/>
      <c r="D98" s="7"/>
      <c r="E98" s="7"/>
      <c r="F98" s="7"/>
      <c r="G98" s="7"/>
      <c r="H98" s="7"/>
      <c r="I98" s="7"/>
      <c r="J98" s="7"/>
      <c r="K98" s="7"/>
    </row>
    <row r="99" spans="1:11" ht="13.2" x14ac:dyDescent="0.25">
      <c r="A99" s="7"/>
      <c r="B99" s="7"/>
      <c r="C99" s="7"/>
      <c r="D99" s="7"/>
      <c r="E99" s="7"/>
      <c r="F99" s="7"/>
      <c r="G99" s="7"/>
      <c r="H99" s="7"/>
      <c r="I99" s="7"/>
      <c r="J99" s="7"/>
      <c r="K99" s="7"/>
    </row>
    <row r="100" spans="1:11" ht="13.2" x14ac:dyDescent="0.25">
      <c r="A100" s="7"/>
      <c r="B100" s="7"/>
      <c r="C100" s="7"/>
      <c r="D100" s="7"/>
      <c r="E100" s="7"/>
      <c r="F100" s="7"/>
      <c r="G100" s="7"/>
      <c r="H100" s="7"/>
      <c r="I100" s="7"/>
      <c r="J100" s="7"/>
      <c r="K100" s="7"/>
    </row>
    <row r="101" spans="1:11" ht="13.2" x14ac:dyDescent="0.25">
      <c r="A101" s="7"/>
      <c r="B101" s="7"/>
      <c r="C101" s="7"/>
      <c r="D101" s="7"/>
      <c r="E101" s="7"/>
      <c r="F101" s="7"/>
      <c r="G101" s="7"/>
      <c r="H101" s="7"/>
      <c r="I101" s="7"/>
      <c r="J101" s="7"/>
      <c r="K101" s="7"/>
    </row>
    <row r="102" spans="1:11" ht="13.2" x14ac:dyDescent="0.25">
      <c r="A102" s="7"/>
      <c r="B102" s="7"/>
      <c r="C102" s="7"/>
      <c r="D102" s="7"/>
      <c r="E102" s="7"/>
      <c r="F102" s="7"/>
      <c r="G102" s="7"/>
      <c r="H102" s="7"/>
      <c r="I102" s="7"/>
      <c r="J102" s="7"/>
      <c r="K102" s="7"/>
    </row>
    <row r="103" spans="1:11" ht="13.2" x14ac:dyDescent="0.25">
      <c r="A103" s="7"/>
      <c r="B103" s="7"/>
      <c r="C103" s="7"/>
      <c r="D103" s="7"/>
      <c r="E103" s="7"/>
      <c r="F103" s="7"/>
      <c r="G103" s="7"/>
      <c r="H103" s="7"/>
      <c r="I103" s="7"/>
      <c r="J103" s="7"/>
      <c r="K103" s="7"/>
    </row>
    <row r="104" spans="1:11" ht="13.2" x14ac:dyDescent="0.25">
      <c r="A104" s="7"/>
      <c r="B104" s="7"/>
      <c r="C104" s="7"/>
      <c r="D104" s="7"/>
      <c r="E104" s="7"/>
      <c r="F104" s="7"/>
      <c r="G104" s="7"/>
      <c r="H104" s="7"/>
      <c r="I104" s="7"/>
      <c r="J104" s="7"/>
      <c r="K104" s="7"/>
    </row>
    <row r="105" spans="1:11" ht="13.2" x14ac:dyDescent="0.25">
      <c r="A105" s="7"/>
      <c r="B105" s="7"/>
      <c r="C105" s="7"/>
      <c r="D105" s="7"/>
      <c r="E105" s="7"/>
      <c r="F105" s="7"/>
      <c r="G105" s="7"/>
      <c r="H105" s="7"/>
      <c r="I105" s="7"/>
      <c r="J105" s="7"/>
      <c r="K105" s="7"/>
    </row>
    <row r="106" spans="1:11" ht="13.2" x14ac:dyDescent="0.25">
      <c r="A106" s="7"/>
      <c r="B106" s="7"/>
      <c r="C106" s="7"/>
      <c r="D106" s="7"/>
      <c r="E106" s="7"/>
      <c r="F106" s="7"/>
      <c r="G106" s="7"/>
      <c r="H106" s="7"/>
      <c r="I106" s="7"/>
      <c r="J106" s="7"/>
      <c r="K106" s="7"/>
    </row>
    <row r="107" spans="1:11" ht="13.2" x14ac:dyDescent="0.25">
      <c r="A107" s="7"/>
      <c r="B107" s="7"/>
      <c r="C107" s="7"/>
      <c r="D107" s="7"/>
      <c r="E107" s="7"/>
      <c r="F107" s="7"/>
      <c r="G107" s="7"/>
      <c r="H107" s="7"/>
      <c r="I107" s="7"/>
      <c r="J107" s="7"/>
      <c r="K107" s="7"/>
    </row>
    <row r="108" spans="1:11" ht="13.2" x14ac:dyDescent="0.25">
      <c r="A108" s="7"/>
      <c r="B108" s="7"/>
      <c r="C108" s="7"/>
      <c r="D108" s="7"/>
      <c r="E108" s="7"/>
      <c r="F108" s="7"/>
      <c r="G108" s="7"/>
      <c r="H108" s="7"/>
      <c r="I108" s="7"/>
      <c r="J108" s="7"/>
      <c r="K108" s="7"/>
    </row>
    <row r="109" spans="1:11" ht="13.2" x14ac:dyDescent="0.25">
      <c r="A109" s="7"/>
      <c r="B109" s="7"/>
      <c r="C109" s="7"/>
      <c r="D109" s="7"/>
      <c r="E109" s="7"/>
      <c r="F109" s="7"/>
      <c r="G109" s="7"/>
      <c r="H109" s="7"/>
      <c r="I109" s="7"/>
      <c r="J109" s="7"/>
      <c r="K109" s="7"/>
    </row>
    <row r="110" spans="1:11" ht="13.2" x14ac:dyDescent="0.25">
      <c r="A110" s="7"/>
      <c r="B110" s="7"/>
      <c r="C110" s="7"/>
      <c r="D110" s="7"/>
      <c r="E110" s="7"/>
      <c r="F110" s="7"/>
      <c r="G110" s="7"/>
      <c r="H110" s="7"/>
      <c r="I110" s="7"/>
      <c r="J110" s="7"/>
      <c r="K110" s="7"/>
    </row>
    <row r="111" spans="1:11" ht="13.2" x14ac:dyDescent="0.25">
      <c r="A111" s="7"/>
      <c r="B111" s="7"/>
      <c r="C111" s="7"/>
      <c r="D111" s="7"/>
      <c r="E111" s="7"/>
      <c r="F111" s="7"/>
      <c r="G111" s="7"/>
      <c r="H111" s="7"/>
      <c r="I111" s="7"/>
      <c r="J111" s="7"/>
      <c r="K111" s="7"/>
    </row>
    <row r="112" spans="1:11" ht="13.2" x14ac:dyDescent="0.25">
      <c r="A112" s="7"/>
      <c r="B112" s="7"/>
      <c r="C112" s="7"/>
      <c r="D112" s="7"/>
      <c r="E112" s="7"/>
      <c r="F112" s="7"/>
      <c r="G112" s="7"/>
      <c r="H112" s="7"/>
      <c r="I112" s="7"/>
      <c r="J112" s="7"/>
      <c r="K112" s="7"/>
    </row>
    <row r="113" spans="1:11" ht="13.2" x14ac:dyDescent="0.25">
      <c r="A113" s="7"/>
      <c r="B113" s="7"/>
      <c r="C113" s="7"/>
      <c r="D113" s="7"/>
      <c r="E113" s="7"/>
      <c r="F113" s="7"/>
      <c r="G113" s="7"/>
      <c r="H113" s="7"/>
      <c r="I113" s="7"/>
      <c r="J113" s="7"/>
      <c r="K113" s="7"/>
    </row>
    <row r="114" spans="1:11" ht="13.2" x14ac:dyDescent="0.25">
      <c r="A114" s="7"/>
      <c r="B114" s="7"/>
      <c r="C114" s="7"/>
      <c r="D114" s="7"/>
      <c r="E114" s="7"/>
      <c r="F114" s="7"/>
      <c r="G114" s="7"/>
      <c r="H114" s="7"/>
      <c r="I114" s="7"/>
      <c r="J114" s="7"/>
      <c r="K114" s="7"/>
    </row>
    <row r="115" spans="1:11" ht="13.2" x14ac:dyDescent="0.25">
      <c r="A115" s="7"/>
      <c r="B115" s="7"/>
      <c r="C115" s="7"/>
      <c r="D115" s="7"/>
      <c r="E115" s="7"/>
      <c r="F115" s="7"/>
      <c r="G115" s="7"/>
      <c r="H115" s="7"/>
      <c r="I115" s="7"/>
      <c r="J115" s="7"/>
      <c r="K115" s="7"/>
    </row>
    <row r="116" spans="1:11" ht="13.2" x14ac:dyDescent="0.25">
      <c r="A116" s="7"/>
      <c r="B116" s="7"/>
      <c r="C116" s="7"/>
      <c r="D116" s="7"/>
      <c r="E116" s="7"/>
      <c r="F116" s="7"/>
      <c r="G116" s="7"/>
      <c r="H116" s="7"/>
      <c r="I116" s="7"/>
      <c r="J116" s="7"/>
      <c r="K116" s="7"/>
    </row>
    <row r="117" spans="1:11" ht="13.2" x14ac:dyDescent="0.25">
      <c r="A117" s="7"/>
      <c r="B117" s="7"/>
      <c r="C117" s="7"/>
      <c r="D117" s="7"/>
      <c r="E117" s="7"/>
      <c r="F117" s="7"/>
      <c r="G117" s="7"/>
      <c r="H117" s="7"/>
      <c r="I117" s="7"/>
      <c r="J117" s="7"/>
      <c r="K117" s="7"/>
    </row>
    <row r="118" spans="1:11" ht="13.2" x14ac:dyDescent="0.25">
      <c r="A118" s="7"/>
      <c r="B118" s="7"/>
      <c r="C118" s="7"/>
      <c r="D118" s="7"/>
      <c r="E118" s="7"/>
      <c r="F118" s="7"/>
      <c r="G118" s="7"/>
      <c r="H118" s="7"/>
      <c r="I118" s="7"/>
      <c r="J118" s="7"/>
      <c r="K118" s="7"/>
    </row>
    <row r="119" spans="1:11" ht="13.2" x14ac:dyDescent="0.25">
      <c r="A119" s="7"/>
      <c r="B119" s="7"/>
      <c r="C119" s="7"/>
      <c r="D119" s="7"/>
      <c r="E119" s="7"/>
      <c r="F119" s="7"/>
      <c r="G119" s="7"/>
      <c r="H119" s="7"/>
      <c r="I119" s="7"/>
      <c r="J119" s="7"/>
      <c r="K119" s="7"/>
    </row>
    <row r="120" spans="1:11" ht="13.2" x14ac:dyDescent="0.25">
      <c r="A120" s="7"/>
      <c r="B120" s="7"/>
      <c r="C120" s="7"/>
      <c r="D120" s="7"/>
      <c r="E120" s="7"/>
      <c r="F120" s="7"/>
      <c r="G120" s="7"/>
      <c r="H120" s="7"/>
      <c r="I120" s="7"/>
      <c r="J120" s="7"/>
      <c r="K120" s="7"/>
    </row>
    <row r="121" spans="1:11" ht="13.2" x14ac:dyDescent="0.25">
      <c r="A121" s="7"/>
      <c r="B121" s="7"/>
      <c r="C121" s="7"/>
      <c r="D121" s="7"/>
      <c r="E121" s="7"/>
      <c r="F121" s="7"/>
      <c r="G121" s="7"/>
      <c r="H121" s="7"/>
      <c r="I121" s="7"/>
      <c r="J121" s="7"/>
      <c r="K121" s="7"/>
    </row>
    <row r="122" spans="1:11" ht="13.2" x14ac:dyDescent="0.25">
      <c r="A122" s="7"/>
      <c r="B122" s="7"/>
      <c r="C122" s="7"/>
      <c r="D122" s="7"/>
      <c r="E122" s="7"/>
      <c r="F122" s="7"/>
      <c r="G122" s="7"/>
      <c r="H122" s="7"/>
      <c r="I122" s="7"/>
      <c r="J122" s="7"/>
      <c r="K122" s="7"/>
    </row>
    <row r="123" spans="1:11" ht="13.2" x14ac:dyDescent="0.25">
      <c r="A123" s="7"/>
      <c r="B123" s="7"/>
      <c r="C123" s="7"/>
      <c r="D123" s="7"/>
      <c r="E123" s="7"/>
      <c r="F123" s="7"/>
      <c r="G123" s="7"/>
      <c r="H123" s="7"/>
      <c r="I123" s="7"/>
      <c r="J123" s="7"/>
      <c r="K123" s="7"/>
    </row>
    <row r="124" spans="1:11" ht="13.2" x14ac:dyDescent="0.25">
      <c r="A124" s="7"/>
      <c r="B124" s="7"/>
      <c r="C124" s="7"/>
      <c r="D124" s="7"/>
      <c r="E124" s="7"/>
      <c r="F124" s="7"/>
      <c r="G124" s="7"/>
      <c r="H124" s="7"/>
      <c r="I124" s="7"/>
      <c r="J124" s="7"/>
      <c r="K124" s="7"/>
    </row>
    <row r="125" spans="1:11" ht="13.2" x14ac:dyDescent="0.25">
      <c r="A125" s="7"/>
      <c r="B125" s="7"/>
      <c r="C125" s="7"/>
      <c r="D125" s="7"/>
      <c r="E125" s="7"/>
      <c r="F125" s="7"/>
      <c r="G125" s="7"/>
      <c r="H125" s="7"/>
      <c r="I125" s="7"/>
      <c r="J125" s="7"/>
      <c r="K125" s="7"/>
    </row>
    <row r="126" spans="1:11" ht="13.2" x14ac:dyDescent="0.25">
      <c r="A126" s="7"/>
      <c r="B126" s="7"/>
      <c r="C126" s="7"/>
      <c r="D126" s="7"/>
      <c r="E126" s="7"/>
      <c r="F126" s="7"/>
      <c r="G126" s="7"/>
      <c r="H126" s="7"/>
      <c r="I126" s="7"/>
      <c r="J126" s="7"/>
      <c r="K126" s="7"/>
    </row>
    <row r="127" spans="1:11" ht="13.2" x14ac:dyDescent="0.25">
      <c r="A127" s="7"/>
      <c r="B127" s="7"/>
      <c r="C127" s="7"/>
      <c r="D127" s="7"/>
      <c r="E127" s="7"/>
      <c r="F127" s="7"/>
      <c r="G127" s="7"/>
      <c r="H127" s="7"/>
      <c r="I127" s="7"/>
      <c r="J127" s="7"/>
      <c r="K127" s="7"/>
    </row>
    <row r="128" spans="1:11" ht="13.2" x14ac:dyDescent="0.25">
      <c r="A128" s="7"/>
      <c r="B128" s="7"/>
      <c r="C128" s="7"/>
      <c r="D128" s="7"/>
      <c r="E128" s="7"/>
      <c r="F128" s="7"/>
      <c r="G128" s="7"/>
      <c r="H128" s="7"/>
      <c r="I128" s="7"/>
      <c r="J128" s="7"/>
      <c r="K128" s="7"/>
    </row>
    <row r="129" spans="1:11" ht="13.2" x14ac:dyDescent="0.25">
      <c r="A129" s="7"/>
      <c r="B129" s="7"/>
      <c r="C129" s="7"/>
      <c r="D129" s="7"/>
      <c r="E129" s="7"/>
      <c r="F129" s="7"/>
      <c r="G129" s="7"/>
      <c r="H129" s="7"/>
      <c r="I129" s="7"/>
      <c r="J129" s="7"/>
      <c r="K129" s="7"/>
    </row>
    <row r="130" spans="1:11" ht="13.2" x14ac:dyDescent="0.25">
      <c r="A130" s="7"/>
      <c r="B130" s="7"/>
      <c r="C130" s="7"/>
      <c r="D130" s="7"/>
      <c r="E130" s="7"/>
      <c r="F130" s="7"/>
      <c r="G130" s="7"/>
      <c r="H130" s="7"/>
      <c r="I130" s="7"/>
      <c r="J130" s="7"/>
      <c r="K130" s="7"/>
    </row>
    <row r="131" spans="1:11" ht="13.2" x14ac:dyDescent="0.25">
      <c r="A131" s="7"/>
      <c r="B131" s="7"/>
      <c r="C131" s="7"/>
      <c r="D131" s="7"/>
      <c r="E131" s="7"/>
      <c r="F131" s="7"/>
      <c r="G131" s="7"/>
      <c r="H131" s="7"/>
      <c r="I131" s="7"/>
      <c r="J131" s="7"/>
      <c r="K131" s="7"/>
    </row>
    <row r="132" spans="1:11" ht="13.2" x14ac:dyDescent="0.25">
      <c r="A132" s="7"/>
      <c r="B132" s="7"/>
      <c r="C132" s="7"/>
      <c r="D132" s="7"/>
      <c r="E132" s="7"/>
      <c r="F132" s="7"/>
      <c r="G132" s="7"/>
      <c r="H132" s="7"/>
      <c r="I132" s="7"/>
      <c r="J132" s="7"/>
      <c r="K132" s="7"/>
    </row>
    <row r="133" spans="1:11" ht="13.2" x14ac:dyDescent="0.25">
      <c r="A133" s="7"/>
      <c r="B133" s="7"/>
      <c r="C133" s="7"/>
      <c r="D133" s="7"/>
      <c r="E133" s="7"/>
      <c r="F133" s="7"/>
      <c r="G133" s="7"/>
      <c r="H133" s="7"/>
      <c r="I133" s="7"/>
      <c r="J133" s="7"/>
      <c r="K133" s="7"/>
    </row>
    <row r="134" spans="1:11" ht="13.2" x14ac:dyDescent="0.25">
      <c r="A134" s="7"/>
      <c r="B134" s="7"/>
      <c r="C134" s="7"/>
      <c r="D134" s="7"/>
      <c r="E134" s="7"/>
      <c r="F134" s="7"/>
      <c r="G134" s="7"/>
      <c r="H134" s="7"/>
      <c r="I134" s="7"/>
      <c r="J134" s="7"/>
      <c r="K134" s="7"/>
    </row>
    <row r="135" spans="1:11" ht="13.2" x14ac:dyDescent="0.25">
      <c r="A135" s="7"/>
      <c r="B135" s="7"/>
      <c r="C135" s="7"/>
      <c r="D135" s="7"/>
      <c r="E135" s="7"/>
      <c r="F135" s="7"/>
      <c r="G135" s="7"/>
      <c r="H135" s="7"/>
      <c r="I135" s="7"/>
      <c r="J135" s="7"/>
      <c r="K135" s="7"/>
    </row>
    <row r="136" spans="1:11" ht="13.2" x14ac:dyDescent="0.25">
      <c r="A136" s="7"/>
      <c r="B136" s="7"/>
      <c r="C136" s="7"/>
      <c r="D136" s="7"/>
      <c r="E136" s="7"/>
      <c r="F136" s="7"/>
      <c r="G136" s="7"/>
      <c r="H136" s="7"/>
      <c r="I136" s="7"/>
      <c r="J136" s="7"/>
      <c r="K136" s="7"/>
    </row>
    <row r="137" spans="1:11" ht="13.2" x14ac:dyDescent="0.25">
      <c r="A137" s="7"/>
      <c r="B137" s="7"/>
      <c r="C137" s="7"/>
      <c r="D137" s="7"/>
      <c r="E137" s="7"/>
      <c r="F137" s="7"/>
      <c r="G137" s="7"/>
      <c r="H137" s="7"/>
      <c r="I137" s="7"/>
      <c r="J137" s="7"/>
      <c r="K137" s="7"/>
    </row>
    <row r="138" spans="1:11" ht="13.2" x14ac:dyDescent="0.25">
      <c r="A138" s="7"/>
      <c r="B138" s="7"/>
      <c r="C138" s="7"/>
      <c r="D138" s="7"/>
      <c r="E138" s="7"/>
      <c r="F138" s="7"/>
      <c r="G138" s="7"/>
      <c r="H138" s="7"/>
      <c r="I138" s="7"/>
      <c r="J138" s="7"/>
      <c r="K138" s="7"/>
    </row>
    <row r="139" spans="1:11" ht="13.2" x14ac:dyDescent="0.25">
      <c r="A139" s="7"/>
      <c r="B139" s="7"/>
      <c r="C139" s="7"/>
      <c r="D139" s="7"/>
      <c r="E139" s="7"/>
      <c r="F139" s="7"/>
      <c r="G139" s="7"/>
      <c r="H139" s="7"/>
      <c r="I139" s="7"/>
      <c r="J139" s="7"/>
      <c r="K139" s="7"/>
    </row>
    <row r="140" spans="1:11" ht="13.2" x14ac:dyDescent="0.25">
      <c r="A140" s="7"/>
      <c r="B140" s="7"/>
      <c r="C140" s="7"/>
      <c r="D140" s="7"/>
      <c r="E140" s="7"/>
      <c r="F140" s="7"/>
      <c r="G140" s="7"/>
      <c r="H140" s="7"/>
      <c r="I140" s="7"/>
      <c r="J140" s="7"/>
      <c r="K140" s="7"/>
    </row>
    <row r="141" spans="1:11" ht="13.2" x14ac:dyDescent="0.25">
      <c r="A141" s="7"/>
      <c r="B141" s="7"/>
      <c r="C141" s="7"/>
      <c r="D141" s="7"/>
      <c r="E141" s="7"/>
      <c r="F141" s="7"/>
      <c r="G141" s="7"/>
      <c r="H141" s="7"/>
      <c r="I141" s="7"/>
      <c r="J141" s="7"/>
      <c r="K141" s="7"/>
    </row>
    <row r="142" spans="1:11" ht="13.2" x14ac:dyDescent="0.25">
      <c r="A142" s="7"/>
      <c r="B142" s="7"/>
      <c r="C142" s="7"/>
      <c r="D142" s="7"/>
      <c r="E142" s="7"/>
      <c r="F142" s="7"/>
      <c r="G142" s="7"/>
      <c r="H142" s="7"/>
      <c r="I142" s="7"/>
      <c r="J142" s="7"/>
      <c r="K142" s="7"/>
    </row>
    <row r="143" spans="1:11" ht="13.2" x14ac:dyDescent="0.25">
      <c r="A143" s="7"/>
      <c r="B143" s="7"/>
      <c r="C143" s="7"/>
      <c r="D143" s="7"/>
      <c r="E143" s="7"/>
      <c r="F143" s="7"/>
      <c r="G143" s="7"/>
      <c r="H143" s="7"/>
      <c r="I143" s="7"/>
      <c r="J143" s="7"/>
      <c r="K143" s="7"/>
    </row>
    <row r="144" spans="1:11" ht="13.2" x14ac:dyDescent="0.25">
      <c r="A144" s="7"/>
      <c r="B144" s="7"/>
      <c r="C144" s="7"/>
      <c r="D144" s="7"/>
      <c r="E144" s="7"/>
      <c r="F144" s="7"/>
      <c r="G144" s="7"/>
      <c r="H144" s="7"/>
      <c r="I144" s="7"/>
      <c r="J144" s="7"/>
      <c r="K144" s="7"/>
    </row>
    <row r="145" spans="1:11" ht="13.2" x14ac:dyDescent="0.25">
      <c r="A145" s="7"/>
      <c r="B145" s="7"/>
      <c r="C145" s="7"/>
      <c r="D145" s="7"/>
      <c r="E145" s="7"/>
      <c r="F145" s="7"/>
      <c r="G145" s="7"/>
      <c r="H145" s="7"/>
      <c r="I145" s="7"/>
      <c r="J145" s="7"/>
      <c r="K145" s="7"/>
    </row>
    <row r="146" spans="1:11" ht="13.2" x14ac:dyDescent="0.25">
      <c r="A146" s="7"/>
      <c r="B146" s="7"/>
      <c r="C146" s="7"/>
      <c r="D146" s="7"/>
      <c r="E146" s="7"/>
      <c r="F146" s="7"/>
      <c r="G146" s="7"/>
      <c r="H146" s="7"/>
      <c r="I146" s="7"/>
      <c r="J146" s="7"/>
      <c r="K146" s="7"/>
    </row>
    <row r="147" spans="1:11" ht="13.2" x14ac:dyDescent="0.25">
      <c r="A147" s="7"/>
      <c r="B147" s="7"/>
      <c r="C147" s="7"/>
      <c r="D147" s="7"/>
      <c r="E147" s="7"/>
      <c r="F147" s="7"/>
      <c r="G147" s="7"/>
      <c r="H147" s="7"/>
      <c r="I147" s="7"/>
      <c r="J147" s="7"/>
      <c r="K147" s="7"/>
    </row>
    <row r="148" spans="1:11" ht="13.2" x14ac:dyDescent="0.25">
      <c r="A148" s="7"/>
      <c r="B148" s="7"/>
      <c r="C148" s="7"/>
      <c r="D148" s="7"/>
      <c r="E148" s="7"/>
      <c r="F148" s="7"/>
      <c r="G148" s="7"/>
      <c r="H148" s="7"/>
      <c r="I148" s="7"/>
      <c r="J148" s="7"/>
      <c r="K148" s="7"/>
    </row>
    <row r="149" spans="1:11" ht="13.2" x14ac:dyDescent="0.25">
      <c r="A149" s="7"/>
      <c r="B149" s="7"/>
      <c r="C149" s="7"/>
      <c r="D149" s="7"/>
      <c r="E149" s="7"/>
      <c r="F149" s="7"/>
      <c r="G149" s="7"/>
      <c r="H149" s="7"/>
      <c r="I149" s="7"/>
      <c r="J149" s="7"/>
      <c r="K149" s="7"/>
    </row>
    <row r="150" spans="1:11" ht="13.2" x14ac:dyDescent="0.25">
      <c r="A150" s="7"/>
      <c r="B150" s="7"/>
      <c r="C150" s="7"/>
      <c r="D150" s="7"/>
      <c r="E150" s="7"/>
      <c r="F150" s="7"/>
      <c r="G150" s="7"/>
      <c r="H150" s="7"/>
      <c r="I150" s="7"/>
      <c r="J150" s="7"/>
      <c r="K150" s="7"/>
    </row>
    <row r="151" spans="1:11" ht="13.2" x14ac:dyDescent="0.25">
      <c r="A151" s="7"/>
      <c r="B151" s="7"/>
      <c r="C151" s="7"/>
      <c r="D151" s="7"/>
      <c r="E151" s="7"/>
      <c r="F151" s="7"/>
      <c r="G151" s="7"/>
      <c r="H151" s="7"/>
      <c r="I151" s="7"/>
      <c r="J151" s="7"/>
      <c r="K151" s="7"/>
    </row>
    <row r="152" spans="1:11" ht="13.2" x14ac:dyDescent="0.25">
      <c r="A152" s="7"/>
      <c r="B152" s="7"/>
      <c r="C152" s="7"/>
      <c r="D152" s="7"/>
      <c r="E152" s="7"/>
      <c r="F152" s="7"/>
      <c r="G152" s="7"/>
      <c r="H152" s="7"/>
      <c r="I152" s="7"/>
      <c r="J152" s="7"/>
      <c r="K152" s="7"/>
    </row>
    <row r="153" spans="1:11" ht="13.2" x14ac:dyDescent="0.25">
      <c r="A153" s="7"/>
      <c r="B153" s="7"/>
      <c r="C153" s="7"/>
      <c r="D153" s="7"/>
      <c r="E153" s="7"/>
      <c r="F153" s="7"/>
      <c r="G153" s="7"/>
      <c r="H153" s="7"/>
      <c r="I153" s="7"/>
      <c r="J153" s="7"/>
      <c r="K153" s="7"/>
    </row>
    <row r="154" spans="1:11" ht="13.2" x14ac:dyDescent="0.25">
      <c r="A154" s="7"/>
      <c r="B154" s="7"/>
      <c r="C154" s="7"/>
      <c r="D154" s="7"/>
      <c r="E154" s="7"/>
      <c r="F154" s="7"/>
      <c r="G154" s="7"/>
      <c r="H154" s="7"/>
      <c r="I154" s="7"/>
      <c r="J154" s="7"/>
      <c r="K154" s="7"/>
    </row>
    <row r="155" spans="1:11" ht="13.2" x14ac:dyDescent="0.25">
      <c r="A155" s="7"/>
      <c r="B155" s="7"/>
      <c r="C155" s="7"/>
      <c r="D155" s="7"/>
      <c r="E155" s="7"/>
      <c r="F155" s="7"/>
      <c r="G155" s="7"/>
      <c r="H155" s="7"/>
      <c r="I155" s="7"/>
      <c r="J155" s="7"/>
      <c r="K155" s="7"/>
    </row>
    <row r="156" spans="1:11" ht="13.2" x14ac:dyDescent="0.25">
      <c r="A156" s="7"/>
      <c r="B156" s="7"/>
      <c r="C156" s="7"/>
      <c r="D156" s="7"/>
      <c r="E156" s="7"/>
      <c r="F156" s="7"/>
      <c r="G156" s="7"/>
      <c r="H156" s="7"/>
      <c r="I156" s="7"/>
      <c r="J156" s="7"/>
      <c r="K156" s="7"/>
    </row>
    <row r="157" spans="1:11" ht="13.2" x14ac:dyDescent="0.25">
      <c r="A157" s="7"/>
      <c r="B157" s="7"/>
      <c r="C157" s="7"/>
      <c r="D157" s="7"/>
      <c r="E157" s="7"/>
      <c r="F157" s="7"/>
      <c r="G157" s="7"/>
      <c r="H157" s="7"/>
      <c r="I157" s="7"/>
      <c r="J157" s="7"/>
      <c r="K157" s="7"/>
    </row>
    <row r="158" spans="1:11" ht="13.2" x14ac:dyDescent="0.25">
      <c r="A158" s="7"/>
      <c r="B158" s="7"/>
      <c r="C158" s="7"/>
      <c r="D158" s="7"/>
      <c r="E158" s="7"/>
      <c r="F158" s="7"/>
      <c r="G158" s="7"/>
      <c r="H158" s="7"/>
      <c r="I158" s="7"/>
      <c r="J158" s="7"/>
      <c r="K158" s="7"/>
    </row>
    <row r="159" spans="1:11" ht="13.2" x14ac:dyDescent="0.25">
      <c r="A159" s="7"/>
      <c r="B159" s="7"/>
      <c r="C159" s="7"/>
      <c r="D159" s="7"/>
      <c r="E159" s="7"/>
      <c r="F159" s="7"/>
      <c r="G159" s="7"/>
      <c r="H159" s="7"/>
      <c r="I159" s="7"/>
      <c r="J159" s="7"/>
      <c r="K159" s="7"/>
    </row>
    <row r="160" spans="1:11" ht="13.2" x14ac:dyDescent="0.25">
      <c r="A160" s="7"/>
      <c r="B160" s="7"/>
      <c r="C160" s="7"/>
      <c r="D160" s="7"/>
      <c r="E160" s="7"/>
      <c r="F160" s="7"/>
      <c r="G160" s="7"/>
      <c r="H160" s="7"/>
      <c r="I160" s="7"/>
      <c r="J160" s="7"/>
      <c r="K160" s="7"/>
    </row>
    <row r="161" spans="1:11" ht="13.2" x14ac:dyDescent="0.25">
      <c r="A161" s="7"/>
      <c r="B161" s="7"/>
      <c r="C161" s="7"/>
      <c r="D161" s="7"/>
      <c r="E161" s="7"/>
      <c r="F161" s="7"/>
      <c r="G161" s="7"/>
      <c r="H161" s="7"/>
      <c r="I161" s="7"/>
      <c r="J161" s="7"/>
      <c r="K161" s="7"/>
    </row>
    <row r="162" spans="1:11" ht="13.2" x14ac:dyDescent="0.25">
      <c r="A162" s="7"/>
      <c r="B162" s="7"/>
      <c r="C162" s="7"/>
      <c r="D162" s="7"/>
      <c r="E162" s="7"/>
      <c r="F162" s="7"/>
      <c r="G162" s="7"/>
      <c r="H162" s="7"/>
      <c r="I162" s="7"/>
      <c r="J162" s="7"/>
      <c r="K162" s="7"/>
    </row>
    <row r="163" spans="1:11" ht="13.2" x14ac:dyDescent="0.25">
      <c r="A163" s="7"/>
      <c r="B163" s="7"/>
      <c r="C163" s="7"/>
      <c r="D163" s="7"/>
      <c r="E163" s="7"/>
      <c r="F163" s="7"/>
      <c r="G163" s="7"/>
      <c r="H163" s="7"/>
      <c r="I163" s="7"/>
      <c r="J163" s="7"/>
      <c r="K163" s="7"/>
    </row>
    <row r="164" spans="1:11" ht="13.2" x14ac:dyDescent="0.25">
      <c r="A164" s="7"/>
      <c r="B164" s="7"/>
      <c r="C164" s="7"/>
      <c r="D164" s="7"/>
      <c r="E164" s="7"/>
      <c r="F164" s="7"/>
      <c r="G164" s="7"/>
      <c r="H164" s="7"/>
      <c r="I164" s="7"/>
      <c r="J164" s="7"/>
      <c r="K164" s="7"/>
    </row>
    <row r="165" spans="1:11" ht="13.2" x14ac:dyDescent="0.25">
      <c r="A165" s="7"/>
      <c r="B165" s="7"/>
      <c r="C165" s="7"/>
      <c r="D165" s="7"/>
      <c r="E165" s="7"/>
      <c r="F165" s="7"/>
      <c r="G165" s="7"/>
      <c r="H165" s="7"/>
      <c r="I165" s="7"/>
      <c r="J165" s="7"/>
      <c r="K165" s="7"/>
    </row>
    <row r="166" spans="1:11" ht="13.2" x14ac:dyDescent="0.25">
      <c r="A166" s="7"/>
      <c r="B166" s="7"/>
      <c r="C166" s="7"/>
      <c r="D166" s="7"/>
      <c r="E166" s="7"/>
      <c r="F166" s="7"/>
      <c r="G166" s="7"/>
      <c r="H166" s="7"/>
      <c r="I166" s="7"/>
      <c r="J166" s="7"/>
      <c r="K166" s="7"/>
    </row>
    <row r="167" spans="1:11" ht="13.2" x14ac:dyDescent="0.25">
      <c r="A167" s="7"/>
      <c r="B167" s="7"/>
      <c r="C167" s="7"/>
      <c r="D167" s="7"/>
      <c r="E167" s="7"/>
      <c r="F167" s="7"/>
      <c r="G167" s="7"/>
      <c r="H167" s="7"/>
      <c r="I167" s="7"/>
      <c r="J167" s="7"/>
      <c r="K167" s="7"/>
    </row>
    <row r="168" spans="1:11" ht="13.2" x14ac:dyDescent="0.25">
      <c r="A168" s="7"/>
      <c r="B168" s="7"/>
      <c r="C168" s="7"/>
      <c r="D168" s="7"/>
      <c r="E168" s="7"/>
      <c r="F168" s="7"/>
      <c r="G168" s="7"/>
      <c r="H168" s="7"/>
      <c r="I168" s="7"/>
      <c r="J168" s="7"/>
      <c r="K168" s="7"/>
    </row>
    <row r="169" spans="1:11" ht="13.2" x14ac:dyDescent="0.25">
      <c r="A169" s="7"/>
      <c r="B169" s="7"/>
      <c r="C169" s="7"/>
      <c r="D169" s="7"/>
      <c r="E169" s="7"/>
      <c r="F169" s="7"/>
      <c r="G169" s="7"/>
      <c r="H169" s="7"/>
      <c r="I169" s="7"/>
      <c r="J169" s="7"/>
      <c r="K169" s="7"/>
    </row>
    <row r="170" spans="1:11" ht="13.2" x14ac:dyDescent="0.25">
      <c r="A170" s="7"/>
      <c r="B170" s="7"/>
      <c r="C170" s="7"/>
      <c r="D170" s="7"/>
      <c r="E170" s="7"/>
      <c r="F170" s="7"/>
      <c r="G170" s="7"/>
      <c r="H170" s="7"/>
      <c r="I170" s="7"/>
      <c r="J170" s="7"/>
      <c r="K170" s="7"/>
    </row>
    <row r="171" spans="1:11" ht="13.2" x14ac:dyDescent="0.25">
      <c r="A171" s="7"/>
      <c r="B171" s="7"/>
      <c r="C171" s="7"/>
      <c r="D171" s="7"/>
      <c r="E171" s="7"/>
      <c r="F171" s="7"/>
      <c r="G171" s="7"/>
      <c r="H171" s="7"/>
      <c r="I171" s="7"/>
      <c r="J171" s="7"/>
      <c r="K171" s="7"/>
    </row>
    <row r="172" spans="1:11" ht="13.2" x14ac:dyDescent="0.25">
      <c r="A172" s="7"/>
      <c r="B172" s="7"/>
      <c r="C172" s="7"/>
      <c r="D172" s="7"/>
      <c r="E172" s="7"/>
      <c r="F172" s="7"/>
      <c r="G172" s="7"/>
      <c r="H172" s="7"/>
      <c r="I172" s="7"/>
      <c r="J172" s="7"/>
      <c r="K172" s="7"/>
    </row>
    <row r="173" spans="1:11" ht="13.2" x14ac:dyDescent="0.25">
      <c r="A173" s="7"/>
      <c r="B173" s="7"/>
      <c r="C173" s="7"/>
      <c r="D173" s="7"/>
      <c r="E173" s="7"/>
      <c r="F173" s="7"/>
      <c r="G173" s="7"/>
      <c r="H173" s="7"/>
      <c r="I173" s="7"/>
      <c r="J173" s="7"/>
      <c r="K173" s="7"/>
    </row>
    <row r="174" spans="1:11" ht="13.2" x14ac:dyDescent="0.25">
      <c r="A174" s="7"/>
      <c r="B174" s="7"/>
      <c r="C174" s="7"/>
      <c r="D174" s="7"/>
      <c r="E174" s="7"/>
      <c r="F174" s="7"/>
      <c r="G174" s="7"/>
      <c r="H174" s="7"/>
      <c r="I174" s="7"/>
      <c r="J174" s="7"/>
      <c r="K174" s="7"/>
    </row>
    <row r="175" spans="1:11" ht="13.2" x14ac:dyDescent="0.25">
      <c r="A175" s="7"/>
      <c r="B175" s="7"/>
      <c r="C175" s="7"/>
      <c r="D175" s="7"/>
      <c r="E175" s="7"/>
      <c r="F175" s="7"/>
      <c r="G175" s="7"/>
      <c r="H175" s="7"/>
      <c r="I175" s="7"/>
      <c r="J175" s="7"/>
      <c r="K175" s="7"/>
    </row>
    <row r="176" spans="1:11" ht="13.2" x14ac:dyDescent="0.25">
      <c r="A176" s="7"/>
      <c r="B176" s="7"/>
      <c r="C176" s="7"/>
      <c r="D176" s="7"/>
      <c r="E176" s="7"/>
      <c r="F176" s="7"/>
      <c r="G176" s="7"/>
      <c r="H176" s="7"/>
      <c r="I176" s="7"/>
      <c r="J176" s="7"/>
      <c r="K176" s="7"/>
    </row>
    <row r="177" spans="1:11" ht="13.2" x14ac:dyDescent="0.25">
      <c r="A177" s="7"/>
      <c r="B177" s="7"/>
      <c r="C177" s="7"/>
      <c r="D177" s="7"/>
      <c r="E177" s="7"/>
      <c r="F177" s="7"/>
      <c r="G177" s="7"/>
      <c r="H177" s="7"/>
      <c r="I177" s="7"/>
      <c r="J177" s="7"/>
      <c r="K177" s="7"/>
    </row>
    <row r="178" spans="1:11" ht="13.2" x14ac:dyDescent="0.25">
      <c r="A178" s="7"/>
      <c r="B178" s="7"/>
      <c r="C178" s="7"/>
      <c r="D178" s="7"/>
      <c r="E178" s="7"/>
      <c r="F178" s="7"/>
      <c r="G178" s="7"/>
      <c r="H178" s="7"/>
      <c r="I178" s="7"/>
      <c r="J178" s="7"/>
      <c r="K178" s="7"/>
    </row>
    <row r="179" spans="1:11" ht="13.2" x14ac:dyDescent="0.25">
      <c r="A179" s="7"/>
      <c r="B179" s="7"/>
      <c r="C179" s="7"/>
      <c r="D179" s="7"/>
      <c r="E179" s="7"/>
      <c r="F179" s="7"/>
      <c r="G179" s="7"/>
      <c r="H179" s="7"/>
      <c r="I179" s="7"/>
      <c r="J179" s="7"/>
      <c r="K179" s="7"/>
    </row>
    <row r="180" spans="1:11" ht="13.2" x14ac:dyDescent="0.25">
      <c r="A180" s="7"/>
      <c r="B180" s="7"/>
      <c r="C180" s="7"/>
      <c r="D180" s="7"/>
      <c r="E180" s="7"/>
      <c r="F180" s="7"/>
      <c r="G180" s="7"/>
      <c r="H180" s="7"/>
      <c r="I180" s="7"/>
      <c r="J180" s="7"/>
      <c r="K180" s="7"/>
    </row>
    <row r="181" spans="1:11" ht="13.2" x14ac:dyDescent="0.25">
      <c r="A181" s="7"/>
      <c r="B181" s="7"/>
      <c r="C181" s="7"/>
      <c r="D181" s="7"/>
      <c r="E181" s="7"/>
      <c r="F181" s="7"/>
      <c r="G181" s="7"/>
      <c r="H181" s="7"/>
      <c r="I181" s="7"/>
      <c r="J181" s="7"/>
      <c r="K181" s="7"/>
    </row>
    <row r="182" spans="1:11" ht="13.2" x14ac:dyDescent="0.25">
      <c r="A182" s="7"/>
      <c r="B182" s="7"/>
      <c r="C182" s="7"/>
      <c r="D182" s="7"/>
      <c r="E182" s="7"/>
      <c r="F182" s="7"/>
      <c r="G182" s="7"/>
      <c r="H182" s="7"/>
      <c r="I182" s="7"/>
      <c r="J182" s="7"/>
      <c r="K182" s="7"/>
    </row>
    <row r="183" spans="1:11" ht="13.2" x14ac:dyDescent="0.25">
      <c r="A183" s="7"/>
      <c r="B183" s="7"/>
      <c r="C183" s="7"/>
      <c r="D183" s="7"/>
      <c r="E183" s="7"/>
      <c r="F183" s="7"/>
      <c r="G183" s="7"/>
      <c r="H183" s="7"/>
      <c r="I183" s="7"/>
      <c r="J183" s="7"/>
      <c r="K183" s="7"/>
    </row>
    <row r="184" spans="1:11" ht="13.2" x14ac:dyDescent="0.25">
      <c r="A184" s="7"/>
      <c r="B184" s="7"/>
      <c r="C184" s="7"/>
      <c r="D184" s="7"/>
      <c r="E184" s="7"/>
      <c r="F184" s="7"/>
      <c r="G184" s="7"/>
      <c r="H184" s="7"/>
      <c r="I184" s="7"/>
      <c r="J184" s="7"/>
      <c r="K184" s="7"/>
    </row>
    <row r="185" spans="1:11" ht="13.2" x14ac:dyDescent="0.25">
      <c r="A185" s="7"/>
      <c r="B185" s="7"/>
      <c r="C185" s="7"/>
      <c r="D185" s="7"/>
      <c r="E185" s="7"/>
      <c r="F185" s="7"/>
      <c r="G185" s="7"/>
      <c r="H185" s="7"/>
      <c r="I185" s="7"/>
      <c r="J185" s="7"/>
      <c r="K185" s="7"/>
    </row>
    <row r="186" spans="1:11" ht="13.2" x14ac:dyDescent="0.25">
      <c r="A186" s="7"/>
      <c r="B186" s="7"/>
      <c r="C186" s="7"/>
      <c r="D186" s="7"/>
      <c r="E186" s="7"/>
      <c r="F186" s="7"/>
      <c r="G186" s="7"/>
      <c r="H186" s="7"/>
      <c r="I186" s="7"/>
      <c r="J186" s="7"/>
      <c r="K186" s="7"/>
    </row>
    <row r="187" spans="1:11" ht="13.2" x14ac:dyDescent="0.25">
      <c r="A187" s="7"/>
      <c r="B187" s="7"/>
      <c r="C187" s="7"/>
      <c r="D187" s="7"/>
      <c r="E187" s="7"/>
      <c r="F187" s="7"/>
      <c r="G187" s="7"/>
      <c r="H187" s="7"/>
      <c r="I187" s="7"/>
      <c r="J187" s="7"/>
      <c r="K187" s="7"/>
    </row>
    <row r="188" spans="1:11" ht="13.2" x14ac:dyDescent="0.25">
      <c r="A188" s="7"/>
      <c r="B188" s="7"/>
      <c r="C188" s="7"/>
      <c r="D188" s="7"/>
      <c r="E188" s="7"/>
      <c r="F188" s="7"/>
      <c r="G188" s="7"/>
      <c r="H188" s="7"/>
      <c r="I188" s="7"/>
      <c r="J188" s="7"/>
      <c r="K188" s="7"/>
    </row>
    <row r="189" spans="1:11" ht="13.2" x14ac:dyDescent="0.25">
      <c r="A189" s="7"/>
      <c r="B189" s="7"/>
      <c r="C189" s="7"/>
      <c r="D189" s="7"/>
      <c r="E189" s="7"/>
      <c r="F189" s="7"/>
      <c r="G189" s="7"/>
      <c r="H189" s="7"/>
      <c r="I189" s="7"/>
      <c r="J189" s="7"/>
      <c r="K189" s="7"/>
    </row>
    <row r="190" spans="1:11" ht="13.2" x14ac:dyDescent="0.25">
      <c r="A190" s="7"/>
      <c r="B190" s="7"/>
      <c r="C190" s="7"/>
      <c r="D190" s="7"/>
      <c r="E190" s="7"/>
      <c r="F190" s="7"/>
      <c r="G190" s="7"/>
      <c r="H190" s="7"/>
      <c r="I190" s="7"/>
      <c r="J190" s="7"/>
      <c r="K190" s="7"/>
    </row>
    <row r="191" spans="1:11" ht="13.2" x14ac:dyDescent="0.25">
      <c r="A191" s="7"/>
      <c r="B191" s="7"/>
      <c r="C191" s="7"/>
      <c r="D191" s="7"/>
      <c r="E191" s="7"/>
      <c r="F191" s="7"/>
      <c r="G191" s="7"/>
      <c r="H191" s="7"/>
      <c r="I191" s="7"/>
      <c r="J191" s="7"/>
      <c r="K191" s="7"/>
    </row>
    <row r="192" spans="1:11" ht="13.2" x14ac:dyDescent="0.25">
      <c r="A192" s="7"/>
      <c r="B192" s="7"/>
      <c r="C192" s="7"/>
      <c r="D192" s="7"/>
      <c r="E192" s="7"/>
      <c r="F192" s="7"/>
      <c r="G192" s="7"/>
      <c r="H192" s="7"/>
      <c r="I192" s="7"/>
      <c r="J192" s="7"/>
      <c r="K192" s="7"/>
    </row>
    <row r="193" spans="1:11" ht="13.2" x14ac:dyDescent="0.25">
      <c r="A193" s="7"/>
      <c r="B193" s="7"/>
      <c r="C193" s="7"/>
      <c r="D193" s="7"/>
      <c r="E193" s="7"/>
      <c r="F193" s="7"/>
      <c r="G193" s="7"/>
      <c r="H193" s="7"/>
      <c r="I193" s="7"/>
      <c r="J193" s="7"/>
      <c r="K193" s="7"/>
    </row>
    <row r="194" spans="1:11" ht="13.2" x14ac:dyDescent="0.25">
      <c r="A194" s="7"/>
      <c r="B194" s="7"/>
      <c r="C194" s="7"/>
      <c r="D194" s="7"/>
      <c r="E194" s="7"/>
      <c r="F194" s="7"/>
      <c r="G194" s="7"/>
      <c r="H194" s="7"/>
      <c r="I194" s="7"/>
      <c r="J194" s="7"/>
      <c r="K194" s="7"/>
    </row>
    <row r="195" spans="1:11" ht="13.2" x14ac:dyDescent="0.25">
      <c r="A195" s="7"/>
      <c r="B195" s="7"/>
      <c r="C195" s="7"/>
      <c r="D195" s="7"/>
      <c r="E195" s="7"/>
      <c r="F195" s="7"/>
      <c r="G195" s="7"/>
      <c r="H195" s="7"/>
      <c r="I195" s="7"/>
      <c r="J195" s="7"/>
      <c r="K195" s="7"/>
    </row>
    <row r="196" spans="1:11" ht="13.2" x14ac:dyDescent="0.25">
      <c r="A196" s="7"/>
      <c r="B196" s="7"/>
      <c r="C196" s="7"/>
      <c r="D196" s="7"/>
      <c r="E196" s="7"/>
      <c r="F196" s="7"/>
      <c r="G196" s="7"/>
      <c r="H196" s="7"/>
      <c r="I196" s="7"/>
      <c r="J196" s="7"/>
      <c r="K196" s="7"/>
    </row>
    <row r="197" spans="1:11" ht="13.2" x14ac:dyDescent="0.25">
      <c r="A197" s="7"/>
      <c r="B197" s="7"/>
      <c r="C197" s="7"/>
      <c r="D197" s="7"/>
      <c r="E197" s="7"/>
      <c r="F197" s="7"/>
      <c r="G197" s="7"/>
      <c r="H197" s="7"/>
      <c r="I197" s="7"/>
      <c r="J197" s="7"/>
      <c r="K197" s="7"/>
    </row>
    <row r="198" spans="1:11" ht="13.2" x14ac:dyDescent="0.25">
      <c r="A198" s="7"/>
      <c r="B198" s="7"/>
      <c r="C198" s="7"/>
      <c r="D198" s="7"/>
      <c r="E198" s="7"/>
      <c r="F198" s="7"/>
      <c r="G198" s="7"/>
      <c r="H198" s="7"/>
      <c r="I198" s="7"/>
      <c r="J198" s="7"/>
      <c r="K198" s="7"/>
    </row>
    <row r="199" spans="1:11" ht="13.2" x14ac:dyDescent="0.25">
      <c r="A199" s="7"/>
      <c r="B199" s="7"/>
      <c r="C199" s="7"/>
      <c r="D199" s="7"/>
      <c r="E199" s="7"/>
      <c r="F199" s="7"/>
      <c r="G199" s="7"/>
      <c r="H199" s="7"/>
      <c r="I199" s="7"/>
      <c r="J199" s="7"/>
      <c r="K199" s="7"/>
    </row>
    <row r="200" spans="1:11" ht="13.2" x14ac:dyDescent="0.25">
      <c r="A200" s="7"/>
      <c r="B200" s="7"/>
      <c r="C200" s="7"/>
      <c r="D200" s="7"/>
      <c r="E200" s="7"/>
      <c r="F200" s="7"/>
      <c r="G200" s="7"/>
      <c r="H200" s="7"/>
      <c r="I200" s="7"/>
      <c r="J200" s="7"/>
      <c r="K200" s="7"/>
    </row>
    <row r="201" spans="1:11" ht="13.2" x14ac:dyDescent="0.25">
      <c r="A201" s="7"/>
      <c r="B201" s="7"/>
      <c r="C201" s="7"/>
      <c r="D201" s="7"/>
      <c r="E201" s="7"/>
      <c r="F201" s="7"/>
      <c r="G201" s="7"/>
      <c r="H201" s="7"/>
      <c r="I201" s="7"/>
      <c r="J201" s="7"/>
      <c r="K201" s="7"/>
    </row>
    <row r="202" spans="1:11" ht="13.2" x14ac:dyDescent="0.25">
      <c r="A202" s="7"/>
      <c r="B202" s="7"/>
      <c r="C202" s="7"/>
      <c r="D202" s="7"/>
      <c r="E202" s="7"/>
      <c r="F202" s="7"/>
      <c r="G202" s="7"/>
      <c r="H202" s="7"/>
      <c r="I202" s="7"/>
      <c r="J202" s="7"/>
      <c r="K202" s="7"/>
    </row>
    <row r="203" spans="1:11" ht="13.2" x14ac:dyDescent="0.25">
      <c r="A203" s="7"/>
      <c r="B203" s="7"/>
      <c r="C203" s="7"/>
      <c r="D203" s="7"/>
      <c r="E203" s="7"/>
      <c r="F203" s="7"/>
      <c r="G203" s="7"/>
      <c r="H203" s="7"/>
      <c r="I203" s="7"/>
      <c r="J203" s="7"/>
      <c r="K203" s="7"/>
    </row>
    <row r="204" spans="1:11" ht="13.2" x14ac:dyDescent="0.25">
      <c r="A204" s="7"/>
      <c r="B204" s="7"/>
      <c r="C204" s="7"/>
      <c r="D204" s="7"/>
      <c r="E204" s="7"/>
      <c r="F204" s="7"/>
      <c r="G204" s="7"/>
      <c r="H204" s="7"/>
      <c r="I204" s="7"/>
      <c r="J204" s="7"/>
      <c r="K204" s="7"/>
    </row>
    <row r="205" spans="1:11" ht="13.2" x14ac:dyDescent="0.25">
      <c r="A205" s="7"/>
      <c r="B205" s="7"/>
      <c r="C205" s="7"/>
      <c r="D205" s="7"/>
      <c r="E205" s="7"/>
      <c r="F205" s="7"/>
      <c r="G205" s="7"/>
      <c r="H205" s="7"/>
      <c r="I205" s="7"/>
      <c r="J205" s="7"/>
      <c r="K205" s="7"/>
    </row>
    <row r="206" spans="1:11" ht="13.2" x14ac:dyDescent="0.25">
      <c r="A206" s="7"/>
      <c r="B206" s="7"/>
      <c r="C206" s="7"/>
      <c r="D206" s="7"/>
      <c r="E206" s="7"/>
      <c r="F206" s="7"/>
      <c r="G206" s="7"/>
      <c r="H206" s="7"/>
      <c r="I206" s="7"/>
      <c r="J206" s="7"/>
      <c r="K206" s="7"/>
    </row>
    <row r="207" spans="1:11" ht="13.2" x14ac:dyDescent="0.25">
      <c r="A207" s="7"/>
      <c r="B207" s="7"/>
      <c r="C207" s="7"/>
      <c r="D207" s="7"/>
      <c r="E207" s="7"/>
      <c r="F207" s="7"/>
      <c r="G207" s="7"/>
      <c r="H207" s="7"/>
      <c r="I207" s="7"/>
      <c r="J207" s="7"/>
      <c r="K207" s="7"/>
    </row>
    <row r="208" spans="1:11" ht="13.2" x14ac:dyDescent="0.25">
      <c r="A208" s="7"/>
      <c r="B208" s="7"/>
      <c r="C208" s="7"/>
      <c r="D208" s="7"/>
      <c r="E208" s="7"/>
      <c r="F208" s="7"/>
      <c r="G208" s="7"/>
      <c r="H208" s="7"/>
      <c r="I208" s="7"/>
      <c r="J208" s="7"/>
      <c r="K208" s="7"/>
    </row>
    <row r="209" spans="1:11" ht="13.2" x14ac:dyDescent="0.25">
      <c r="A209" s="7"/>
      <c r="B209" s="7"/>
      <c r="C209" s="7"/>
      <c r="D209" s="7"/>
      <c r="E209" s="7"/>
      <c r="F209" s="7"/>
      <c r="G209" s="7"/>
      <c r="H209" s="7"/>
      <c r="I209" s="7"/>
      <c r="J209" s="7"/>
      <c r="K209" s="7"/>
    </row>
    <row r="210" spans="1:11" ht="13.2" x14ac:dyDescent="0.25">
      <c r="A210" s="7"/>
      <c r="B210" s="7"/>
      <c r="C210" s="7"/>
      <c r="D210" s="7"/>
      <c r="E210" s="7"/>
      <c r="F210" s="7"/>
      <c r="G210" s="7"/>
      <c r="H210" s="7"/>
      <c r="I210" s="7"/>
      <c r="J210" s="7"/>
      <c r="K210" s="7"/>
    </row>
    <row r="211" spans="1:11" ht="13.2" x14ac:dyDescent="0.25">
      <c r="A211" s="7"/>
      <c r="B211" s="7"/>
      <c r="C211" s="7"/>
      <c r="D211" s="7"/>
      <c r="E211" s="7"/>
      <c r="F211" s="7"/>
      <c r="G211" s="7"/>
      <c r="H211" s="7"/>
      <c r="I211" s="7"/>
      <c r="J211" s="7"/>
      <c r="K211" s="7"/>
    </row>
    <row r="212" spans="1:11" ht="13.2" x14ac:dyDescent="0.25">
      <c r="A212" s="7"/>
      <c r="B212" s="7"/>
      <c r="C212" s="7"/>
      <c r="D212" s="7"/>
      <c r="E212" s="7"/>
      <c r="F212" s="7"/>
      <c r="G212" s="7"/>
      <c r="H212" s="7"/>
      <c r="I212" s="7"/>
      <c r="J212" s="7"/>
      <c r="K212" s="7"/>
    </row>
    <row r="213" spans="1:11" ht="13.2" x14ac:dyDescent="0.25">
      <c r="A213" s="7"/>
      <c r="B213" s="7"/>
      <c r="C213" s="7"/>
      <c r="D213" s="7"/>
      <c r="E213" s="7"/>
      <c r="F213" s="7"/>
      <c r="G213" s="7"/>
      <c r="H213" s="7"/>
      <c r="I213" s="7"/>
      <c r="J213" s="7"/>
      <c r="K213" s="7"/>
    </row>
    <row r="214" spans="1:11" ht="13.2" x14ac:dyDescent="0.25">
      <c r="A214" s="7"/>
      <c r="B214" s="7"/>
      <c r="C214" s="7"/>
      <c r="D214" s="7"/>
      <c r="E214" s="7"/>
      <c r="F214" s="7"/>
      <c r="G214" s="7"/>
      <c r="H214" s="7"/>
      <c r="I214" s="7"/>
      <c r="J214" s="7"/>
      <c r="K214" s="7"/>
    </row>
    <row r="215" spans="1:11" ht="13.2" x14ac:dyDescent="0.25">
      <c r="A215" s="7"/>
      <c r="B215" s="7"/>
      <c r="C215" s="7"/>
      <c r="D215" s="7"/>
      <c r="E215" s="7"/>
      <c r="F215" s="7"/>
      <c r="G215" s="7"/>
      <c r="H215" s="7"/>
      <c r="I215" s="7"/>
      <c r="J215" s="7"/>
      <c r="K215" s="7"/>
    </row>
    <row r="216" spans="1:11" ht="13.2" x14ac:dyDescent="0.25">
      <c r="A216" s="7"/>
      <c r="B216" s="7"/>
      <c r="C216" s="7"/>
      <c r="D216" s="7"/>
      <c r="E216" s="7"/>
      <c r="F216" s="7"/>
      <c r="G216" s="7"/>
      <c r="H216" s="7"/>
      <c r="I216" s="7"/>
      <c r="J216" s="7"/>
      <c r="K216" s="7"/>
    </row>
    <row r="217" spans="1:11" ht="13.2" x14ac:dyDescent="0.25">
      <c r="A217" s="7"/>
      <c r="B217" s="7"/>
      <c r="C217" s="7"/>
      <c r="D217" s="7"/>
      <c r="E217" s="7"/>
      <c r="F217" s="7"/>
      <c r="G217" s="7"/>
      <c r="H217" s="7"/>
      <c r="I217" s="7"/>
      <c r="J217" s="7"/>
      <c r="K217" s="7"/>
    </row>
    <row r="218" spans="1:11" ht="13.2" x14ac:dyDescent="0.25">
      <c r="A218" s="7"/>
      <c r="B218" s="7"/>
      <c r="C218" s="7"/>
      <c r="D218" s="7"/>
      <c r="E218" s="7"/>
      <c r="F218" s="7"/>
      <c r="G218" s="7"/>
      <c r="H218" s="7"/>
      <c r="I218" s="7"/>
      <c r="J218" s="7"/>
      <c r="K218" s="7"/>
    </row>
    <row r="219" spans="1:11" ht="13.2" x14ac:dyDescent="0.25">
      <c r="A219" s="7"/>
      <c r="B219" s="7"/>
      <c r="C219" s="7"/>
      <c r="D219" s="7"/>
      <c r="E219" s="7"/>
      <c r="F219" s="7"/>
      <c r="G219" s="7"/>
      <c r="H219" s="7"/>
      <c r="I219" s="7"/>
      <c r="J219" s="7"/>
      <c r="K219" s="7"/>
    </row>
    <row r="220" spans="1:11" ht="13.2" x14ac:dyDescent="0.25">
      <c r="A220" s="7"/>
      <c r="B220" s="7"/>
      <c r="C220" s="7"/>
      <c r="D220" s="7"/>
      <c r="E220" s="7"/>
      <c r="F220" s="7"/>
      <c r="G220" s="7"/>
      <c r="H220" s="7"/>
      <c r="I220" s="7"/>
      <c r="J220" s="7"/>
      <c r="K220" s="7"/>
    </row>
    <row r="221" spans="1:11" ht="13.2" x14ac:dyDescent="0.25">
      <c r="A221" s="7"/>
      <c r="B221" s="7"/>
      <c r="C221" s="7"/>
      <c r="D221" s="7"/>
      <c r="E221" s="7"/>
      <c r="F221" s="7"/>
      <c r="G221" s="7"/>
      <c r="H221" s="7"/>
      <c r="I221" s="7"/>
      <c r="J221" s="7"/>
      <c r="K221" s="7"/>
    </row>
    <row r="222" spans="1:11" ht="13.2" x14ac:dyDescent="0.25">
      <c r="A222" s="7"/>
      <c r="B222" s="7"/>
      <c r="C222" s="7"/>
      <c r="D222" s="7"/>
      <c r="E222" s="7"/>
      <c r="F222" s="7"/>
      <c r="G222" s="7"/>
      <c r="H222" s="7"/>
      <c r="I222" s="7"/>
      <c r="J222" s="7"/>
      <c r="K222" s="7"/>
    </row>
    <row r="223" spans="1:11" ht="13.2" x14ac:dyDescent="0.25">
      <c r="A223" s="7"/>
      <c r="B223" s="7"/>
      <c r="C223" s="7"/>
      <c r="D223" s="7"/>
      <c r="E223" s="7"/>
      <c r="F223" s="7"/>
      <c r="G223" s="7"/>
      <c r="H223" s="7"/>
      <c r="I223" s="7"/>
      <c r="J223" s="7"/>
      <c r="K223" s="7"/>
    </row>
    <row r="224" spans="1:11" ht="13.2" x14ac:dyDescent="0.25">
      <c r="A224" s="7"/>
      <c r="B224" s="7"/>
      <c r="C224" s="7"/>
      <c r="D224" s="7"/>
      <c r="E224" s="7"/>
      <c r="F224" s="7"/>
      <c r="G224" s="7"/>
      <c r="H224" s="7"/>
      <c r="I224" s="7"/>
      <c r="J224" s="7"/>
      <c r="K224" s="7"/>
    </row>
    <row r="225" spans="1:11" ht="13.2" x14ac:dyDescent="0.25">
      <c r="A225" s="7"/>
      <c r="B225" s="7"/>
      <c r="C225" s="7"/>
      <c r="D225" s="7"/>
      <c r="E225" s="7"/>
      <c r="F225" s="7"/>
      <c r="G225" s="7"/>
      <c r="H225" s="7"/>
      <c r="I225" s="7"/>
      <c r="J225" s="7"/>
      <c r="K225" s="7"/>
    </row>
    <row r="226" spans="1:11" ht="13.2" x14ac:dyDescent="0.25">
      <c r="A226" s="7"/>
      <c r="B226" s="7"/>
      <c r="C226" s="7"/>
      <c r="D226" s="7"/>
      <c r="E226" s="7"/>
      <c r="F226" s="7"/>
      <c r="G226" s="7"/>
      <c r="H226" s="7"/>
      <c r="I226" s="7"/>
      <c r="J226" s="7"/>
      <c r="K226" s="7"/>
    </row>
    <row r="227" spans="1:11" ht="13.2" x14ac:dyDescent="0.25">
      <c r="A227" s="7"/>
      <c r="B227" s="7"/>
      <c r="C227" s="7"/>
      <c r="D227" s="7"/>
      <c r="E227" s="7"/>
      <c r="F227" s="7"/>
      <c r="G227" s="7"/>
      <c r="H227" s="7"/>
      <c r="I227" s="7"/>
      <c r="J227" s="7"/>
      <c r="K227" s="7"/>
    </row>
    <row r="228" spans="1:11" ht="13.2" x14ac:dyDescent="0.25">
      <c r="A228" s="7"/>
      <c r="B228" s="7"/>
      <c r="C228" s="7"/>
      <c r="D228" s="7"/>
      <c r="E228" s="7"/>
      <c r="F228" s="7"/>
      <c r="G228" s="7"/>
      <c r="H228" s="7"/>
      <c r="I228" s="7"/>
      <c r="J228" s="7"/>
      <c r="K228" s="7"/>
    </row>
    <row r="229" spans="1:11" ht="13.2" x14ac:dyDescent="0.25">
      <c r="A229" s="7"/>
      <c r="B229" s="7"/>
      <c r="C229" s="7"/>
      <c r="D229" s="7"/>
      <c r="E229" s="7"/>
      <c r="F229" s="7"/>
      <c r="G229" s="7"/>
      <c r="H229" s="7"/>
      <c r="I229" s="7"/>
      <c r="J229" s="7"/>
      <c r="K229" s="7"/>
    </row>
    <row r="230" spans="1:11" ht="13.2" x14ac:dyDescent="0.25">
      <c r="A230" s="7"/>
      <c r="B230" s="7"/>
      <c r="C230" s="7"/>
      <c r="D230" s="7"/>
      <c r="E230" s="7"/>
      <c r="F230" s="7"/>
      <c r="G230" s="7"/>
      <c r="H230" s="7"/>
      <c r="I230" s="7"/>
      <c r="J230" s="7"/>
      <c r="K230" s="7"/>
    </row>
    <row r="231" spans="1:11" ht="13.2" x14ac:dyDescent="0.25">
      <c r="A231" s="7"/>
      <c r="B231" s="7"/>
      <c r="C231" s="7"/>
      <c r="D231" s="7"/>
      <c r="E231" s="7"/>
      <c r="F231" s="7"/>
      <c r="G231" s="7"/>
      <c r="H231" s="7"/>
      <c r="I231" s="7"/>
      <c r="J231" s="7"/>
      <c r="K231" s="7"/>
    </row>
    <row r="232" spans="1:11" ht="13.2" x14ac:dyDescent="0.25">
      <c r="A232" s="7"/>
      <c r="B232" s="7"/>
      <c r="C232" s="7"/>
      <c r="D232" s="7"/>
      <c r="E232" s="7"/>
      <c r="F232" s="7"/>
      <c r="G232" s="7"/>
      <c r="H232" s="7"/>
      <c r="I232" s="7"/>
      <c r="J232" s="7"/>
      <c r="K232" s="7"/>
    </row>
    <row r="233" spans="1:11" ht="13.2" x14ac:dyDescent="0.25">
      <c r="A233" s="7"/>
      <c r="B233" s="7"/>
      <c r="C233" s="7"/>
      <c r="D233" s="7"/>
      <c r="E233" s="7"/>
      <c r="F233" s="7"/>
      <c r="G233" s="7"/>
      <c r="H233" s="7"/>
      <c r="I233" s="7"/>
      <c r="J233" s="7"/>
      <c r="K233" s="7"/>
    </row>
    <row r="234" spans="1:11" ht="13.2" x14ac:dyDescent="0.25">
      <c r="A234" s="7"/>
      <c r="B234" s="7"/>
      <c r="C234" s="7"/>
      <c r="D234" s="7"/>
      <c r="E234" s="7"/>
      <c r="F234" s="7"/>
      <c r="G234" s="7"/>
      <c r="H234" s="7"/>
      <c r="I234" s="7"/>
      <c r="J234" s="7"/>
      <c r="K234" s="7"/>
    </row>
    <row r="235" spans="1:11" ht="13.2" x14ac:dyDescent="0.25">
      <c r="A235" s="7"/>
      <c r="B235" s="7"/>
      <c r="C235" s="7"/>
      <c r="D235" s="7"/>
      <c r="E235" s="7"/>
      <c r="F235" s="7"/>
      <c r="G235" s="7"/>
      <c r="H235" s="7"/>
      <c r="I235" s="7"/>
      <c r="J235" s="7"/>
      <c r="K235" s="7"/>
    </row>
    <row r="236" spans="1:11" ht="13.2" x14ac:dyDescent="0.25">
      <c r="A236" s="7"/>
      <c r="B236" s="7"/>
      <c r="C236" s="7"/>
      <c r="D236" s="7"/>
      <c r="E236" s="7"/>
      <c r="F236" s="7"/>
      <c r="G236" s="7"/>
      <c r="H236" s="7"/>
      <c r="I236" s="7"/>
      <c r="J236" s="7"/>
      <c r="K236" s="7"/>
    </row>
    <row r="237" spans="1:11" ht="13.2" x14ac:dyDescent="0.25">
      <c r="A237" s="7"/>
      <c r="B237" s="7"/>
      <c r="C237" s="7"/>
      <c r="D237" s="7"/>
      <c r="E237" s="7"/>
      <c r="F237" s="7"/>
      <c r="G237" s="7"/>
      <c r="H237" s="7"/>
      <c r="I237" s="7"/>
      <c r="J237" s="7"/>
      <c r="K237" s="7"/>
    </row>
    <row r="238" spans="1:11" ht="13.2" x14ac:dyDescent="0.25">
      <c r="A238" s="7"/>
      <c r="B238" s="7"/>
      <c r="C238" s="7"/>
      <c r="D238" s="7"/>
      <c r="E238" s="7"/>
      <c r="F238" s="7"/>
      <c r="G238" s="7"/>
      <c r="H238" s="7"/>
      <c r="I238" s="7"/>
      <c r="J238" s="7"/>
      <c r="K238" s="7"/>
    </row>
    <row r="239" spans="1:11" ht="13.2" x14ac:dyDescent="0.25">
      <c r="A239" s="7"/>
      <c r="B239" s="7"/>
      <c r="C239" s="7"/>
      <c r="D239" s="7"/>
      <c r="E239" s="7"/>
      <c r="F239" s="7"/>
      <c r="G239" s="7"/>
      <c r="H239" s="7"/>
      <c r="I239" s="7"/>
      <c r="J239" s="7"/>
      <c r="K239" s="7"/>
    </row>
    <row r="240" spans="1:11" ht="13.2" x14ac:dyDescent="0.25">
      <c r="A240" s="7"/>
      <c r="B240" s="7"/>
      <c r="C240" s="7"/>
      <c r="D240" s="7"/>
      <c r="E240" s="7"/>
      <c r="F240" s="7"/>
      <c r="G240" s="7"/>
      <c r="H240" s="7"/>
      <c r="I240" s="7"/>
      <c r="J240" s="7"/>
      <c r="K240" s="7"/>
    </row>
    <row r="241" spans="1:11" ht="13.2" x14ac:dyDescent="0.25">
      <c r="A241" s="7"/>
      <c r="B241" s="7"/>
      <c r="C241" s="7"/>
      <c r="D241" s="7"/>
      <c r="E241" s="7"/>
      <c r="F241" s="7"/>
      <c r="G241" s="7"/>
      <c r="H241" s="7"/>
      <c r="I241" s="7"/>
      <c r="J241" s="7"/>
      <c r="K241" s="7"/>
    </row>
    <row r="242" spans="1:11" ht="13.2" x14ac:dyDescent="0.25">
      <c r="A242" s="7"/>
      <c r="B242" s="7"/>
      <c r="C242" s="7"/>
      <c r="D242" s="7"/>
      <c r="E242" s="7"/>
      <c r="F242" s="7"/>
      <c r="G242" s="7"/>
      <c r="H242" s="7"/>
      <c r="I242" s="7"/>
      <c r="J242" s="7"/>
      <c r="K242" s="7"/>
    </row>
    <row r="243" spans="1:11" ht="13.2" x14ac:dyDescent="0.25">
      <c r="A243" s="7"/>
      <c r="B243" s="7"/>
      <c r="C243" s="7"/>
      <c r="D243" s="7"/>
      <c r="E243" s="7"/>
      <c r="F243" s="7"/>
      <c r="G243" s="7"/>
      <c r="H243" s="7"/>
      <c r="I243" s="7"/>
      <c r="J243" s="7"/>
      <c r="K243" s="7"/>
    </row>
    <row r="244" spans="1:11" ht="13.2" x14ac:dyDescent="0.25">
      <c r="A244" s="7"/>
      <c r="B244" s="7"/>
      <c r="C244" s="7"/>
      <c r="D244" s="7"/>
      <c r="E244" s="7"/>
      <c r="F244" s="7"/>
      <c r="G244" s="7"/>
      <c r="H244" s="7"/>
      <c r="I244" s="7"/>
      <c r="J244" s="7"/>
      <c r="K244" s="7"/>
    </row>
    <row r="245" spans="1:11" ht="13.2" x14ac:dyDescent="0.25">
      <c r="A245" s="7"/>
      <c r="B245" s="7"/>
      <c r="C245" s="7"/>
      <c r="D245" s="7"/>
      <c r="E245" s="7"/>
      <c r="F245" s="7"/>
      <c r="G245" s="7"/>
      <c r="H245" s="7"/>
      <c r="I245" s="7"/>
      <c r="J245" s="7"/>
      <c r="K245" s="7"/>
    </row>
    <row r="246" spans="1:11" ht="13.2" x14ac:dyDescent="0.25">
      <c r="A246" s="7"/>
      <c r="B246" s="7"/>
      <c r="C246" s="7"/>
      <c r="D246" s="7"/>
      <c r="E246" s="7"/>
      <c r="F246" s="7"/>
      <c r="G246" s="7"/>
      <c r="H246" s="7"/>
      <c r="I246" s="7"/>
      <c r="J246" s="7"/>
      <c r="K246" s="7"/>
    </row>
    <row r="247" spans="1:11" ht="13.2" x14ac:dyDescent="0.25">
      <c r="A247" s="7"/>
      <c r="B247" s="7"/>
      <c r="C247" s="7"/>
      <c r="D247" s="7"/>
      <c r="E247" s="7"/>
      <c r="F247" s="7"/>
      <c r="G247" s="7"/>
      <c r="H247" s="7"/>
      <c r="I247" s="7"/>
      <c r="J247" s="7"/>
      <c r="K247" s="7"/>
    </row>
    <row r="248" spans="1:11" ht="13.2" x14ac:dyDescent="0.25">
      <c r="A248" s="7"/>
      <c r="B248" s="7"/>
      <c r="C248" s="7"/>
      <c r="D248" s="7"/>
      <c r="E248" s="7"/>
      <c r="F248" s="7"/>
      <c r="G248" s="7"/>
      <c r="H248" s="7"/>
      <c r="I248" s="7"/>
      <c r="J248" s="7"/>
      <c r="K248" s="7"/>
    </row>
    <row r="249" spans="1:11" ht="13.2" x14ac:dyDescent="0.25">
      <c r="A249" s="7"/>
      <c r="B249" s="7"/>
      <c r="C249" s="7"/>
      <c r="D249" s="7"/>
      <c r="E249" s="7"/>
      <c r="F249" s="7"/>
      <c r="G249" s="7"/>
      <c r="H249" s="7"/>
      <c r="I249" s="7"/>
      <c r="J249" s="7"/>
      <c r="K249" s="7"/>
    </row>
    <row r="250" spans="1:11" ht="13.2" x14ac:dyDescent="0.25">
      <c r="A250" s="7"/>
      <c r="B250" s="7"/>
      <c r="C250" s="7"/>
      <c r="D250" s="7"/>
      <c r="E250" s="7"/>
      <c r="F250" s="7"/>
      <c r="G250" s="7"/>
      <c r="H250" s="7"/>
      <c r="I250" s="7"/>
      <c r="J250" s="7"/>
      <c r="K250" s="7"/>
    </row>
    <row r="251" spans="1:11" ht="13.2" x14ac:dyDescent="0.25">
      <c r="A251" s="7"/>
      <c r="B251" s="7"/>
      <c r="C251" s="7"/>
      <c r="D251" s="7"/>
      <c r="E251" s="7"/>
      <c r="F251" s="7"/>
      <c r="G251" s="7"/>
      <c r="H251" s="7"/>
      <c r="I251" s="7"/>
      <c r="J251" s="7"/>
      <c r="K251" s="7"/>
    </row>
    <row r="252" spans="1:11" ht="13.2" x14ac:dyDescent="0.25">
      <c r="A252" s="7"/>
      <c r="B252" s="7"/>
      <c r="C252" s="7"/>
      <c r="D252" s="7"/>
      <c r="E252" s="7"/>
      <c r="F252" s="7"/>
      <c r="G252" s="7"/>
      <c r="H252" s="7"/>
      <c r="I252" s="7"/>
      <c r="J252" s="7"/>
      <c r="K252" s="7"/>
    </row>
    <row r="253" spans="1:11" ht="13.2" x14ac:dyDescent="0.25">
      <c r="A253" s="7"/>
      <c r="B253" s="7"/>
      <c r="C253" s="7"/>
      <c r="D253" s="7"/>
      <c r="E253" s="7"/>
      <c r="F253" s="7"/>
      <c r="G253" s="7"/>
      <c r="H253" s="7"/>
      <c r="I253" s="7"/>
      <c r="J253" s="7"/>
      <c r="K253" s="7"/>
    </row>
    <row r="254" spans="1:11" ht="13.2" x14ac:dyDescent="0.25">
      <c r="A254" s="7"/>
      <c r="B254" s="7"/>
      <c r="C254" s="7"/>
      <c r="D254" s="7"/>
      <c r="E254" s="7"/>
      <c r="F254" s="7"/>
      <c r="G254" s="7"/>
      <c r="H254" s="7"/>
      <c r="I254" s="7"/>
      <c r="J254" s="7"/>
      <c r="K254" s="7"/>
    </row>
    <row r="255" spans="1:11" ht="13.2" x14ac:dyDescent="0.25">
      <c r="A255" s="7"/>
      <c r="B255" s="7"/>
      <c r="C255" s="7"/>
      <c r="D255" s="7"/>
      <c r="E255" s="7"/>
      <c r="F255" s="7"/>
      <c r="G255" s="7"/>
      <c r="H255" s="7"/>
      <c r="I255" s="7"/>
      <c r="J255" s="7"/>
      <c r="K255" s="7"/>
    </row>
    <row r="256" spans="1:11" ht="13.2" x14ac:dyDescent="0.25">
      <c r="A256" s="7"/>
      <c r="B256" s="7"/>
      <c r="C256" s="7"/>
      <c r="D256" s="7"/>
      <c r="E256" s="7"/>
      <c r="F256" s="7"/>
      <c r="G256" s="7"/>
      <c r="H256" s="7"/>
      <c r="I256" s="7"/>
      <c r="J256" s="7"/>
      <c r="K256" s="7"/>
    </row>
    <row r="257" spans="1:11" ht="13.2" x14ac:dyDescent="0.25">
      <c r="A257" s="7"/>
      <c r="B257" s="7"/>
      <c r="C257" s="7"/>
      <c r="D257" s="7"/>
      <c r="E257" s="7"/>
      <c r="F257" s="7"/>
      <c r="G257" s="7"/>
      <c r="H257" s="7"/>
      <c r="I257" s="7"/>
      <c r="J257" s="7"/>
      <c r="K257" s="7"/>
    </row>
    <row r="258" spans="1:11" ht="13.2" x14ac:dyDescent="0.25">
      <c r="A258" s="7"/>
      <c r="B258" s="7"/>
      <c r="C258" s="7"/>
      <c r="D258" s="7"/>
      <c r="E258" s="7"/>
      <c r="F258" s="7"/>
      <c r="G258" s="7"/>
      <c r="H258" s="7"/>
      <c r="I258" s="7"/>
      <c r="J258" s="7"/>
      <c r="K258" s="7"/>
    </row>
    <row r="259" spans="1:11" ht="13.2" x14ac:dyDescent="0.25">
      <c r="A259" s="7"/>
      <c r="B259" s="7"/>
      <c r="C259" s="7"/>
      <c r="D259" s="7"/>
      <c r="E259" s="7"/>
      <c r="F259" s="7"/>
      <c r="G259" s="7"/>
      <c r="H259" s="7"/>
      <c r="I259" s="7"/>
      <c r="J259" s="7"/>
      <c r="K259" s="7"/>
    </row>
    <row r="260" spans="1:11" ht="13.2" x14ac:dyDescent="0.25">
      <c r="A260" s="7"/>
      <c r="B260" s="7"/>
      <c r="C260" s="7"/>
      <c r="D260" s="7"/>
      <c r="E260" s="7"/>
      <c r="F260" s="7"/>
      <c r="G260" s="7"/>
      <c r="H260" s="7"/>
      <c r="I260" s="7"/>
      <c r="J260" s="7"/>
      <c r="K260" s="7"/>
    </row>
    <row r="261" spans="1:11" ht="13.2" x14ac:dyDescent="0.25">
      <c r="A261" s="7"/>
      <c r="B261" s="7"/>
      <c r="C261" s="7"/>
      <c r="D261" s="7"/>
      <c r="E261" s="7"/>
      <c r="F261" s="7"/>
      <c r="G261" s="7"/>
      <c r="H261" s="7"/>
      <c r="I261" s="7"/>
      <c r="J261" s="7"/>
      <c r="K261" s="7"/>
    </row>
    <row r="262" spans="1:11" ht="13.2" x14ac:dyDescent="0.25">
      <c r="A262" s="7"/>
      <c r="B262" s="7"/>
      <c r="C262" s="7"/>
      <c r="D262" s="7"/>
      <c r="E262" s="7"/>
      <c r="F262" s="7"/>
      <c r="G262" s="7"/>
      <c r="H262" s="7"/>
      <c r="I262" s="7"/>
      <c r="J262" s="7"/>
      <c r="K262" s="7"/>
    </row>
    <row r="263" spans="1:11" ht="13.2" x14ac:dyDescent="0.25">
      <c r="A263" s="7"/>
      <c r="B263" s="7"/>
      <c r="C263" s="7"/>
      <c r="D263" s="7"/>
      <c r="E263" s="7"/>
      <c r="F263" s="7"/>
      <c r="G263" s="7"/>
      <c r="H263" s="7"/>
      <c r="I263" s="7"/>
      <c r="J263" s="7"/>
      <c r="K263" s="7"/>
    </row>
    <row r="264" spans="1:11" ht="13.2" x14ac:dyDescent="0.25">
      <c r="A264" s="7"/>
      <c r="B264" s="7"/>
      <c r="C264" s="7"/>
      <c r="D264" s="7"/>
      <c r="E264" s="7"/>
      <c r="F264" s="7"/>
      <c r="G264" s="7"/>
      <c r="H264" s="7"/>
      <c r="I264" s="7"/>
      <c r="J264" s="7"/>
      <c r="K264" s="7"/>
    </row>
    <row r="265" spans="1:11" ht="13.2" x14ac:dyDescent="0.25">
      <c r="A265" s="7"/>
      <c r="B265" s="7"/>
      <c r="C265" s="7"/>
      <c r="D265" s="7"/>
      <c r="E265" s="7"/>
      <c r="F265" s="7"/>
      <c r="G265" s="7"/>
      <c r="H265" s="7"/>
      <c r="I265" s="7"/>
      <c r="J265" s="7"/>
      <c r="K265" s="7"/>
    </row>
    <row r="266" spans="1:11" ht="13.2" x14ac:dyDescent="0.25">
      <c r="A266" s="7"/>
      <c r="B266" s="7"/>
      <c r="C266" s="7"/>
      <c r="D266" s="7"/>
      <c r="E266" s="7"/>
      <c r="F266" s="7"/>
      <c r="G266" s="7"/>
      <c r="H266" s="7"/>
      <c r="I266" s="7"/>
      <c r="J266" s="7"/>
      <c r="K266" s="7"/>
    </row>
    <row r="267" spans="1:11" ht="13.2" x14ac:dyDescent="0.25">
      <c r="A267" s="7"/>
      <c r="B267" s="7"/>
      <c r="C267" s="7"/>
      <c r="D267" s="7"/>
      <c r="E267" s="7"/>
      <c r="F267" s="7"/>
      <c r="G267" s="7"/>
      <c r="H267" s="7"/>
      <c r="I267" s="7"/>
      <c r="J267" s="7"/>
      <c r="K267" s="7"/>
    </row>
    <row r="268" spans="1:11" ht="13.2" x14ac:dyDescent="0.25">
      <c r="A268" s="7"/>
      <c r="B268" s="7"/>
      <c r="C268" s="7"/>
      <c r="D268" s="7"/>
      <c r="E268" s="7"/>
      <c r="F268" s="7"/>
      <c r="G268" s="7"/>
      <c r="H268" s="7"/>
      <c r="I268" s="7"/>
      <c r="J268" s="7"/>
      <c r="K268" s="7"/>
    </row>
    <row r="269" spans="1:11" ht="13.2" x14ac:dyDescent="0.25">
      <c r="A269" s="7"/>
      <c r="B269" s="7"/>
      <c r="C269" s="7"/>
      <c r="D269" s="7"/>
      <c r="E269" s="7"/>
      <c r="F269" s="7"/>
      <c r="G269" s="7"/>
      <c r="H269" s="7"/>
      <c r="I269" s="7"/>
      <c r="J269" s="7"/>
      <c r="K269" s="7"/>
    </row>
    <row r="270" spans="1:11" ht="13.2" x14ac:dyDescent="0.25">
      <c r="A270" s="7"/>
      <c r="B270" s="7"/>
      <c r="C270" s="7"/>
      <c r="D270" s="7"/>
      <c r="E270" s="7"/>
      <c r="F270" s="7"/>
      <c r="G270" s="7"/>
      <c r="H270" s="7"/>
      <c r="I270" s="7"/>
      <c r="J270" s="7"/>
      <c r="K270" s="7"/>
    </row>
    <row r="271" spans="1:11" ht="13.2" x14ac:dyDescent="0.25">
      <c r="A271" s="7"/>
      <c r="B271" s="7"/>
      <c r="C271" s="7"/>
      <c r="D271" s="7"/>
      <c r="E271" s="7"/>
      <c r="F271" s="7"/>
      <c r="G271" s="7"/>
      <c r="H271" s="7"/>
      <c r="I271" s="7"/>
      <c r="J271" s="7"/>
      <c r="K271" s="7"/>
    </row>
    <row r="272" spans="1:11" ht="13.2" x14ac:dyDescent="0.25">
      <c r="A272" s="7"/>
      <c r="B272" s="7"/>
      <c r="C272" s="7"/>
      <c r="D272" s="7"/>
      <c r="E272" s="7"/>
      <c r="F272" s="7"/>
      <c r="G272" s="7"/>
      <c r="H272" s="7"/>
      <c r="I272" s="7"/>
      <c r="J272" s="7"/>
      <c r="K272" s="7"/>
    </row>
    <row r="273" spans="1:11" ht="13.2" x14ac:dyDescent="0.25">
      <c r="A273" s="7"/>
      <c r="B273" s="7"/>
      <c r="C273" s="7"/>
      <c r="D273" s="7"/>
      <c r="E273" s="7"/>
      <c r="F273" s="7"/>
      <c r="G273" s="7"/>
      <c r="H273" s="7"/>
      <c r="I273" s="7"/>
      <c r="J273" s="7"/>
      <c r="K273" s="7"/>
    </row>
    <row r="274" spans="1:11" ht="13.2" x14ac:dyDescent="0.25">
      <c r="A274" s="7"/>
      <c r="B274" s="7"/>
      <c r="C274" s="7"/>
      <c r="D274" s="7"/>
      <c r="E274" s="7"/>
      <c r="F274" s="7"/>
      <c r="G274" s="7"/>
      <c r="H274" s="7"/>
      <c r="I274" s="7"/>
      <c r="J274" s="7"/>
      <c r="K274" s="7"/>
    </row>
    <row r="275" spans="1:11" ht="13.2" x14ac:dyDescent="0.25">
      <c r="A275" s="7"/>
      <c r="B275" s="7"/>
      <c r="C275" s="7"/>
      <c r="D275" s="7"/>
      <c r="E275" s="7"/>
      <c r="F275" s="7"/>
      <c r="G275" s="7"/>
      <c r="H275" s="7"/>
      <c r="I275" s="7"/>
      <c r="J275" s="7"/>
      <c r="K275" s="7"/>
    </row>
    <row r="276" spans="1:11" ht="13.2" x14ac:dyDescent="0.25">
      <c r="A276" s="7"/>
      <c r="B276" s="7"/>
      <c r="C276" s="7"/>
      <c r="D276" s="7"/>
      <c r="E276" s="7"/>
      <c r="F276" s="7"/>
      <c r="G276" s="7"/>
      <c r="H276" s="7"/>
      <c r="I276" s="7"/>
      <c r="J276" s="7"/>
      <c r="K276" s="7"/>
    </row>
    <row r="277" spans="1:11" ht="13.2" x14ac:dyDescent="0.25">
      <c r="A277" s="7"/>
      <c r="B277" s="7"/>
      <c r="C277" s="7"/>
      <c r="D277" s="7"/>
      <c r="E277" s="7"/>
      <c r="F277" s="7"/>
      <c r="G277" s="7"/>
      <c r="H277" s="7"/>
      <c r="I277" s="7"/>
      <c r="J277" s="7"/>
      <c r="K277" s="7"/>
    </row>
    <row r="278" spans="1:11" ht="13.2" x14ac:dyDescent="0.25">
      <c r="A278" s="7"/>
      <c r="B278" s="7"/>
      <c r="C278" s="7"/>
      <c r="D278" s="7"/>
      <c r="E278" s="7"/>
      <c r="F278" s="7"/>
      <c r="G278" s="7"/>
      <c r="H278" s="7"/>
      <c r="I278" s="7"/>
      <c r="J278" s="7"/>
      <c r="K278" s="7"/>
    </row>
    <row r="279" spans="1:11" ht="13.2" x14ac:dyDescent="0.25">
      <c r="A279" s="7"/>
      <c r="B279" s="7"/>
      <c r="C279" s="7"/>
      <c r="D279" s="7"/>
      <c r="E279" s="7"/>
      <c r="F279" s="7"/>
      <c r="G279" s="7"/>
      <c r="H279" s="7"/>
      <c r="I279" s="7"/>
      <c r="J279" s="7"/>
      <c r="K279" s="7"/>
    </row>
    <row r="280" spans="1:11" ht="13.2" x14ac:dyDescent="0.25">
      <c r="A280" s="7"/>
      <c r="B280" s="7"/>
      <c r="C280" s="7"/>
      <c r="D280" s="7"/>
      <c r="E280" s="7"/>
      <c r="F280" s="7"/>
      <c r="G280" s="7"/>
      <c r="H280" s="7"/>
      <c r="I280" s="7"/>
      <c r="J280" s="7"/>
      <c r="K280" s="7"/>
    </row>
    <row r="281" spans="1:11" ht="13.2" x14ac:dyDescent="0.25">
      <c r="A281" s="7"/>
      <c r="B281" s="7"/>
      <c r="C281" s="7"/>
      <c r="D281" s="7"/>
      <c r="E281" s="7"/>
      <c r="F281" s="7"/>
      <c r="G281" s="7"/>
      <c r="H281" s="7"/>
      <c r="I281" s="7"/>
      <c r="J281" s="7"/>
      <c r="K281" s="7"/>
    </row>
    <row r="282" spans="1:11" ht="13.2" x14ac:dyDescent="0.25">
      <c r="A282" s="7"/>
      <c r="B282" s="7"/>
      <c r="C282" s="7"/>
      <c r="D282" s="7"/>
      <c r="E282" s="7"/>
      <c r="F282" s="7"/>
      <c r="G282" s="7"/>
      <c r="H282" s="7"/>
      <c r="I282" s="7"/>
      <c r="J282" s="7"/>
      <c r="K282" s="7"/>
    </row>
    <row r="283" spans="1:11" ht="13.2" x14ac:dyDescent="0.25">
      <c r="A283" s="7"/>
      <c r="B283" s="7"/>
      <c r="C283" s="7"/>
      <c r="D283" s="7"/>
      <c r="E283" s="7"/>
      <c r="F283" s="7"/>
      <c r="G283" s="7"/>
      <c r="H283" s="7"/>
      <c r="I283" s="7"/>
      <c r="J283" s="7"/>
      <c r="K283" s="7"/>
    </row>
    <row r="284" spans="1:11" ht="13.2" x14ac:dyDescent="0.25">
      <c r="A284" s="7"/>
      <c r="B284" s="7"/>
      <c r="C284" s="7"/>
      <c r="D284" s="7"/>
      <c r="E284" s="7"/>
      <c r="F284" s="7"/>
      <c r="G284" s="7"/>
      <c r="H284" s="7"/>
      <c r="I284" s="7"/>
      <c r="J284" s="7"/>
      <c r="K284" s="7"/>
    </row>
    <row r="285" spans="1:11" ht="13.2" x14ac:dyDescent="0.25">
      <c r="A285" s="7"/>
      <c r="B285" s="7"/>
      <c r="C285" s="7"/>
      <c r="D285" s="7"/>
      <c r="E285" s="7"/>
      <c r="F285" s="7"/>
      <c r="G285" s="7"/>
      <c r="H285" s="7"/>
      <c r="I285" s="7"/>
      <c r="J285" s="7"/>
      <c r="K285" s="7"/>
    </row>
    <row r="286" spans="1:11" ht="13.2" x14ac:dyDescent="0.25">
      <c r="A286" s="7"/>
      <c r="B286" s="7"/>
      <c r="C286" s="7"/>
      <c r="D286" s="7"/>
      <c r="E286" s="7"/>
      <c r="F286" s="7"/>
      <c r="G286" s="7"/>
      <c r="H286" s="7"/>
      <c r="I286" s="7"/>
      <c r="J286" s="7"/>
      <c r="K286" s="7"/>
    </row>
    <row r="287" spans="1:11" ht="13.2" x14ac:dyDescent="0.25">
      <c r="A287" s="7"/>
      <c r="B287" s="7"/>
      <c r="C287" s="7"/>
      <c r="D287" s="7"/>
      <c r="E287" s="7"/>
      <c r="F287" s="7"/>
      <c r="G287" s="7"/>
      <c r="H287" s="7"/>
      <c r="I287" s="7"/>
      <c r="J287" s="7"/>
      <c r="K287" s="7"/>
    </row>
    <row r="288" spans="1:11" ht="13.2" x14ac:dyDescent="0.25">
      <c r="A288" s="7"/>
      <c r="B288" s="7"/>
      <c r="C288" s="7"/>
      <c r="D288" s="7"/>
      <c r="E288" s="7"/>
      <c r="F288" s="7"/>
      <c r="G288" s="7"/>
      <c r="H288" s="7"/>
      <c r="I288" s="7"/>
      <c r="J288" s="7"/>
      <c r="K288" s="7"/>
    </row>
    <row r="289" spans="1:11" ht="13.2" x14ac:dyDescent="0.25">
      <c r="A289" s="7"/>
      <c r="B289" s="7"/>
      <c r="C289" s="7"/>
      <c r="D289" s="7"/>
      <c r="E289" s="7"/>
      <c r="F289" s="7"/>
      <c r="G289" s="7"/>
      <c r="H289" s="7"/>
      <c r="I289" s="7"/>
      <c r="J289" s="7"/>
      <c r="K289" s="7"/>
    </row>
    <row r="290" spans="1:11" ht="13.2" x14ac:dyDescent="0.25">
      <c r="A290" s="7"/>
      <c r="B290" s="7"/>
      <c r="C290" s="7"/>
      <c r="D290" s="7"/>
      <c r="E290" s="7"/>
      <c r="F290" s="7"/>
      <c r="G290" s="7"/>
      <c r="H290" s="7"/>
      <c r="I290" s="7"/>
      <c r="J290" s="7"/>
      <c r="K290" s="7"/>
    </row>
    <row r="291" spans="1:11" ht="13.2" x14ac:dyDescent="0.25">
      <c r="A291" s="7"/>
      <c r="B291" s="7"/>
      <c r="C291" s="7"/>
      <c r="D291" s="7"/>
      <c r="E291" s="7"/>
      <c r="F291" s="7"/>
      <c r="G291" s="7"/>
      <c r="H291" s="7"/>
      <c r="I291" s="7"/>
      <c r="J291" s="7"/>
      <c r="K291" s="7"/>
    </row>
    <row r="292" spans="1:11" ht="13.2" x14ac:dyDescent="0.25">
      <c r="A292" s="7"/>
      <c r="B292" s="7"/>
      <c r="C292" s="7"/>
      <c r="D292" s="7"/>
      <c r="E292" s="7"/>
      <c r="F292" s="7"/>
      <c r="G292" s="7"/>
      <c r="H292" s="7"/>
      <c r="I292" s="7"/>
      <c r="J292" s="7"/>
      <c r="K292" s="7"/>
    </row>
    <row r="293" spans="1:11" ht="13.2" x14ac:dyDescent="0.25">
      <c r="A293" s="7"/>
      <c r="B293" s="7"/>
      <c r="C293" s="7"/>
      <c r="D293" s="7"/>
      <c r="E293" s="7"/>
      <c r="F293" s="7"/>
      <c r="G293" s="7"/>
      <c r="H293" s="7"/>
      <c r="I293" s="7"/>
      <c r="J293" s="7"/>
      <c r="K293" s="7"/>
    </row>
    <row r="294" spans="1:11" ht="13.2" x14ac:dyDescent="0.25">
      <c r="A294" s="7"/>
      <c r="B294" s="7"/>
      <c r="C294" s="7"/>
      <c r="D294" s="7"/>
      <c r="E294" s="7"/>
      <c r="F294" s="7"/>
      <c r="G294" s="7"/>
      <c r="H294" s="7"/>
      <c r="I294" s="7"/>
      <c r="J294" s="7"/>
      <c r="K294" s="7"/>
    </row>
    <row r="295" spans="1:11" ht="13.2" x14ac:dyDescent="0.25">
      <c r="A295" s="7"/>
      <c r="B295" s="7"/>
      <c r="C295" s="7"/>
      <c r="D295" s="7"/>
      <c r="E295" s="7"/>
      <c r="F295" s="7"/>
      <c r="G295" s="7"/>
      <c r="H295" s="7"/>
      <c r="I295" s="7"/>
      <c r="J295" s="7"/>
      <c r="K295" s="7"/>
    </row>
    <row r="296" spans="1:11" ht="13.2" x14ac:dyDescent="0.25">
      <c r="A296" s="7"/>
      <c r="B296" s="7"/>
      <c r="C296" s="7"/>
      <c r="D296" s="7"/>
      <c r="E296" s="7"/>
      <c r="F296" s="7"/>
      <c r="G296" s="7"/>
      <c r="H296" s="7"/>
      <c r="I296" s="7"/>
      <c r="J296" s="7"/>
      <c r="K296" s="7"/>
    </row>
    <row r="297" spans="1:11" ht="13.2" x14ac:dyDescent="0.25">
      <c r="A297" s="7"/>
      <c r="B297" s="7"/>
      <c r="C297" s="7"/>
      <c r="D297" s="7"/>
      <c r="E297" s="7"/>
      <c r="F297" s="7"/>
      <c r="G297" s="7"/>
      <c r="H297" s="7"/>
      <c r="I297" s="7"/>
      <c r="J297" s="7"/>
      <c r="K297" s="7"/>
    </row>
    <row r="298" spans="1:11" ht="13.2" x14ac:dyDescent="0.25">
      <c r="A298" s="7"/>
      <c r="B298" s="7"/>
      <c r="C298" s="7"/>
      <c r="D298" s="7"/>
      <c r="E298" s="7"/>
      <c r="F298" s="7"/>
      <c r="G298" s="7"/>
      <c r="H298" s="7"/>
      <c r="I298" s="7"/>
      <c r="J298" s="7"/>
      <c r="K298" s="7"/>
    </row>
    <row r="299" spans="1:11" ht="13.2" x14ac:dyDescent="0.25">
      <c r="A299" s="7"/>
      <c r="B299" s="7"/>
      <c r="C299" s="7"/>
      <c r="D299" s="7"/>
      <c r="E299" s="7"/>
      <c r="F299" s="7"/>
      <c r="G299" s="7"/>
      <c r="H299" s="7"/>
      <c r="I299" s="7"/>
      <c r="J299" s="7"/>
      <c r="K299" s="7"/>
    </row>
    <row r="300" spans="1:11" ht="13.2" x14ac:dyDescent="0.25">
      <c r="A300" s="7"/>
      <c r="B300" s="7"/>
      <c r="C300" s="7"/>
      <c r="D300" s="7"/>
      <c r="E300" s="7"/>
      <c r="F300" s="7"/>
      <c r="G300" s="7"/>
      <c r="H300" s="7"/>
      <c r="I300" s="7"/>
      <c r="J300" s="7"/>
      <c r="K300" s="7"/>
    </row>
    <row r="301" spans="1:11" ht="13.2" x14ac:dyDescent="0.25">
      <c r="A301" s="7"/>
      <c r="B301" s="7"/>
      <c r="C301" s="7"/>
      <c r="D301" s="7"/>
      <c r="E301" s="7"/>
      <c r="F301" s="7"/>
      <c r="G301" s="7"/>
      <c r="H301" s="7"/>
      <c r="I301" s="7"/>
      <c r="J301" s="7"/>
      <c r="K301" s="7"/>
    </row>
    <row r="302" spans="1:11" ht="13.2" x14ac:dyDescent="0.25">
      <c r="A302" s="7"/>
      <c r="B302" s="7"/>
      <c r="C302" s="7"/>
      <c r="D302" s="7"/>
      <c r="E302" s="7"/>
      <c r="F302" s="7"/>
      <c r="G302" s="7"/>
      <c r="H302" s="7"/>
      <c r="I302" s="7"/>
      <c r="J302" s="7"/>
      <c r="K302" s="7"/>
    </row>
    <row r="303" spans="1:11" ht="13.2" x14ac:dyDescent="0.25">
      <c r="A303" s="7"/>
      <c r="B303" s="7"/>
      <c r="C303" s="7"/>
      <c r="D303" s="7"/>
      <c r="E303" s="7"/>
      <c r="F303" s="7"/>
      <c r="G303" s="7"/>
      <c r="H303" s="7"/>
      <c r="I303" s="7"/>
      <c r="J303" s="7"/>
      <c r="K303" s="7"/>
    </row>
    <row r="304" spans="1:11" ht="13.2" x14ac:dyDescent="0.25">
      <c r="A304" s="7"/>
      <c r="B304" s="7"/>
      <c r="C304" s="7"/>
      <c r="D304" s="7"/>
      <c r="E304" s="7"/>
      <c r="F304" s="7"/>
      <c r="G304" s="7"/>
      <c r="H304" s="7"/>
      <c r="I304" s="7"/>
      <c r="J304" s="7"/>
      <c r="K304" s="7"/>
    </row>
    <row r="305" spans="1:11" ht="13.2" x14ac:dyDescent="0.25">
      <c r="A305" s="7"/>
      <c r="B305" s="7"/>
      <c r="C305" s="7"/>
      <c r="D305" s="7"/>
      <c r="E305" s="7"/>
      <c r="F305" s="7"/>
      <c r="G305" s="7"/>
      <c r="H305" s="7"/>
      <c r="I305" s="7"/>
      <c r="J305" s="7"/>
      <c r="K305" s="7"/>
    </row>
    <row r="306" spans="1:11" ht="13.2" x14ac:dyDescent="0.25">
      <c r="A306" s="7"/>
      <c r="B306" s="7"/>
      <c r="C306" s="7"/>
      <c r="D306" s="7"/>
      <c r="E306" s="7"/>
      <c r="F306" s="7"/>
      <c r="G306" s="7"/>
      <c r="H306" s="7"/>
      <c r="I306" s="7"/>
      <c r="J306" s="7"/>
      <c r="K306" s="7"/>
    </row>
    <row r="307" spans="1:11" ht="13.2" x14ac:dyDescent="0.25">
      <c r="A307" s="7"/>
      <c r="B307" s="7"/>
      <c r="C307" s="7"/>
      <c r="D307" s="7"/>
      <c r="E307" s="7"/>
      <c r="F307" s="7"/>
      <c r="G307" s="7"/>
      <c r="H307" s="7"/>
      <c r="I307" s="7"/>
      <c r="J307" s="7"/>
      <c r="K307" s="7"/>
    </row>
    <row r="308" spans="1:11" ht="13.2" x14ac:dyDescent="0.25">
      <c r="A308" s="7"/>
      <c r="B308" s="7"/>
      <c r="C308" s="7"/>
      <c r="D308" s="7"/>
      <c r="E308" s="7"/>
      <c r="F308" s="7"/>
      <c r="G308" s="7"/>
      <c r="H308" s="7"/>
      <c r="I308" s="7"/>
      <c r="J308" s="7"/>
      <c r="K308" s="7"/>
    </row>
    <row r="309" spans="1:11" ht="13.2" x14ac:dyDescent="0.25">
      <c r="A309" s="7"/>
      <c r="B309" s="7"/>
      <c r="C309" s="7"/>
      <c r="D309" s="7"/>
      <c r="E309" s="7"/>
      <c r="F309" s="7"/>
      <c r="G309" s="7"/>
      <c r="H309" s="7"/>
      <c r="I309" s="7"/>
      <c r="J309" s="7"/>
      <c r="K309" s="7"/>
    </row>
    <row r="310" spans="1:11" ht="13.2" x14ac:dyDescent="0.25">
      <c r="A310" s="7"/>
      <c r="B310" s="7"/>
      <c r="C310" s="7"/>
      <c r="D310" s="7"/>
      <c r="E310" s="7"/>
      <c r="F310" s="7"/>
      <c r="G310" s="7"/>
      <c r="H310" s="7"/>
      <c r="I310" s="7"/>
      <c r="J310" s="7"/>
      <c r="K310" s="7"/>
    </row>
    <row r="311" spans="1:11" ht="13.2" x14ac:dyDescent="0.25">
      <c r="A311" s="7"/>
      <c r="B311" s="7"/>
      <c r="C311" s="7"/>
      <c r="D311" s="7"/>
      <c r="E311" s="7"/>
      <c r="F311" s="7"/>
      <c r="G311" s="7"/>
      <c r="H311" s="7"/>
      <c r="I311" s="7"/>
      <c r="J311" s="7"/>
      <c r="K311" s="7"/>
    </row>
    <row r="312" spans="1:11" ht="13.2" x14ac:dyDescent="0.25">
      <c r="A312" s="7"/>
      <c r="B312" s="7"/>
      <c r="C312" s="7"/>
      <c r="D312" s="7"/>
      <c r="E312" s="7"/>
      <c r="F312" s="7"/>
      <c r="G312" s="7"/>
      <c r="H312" s="7"/>
      <c r="I312" s="7"/>
      <c r="J312" s="7"/>
      <c r="K312" s="7"/>
    </row>
    <row r="313" spans="1:11" ht="13.2" x14ac:dyDescent="0.25">
      <c r="A313" s="7"/>
      <c r="B313" s="7"/>
      <c r="C313" s="7"/>
      <c r="D313" s="7"/>
      <c r="E313" s="7"/>
      <c r="F313" s="7"/>
      <c r="G313" s="7"/>
      <c r="H313" s="7"/>
      <c r="I313" s="7"/>
      <c r="J313" s="7"/>
      <c r="K313" s="7"/>
    </row>
    <row r="314" spans="1:11" ht="13.2" x14ac:dyDescent="0.25">
      <c r="A314" s="7"/>
      <c r="B314" s="7"/>
      <c r="C314" s="7"/>
      <c r="D314" s="7"/>
      <c r="E314" s="7"/>
      <c r="F314" s="7"/>
      <c r="G314" s="7"/>
      <c r="H314" s="7"/>
      <c r="I314" s="7"/>
      <c r="J314" s="7"/>
      <c r="K314" s="7"/>
    </row>
    <row r="315" spans="1:11" ht="13.2" x14ac:dyDescent="0.25">
      <c r="A315" s="7"/>
      <c r="B315" s="7"/>
      <c r="C315" s="7"/>
      <c r="D315" s="7"/>
      <c r="E315" s="7"/>
      <c r="F315" s="7"/>
      <c r="G315" s="7"/>
      <c r="H315" s="7"/>
      <c r="I315" s="7"/>
      <c r="J315" s="7"/>
      <c r="K315" s="7"/>
    </row>
    <row r="316" spans="1:11" ht="13.2" x14ac:dyDescent="0.25">
      <c r="A316" s="7"/>
      <c r="B316" s="7"/>
      <c r="C316" s="7"/>
      <c r="D316" s="7"/>
      <c r="E316" s="7"/>
      <c r="F316" s="7"/>
      <c r="G316" s="7"/>
      <c r="H316" s="7"/>
      <c r="I316" s="7"/>
      <c r="J316" s="7"/>
      <c r="K316" s="7"/>
    </row>
    <row r="317" spans="1:11" ht="13.2" x14ac:dyDescent="0.25">
      <c r="A317" s="7"/>
      <c r="B317" s="7"/>
      <c r="C317" s="7"/>
      <c r="D317" s="7"/>
      <c r="E317" s="7"/>
      <c r="F317" s="7"/>
      <c r="G317" s="7"/>
      <c r="H317" s="7"/>
      <c r="I317" s="7"/>
      <c r="J317" s="7"/>
      <c r="K317" s="7"/>
    </row>
    <row r="318" spans="1:11" ht="13.2" x14ac:dyDescent="0.25">
      <c r="A318" s="7"/>
      <c r="B318" s="7"/>
      <c r="C318" s="7"/>
      <c r="D318" s="7"/>
      <c r="E318" s="7"/>
      <c r="F318" s="7"/>
      <c r="G318" s="7"/>
      <c r="H318" s="7"/>
      <c r="I318" s="7"/>
      <c r="J318" s="7"/>
      <c r="K318" s="7"/>
    </row>
    <row r="319" spans="1:11" ht="13.2" x14ac:dyDescent="0.25">
      <c r="A319" s="7"/>
      <c r="B319" s="7"/>
      <c r="C319" s="7"/>
      <c r="D319" s="7"/>
      <c r="E319" s="7"/>
      <c r="F319" s="7"/>
      <c r="G319" s="7"/>
      <c r="H319" s="7"/>
      <c r="I319" s="7"/>
      <c r="J319" s="7"/>
      <c r="K319" s="7"/>
    </row>
    <row r="320" spans="1:11" ht="13.2" x14ac:dyDescent="0.25">
      <c r="A320" s="7"/>
      <c r="B320" s="7"/>
      <c r="C320" s="7"/>
      <c r="D320" s="7"/>
      <c r="E320" s="7"/>
      <c r="F320" s="7"/>
      <c r="G320" s="7"/>
      <c r="H320" s="7"/>
      <c r="I320" s="7"/>
      <c r="J320" s="7"/>
      <c r="K320" s="7"/>
    </row>
    <row r="321" spans="1:11" ht="13.2" x14ac:dyDescent="0.25">
      <c r="A321" s="7"/>
      <c r="B321" s="7"/>
      <c r="C321" s="7"/>
      <c r="D321" s="7"/>
      <c r="E321" s="7"/>
      <c r="F321" s="7"/>
      <c r="G321" s="7"/>
      <c r="H321" s="7"/>
      <c r="I321" s="7"/>
      <c r="J321" s="7"/>
      <c r="K321" s="7"/>
    </row>
    <row r="322" spans="1:11" ht="13.2" x14ac:dyDescent="0.25">
      <c r="A322" s="7"/>
      <c r="B322" s="7"/>
      <c r="C322" s="7"/>
      <c r="D322" s="7"/>
      <c r="E322" s="7"/>
      <c r="F322" s="7"/>
      <c r="G322" s="7"/>
      <c r="H322" s="7"/>
      <c r="I322" s="7"/>
      <c r="J322" s="7"/>
      <c r="K322" s="7"/>
    </row>
    <row r="323" spans="1:11" ht="13.2" x14ac:dyDescent="0.25">
      <c r="A323" s="7"/>
      <c r="B323" s="7"/>
      <c r="C323" s="7"/>
      <c r="D323" s="7"/>
      <c r="E323" s="7"/>
      <c r="F323" s="7"/>
      <c r="G323" s="7"/>
      <c r="H323" s="7"/>
      <c r="I323" s="7"/>
      <c r="J323" s="7"/>
      <c r="K323" s="7"/>
    </row>
    <row r="324" spans="1:11" ht="13.2" x14ac:dyDescent="0.25">
      <c r="A324" s="7"/>
      <c r="B324" s="7"/>
      <c r="C324" s="7"/>
      <c r="D324" s="7"/>
      <c r="E324" s="7"/>
      <c r="F324" s="7"/>
      <c r="G324" s="7"/>
      <c r="H324" s="7"/>
      <c r="I324" s="7"/>
      <c r="J324" s="7"/>
      <c r="K324" s="7"/>
    </row>
    <row r="325" spans="1:11" ht="13.2" x14ac:dyDescent="0.25">
      <c r="A325" s="7"/>
      <c r="B325" s="7"/>
      <c r="C325" s="7"/>
      <c r="D325" s="7"/>
      <c r="E325" s="7"/>
      <c r="F325" s="7"/>
      <c r="G325" s="7"/>
      <c r="H325" s="7"/>
      <c r="I325" s="7"/>
      <c r="J325" s="7"/>
      <c r="K325" s="7"/>
    </row>
    <row r="326" spans="1:11" ht="13.2" x14ac:dyDescent="0.25">
      <c r="A326" s="7"/>
      <c r="B326" s="7"/>
      <c r="C326" s="7"/>
      <c r="D326" s="7"/>
      <c r="E326" s="7"/>
      <c r="F326" s="7"/>
      <c r="G326" s="7"/>
      <c r="H326" s="7"/>
      <c r="I326" s="7"/>
      <c r="J326" s="7"/>
      <c r="K326" s="7"/>
    </row>
    <row r="327" spans="1:11" ht="13.2" x14ac:dyDescent="0.25">
      <c r="A327" s="7"/>
      <c r="B327" s="7"/>
      <c r="C327" s="7"/>
      <c r="D327" s="7"/>
      <c r="E327" s="7"/>
      <c r="F327" s="7"/>
      <c r="G327" s="7"/>
      <c r="H327" s="7"/>
      <c r="I327" s="7"/>
      <c r="J327" s="7"/>
      <c r="K327" s="7"/>
    </row>
    <row r="328" spans="1:11" ht="13.2" x14ac:dyDescent="0.25">
      <c r="A328" s="7"/>
      <c r="B328" s="7"/>
      <c r="C328" s="7"/>
      <c r="D328" s="7"/>
      <c r="E328" s="7"/>
      <c r="F328" s="7"/>
      <c r="G328" s="7"/>
      <c r="H328" s="7"/>
      <c r="I328" s="7"/>
      <c r="J328" s="7"/>
      <c r="K328" s="7"/>
    </row>
    <row r="329" spans="1:11" ht="13.2" x14ac:dyDescent="0.25">
      <c r="A329" s="7"/>
      <c r="B329" s="7"/>
      <c r="C329" s="7"/>
      <c r="D329" s="7"/>
      <c r="E329" s="7"/>
      <c r="F329" s="7"/>
      <c r="G329" s="7"/>
      <c r="H329" s="7"/>
      <c r="I329" s="7"/>
      <c r="J329" s="7"/>
      <c r="K329" s="7"/>
    </row>
    <row r="330" spans="1:11" ht="13.2" x14ac:dyDescent="0.25">
      <c r="A330" s="7"/>
      <c r="B330" s="7"/>
      <c r="C330" s="7"/>
      <c r="D330" s="7"/>
      <c r="E330" s="7"/>
      <c r="F330" s="7"/>
      <c r="G330" s="7"/>
      <c r="H330" s="7"/>
      <c r="I330" s="7"/>
      <c r="J330" s="7"/>
      <c r="K330" s="7"/>
    </row>
    <row r="331" spans="1:11" ht="13.2" x14ac:dyDescent="0.25">
      <c r="A331" s="7"/>
      <c r="B331" s="7"/>
      <c r="C331" s="7"/>
      <c r="D331" s="7"/>
      <c r="E331" s="7"/>
      <c r="F331" s="7"/>
      <c r="G331" s="7"/>
      <c r="H331" s="7"/>
      <c r="I331" s="7"/>
      <c r="J331" s="7"/>
      <c r="K331" s="7"/>
    </row>
    <row r="332" spans="1:11" ht="13.2" x14ac:dyDescent="0.25">
      <c r="A332" s="7"/>
      <c r="B332" s="7"/>
      <c r="C332" s="7"/>
      <c r="D332" s="7"/>
      <c r="E332" s="7"/>
      <c r="F332" s="7"/>
      <c r="G332" s="7"/>
      <c r="H332" s="7"/>
      <c r="I332" s="7"/>
      <c r="J332" s="7"/>
      <c r="K332" s="7"/>
    </row>
    <row r="333" spans="1:11" ht="13.2" x14ac:dyDescent="0.25">
      <c r="A333" s="7"/>
      <c r="B333" s="7"/>
      <c r="C333" s="7"/>
      <c r="D333" s="7"/>
      <c r="E333" s="7"/>
      <c r="F333" s="7"/>
      <c r="G333" s="7"/>
      <c r="H333" s="7"/>
      <c r="I333" s="7"/>
      <c r="J333" s="7"/>
      <c r="K333" s="7"/>
    </row>
    <row r="334" spans="1:11" ht="13.2" x14ac:dyDescent="0.25">
      <c r="A334" s="7"/>
      <c r="B334" s="7"/>
      <c r="C334" s="7"/>
      <c r="D334" s="7"/>
      <c r="E334" s="7"/>
      <c r="F334" s="7"/>
      <c r="G334" s="7"/>
      <c r="H334" s="7"/>
      <c r="I334" s="7"/>
      <c r="J334" s="7"/>
      <c r="K334" s="7"/>
    </row>
    <row r="335" spans="1:11" ht="13.2" x14ac:dyDescent="0.25">
      <c r="A335" s="7"/>
      <c r="B335" s="7"/>
      <c r="C335" s="7"/>
      <c r="D335" s="7"/>
      <c r="E335" s="7"/>
      <c r="F335" s="7"/>
      <c r="G335" s="7"/>
      <c r="H335" s="7"/>
      <c r="I335" s="7"/>
      <c r="J335" s="7"/>
      <c r="K335" s="7"/>
    </row>
    <row r="336" spans="1:11" ht="13.2" x14ac:dyDescent="0.25">
      <c r="A336" s="7"/>
      <c r="B336" s="7"/>
      <c r="C336" s="7"/>
      <c r="D336" s="7"/>
      <c r="E336" s="7"/>
      <c r="F336" s="7"/>
      <c r="G336" s="7"/>
      <c r="H336" s="7"/>
      <c r="I336" s="7"/>
      <c r="J336" s="7"/>
      <c r="K336" s="7"/>
    </row>
    <row r="337" spans="1:11" ht="13.2" x14ac:dyDescent="0.25">
      <c r="A337" s="7"/>
      <c r="B337" s="7"/>
      <c r="C337" s="7"/>
      <c r="D337" s="7"/>
      <c r="E337" s="7"/>
      <c r="F337" s="7"/>
      <c r="G337" s="7"/>
      <c r="H337" s="7"/>
      <c r="I337" s="7"/>
      <c r="J337" s="7"/>
      <c r="K337" s="7"/>
    </row>
    <row r="338" spans="1:11" ht="13.2" x14ac:dyDescent="0.25">
      <c r="A338" s="7"/>
      <c r="B338" s="7"/>
      <c r="C338" s="7"/>
      <c r="D338" s="7"/>
      <c r="E338" s="7"/>
      <c r="F338" s="7"/>
      <c r="G338" s="7"/>
      <c r="H338" s="7"/>
      <c r="I338" s="7"/>
      <c r="J338" s="7"/>
      <c r="K338" s="7"/>
    </row>
    <row r="339" spans="1:11" ht="13.2" x14ac:dyDescent="0.25">
      <c r="A339" s="7"/>
      <c r="B339" s="7"/>
      <c r="C339" s="7"/>
      <c r="D339" s="7"/>
      <c r="E339" s="7"/>
      <c r="F339" s="7"/>
      <c r="G339" s="7"/>
      <c r="H339" s="7"/>
      <c r="I339" s="7"/>
      <c r="J339" s="7"/>
      <c r="K339" s="7"/>
    </row>
    <row r="340" spans="1:11" ht="13.2" x14ac:dyDescent="0.25">
      <c r="A340" s="7"/>
      <c r="B340" s="7"/>
      <c r="C340" s="7"/>
      <c r="D340" s="7"/>
      <c r="E340" s="7"/>
      <c r="F340" s="7"/>
      <c r="G340" s="7"/>
      <c r="H340" s="7"/>
      <c r="I340" s="7"/>
      <c r="J340" s="7"/>
      <c r="K340" s="7"/>
    </row>
    <row r="341" spans="1:11" ht="13.2" x14ac:dyDescent="0.25">
      <c r="A341" s="7"/>
      <c r="B341" s="7"/>
      <c r="C341" s="7"/>
      <c r="D341" s="7"/>
      <c r="E341" s="7"/>
      <c r="F341" s="7"/>
      <c r="G341" s="7"/>
      <c r="H341" s="7"/>
      <c r="I341" s="7"/>
      <c r="J341" s="7"/>
      <c r="K341" s="7"/>
    </row>
    <row r="342" spans="1:11" ht="13.2" x14ac:dyDescent="0.25">
      <c r="A342" s="7"/>
      <c r="B342" s="7"/>
      <c r="C342" s="7"/>
      <c r="D342" s="7"/>
      <c r="E342" s="7"/>
      <c r="F342" s="7"/>
      <c r="G342" s="7"/>
      <c r="H342" s="7"/>
      <c r="I342" s="7"/>
      <c r="J342" s="7"/>
      <c r="K342" s="7"/>
    </row>
    <row r="343" spans="1:11" ht="13.2" x14ac:dyDescent="0.25">
      <c r="A343" s="7"/>
      <c r="B343" s="7"/>
      <c r="C343" s="7"/>
      <c r="D343" s="7"/>
      <c r="E343" s="7"/>
      <c r="F343" s="7"/>
      <c r="G343" s="7"/>
      <c r="H343" s="7"/>
      <c r="I343" s="7"/>
      <c r="J343" s="7"/>
      <c r="K343" s="7"/>
    </row>
    <row r="344" spans="1:11" ht="13.2" x14ac:dyDescent="0.25">
      <c r="A344" s="7"/>
      <c r="B344" s="7"/>
      <c r="C344" s="7"/>
      <c r="D344" s="7"/>
      <c r="E344" s="7"/>
      <c r="F344" s="7"/>
      <c r="G344" s="7"/>
      <c r="H344" s="7"/>
      <c r="I344" s="7"/>
      <c r="J344" s="7"/>
      <c r="K344" s="7"/>
    </row>
    <row r="345" spans="1:11" ht="13.2" x14ac:dyDescent="0.25">
      <c r="A345" s="7"/>
      <c r="B345" s="7"/>
      <c r="C345" s="7"/>
      <c r="D345" s="7"/>
      <c r="E345" s="7"/>
      <c r="F345" s="7"/>
      <c r="G345" s="7"/>
      <c r="H345" s="7"/>
      <c r="I345" s="7"/>
      <c r="J345" s="7"/>
      <c r="K345" s="7"/>
    </row>
    <row r="346" spans="1:11" ht="13.2" x14ac:dyDescent="0.25">
      <c r="A346" s="7"/>
      <c r="B346" s="7"/>
      <c r="C346" s="7"/>
      <c r="D346" s="7"/>
      <c r="E346" s="7"/>
      <c r="F346" s="7"/>
      <c r="G346" s="7"/>
      <c r="H346" s="7"/>
      <c r="I346" s="7"/>
      <c r="J346" s="7"/>
      <c r="K346" s="7"/>
    </row>
    <row r="347" spans="1:11" ht="13.2" x14ac:dyDescent="0.25">
      <c r="A347" s="7"/>
      <c r="B347" s="7"/>
      <c r="C347" s="7"/>
      <c r="D347" s="7"/>
      <c r="E347" s="7"/>
      <c r="F347" s="7"/>
      <c r="G347" s="7"/>
      <c r="H347" s="7"/>
      <c r="I347" s="7"/>
      <c r="J347" s="7"/>
      <c r="K347" s="7"/>
    </row>
    <row r="348" spans="1:11" ht="13.2" x14ac:dyDescent="0.25">
      <c r="A348" s="7"/>
      <c r="B348" s="7"/>
      <c r="C348" s="7"/>
      <c r="D348" s="7"/>
      <c r="E348" s="7"/>
      <c r="F348" s="7"/>
      <c r="G348" s="7"/>
      <c r="H348" s="7"/>
      <c r="I348" s="7"/>
      <c r="J348" s="7"/>
      <c r="K348" s="7"/>
    </row>
    <row r="349" spans="1:11" ht="13.2" x14ac:dyDescent="0.25">
      <c r="A349" s="7"/>
      <c r="B349" s="7"/>
      <c r="C349" s="7"/>
      <c r="D349" s="7"/>
      <c r="E349" s="7"/>
      <c r="F349" s="7"/>
      <c r="G349" s="7"/>
      <c r="H349" s="7"/>
      <c r="I349" s="7"/>
      <c r="J349" s="7"/>
      <c r="K349" s="7"/>
    </row>
    <row r="350" spans="1:11" ht="13.2" x14ac:dyDescent="0.25">
      <c r="A350" s="7"/>
      <c r="B350" s="7"/>
      <c r="C350" s="7"/>
      <c r="D350" s="7"/>
      <c r="E350" s="7"/>
      <c r="F350" s="7"/>
      <c r="G350" s="7"/>
      <c r="H350" s="7"/>
      <c r="I350" s="7"/>
      <c r="J350" s="7"/>
      <c r="K350" s="7"/>
    </row>
    <row r="351" spans="1:11" ht="13.2" x14ac:dyDescent="0.25">
      <c r="A351" s="7"/>
      <c r="B351" s="7"/>
      <c r="C351" s="7"/>
      <c r="D351" s="7"/>
      <c r="E351" s="7"/>
      <c r="F351" s="7"/>
      <c r="G351" s="7"/>
      <c r="H351" s="7"/>
      <c r="I351" s="7"/>
      <c r="J351" s="7"/>
      <c r="K351" s="7"/>
    </row>
    <row r="352" spans="1:11" ht="13.2" x14ac:dyDescent="0.25">
      <c r="A352" s="7"/>
      <c r="B352" s="7"/>
      <c r="C352" s="7"/>
      <c r="D352" s="7"/>
      <c r="E352" s="7"/>
      <c r="F352" s="7"/>
      <c r="G352" s="7"/>
      <c r="H352" s="7"/>
      <c r="I352" s="7"/>
      <c r="J352" s="7"/>
      <c r="K352" s="7"/>
    </row>
    <row r="353" spans="1:11" ht="13.2" x14ac:dyDescent="0.25">
      <c r="A353" s="7"/>
      <c r="B353" s="7"/>
      <c r="C353" s="7"/>
      <c r="D353" s="7"/>
      <c r="E353" s="7"/>
      <c r="F353" s="7"/>
      <c r="G353" s="7"/>
      <c r="H353" s="7"/>
      <c r="I353" s="7"/>
      <c r="J353" s="7"/>
      <c r="K353" s="7"/>
    </row>
    <row r="354" spans="1:11" ht="13.2" x14ac:dyDescent="0.25">
      <c r="A354" s="7"/>
      <c r="B354" s="7"/>
      <c r="C354" s="7"/>
      <c r="D354" s="7"/>
      <c r="E354" s="7"/>
      <c r="F354" s="7"/>
      <c r="G354" s="7"/>
      <c r="H354" s="7"/>
      <c r="I354" s="7"/>
      <c r="J354" s="7"/>
      <c r="K354" s="7"/>
    </row>
    <row r="355" spans="1:11" ht="13.2" x14ac:dyDescent="0.25">
      <c r="A355" s="7"/>
      <c r="B355" s="7"/>
      <c r="C355" s="7"/>
      <c r="D355" s="7"/>
      <c r="E355" s="7"/>
      <c r="F355" s="7"/>
      <c r="G355" s="7"/>
      <c r="H355" s="7"/>
      <c r="I355" s="7"/>
      <c r="J355" s="7"/>
      <c r="K355" s="7"/>
    </row>
    <row r="356" spans="1:11" ht="13.2" x14ac:dyDescent="0.25">
      <c r="A356" s="7"/>
      <c r="B356" s="7"/>
      <c r="C356" s="7"/>
      <c r="D356" s="7"/>
      <c r="E356" s="7"/>
      <c r="F356" s="7"/>
      <c r="G356" s="7"/>
      <c r="H356" s="7"/>
      <c r="I356" s="7"/>
      <c r="J356" s="7"/>
      <c r="K356" s="7"/>
    </row>
    <row r="357" spans="1:11" ht="13.2" x14ac:dyDescent="0.25">
      <c r="A357" s="7"/>
      <c r="B357" s="7"/>
      <c r="C357" s="7"/>
      <c r="D357" s="7"/>
      <c r="E357" s="7"/>
      <c r="F357" s="7"/>
      <c r="G357" s="7"/>
      <c r="H357" s="7"/>
      <c r="I357" s="7"/>
      <c r="J357" s="7"/>
      <c r="K357" s="7"/>
    </row>
    <row r="358" spans="1:11" ht="13.2" x14ac:dyDescent="0.25">
      <c r="A358" s="7"/>
      <c r="B358" s="7"/>
      <c r="C358" s="7"/>
      <c r="D358" s="7"/>
      <c r="E358" s="7"/>
      <c r="F358" s="7"/>
      <c r="G358" s="7"/>
      <c r="H358" s="7"/>
      <c r="I358" s="7"/>
      <c r="J358" s="7"/>
      <c r="K358" s="7"/>
    </row>
    <row r="359" spans="1:11" ht="13.2" x14ac:dyDescent="0.25">
      <c r="A359" s="7"/>
      <c r="B359" s="7"/>
      <c r="C359" s="7"/>
      <c r="D359" s="7"/>
      <c r="E359" s="7"/>
      <c r="F359" s="7"/>
      <c r="G359" s="7"/>
      <c r="H359" s="7"/>
      <c r="I359" s="7"/>
      <c r="J359" s="7"/>
      <c r="K359" s="7"/>
    </row>
    <row r="360" spans="1:11" ht="13.2" x14ac:dyDescent="0.25">
      <c r="A360" s="7"/>
      <c r="B360" s="7"/>
      <c r="C360" s="7"/>
      <c r="D360" s="7"/>
      <c r="E360" s="7"/>
      <c r="F360" s="7"/>
      <c r="G360" s="7"/>
      <c r="H360" s="7"/>
      <c r="I360" s="7"/>
      <c r="J360" s="7"/>
      <c r="K360" s="7"/>
    </row>
    <row r="361" spans="1:11" ht="13.2" x14ac:dyDescent="0.25">
      <c r="A361" s="7"/>
      <c r="B361" s="7"/>
      <c r="C361" s="7"/>
      <c r="D361" s="7"/>
      <c r="E361" s="7"/>
      <c r="F361" s="7"/>
      <c r="G361" s="7"/>
      <c r="H361" s="7"/>
      <c r="I361" s="7"/>
      <c r="J361" s="7"/>
      <c r="K361" s="7"/>
    </row>
    <row r="362" spans="1:11" ht="13.2" x14ac:dyDescent="0.25">
      <c r="A362" s="7"/>
      <c r="B362" s="7"/>
      <c r="C362" s="7"/>
      <c r="D362" s="7"/>
      <c r="E362" s="7"/>
      <c r="F362" s="7"/>
      <c r="G362" s="7"/>
      <c r="H362" s="7"/>
      <c r="I362" s="7"/>
      <c r="J362" s="7"/>
      <c r="K362" s="7"/>
    </row>
    <row r="363" spans="1:11" ht="13.2" x14ac:dyDescent="0.25">
      <c r="A363" s="7"/>
      <c r="B363" s="7"/>
      <c r="C363" s="7"/>
      <c r="D363" s="7"/>
      <c r="E363" s="7"/>
      <c r="F363" s="7"/>
      <c r="G363" s="7"/>
      <c r="H363" s="7"/>
      <c r="I363" s="7"/>
      <c r="J363" s="7"/>
      <c r="K363" s="7"/>
    </row>
    <row r="364" spans="1:11" ht="13.2" x14ac:dyDescent="0.25">
      <c r="A364" s="7"/>
      <c r="B364" s="7"/>
      <c r="C364" s="7"/>
      <c r="D364" s="7"/>
      <c r="E364" s="7"/>
      <c r="F364" s="7"/>
      <c r="G364" s="7"/>
      <c r="H364" s="7"/>
      <c r="I364" s="7"/>
      <c r="J364" s="7"/>
      <c r="K364" s="7"/>
    </row>
    <row r="365" spans="1:11" ht="13.2" x14ac:dyDescent="0.25">
      <c r="A365" s="7"/>
      <c r="B365" s="7"/>
      <c r="C365" s="7"/>
      <c r="D365" s="7"/>
      <c r="E365" s="7"/>
      <c r="F365" s="7"/>
      <c r="G365" s="7"/>
      <c r="H365" s="7"/>
      <c r="I365" s="7"/>
      <c r="J365" s="7"/>
      <c r="K365" s="7"/>
    </row>
    <row r="366" spans="1:11" ht="13.2" x14ac:dyDescent="0.25">
      <c r="A366" s="7"/>
      <c r="B366" s="7"/>
      <c r="C366" s="7"/>
      <c r="D366" s="7"/>
      <c r="E366" s="7"/>
      <c r="F366" s="7"/>
      <c r="G366" s="7"/>
      <c r="H366" s="7"/>
      <c r="I366" s="7"/>
      <c r="J366" s="7"/>
      <c r="K366" s="7"/>
    </row>
    <row r="367" spans="1:11" ht="13.2" x14ac:dyDescent="0.25">
      <c r="A367" s="7"/>
      <c r="B367" s="7"/>
      <c r="C367" s="7"/>
      <c r="D367" s="7"/>
      <c r="E367" s="7"/>
      <c r="F367" s="7"/>
      <c r="G367" s="7"/>
      <c r="H367" s="7"/>
      <c r="I367" s="7"/>
      <c r="J367" s="7"/>
      <c r="K367" s="7"/>
    </row>
    <row r="368" spans="1:11" ht="13.2" x14ac:dyDescent="0.25">
      <c r="A368" s="7"/>
      <c r="B368" s="7"/>
      <c r="C368" s="7"/>
      <c r="D368" s="7"/>
      <c r="E368" s="7"/>
      <c r="F368" s="7"/>
      <c r="G368" s="7"/>
      <c r="H368" s="7"/>
      <c r="I368" s="7"/>
      <c r="J368" s="7"/>
      <c r="K368" s="7"/>
    </row>
    <row r="369" spans="1:11" ht="13.2" x14ac:dyDescent="0.25">
      <c r="A369" s="7"/>
      <c r="B369" s="7"/>
      <c r="C369" s="7"/>
      <c r="D369" s="7"/>
      <c r="E369" s="7"/>
      <c r="F369" s="7"/>
      <c r="G369" s="7"/>
      <c r="H369" s="7"/>
      <c r="I369" s="7"/>
      <c r="J369" s="7"/>
      <c r="K369" s="7"/>
    </row>
    <row r="370" spans="1:11" ht="13.2" x14ac:dyDescent="0.25">
      <c r="A370" s="7"/>
      <c r="B370" s="7"/>
      <c r="C370" s="7"/>
      <c r="D370" s="7"/>
      <c r="E370" s="7"/>
      <c r="F370" s="7"/>
      <c r="G370" s="7"/>
      <c r="H370" s="7"/>
      <c r="I370" s="7"/>
      <c r="J370" s="7"/>
      <c r="K370" s="7"/>
    </row>
    <row r="371" spans="1:11" ht="13.2" x14ac:dyDescent="0.25">
      <c r="A371" s="7"/>
      <c r="B371" s="7"/>
      <c r="C371" s="7"/>
      <c r="D371" s="7"/>
      <c r="E371" s="7"/>
      <c r="F371" s="7"/>
      <c r="G371" s="7"/>
      <c r="H371" s="7"/>
      <c r="I371" s="7"/>
      <c r="J371" s="7"/>
      <c r="K371" s="7"/>
    </row>
    <row r="372" spans="1:11" ht="13.2" x14ac:dyDescent="0.25">
      <c r="A372" s="7"/>
      <c r="B372" s="7"/>
      <c r="C372" s="7"/>
      <c r="D372" s="7"/>
      <c r="E372" s="7"/>
      <c r="F372" s="7"/>
      <c r="G372" s="7"/>
      <c r="H372" s="7"/>
      <c r="I372" s="7"/>
      <c r="J372" s="7"/>
      <c r="K372" s="7"/>
    </row>
    <row r="373" spans="1:11" ht="13.2" x14ac:dyDescent="0.25">
      <c r="A373" s="7"/>
      <c r="B373" s="7"/>
      <c r="C373" s="7"/>
      <c r="D373" s="7"/>
      <c r="E373" s="7"/>
      <c r="F373" s="7"/>
      <c r="G373" s="7"/>
      <c r="H373" s="7"/>
      <c r="I373" s="7"/>
      <c r="J373" s="7"/>
      <c r="K373" s="7"/>
    </row>
    <row r="374" spans="1:11" ht="13.2" x14ac:dyDescent="0.25">
      <c r="A374" s="7"/>
      <c r="B374" s="7"/>
      <c r="C374" s="7"/>
      <c r="D374" s="7"/>
      <c r="E374" s="7"/>
      <c r="F374" s="7"/>
      <c r="G374" s="7"/>
      <c r="H374" s="7"/>
      <c r="I374" s="7"/>
      <c r="J374" s="7"/>
      <c r="K374" s="7"/>
    </row>
    <row r="375" spans="1:11" ht="13.2" x14ac:dyDescent="0.25">
      <c r="A375" s="7"/>
      <c r="B375" s="7"/>
      <c r="C375" s="7"/>
      <c r="D375" s="7"/>
      <c r="E375" s="7"/>
      <c r="F375" s="7"/>
      <c r="G375" s="7"/>
      <c r="H375" s="7"/>
      <c r="I375" s="7"/>
      <c r="J375" s="7"/>
      <c r="K375" s="7"/>
    </row>
    <row r="376" spans="1:11" ht="13.2" x14ac:dyDescent="0.25">
      <c r="A376" s="7"/>
      <c r="B376" s="7"/>
      <c r="C376" s="7"/>
      <c r="D376" s="7"/>
      <c r="E376" s="7"/>
      <c r="F376" s="7"/>
      <c r="G376" s="7"/>
      <c r="H376" s="7"/>
      <c r="I376" s="7"/>
      <c r="J376" s="7"/>
      <c r="K376" s="7"/>
    </row>
    <row r="377" spans="1:11" ht="13.2" x14ac:dyDescent="0.25">
      <c r="A377" s="7"/>
      <c r="B377" s="7"/>
      <c r="C377" s="7"/>
      <c r="D377" s="7"/>
      <c r="E377" s="7"/>
      <c r="F377" s="7"/>
      <c r="G377" s="7"/>
      <c r="H377" s="7"/>
      <c r="I377" s="7"/>
      <c r="J377" s="7"/>
      <c r="K377" s="7"/>
    </row>
    <row r="378" spans="1:11" ht="13.2" x14ac:dyDescent="0.25">
      <c r="A378" s="7"/>
      <c r="B378" s="7"/>
      <c r="C378" s="7"/>
      <c r="D378" s="7"/>
      <c r="E378" s="7"/>
      <c r="F378" s="7"/>
      <c r="G378" s="7"/>
      <c r="H378" s="7"/>
      <c r="I378" s="7"/>
      <c r="J378" s="7"/>
      <c r="K378" s="7"/>
    </row>
    <row r="379" spans="1:11" ht="13.2" x14ac:dyDescent="0.25">
      <c r="A379" s="7"/>
      <c r="B379" s="7"/>
      <c r="C379" s="7"/>
      <c r="D379" s="7"/>
      <c r="E379" s="7"/>
      <c r="F379" s="7"/>
      <c r="G379" s="7"/>
      <c r="H379" s="7"/>
      <c r="I379" s="7"/>
      <c r="J379" s="7"/>
      <c r="K379" s="7"/>
    </row>
    <row r="380" spans="1:11" ht="13.2" x14ac:dyDescent="0.25">
      <c r="A380" s="7"/>
      <c r="B380" s="7"/>
      <c r="C380" s="7"/>
      <c r="D380" s="7"/>
      <c r="E380" s="7"/>
      <c r="F380" s="7"/>
      <c r="G380" s="7"/>
      <c r="H380" s="7"/>
      <c r="I380" s="7"/>
      <c r="J380" s="7"/>
      <c r="K380" s="7"/>
    </row>
    <row r="381" spans="1:11" ht="13.2" x14ac:dyDescent="0.25">
      <c r="A381" s="7"/>
      <c r="B381" s="7"/>
      <c r="C381" s="7"/>
      <c r="D381" s="7"/>
      <c r="E381" s="7"/>
      <c r="F381" s="7"/>
      <c r="G381" s="7"/>
      <c r="H381" s="7"/>
      <c r="I381" s="7"/>
      <c r="J381" s="7"/>
      <c r="K381" s="7"/>
    </row>
    <row r="382" spans="1:11" ht="13.2" x14ac:dyDescent="0.25">
      <c r="A382" s="7"/>
      <c r="B382" s="7"/>
      <c r="C382" s="7"/>
      <c r="D382" s="7"/>
      <c r="E382" s="7"/>
      <c r="F382" s="7"/>
      <c r="G382" s="7"/>
      <c r="H382" s="7"/>
      <c r="I382" s="7"/>
      <c r="J382" s="7"/>
      <c r="K382" s="7"/>
    </row>
    <row r="383" spans="1:11" ht="13.2" x14ac:dyDescent="0.25">
      <c r="A383" s="7"/>
      <c r="B383" s="7"/>
      <c r="C383" s="7"/>
      <c r="D383" s="7"/>
      <c r="E383" s="7"/>
      <c r="F383" s="7"/>
      <c r="G383" s="7"/>
      <c r="H383" s="7"/>
      <c r="I383" s="7"/>
      <c r="J383" s="7"/>
      <c r="K383" s="7"/>
    </row>
    <row r="384" spans="1:11" ht="13.2" x14ac:dyDescent="0.25">
      <c r="A384" s="7"/>
      <c r="B384" s="7"/>
      <c r="C384" s="7"/>
      <c r="D384" s="7"/>
      <c r="E384" s="7"/>
      <c r="F384" s="7"/>
      <c r="G384" s="7"/>
      <c r="H384" s="7"/>
      <c r="I384" s="7"/>
      <c r="J384" s="7"/>
      <c r="K384" s="7"/>
    </row>
    <row r="385" spans="1:11" ht="13.2" x14ac:dyDescent="0.25">
      <c r="A385" s="7"/>
      <c r="B385" s="7"/>
      <c r="C385" s="7"/>
      <c r="D385" s="7"/>
      <c r="E385" s="7"/>
      <c r="F385" s="7"/>
      <c r="G385" s="7"/>
      <c r="H385" s="7"/>
      <c r="I385" s="7"/>
      <c r="J385" s="7"/>
      <c r="K385" s="7"/>
    </row>
    <row r="386" spans="1:11" ht="13.2" x14ac:dyDescent="0.25">
      <c r="A386" s="7"/>
      <c r="B386" s="7"/>
      <c r="C386" s="7"/>
      <c r="D386" s="7"/>
      <c r="E386" s="7"/>
      <c r="F386" s="7"/>
      <c r="G386" s="7"/>
      <c r="H386" s="7"/>
      <c r="I386" s="7"/>
      <c r="J386" s="7"/>
      <c r="K386" s="7"/>
    </row>
    <row r="387" spans="1:11" ht="13.2" x14ac:dyDescent="0.25">
      <c r="A387" s="7"/>
      <c r="B387" s="7"/>
      <c r="C387" s="7"/>
      <c r="D387" s="7"/>
      <c r="E387" s="7"/>
      <c r="F387" s="7"/>
      <c r="G387" s="7"/>
      <c r="H387" s="7"/>
      <c r="I387" s="7"/>
      <c r="J387" s="7"/>
      <c r="K387" s="7"/>
    </row>
    <row r="388" spans="1:11" ht="13.2" x14ac:dyDescent="0.25">
      <c r="A388" s="7"/>
      <c r="B388" s="7"/>
      <c r="C388" s="7"/>
      <c r="D388" s="7"/>
      <c r="E388" s="7"/>
      <c r="F388" s="7"/>
      <c r="G388" s="7"/>
      <c r="H388" s="7"/>
      <c r="I388" s="7"/>
      <c r="J388" s="7"/>
      <c r="K388" s="7"/>
    </row>
    <row r="389" spans="1:11" ht="13.2" x14ac:dyDescent="0.25">
      <c r="A389" s="7"/>
      <c r="B389" s="7"/>
      <c r="C389" s="7"/>
      <c r="D389" s="7"/>
      <c r="E389" s="7"/>
      <c r="F389" s="7"/>
      <c r="G389" s="7"/>
      <c r="H389" s="7"/>
      <c r="I389" s="7"/>
      <c r="J389" s="7"/>
      <c r="K389" s="7"/>
    </row>
    <row r="390" spans="1:11" ht="13.2" x14ac:dyDescent="0.25">
      <c r="A390" s="7"/>
      <c r="B390" s="7"/>
      <c r="C390" s="7"/>
      <c r="D390" s="7"/>
      <c r="E390" s="7"/>
      <c r="F390" s="7"/>
      <c r="G390" s="7"/>
      <c r="H390" s="7"/>
      <c r="I390" s="7"/>
      <c r="J390" s="7"/>
      <c r="K390" s="7"/>
    </row>
    <row r="391" spans="1:11" ht="13.2" x14ac:dyDescent="0.25">
      <c r="A391" s="7"/>
      <c r="B391" s="7"/>
      <c r="C391" s="7"/>
      <c r="D391" s="7"/>
      <c r="E391" s="7"/>
      <c r="F391" s="7"/>
      <c r="G391" s="7"/>
      <c r="H391" s="7"/>
      <c r="I391" s="7"/>
      <c r="J391" s="7"/>
      <c r="K391" s="7"/>
    </row>
    <row r="392" spans="1:11" ht="13.2" x14ac:dyDescent="0.25">
      <c r="A392" s="7"/>
      <c r="B392" s="7"/>
      <c r="C392" s="7"/>
      <c r="D392" s="7"/>
      <c r="E392" s="7"/>
      <c r="F392" s="7"/>
      <c r="G392" s="7"/>
      <c r="H392" s="7"/>
      <c r="I392" s="7"/>
      <c r="J392" s="7"/>
      <c r="K392" s="7"/>
    </row>
    <row r="393" spans="1:11" ht="13.2" x14ac:dyDescent="0.25">
      <c r="A393" s="7"/>
      <c r="B393" s="7"/>
      <c r="C393" s="7"/>
      <c r="D393" s="7"/>
      <c r="E393" s="7"/>
      <c r="F393" s="7"/>
      <c r="G393" s="7"/>
      <c r="H393" s="7"/>
      <c r="I393" s="7"/>
      <c r="J393" s="7"/>
      <c r="K393" s="7"/>
    </row>
    <row r="394" spans="1:11" ht="13.2" x14ac:dyDescent="0.25">
      <c r="A394" s="7"/>
      <c r="B394" s="7"/>
      <c r="C394" s="7"/>
      <c r="D394" s="7"/>
      <c r="E394" s="7"/>
      <c r="F394" s="7"/>
      <c r="G394" s="7"/>
      <c r="H394" s="7"/>
      <c r="I394" s="7"/>
      <c r="J394" s="7"/>
      <c r="K394" s="7"/>
    </row>
    <row r="395" spans="1:11" ht="13.2" x14ac:dyDescent="0.25">
      <c r="A395" s="7"/>
      <c r="B395" s="7"/>
      <c r="C395" s="7"/>
      <c r="D395" s="7"/>
      <c r="E395" s="7"/>
      <c r="F395" s="7"/>
      <c r="G395" s="7"/>
      <c r="H395" s="7"/>
      <c r="I395" s="7"/>
      <c r="J395" s="7"/>
      <c r="K395" s="7"/>
    </row>
    <row r="396" spans="1:11" ht="13.2" x14ac:dyDescent="0.25">
      <c r="A396" s="7"/>
      <c r="B396" s="7"/>
      <c r="C396" s="7"/>
      <c r="D396" s="7"/>
      <c r="E396" s="7"/>
      <c r="F396" s="7"/>
      <c r="G396" s="7"/>
      <c r="H396" s="7"/>
      <c r="I396" s="7"/>
      <c r="J396" s="7"/>
      <c r="K396" s="7"/>
    </row>
    <row r="397" spans="1:11" ht="13.2" x14ac:dyDescent="0.25">
      <c r="A397" s="7"/>
      <c r="B397" s="7"/>
      <c r="C397" s="7"/>
      <c r="D397" s="7"/>
      <c r="E397" s="7"/>
      <c r="F397" s="7"/>
      <c r="G397" s="7"/>
      <c r="H397" s="7"/>
      <c r="I397" s="7"/>
      <c r="J397" s="7"/>
      <c r="K397" s="7"/>
    </row>
    <row r="398" spans="1:11" ht="13.2" x14ac:dyDescent="0.25">
      <c r="A398" s="7"/>
      <c r="B398" s="7"/>
      <c r="C398" s="7"/>
      <c r="D398" s="7"/>
      <c r="E398" s="7"/>
      <c r="F398" s="7"/>
      <c r="G398" s="7"/>
      <c r="H398" s="7"/>
      <c r="I398" s="7"/>
      <c r="J398" s="7"/>
      <c r="K398" s="7"/>
    </row>
    <row r="399" spans="1:11" ht="13.2" x14ac:dyDescent="0.25">
      <c r="A399" s="7"/>
      <c r="B399" s="7"/>
      <c r="C399" s="7"/>
      <c r="D399" s="7"/>
      <c r="E399" s="7"/>
      <c r="F399" s="7"/>
      <c r="G399" s="7"/>
      <c r="H399" s="7"/>
      <c r="I399" s="7"/>
      <c r="J399" s="7"/>
      <c r="K399" s="7"/>
    </row>
    <row r="400" spans="1:11" ht="13.2" x14ac:dyDescent="0.25">
      <c r="A400" s="7"/>
      <c r="B400" s="7"/>
      <c r="C400" s="7"/>
      <c r="D400" s="7"/>
      <c r="E400" s="7"/>
      <c r="F400" s="7"/>
      <c r="G400" s="7"/>
      <c r="H400" s="7"/>
      <c r="I400" s="7"/>
      <c r="J400" s="7"/>
      <c r="K400" s="7"/>
    </row>
    <row r="401" spans="1:11" ht="13.2" x14ac:dyDescent="0.25">
      <c r="A401" s="7"/>
      <c r="B401" s="7"/>
      <c r="C401" s="7"/>
      <c r="D401" s="7"/>
      <c r="E401" s="7"/>
      <c r="F401" s="7"/>
      <c r="G401" s="7"/>
      <c r="H401" s="7"/>
      <c r="I401" s="7"/>
      <c r="J401" s="7"/>
      <c r="K401" s="7"/>
    </row>
    <row r="402" spans="1:11" ht="13.2" x14ac:dyDescent="0.25">
      <c r="A402" s="7"/>
      <c r="B402" s="7"/>
      <c r="C402" s="7"/>
      <c r="D402" s="7"/>
      <c r="E402" s="7"/>
      <c r="F402" s="7"/>
      <c r="G402" s="7"/>
      <c r="H402" s="7"/>
      <c r="I402" s="7"/>
      <c r="J402" s="7"/>
      <c r="K402" s="7"/>
    </row>
    <row r="403" spans="1:11" ht="13.2" x14ac:dyDescent="0.25">
      <c r="A403" s="7"/>
      <c r="B403" s="7"/>
      <c r="C403" s="7"/>
      <c r="D403" s="7"/>
      <c r="E403" s="7"/>
      <c r="F403" s="7"/>
      <c r="G403" s="7"/>
      <c r="H403" s="7"/>
      <c r="I403" s="7"/>
      <c r="J403" s="7"/>
      <c r="K403" s="7"/>
    </row>
    <row r="404" spans="1:11" ht="13.2" x14ac:dyDescent="0.25">
      <c r="A404" s="7"/>
      <c r="B404" s="7"/>
      <c r="C404" s="7"/>
      <c r="D404" s="7"/>
      <c r="E404" s="7"/>
      <c r="F404" s="7"/>
      <c r="G404" s="7"/>
      <c r="H404" s="7"/>
      <c r="I404" s="7"/>
      <c r="J404" s="7"/>
      <c r="K404" s="7"/>
    </row>
    <row r="405" spans="1:11" ht="13.2" x14ac:dyDescent="0.25">
      <c r="A405" s="7"/>
      <c r="B405" s="7"/>
      <c r="C405" s="7"/>
      <c r="D405" s="7"/>
      <c r="E405" s="7"/>
      <c r="F405" s="7"/>
      <c r="G405" s="7"/>
      <c r="H405" s="7"/>
      <c r="I405" s="7"/>
      <c r="J405" s="7"/>
      <c r="K405" s="7"/>
    </row>
    <row r="406" spans="1:11" ht="13.2" x14ac:dyDescent="0.25">
      <c r="A406" s="7"/>
      <c r="B406" s="7"/>
      <c r="C406" s="7"/>
      <c r="D406" s="7"/>
      <c r="E406" s="7"/>
      <c r="F406" s="7"/>
      <c r="G406" s="7"/>
      <c r="H406" s="7"/>
      <c r="I406" s="7"/>
      <c r="J406" s="7"/>
      <c r="K406" s="7"/>
    </row>
    <row r="407" spans="1:11" ht="13.2" x14ac:dyDescent="0.25">
      <c r="A407" s="7"/>
      <c r="B407" s="7"/>
      <c r="C407" s="7"/>
      <c r="D407" s="7"/>
      <c r="E407" s="7"/>
      <c r="F407" s="7"/>
      <c r="G407" s="7"/>
      <c r="H407" s="7"/>
      <c r="I407" s="7"/>
      <c r="J407" s="7"/>
      <c r="K407" s="7"/>
    </row>
    <row r="408" spans="1:11" ht="13.2" x14ac:dyDescent="0.25">
      <c r="A408" s="7"/>
      <c r="B408" s="7"/>
      <c r="C408" s="7"/>
      <c r="D408" s="7"/>
      <c r="E408" s="7"/>
      <c r="F408" s="7"/>
      <c r="G408" s="7"/>
      <c r="H408" s="7"/>
      <c r="I408" s="7"/>
      <c r="J408" s="7"/>
      <c r="K408" s="7"/>
    </row>
    <row r="409" spans="1:11" ht="13.2" x14ac:dyDescent="0.25">
      <c r="A409" s="7"/>
      <c r="B409" s="7"/>
      <c r="C409" s="7"/>
      <c r="D409" s="7"/>
      <c r="E409" s="7"/>
      <c r="F409" s="7"/>
      <c r="G409" s="7"/>
      <c r="H409" s="7"/>
      <c r="I409" s="7"/>
      <c r="J409" s="7"/>
      <c r="K409" s="7"/>
    </row>
    <row r="410" spans="1:11" ht="13.2" x14ac:dyDescent="0.25">
      <c r="A410" s="7"/>
      <c r="B410" s="7"/>
      <c r="C410" s="7"/>
      <c r="D410" s="7"/>
      <c r="E410" s="7"/>
      <c r="F410" s="7"/>
      <c r="G410" s="7"/>
      <c r="H410" s="7"/>
      <c r="I410" s="7"/>
      <c r="J410" s="7"/>
      <c r="K410" s="7"/>
    </row>
    <row r="411" spans="1:11" ht="13.2" x14ac:dyDescent="0.25">
      <c r="A411" s="7"/>
      <c r="B411" s="7"/>
      <c r="C411" s="7"/>
      <c r="D411" s="7"/>
      <c r="E411" s="7"/>
      <c r="F411" s="7"/>
      <c r="G411" s="7"/>
      <c r="H411" s="7"/>
      <c r="I411" s="7"/>
      <c r="J411" s="7"/>
      <c r="K411" s="7"/>
    </row>
    <row r="412" spans="1:11" ht="13.2" x14ac:dyDescent="0.25">
      <c r="A412" s="7"/>
      <c r="B412" s="7"/>
      <c r="C412" s="7"/>
      <c r="D412" s="7"/>
      <c r="E412" s="7"/>
      <c r="F412" s="7"/>
      <c r="G412" s="7"/>
      <c r="H412" s="7"/>
      <c r="I412" s="7"/>
      <c r="J412" s="7"/>
      <c r="K412" s="7"/>
    </row>
    <row r="413" spans="1:11" ht="13.2" x14ac:dyDescent="0.25">
      <c r="A413" s="7"/>
      <c r="B413" s="7"/>
      <c r="C413" s="7"/>
      <c r="D413" s="7"/>
      <c r="E413" s="7"/>
      <c r="F413" s="7"/>
      <c r="G413" s="7"/>
      <c r="H413" s="7"/>
      <c r="I413" s="7"/>
      <c r="J413" s="7"/>
      <c r="K413" s="7"/>
    </row>
    <row r="414" spans="1:11" ht="13.2" x14ac:dyDescent="0.25">
      <c r="A414" s="7"/>
      <c r="B414" s="7"/>
      <c r="C414" s="7"/>
      <c r="D414" s="7"/>
      <c r="E414" s="7"/>
      <c r="F414" s="7"/>
      <c r="G414" s="7"/>
      <c r="H414" s="7"/>
      <c r="I414" s="7"/>
      <c r="J414" s="7"/>
      <c r="K414" s="7"/>
    </row>
    <row r="415" spans="1:11" ht="13.2" x14ac:dyDescent="0.25">
      <c r="A415" s="7"/>
      <c r="B415" s="7"/>
      <c r="C415" s="7"/>
      <c r="D415" s="7"/>
      <c r="E415" s="7"/>
      <c r="F415" s="7"/>
      <c r="G415" s="7"/>
      <c r="H415" s="7"/>
      <c r="I415" s="7"/>
      <c r="J415" s="7"/>
      <c r="K415" s="7"/>
    </row>
    <row r="416" spans="1:11" ht="13.2" x14ac:dyDescent="0.25">
      <c r="A416" s="7"/>
      <c r="B416" s="7"/>
      <c r="C416" s="7"/>
      <c r="D416" s="7"/>
      <c r="E416" s="7"/>
      <c r="F416" s="7"/>
      <c r="G416" s="7"/>
      <c r="H416" s="7"/>
      <c r="I416" s="7"/>
      <c r="J416" s="7"/>
      <c r="K416" s="7"/>
    </row>
    <row r="417" spans="1:11" ht="13.2" x14ac:dyDescent="0.25">
      <c r="A417" s="7"/>
      <c r="B417" s="7"/>
      <c r="C417" s="7"/>
      <c r="D417" s="7"/>
      <c r="E417" s="7"/>
      <c r="F417" s="7"/>
      <c r="G417" s="7"/>
      <c r="H417" s="7"/>
      <c r="I417" s="7"/>
      <c r="J417" s="7"/>
      <c r="K417" s="7"/>
    </row>
    <row r="418" spans="1:11" ht="13.2" x14ac:dyDescent="0.25">
      <c r="A418" s="7"/>
      <c r="B418" s="7"/>
      <c r="C418" s="7"/>
      <c r="D418" s="7"/>
      <c r="E418" s="7"/>
      <c r="F418" s="7"/>
      <c r="G418" s="7"/>
      <c r="H418" s="7"/>
      <c r="I418" s="7"/>
      <c r="J418" s="7"/>
      <c r="K418" s="7"/>
    </row>
    <row r="419" spans="1:11" ht="13.2" x14ac:dyDescent="0.25">
      <c r="A419" s="7"/>
      <c r="B419" s="7"/>
      <c r="C419" s="7"/>
      <c r="D419" s="7"/>
      <c r="E419" s="7"/>
      <c r="F419" s="7"/>
      <c r="G419" s="7"/>
      <c r="H419" s="7"/>
      <c r="I419" s="7"/>
      <c r="J419" s="7"/>
      <c r="K419" s="7"/>
    </row>
    <row r="420" spans="1:11" ht="13.2" x14ac:dyDescent="0.25">
      <c r="A420" s="7"/>
      <c r="B420" s="7"/>
      <c r="C420" s="7"/>
      <c r="D420" s="7"/>
      <c r="E420" s="7"/>
      <c r="F420" s="7"/>
      <c r="G420" s="7"/>
      <c r="H420" s="7"/>
      <c r="I420" s="7"/>
      <c r="J420" s="7"/>
      <c r="K420" s="7"/>
    </row>
    <row r="421" spans="1:11" ht="13.2" x14ac:dyDescent="0.25">
      <c r="A421" s="7"/>
      <c r="B421" s="7"/>
      <c r="C421" s="7"/>
      <c r="D421" s="7"/>
      <c r="E421" s="7"/>
      <c r="F421" s="7"/>
      <c r="G421" s="7"/>
      <c r="H421" s="7"/>
      <c r="I421" s="7"/>
      <c r="J421" s="7"/>
      <c r="K421" s="7"/>
    </row>
    <row r="422" spans="1:11" ht="13.2" x14ac:dyDescent="0.25">
      <c r="A422" s="7"/>
      <c r="B422" s="7"/>
      <c r="C422" s="7"/>
      <c r="D422" s="7"/>
      <c r="E422" s="7"/>
      <c r="F422" s="7"/>
      <c r="G422" s="7"/>
      <c r="H422" s="7"/>
      <c r="I422" s="7"/>
      <c r="J422" s="7"/>
      <c r="K422" s="7"/>
    </row>
    <row r="423" spans="1:11" ht="13.2" x14ac:dyDescent="0.25">
      <c r="A423" s="7"/>
      <c r="B423" s="7"/>
      <c r="C423" s="7"/>
      <c r="D423" s="7"/>
      <c r="E423" s="7"/>
      <c r="F423" s="7"/>
      <c r="G423" s="7"/>
      <c r="H423" s="7"/>
      <c r="I423" s="7"/>
      <c r="J423" s="7"/>
      <c r="K423" s="7"/>
    </row>
    <row r="424" spans="1:11" ht="13.2" x14ac:dyDescent="0.25">
      <c r="A424" s="7"/>
      <c r="B424" s="7"/>
      <c r="C424" s="7"/>
      <c r="D424" s="7"/>
      <c r="E424" s="7"/>
      <c r="F424" s="7"/>
      <c r="G424" s="7"/>
      <c r="H424" s="7"/>
      <c r="I424" s="7"/>
      <c r="J424" s="7"/>
      <c r="K424" s="7"/>
    </row>
    <row r="425" spans="1:11" ht="13.2" x14ac:dyDescent="0.25">
      <c r="A425" s="7"/>
      <c r="B425" s="7"/>
      <c r="C425" s="7"/>
      <c r="D425" s="7"/>
      <c r="E425" s="7"/>
      <c r="F425" s="7"/>
      <c r="G425" s="7"/>
      <c r="H425" s="7"/>
      <c r="I425" s="7"/>
      <c r="J425" s="7"/>
      <c r="K425" s="7"/>
    </row>
    <row r="426" spans="1:11" ht="13.2" x14ac:dyDescent="0.25">
      <c r="A426" s="7"/>
      <c r="B426" s="7"/>
      <c r="C426" s="7"/>
      <c r="D426" s="7"/>
      <c r="E426" s="7"/>
      <c r="F426" s="7"/>
      <c r="G426" s="7"/>
      <c r="H426" s="7"/>
      <c r="I426" s="7"/>
      <c r="J426" s="7"/>
      <c r="K426" s="7"/>
    </row>
    <row r="427" spans="1:11" ht="13.2" x14ac:dyDescent="0.25">
      <c r="A427" s="7"/>
      <c r="B427" s="7"/>
      <c r="C427" s="7"/>
      <c r="D427" s="7"/>
      <c r="E427" s="7"/>
      <c r="F427" s="7"/>
      <c r="G427" s="7"/>
      <c r="H427" s="7"/>
      <c r="I427" s="7"/>
      <c r="J427" s="7"/>
      <c r="K427" s="7"/>
    </row>
    <row r="428" spans="1:11" ht="13.2" x14ac:dyDescent="0.25">
      <c r="A428" s="7"/>
      <c r="B428" s="7"/>
      <c r="C428" s="7"/>
      <c r="D428" s="7"/>
      <c r="E428" s="7"/>
      <c r="F428" s="7"/>
      <c r="G428" s="7"/>
      <c r="H428" s="7"/>
      <c r="I428" s="7"/>
      <c r="J428" s="7"/>
      <c r="K428" s="7"/>
    </row>
    <row r="429" spans="1:11" ht="13.2" x14ac:dyDescent="0.25">
      <c r="A429" s="7"/>
      <c r="B429" s="7"/>
      <c r="C429" s="7"/>
      <c r="D429" s="7"/>
      <c r="E429" s="7"/>
      <c r="F429" s="7"/>
      <c r="G429" s="7"/>
      <c r="H429" s="7"/>
      <c r="I429" s="7"/>
      <c r="J429" s="7"/>
      <c r="K429" s="7"/>
    </row>
    <row r="430" spans="1:11" ht="13.2" x14ac:dyDescent="0.25">
      <c r="A430" s="7"/>
      <c r="B430" s="7"/>
      <c r="C430" s="7"/>
      <c r="D430" s="7"/>
      <c r="E430" s="7"/>
      <c r="F430" s="7"/>
      <c r="G430" s="7"/>
      <c r="H430" s="7"/>
      <c r="I430" s="7"/>
      <c r="J430" s="7"/>
      <c r="K430" s="7"/>
    </row>
    <row r="431" spans="1:11" ht="13.2" x14ac:dyDescent="0.25">
      <c r="A431" s="7"/>
      <c r="B431" s="7"/>
      <c r="C431" s="7"/>
      <c r="D431" s="7"/>
      <c r="E431" s="7"/>
      <c r="F431" s="7"/>
      <c r="G431" s="7"/>
      <c r="H431" s="7"/>
      <c r="I431" s="7"/>
      <c r="J431" s="7"/>
      <c r="K431" s="7"/>
    </row>
    <row r="432" spans="1:11" ht="13.2" x14ac:dyDescent="0.25">
      <c r="A432" s="7"/>
      <c r="B432" s="7"/>
      <c r="C432" s="7"/>
      <c r="D432" s="7"/>
      <c r="E432" s="7"/>
      <c r="F432" s="7"/>
      <c r="G432" s="7"/>
      <c r="H432" s="7"/>
      <c r="I432" s="7"/>
      <c r="J432" s="7"/>
      <c r="K432" s="7"/>
    </row>
    <row r="433" spans="1:11" ht="13.2" x14ac:dyDescent="0.25">
      <c r="A433" s="7"/>
      <c r="B433" s="7"/>
      <c r="C433" s="7"/>
      <c r="D433" s="7"/>
      <c r="E433" s="7"/>
      <c r="F433" s="7"/>
      <c r="G433" s="7"/>
      <c r="H433" s="7"/>
      <c r="I433" s="7"/>
      <c r="J433" s="7"/>
      <c r="K433" s="7"/>
    </row>
    <row r="434" spans="1:11" ht="13.2" x14ac:dyDescent="0.25">
      <c r="A434" s="7"/>
      <c r="B434" s="7"/>
      <c r="C434" s="7"/>
      <c r="D434" s="7"/>
      <c r="E434" s="7"/>
      <c r="F434" s="7"/>
      <c r="G434" s="7"/>
      <c r="H434" s="7"/>
      <c r="I434" s="7"/>
      <c r="J434" s="7"/>
      <c r="K434" s="7"/>
    </row>
    <row r="435" spans="1:11" ht="13.2" x14ac:dyDescent="0.25">
      <c r="A435" s="7"/>
      <c r="B435" s="7"/>
      <c r="C435" s="7"/>
      <c r="D435" s="7"/>
      <c r="E435" s="7"/>
      <c r="F435" s="7"/>
      <c r="G435" s="7"/>
      <c r="H435" s="7"/>
      <c r="I435" s="7"/>
      <c r="J435" s="7"/>
      <c r="K435" s="7"/>
    </row>
    <row r="436" spans="1:11" ht="13.2" x14ac:dyDescent="0.25">
      <c r="A436" s="7"/>
      <c r="B436" s="7"/>
      <c r="C436" s="7"/>
      <c r="D436" s="7"/>
      <c r="E436" s="7"/>
      <c r="F436" s="7"/>
      <c r="G436" s="7"/>
      <c r="H436" s="7"/>
      <c r="I436" s="7"/>
      <c r="J436" s="7"/>
      <c r="K436" s="7"/>
    </row>
    <row r="437" spans="1:11" ht="13.2" x14ac:dyDescent="0.25">
      <c r="A437" s="7"/>
      <c r="B437" s="7"/>
      <c r="C437" s="7"/>
      <c r="D437" s="7"/>
      <c r="E437" s="7"/>
      <c r="F437" s="7"/>
      <c r="G437" s="7"/>
      <c r="H437" s="7"/>
      <c r="I437" s="7"/>
      <c r="J437" s="7"/>
      <c r="K437" s="7"/>
    </row>
    <row r="438" spans="1:11" ht="13.2" x14ac:dyDescent="0.25">
      <c r="A438" s="7"/>
      <c r="B438" s="7"/>
      <c r="C438" s="7"/>
      <c r="D438" s="7"/>
      <c r="E438" s="7"/>
      <c r="F438" s="7"/>
      <c r="G438" s="7"/>
      <c r="H438" s="7"/>
      <c r="I438" s="7"/>
      <c r="J438" s="7"/>
      <c r="K438" s="7"/>
    </row>
    <row r="439" spans="1:11" ht="13.2" x14ac:dyDescent="0.25">
      <c r="A439" s="7"/>
      <c r="B439" s="7"/>
      <c r="C439" s="7"/>
      <c r="D439" s="7"/>
      <c r="E439" s="7"/>
      <c r="F439" s="7"/>
      <c r="G439" s="7"/>
      <c r="H439" s="7"/>
      <c r="I439" s="7"/>
      <c r="J439" s="7"/>
      <c r="K439" s="7"/>
    </row>
    <row r="440" spans="1:11" ht="13.2" x14ac:dyDescent="0.25">
      <c r="A440" s="7"/>
      <c r="B440" s="7"/>
      <c r="C440" s="7"/>
      <c r="D440" s="7"/>
      <c r="E440" s="7"/>
      <c r="F440" s="7"/>
      <c r="G440" s="7"/>
      <c r="H440" s="7"/>
      <c r="I440" s="7"/>
      <c r="J440" s="7"/>
      <c r="K440" s="7"/>
    </row>
    <row r="441" spans="1:11" ht="13.2" x14ac:dyDescent="0.25">
      <c r="A441" s="7"/>
      <c r="B441" s="7"/>
      <c r="C441" s="7"/>
      <c r="D441" s="7"/>
      <c r="E441" s="7"/>
      <c r="F441" s="7"/>
      <c r="G441" s="7"/>
      <c r="H441" s="7"/>
      <c r="I441" s="7"/>
      <c r="J441" s="7"/>
      <c r="K441" s="7"/>
    </row>
    <row r="442" spans="1:11" ht="13.2" x14ac:dyDescent="0.25">
      <c r="A442" s="7"/>
      <c r="B442" s="7"/>
      <c r="C442" s="7"/>
      <c r="D442" s="7"/>
      <c r="E442" s="7"/>
      <c r="F442" s="7"/>
      <c r="G442" s="7"/>
      <c r="H442" s="7"/>
      <c r="I442" s="7"/>
      <c r="J442" s="7"/>
      <c r="K442" s="7"/>
    </row>
    <row r="443" spans="1:11" ht="13.2" x14ac:dyDescent="0.25">
      <c r="A443" s="7"/>
      <c r="B443" s="7"/>
      <c r="C443" s="7"/>
      <c r="D443" s="7"/>
      <c r="E443" s="7"/>
      <c r="F443" s="7"/>
      <c r="G443" s="7"/>
      <c r="H443" s="7"/>
      <c r="I443" s="7"/>
      <c r="J443" s="7"/>
      <c r="K443" s="7"/>
    </row>
    <row r="444" spans="1:11" ht="13.2" x14ac:dyDescent="0.25">
      <c r="A444" s="7"/>
      <c r="B444" s="7"/>
      <c r="C444" s="7"/>
      <c r="D444" s="7"/>
      <c r="E444" s="7"/>
      <c r="F444" s="7"/>
      <c r="G444" s="7"/>
      <c r="H444" s="7"/>
      <c r="I444" s="7"/>
      <c r="J444" s="7"/>
      <c r="K444" s="7"/>
    </row>
    <row r="445" spans="1:11" ht="13.2" x14ac:dyDescent="0.25">
      <c r="A445" s="7"/>
      <c r="B445" s="7"/>
      <c r="C445" s="7"/>
      <c r="D445" s="7"/>
      <c r="E445" s="7"/>
      <c r="F445" s="7"/>
      <c r="G445" s="7"/>
      <c r="H445" s="7"/>
      <c r="I445" s="7"/>
      <c r="J445" s="7"/>
      <c r="K445" s="7"/>
    </row>
    <row r="446" spans="1:11" ht="13.2" x14ac:dyDescent="0.25">
      <c r="A446" s="7"/>
      <c r="B446" s="7"/>
      <c r="C446" s="7"/>
      <c r="D446" s="7"/>
      <c r="E446" s="7"/>
      <c r="F446" s="7"/>
      <c r="G446" s="7"/>
      <c r="H446" s="7"/>
      <c r="I446" s="7"/>
      <c r="J446" s="7"/>
      <c r="K446" s="7"/>
    </row>
    <row r="447" spans="1:11" ht="13.2" x14ac:dyDescent="0.25">
      <c r="A447" s="7"/>
      <c r="B447" s="7"/>
      <c r="C447" s="7"/>
      <c r="D447" s="7"/>
      <c r="E447" s="7"/>
      <c r="F447" s="7"/>
      <c r="G447" s="7"/>
      <c r="H447" s="7"/>
      <c r="I447" s="7"/>
      <c r="J447" s="7"/>
      <c r="K447" s="7"/>
    </row>
    <row r="448" spans="1:11" ht="13.2" x14ac:dyDescent="0.25">
      <c r="A448" s="7"/>
      <c r="B448" s="7"/>
      <c r="C448" s="7"/>
      <c r="D448" s="7"/>
      <c r="E448" s="7"/>
      <c r="F448" s="7"/>
      <c r="G448" s="7"/>
      <c r="H448" s="7"/>
      <c r="I448" s="7"/>
      <c r="J448" s="7"/>
      <c r="K448" s="7"/>
    </row>
    <row r="449" spans="1:11" ht="13.2" x14ac:dyDescent="0.25">
      <c r="A449" s="7"/>
      <c r="B449" s="7"/>
      <c r="C449" s="7"/>
      <c r="D449" s="7"/>
      <c r="E449" s="7"/>
      <c r="F449" s="7"/>
      <c r="G449" s="7"/>
      <c r="H449" s="7"/>
      <c r="I449" s="7"/>
      <c r="J449" s="7"/>
      <c r="K449" s="7"/>
    </row>
    <row r="450" spans="1:11" ht="13.2" x14ac:dyDescent="0.25">
      <c r="A450" s="7"/>
      <c r="B450" s="7"/>
      <c r="C450" s="7"/>
      <c r="D450" s="7"/>
      <c r="E450" s="7"/>
      <c r="F450" s="7"/>
      <c r="G450" s="7"/>
      <c r="H450" s="7"/>
      <c r="I450" s="7"/>
      <c r="J450" s="7"/>
      <c r="K450" s="7"/>
    </row>
    <row r="451" spans="1:11" ht="13.2" x14ac:dyDescent="0.25">
      <c r="A451" s="7"/>
      <c r="B451" s="7"/>
      <c r="C451" s="7"/>
      <c r="D451" s="7"/>
      <c r="E451" s="7"/>
      <c r="F451" s="7"/>
      <c r="G451" s="7"/>
      <c r="H451" s="7"/>
      <c r="I451" s="7"/>
      <c r="J451" s="7"/>
      <c r="K451" s="7"/>
    </row>
    <row r="452" spans="1:11" ht="13.2" x14ac:dyDescent="0.25">
      <c r="A452" s="7"/>
      <c r="B452" s="7"/>
      <c r="C452" s="7"/>
      <c r="D452" s="7"/>
      <c r="E452" s="7"/>
      <c r="F452" s="7"/>
      <c r="G452" s="7"/>
      <c r="H452" s="7"/>
      <c r="I452" s="7"/>
      <c r="J452" s="7"/>
      <c r="K452" s="7"/>
    </row>
    <row r="453" spans="1:11" ht="13.2" x14ac:dyDescent="0.25">
      <c r="A453" s="7"/>
      <c r="B453" s="7"/>
      <c r="C453" s="7"/>
      <c r="D453" s="7"/>
      <c r="E453" s="7"/>
      <c r="F453" s="7"/>
      <c r="G453" s="7"/>
      <c r="H453" s="7"/>
      <c r="I453" s="7"/>
      <c r="J453" s="7"/>
      <c r="K453" s="7"/>
    </row>
    <row r="454" spans="1:11" ht="13.2" x14ac:dyDescent="0.25">
      <c r="A454" s="7"/>
      <c r="B454" s="7"/>
      <c r="C454" s="7"/>
      <c r="D454" s="7"/>
      <c r="E454" s="7"/>
      <c r="F454" s="7"/>
      <c r="G454" s="7"/>
      <c r="H454" s="7"/>
      <c r="I454" s="7"/>
      <c r="J454" s="7"/>
      <c r="K454" s="7"/>
    </row>
    <row r="455" spans="1:11" ht="13.2" x14ac:dyDescent="0.25">
      <c r="A455" s="7"/>
      <c r="B455" s="7"/>
      <c r="C455" s="7"/>
      <c r="D455" s="7"/>
      <c r="E455" s="7"/>
      <c r="F455" s="7"/>
      <c r="G455" s="7"/>
      <c r="H455" s="7"/>
      <c r="I455" s="7"/>
      <c r="J455" s="7"/>
      <c r="K455" s="7"/>
    </row>
    <row r="456" spans="1:11" ht="13.2" x14ac:dyDescent="0.25">
      <c r="A456" s="7"/>
      <c r="B456" s="7"/>
      <c r="C456" s="7"/>
      <c r="D456" s="7"/>
      <c r="E456" s="7"/>
      <c r="F456" s="7"/>
      <c r="G456" s="7"/>
      <c r="H456" s="7"/>
      <c r="I456" s="7"/>
      <c r="J456" s="7"/>
      <c r="K456" s="7"/>
    </row>
    <row r="457" spans="1:11" ht="13.2" x14ac:dyDescent="0.25">
      <c r="A457" s="7"/>
      <c r="B457" s="7"/>
      <c r="C457" s="7"/>
      <c r="D457" s="7"/>
      <c r="E457" s="7"/>
      <c r="F457" s="7"/>
      <c r="G457" s="7"/>
      <c r="H457" s="7"/>
      <c r="I457" s="7"/>
      <c r="J457" s="7"/>
      <c r="K457" s="7"/>
    </row>
    <row r="458" spans="1:11" ht="13.2" x14ac:dyDescent="0.25">
      <c r="A458" s="7"/>
      <c r="B458" s="7"/>
      <c r="C458" s="7"/>
      <c r="D458" s="7"/>
      <c r="E458" s="7"/>
      <c r="F458" s="7"/>
      <c r="G458" s="7"/>
      <c r="H458" s="7"/>
      <c r="I458" s="7"/>
      <c r="J458" s="7"/>
      <c r="K458" s="7"/>
    </row>
    <row r="459" spans="1:11" ht="13.2" x14ac:dyDescent="0.25">
      <c r="A459" s="7"/>
      <c r="B459" s="7"/>
      <c r="C459" s="7"/>
      <c r="D459" s="7"/>
      <c r="E459" s="7"/>
      <c r="F459" s="7"/>
      <c r="G459" s="7"/>
      <c r="H459" s="7"/>
      <c r="I459" s="7"/>
      <c r="J459" s="7"/>
      <c r="K459" s="7"/>
    </row>
    <row r="460" spans="1:11" ht="13.2" x14ac:dyDescent="0.25">
      <c r="A460" s="7"/>
      <c r="B460" s="7"/>
      <c r="C460" s="7"/>
      <c r="D460" s="7"/>
      <c r="E460" s="7"/>
      <c r="F460" s="7"/>
      <c r="G460" s="7"/>
      <c r="H460" s="7"/>
      <c r="I460" s="7"/>
      <c r="J460" s="7"/>
      <c r="K460" s="7"/>
    </row>
    <row r="461" spans="1:11" ht="13.2" x14ac:dyDescent="0.25">
      <c r="A461" s="7"/>
      <c r="B461" s="7"/>
      <c r="C461" s="7"/>
      <c r="D461" s="7"/>
      <c r="E461" s="7"/>
      <c r="F461" s="7"/>
      <c r="G461" s="7"/>
      <c r="H461" s="7"/>
      <c r="I461" s="7"/>
      <c r="J461" s="7"/>
      <c r="K461" s="7"/>
    </row>
    <row r="462" spans="1:11" ht="13.2" x14ac:dyDescent="0.25">
      <c r="A462" s="7"/>
      <c r="B462" s="7"/>
      <c r="C462" s="7"/>
      <c r="D462" s="7"/>
      <c r="E462" s="7"/>
      <c r="F462" s="7"/>
      <c r="G462" s="7"/>
      <c r="H462" s="7"/>
      <c r="I462" s="7"/>
      <c r="J462" s="7"/>
      <c r="K462" s="7"/>
    </row>
    <row r="463" spans="1:11" ht="13.2" x14ac:dyDescent="0.25">
      <c r="A463" s="7"/>
      <c r="B463" s="7"/>
      <c r="C463" s="7"/>
      <c r="D463" s="7"/>
      <c r="E463" s="7"/>
      <c r="F463" s="7"/>
      <c r="G463" s="7"/>
      <c r="H463" s="7"/>
      <c r="I463" s="7"/>
      <c r="J463" s="7"/>
      <c r="K463" s="7"/>
    </row>
    <row r="464" spans="1:11" ht="13.2" x14ac:dyDescent="0.25">
      <c r="A464" s="7"/>
      <c r="B464" s="7"/>
      <c r="C464" s="7"/>
      <c r="D464" s="7"/>
      <c r="E464" s="7"/>
      <c r="F464" s="7"/>
      <c r="G464" s="7"/>
      <c r="H464" s="7"/>
      <c r="I464" s="7"/>
      <c r="J464" s="7"/>
      <c r="K464" s="7"/>
    </row>
    <row r="465" spans="1:11" ht="13.2" x14ac:dyDescent="0.25">
      <c r="A465" s="7"/>
      <c r="B465" s="7"/>
      <c r="C465" s="7"/>
      <c r="D465" s="7"/>
      <c r="E465" s="7"/>
      <c r="F465" s="7"/>
      <c r="G465" s="7"/>
      <c r="H465" s="7"/>
      <c r="I465" s="7"/>
      <c r="J465" s="7"/>
      <c r="K465" s="7"/>
    </row>
    <row r="466" spans="1:11" ht="13.2" x14ac:dyDescent="0.25">
      <c r="A466" s="7"/>
      <c r="B466" s="7"/>
      <c r="C466" s="7"/>
      <c r="D466" s="7"/>
      <c r="E466" s="7"/>
      <c r="F466" s="7"/>
      <c r="G466" s="7"/>
      <c r="H466" s="7"/>
      <c r="I466" s="7"/>
      <c r="J466" s="7"/>
      <c r="K466" s="7"/>
    </row>
    <row r="467" spans="1:11" ht="13.2" x14ac:dyDescent="0.25">
      <c r="A467" s="7"/>
      <c r="B467" s="7"/>
      <c r="C467" s="7"/>
      <c r="D467" s="7"/>
      <c r="E467" s="7"/>
      <c r="F467" s="7"/>
      <c r="G467" s="7"/>
      <c r="H467" s="7"/>
      <c r="I467" s="7"/>
      <c r="J467" s="7"/>
      <c r="K467" s="7"/>
    </row>
    <row r="468" spans="1:11" ht="13.2" x14ac:dyDescent="0.25">
      <c r="A468" s="7"/>
      <c r="B468" s="7"/>
      <c r="C468" s="7"/>
      <c r="D468" s="7"/>
      <c r="E468" s="7"/>
      <c r="F468" s="7"/>
      <c r="G468" s="7"/>
      <c r="H468" s="7"/>
      <c r="I468" s="7"/>
      <c r="J468" s="7"/>
      <c r="K468" s="7"/>
    </row>
    <row r="469" spans="1:11" ht="13.2" x14ac:dyDescent="0.25">
      <c r="A469" s="7"/>
      <c r="B469" s="7"/>
      <c r="C469" s="7"/>
      <c r="D469" s="7"/>
      <c r="E469" s="7"/>
      <c r="F469" s="7"/>
      <c r="G469" s="7"/>
      <c r="H469" s="7"/>
      <c r="I469" s="7"/>
      <c r="J469" s="7"/>
      <c r="K469" s="7"/>
    </row>
    <row r="470" spans="1:11" ht="13.2" x14ac:dyDescent="0.25">
      <c r="A470" s="7"/>
      <c r="B470" s="7"/>
      <c r="C470" s="7"/>
      <c r="D470" s="7"/>
      <c r="E470" s="7"/>
      <c r="F470" s="7"/>
      <c r="G470" s="7"/>
      <c r="H470" s="7"/>
      <c r="I470" s="7"/>
      <c r="J470" s="7"/>
      <c r="K470" s="7"/>
    </row>
    <row r="471" spans="1:11" ht="13.2" x14ac:dyDescent="0.25">
      <c r="A471" s="7"/>
      <c r="B471" s="7"/>
      <c r="C471" s="7"/>
      <c r="D471" s="7"/>
      <c r="E471" s="7"/>
      <c r="F471" s="7"/>
      <c r="G471" s="7"/>
      <c r="H471" s="7"/>
      <c r="I471" s="7"/>
      <c r="J471" s="7"/>
      <c r="K471" s="7"/>
    </row>
    <row r="472" spans="1:11" ht="13.2" x14ac:dyDescent="0.25">
      <c r="A472" s="7"/>
      <c r="B472" s="7"/>
      <c r="C472" s="7"/>
      <c r="D472" s="7"/>
      <c r="E472" s="7"/>
      <c r="F472" s="7"/>
      <c r="G472" s="7"/>
      <c r="H472" s="7"/>
      <c r="I472" s="7"/>
      <c r="J472" s="7"/>
      <c r="K472" s="7"/>
    </row>
    <row r="473" spans="1:11" ht="13.2" x14ac:dyDescent="0.25">
      <c r="A473" s="7"/>
      <c r="B473" s="7"/>
      <c r="C473" s="7"/>
      <c r="D473" s="7"/>
      <c r="E473" s="7"/>
      <c r="F473" s="7"/>
      <c r="G473" s="7"/>
      <c r="H473" s="7"/>
      <c r="I473" s="7"/>
      <c r="J473" s="7"/>
      <c r="K473" s="7"/>
    </row>
    <row r="474" spans="1:11" ht="13.2" x14ac:dyDescent="0.25">
      <c r="A474" s="7"/>
      <c r="B474" s="7"/>
      <c r="C474" s="7"/>
      <c r="D474" s="7"/>
      <c r="E474" s="7"/>
      <c r="F474" s="7"/>
      <c r="G474" s="7"/>
      <c r="H474" s="7"/>
      <c r="I474" s="7"/>
      <c r="J474" s="7"/>
      <c r="K474" s="7"/>
    </row>
    <row r="475" spans="1:11" ht="13.2" x14ac:dyDescent="0.25">
      <c r="A475" s="7"/>
      <c r="B475" s="7"/>
      <c r="C475" s="7"/>
      <c r="D475" s="7"/>
      <c r="E475" s="7"/>
      <c r="F475" s="7"/>
      <c r="G475" s="7"/>
      <c r="H475" s="7"/>
      <c r="I475" s="7"/>
      <c r="J475" s="7"/>
      <c r="K475" s="7"/>
    </row>
    <row r="476" spans="1:11" ht="13.2" x14ac:dyDescent="0.25">
      <c r="A476" s="7"/>
      <c r="B476" s="7"/>
      <c r="C476" s="7"/>
      <c r="D476" s="7"/>
      <c r="E476" s="7"/>
      <c r="F476" s="7"/>
      <c r="G476" s="7"/>
      <c r="H476" s="7"/>
      <c r="I476" s="7"/>
      <c r="J476" s="7"/>
      <c r="K476" s="7"/>
    </row>
    <row r="477" spans="1:11" ht="13.2" x14ac:dyDescent="0.25">
      <c r="A477" s="7"/>
      <c r="B477" s="7"/>
      <c r="C477" s="7"/>
      <c r="D477" s="7"/>
      <c r="E477" s="7"/>
      <c r="F477" s="7"/>
      <c r="G477" s="7"/>
      <c r="H477" s="7"/>
      <c r="I477" s="7"/>
      <c r="J477" s="7"/>
      <c r="K477" s="7"/>
    </row>
    <row r="478" spans="1:11" ht="13.2" x14ac:dyDescent="0.25">
      <c r="A478" s="7"/>
      <c r="B478" s="7"/>
      <c r="C478" s="7"/>
      <c r="D478" s="7"/>
      <c r="E478" s="7"/>
      <c r="F478" s="7"/>
      <c r="G478" s="7"/>
      <c r="H478" s="7"/>
      <c r="I478" s="7"/>
      <c r="J478" s="7"/>
      <c r="K478" s="7"/>
    </row>
    <row r="479" spans="1:11" ht="13.2" x14ac:dyDescent="0.25">
      <c r="A479" s="7"/>
      <c r="B479" s="7"/>
      <c r="C479" s="7"/>
      <c r="D479" s="7"/>
      <c r="E479" s="7"/>
      <c r="F479" s="7"/>
      <c r="G479" s="7"/>
      <c r="H479" s="7"/>
      <c r="I479" s="7"/>
      <c r="J479" s="7"/>
      <c r="K479" s="7"/>
    </row>
    <row r="480" spans="1:11" ht="13.2" x14ac:dyDescent="0.25">
      <c r="A480" s="7"/>
      <c r="B480" s="7"/>
      <c r="C480" s="7"/>
      <c r="D480" s="7"/>
      <c r="E480" s="7"/>
      <c r="F480" s="7"/>
      <c r="G480" s="7"/>
      <c r="H480" s="7"/>
      <c r="I480" s="7"/>
      <c r="J480" s="7"/>
      <c r="K480" s="7"/>
    </row>
    <row r="481" spans="1:11" ht="13.2" x14ac:dyDescent="0.25">
      <c r="A481" s="7"/>
      <c r="B481" s="7"/>
      <c r="C481" s="7"/>
      <c r="D481" s="7"/>
      <c r="E481" s="7"/>
      <c r="F481" s="7"/>
      <c r="G481" s="7"/>
      <c r="H481" s="7"/>
      <c r="I481" s="7"/>
      <c r="J481" s="7"/>
      <c r="K481" s="7"/>
    </row>
    <row r="482" spans="1:11" ht="13.2" x14ac:dyDescent="0.25">
      <c r="A482" s="7"/>
      <c r="B482" s="7"/>
      <c r="C482" s="7"/>
      <c r="D482" s="7"/>
      <c r="E482" s="7"/>
      <c r="F482" s="7"/>
      <c r="G482" s="7"/>
      <c r="H482" s="7"/>
      <c r="I482" s="7"/>
      <c r="J482" s="7"/>
      <c r="K482" s="7"/>
    </row>
    <row r="483" spans="1:11" ht="13.2" x14ac:dyDescent="0.25">
      <c r="A483" s="7"/>
      <c r="B483" s="7"/>
      <c r="C483" s="7"/>
      <c r="D483" s="7"/>
      <c r="E483" s="7"/>
      <c r="F483" s="7"/>
      <c r="G483" s="7"/>
      <c r="H483" s="7"/>
      <c r="I483" s="7"/>
      <c r="J483" s="7"/>
      <c r="K483" s="7"/>
    </row>
    <row r="484" spans="1:11" ht="13.2" x14ac:dyDescent="0.25">
      <c r="A484" s="7"/>
      <c r="B484" s="7"/>
      <c r="C484" s="7"/>
      <c r="D484" s="7"/>
      <c r="E484" s="7"/>
      <c r="F484" s="7"/>
      <c r="G484" s="7"/>
      <c r="H484" s="7"/>
      <c r="I484" s="7"/>
      <c r="J484" s="7"/>
      <c r="K484" s="7"/>
    </row>
    <row r="485" spans="1:11" ht="13.2" x14ac:dyDescent="0.25">
      <c r="A485" s="7"/>
      <c r="B485" s="7"/>
      <c r="C485" s="7"/>
      <c r="D485" s="7"/>
      <c r="E485" s="7"/>
      <c r="F485" s="7"/>
      <c r="G485" s="7"/>
      <c r="H485" s="7"/>
      <c r="I485" s="7"/>
      <c r="J485" s="7"/>
      <c r="K485" s="7"/>
    </row>
    <row r="486" spans="1:11" ht="13.2" x14ac:dyDescent="0.25">
      <c r="A486" s="7"/>
      <c r="B486" s="7"/>
      <c r="C486" s="7"/>
      <c r="D486" s="7"/>
      <c r="E486" s="7"/>
      <c r="F486" s="7"/>
      <c r="G486" s="7"/>
      <c r="H486" s="7"/>
      <c r="I486" s="7"/>
      <c r="J486" s="7"/>
      <c r="K486" s="7"/>
    </row>
    <row r="487" spans="1:11" ht="13.2" x14ac:dyDescent="0.25">
      <c r="A487" s="7"/>
      <c r="B487" s="7"/>
      <c r="C487" s="7"/>
      <c r="D487" s="7"/>
      <c r="E487" s="7"/>
      <c r="F487" s="7"/>
      <c r="G487" s="7"/>
      <c r="H487" s="7"/>
      <c r="I487" s="7"/>
      <c r="J487" s="7"/>
      <c r="K487" s="7"/>
    </row>
    <row r="488" spans="1:11" ht="13.2" x14ac:dyDescent="0.25">
      <c r="A488" s="7"/>
      <c r="B488" s="7"/>
      <c r="C488" s="7"/>
      <c r="D488" s="7"/>
      <c r="E488" s="7"/>
      <c r="F488" s="7"/>
      <c r="G488" s="7"/>
      <c r="H488" s="7"/>
      <c r="I488" s="7"/>
      <c r="J488" s="7"/>
      <c r="K488" s="7"/>
    </row>
    <row r="489" spans="1:11" ht="13.2" x14ac:dyDescent="0.25">
      <c r="A489" s="7"/>
      <c r="B489" s="7"/>
      <c r="C489" s="7"/>
      <c r="D489" s="7"/>
      <c r="E489" s="7"/>
      <c r="F489" s="7"/>
      <c r="G489" s="7"/>
      <c r="H489" s="7"/>
      <c r="I489" s="7"/>
      <c r="J489" s="7"/>
      <c r="K489" s="7"/>
    </row>
    <row r="490" spans="1:11" ht="13.2" x14ac:dyDescent="0.25">
      <c r="A490" s="7"/>
      <c r="B490" s="7"/>
      <c r="C490" s="7"/>
      <c r="D490" s="7"/>
      <c r="E490" s="7"/>
      <c r="F490" s="7"/>
      <c r="G490" s="7"/>
      <c r="H490" s="7"/>
      <c r="I490" s="7"/>
      <c r="J490" s="7"/>
      <c r="K490" s="7"/>
    </row>
    <row r="491" spans="1:11" ht="13.2" x14ac:dyDescent="0.25">
      <c r="A491" s="7"/>
      <c r="B491" s="7"/>
      <c r="C491" s="7"/>
      <c r="D491" s="7"/>
      <c r="E491" s="7"/>
      <c r="F491" s="7"/>
      <c r="G491" s="7"/>
      <c r="H491" s="7"/>
      <c r="I491" s="7"/>
      <c r="J491" s="7"/>
      <c r="K491" s="7"/>
    </row>
    <row r="492" spans="1:11" ht="13.2" x14ac:dyDescent="0.25">
      <c r="A492" s="7"/>
      <c r="B492" s="7"/>
      <c r="C492" s="7"/>
      <c r="D492" s="7"/>
      <c r="E492" s="7"/>
      <c r="F492" s="7"/>
      <c r="G492" s="7"/>
      <c r="H492" s="7"/>
      <c r="I492" s="7"/>
      <c r="J492" s="7"/>
      <c r="K492" s="7"/>
    </row>
    <row r="493" spans="1:11" ht="13.2" x14ac:dyDescent="0.25">
      <c r="A493" s="7"/>
      <c r="B493" s="7"/>
      <c r="C493" s="7"/>
      <c r="D493" s="7"/>
      <c r="E493" s="7"/>
      <c r="F493" s="7"/>
      <c r="G493" s="7"/>
      <c r="H493" s="7"/>
      <c r="I493" s="7"/>
      <c r="J493" s="7"/>
      <c r="K493" s="7"/>
    </row>
    <row r="494" spans="1:11" ht="13.2" x14ac:dyDescent="0.25">
      <c r="A494" s="7"/>
      <c r="B494" s="7"/>
      <c r="C494" s="7"/>
      <c r="D494" s="7"/>
      <c r="E494" s="7"/>
      <c r="F494" s="7"/>
      <c r="G494" s="7"/>
      <c r="H494" s="7"/>
      <c r="I494" s="7"/>
      <c r="J494" s="7"/>
      <c r="K494" s="7"/>
    </row>
    <row r="495" spans="1:11" ht="13.2" x14ac:dyDescent="0.25">
      <c r="A495" s="7"/>
      <c r="B495" s="7"/>
      <c r="C495" s="7"/>
      <c r="D495" s="7"/>
      <c r="E495" s="7"/>
      <c r="F495" s="7"/>
      <c r="G495" s="7"/>
      <c r="H495" s="7"/>
      <c r="I495" s="7"/>
      <c r="J495" s="7"/>
      <c r="K495" s="7"/>
    </row>
    <row r="496" spans="1:11" ht="13.2" x14ac:dyDescent="0.25">
      <c r="A496" s="7"/>
      <c r="B496" s="7"/>
      <c r="C496" s="7"/>
      <c r="D496" s="7"/>
      <c r="E496" s="7"/>
      <c r="F496" s="7"/>
      <c r="G496" s="7"/>
      <c r="H496" s="7"/>
      <c r="I496" s="7"/>
      <c r="J496" s="7"/>
      <c r="K496" s="7"/>
    </row>
    <row r="497" spans="1:11" ht="13.2" x14ac:dyDescent="0.25">
      <c r="A497" s="7"/>
      <c r="B497" s="7"/>
      <c r="C497" s="7"/>
      <c r="D497" s="7"/>
      <c r="E497" s="7"/>
      <c r="F497" s="7"/>
      <c r="G497" s="7"/>
      <c r="H497" s="7"/>
      <c r="I497" s="7"/>
      <c r="J497" s="7"/>
      <c r="K497" s="7"/>
    </row>
    <row r="498" spans="1:11" ht="13.2" x14ac:dyDescent="0.25">
      <c r="A498" s="7"/>
      <c r="B498" s="7"/>
      <c r="C498" s="7"/>
      <c r="D498" s="7"/>
      <c r="E498" s="7"/>
      <c r="F498" s="7"/>
      <c r="G498" s="7"/>
      <c r="H498" s="7"/>
      <c r="I498" s="7"/>
      <c r="J498" s="7"/>
      <c r="K498" s="7"/>
    </row>
    <row r="499" spans="1:11" ht="13.2" x14ac:dyDescent="0.25">
      <c r="A499" s="7"/>
      <c r="B499" s="7"/>
      <c r="C499" s="7"/>
      <c r="D499" s="7"/>
      <c r="E499" s="7"/>
      <c r="F499" s="7"/>
      <c r="G499" s="7"/>
      <c r="H499" s="7"/>
      <c r="I499" s="7"/>
      <c r="J499" s="7"/>
      <c r="K499" s="7"/>
    </row>
    <row r="500" spans="1:11" ht="13.2" x14ac:dyDescent="0.25">
      <c r="A500" s="7"/>
      <c r="B500" s="7"/>
      <c r="C500" s="7"/>
      <c r="D500" s="7"/>
      <c r="E500" s="7"/>
      <c r="F500" s="7"/>
      <c r="G500" s="7"/>
      <c r="H500" s="7"/>
      <c r="I500" s="7"/>
      <c r="J500" s="7"/>
      <c r="K500" s="7"/>
    </row>
    <row r="501" spans="1:11" ht="13.2" x14ac:dyDescent="0.25">
      <c r="A501" s="7"/>
      <c r="B501" s="7"/>
      <c r="C501" s="7"/>
      <c r="D501" s="7"/>
      <c r="E501" s="7"/>
      <c r="F501" s="7"/>
      <c r="G501" s="7"/>
      <c r="H501" s="7"/>
      <c r="I501" s="7"/>
      <c r="J501" s="7"/>
      <c r="K501" s="7"/>
    </row>
    <row r="502" spans="1:11" ht="13.2" x14ac:dyDescent="0.25">
      <c r="A502" s="7"/>
      <c r="B502" s="7"/>
      <c r="C502" s="7"/>
      <c r="D502" s="7"/>
      <c r="E502" s="7"/>
      <c r="F502" s="7"/>
      <c r="G502" s="7"/>
      <c r="H502" s="7"/>
      <c r="I502" s="7"/>
      <c r="J502" s="7"/>
      <c r="K502" s="7"/>
    </row>
    <row r="503" spans="1:11" ht="13.2" x14ac:dyDescent="0.25">
      <c r="A503" s="7"/>
      <c r="B503" s="7"/>
      <c r="C503" s="7"/>
      <c r="D503" s="7"/>
      <c r="E503" s="7"/>
      <c r="F503" s="7"/>
      <c r="G503" s="7"/>
      <c r="H503" s="7"/>
      <c r="I503" s="7"/>
      <c r="J503" s="7"/>
      <c r="K503" s="7"/>
    </row>
    <row r="504" spans="1:11" ht="13.2" x14ac:dyDescent="0.25">
      <c r="A504" s="7"/>
      <c r="B504" s="7"/>
      <c r="C504" s="7"/>
      <c r="D504" s="7"/>
      <c r="E504" s="7"/>
      <c r="F504" s="7"/>
      <c r="G504" s="7"/>
      <c r="H504" s="7"/>
      <c r="I504" s="7"/>
      <c r="J504" s="7"/>
      <c r="K504" s="7"/>
    </row>
    <row r="505" spans="1:11" ht="13.2" x14ac:dyDescent="0.25">
      <c r="A505" s="7"/>
      <c r="B505" s="7"/>
      <c r="C505" s="7"/>
      <c r="D505" s="7"/>
      <c r="E505" s="7"/>
      <c r="F505" s="7"/>
      <c r="G505" s="7"/>
      <c r="H505" s="7"/>
      <c r="I505" s="7"/>
      <c r="J505" s="7"/>
      <c r="K505" s="7"/>
    </row>
    <row r="506" spans="1:11" ht="13.2" x14ac:dyDescent="0.25">
      <c r="A506" s="7"/>
      <c r="B506" s="7"/>
      <c r="C506" s="7"/>
      <c r="D506" s="7"/>
      <c r="E506" s="7"/>
      <c r="F506" s="7"/>
      <c r="G506" s="7"/>
      <c r="H506" s="7"/>
      <c r="I506" s="7"/>
      <c r="J506" s="7"/>
      <c r="K506" s="7"/>
    </row>
    <row r="507" spans="1:11" ht="13.2" x14ac:dyDescent="0.25">
      <c r="A507" s="7"/>
      <c r="B507" s="7"/>
      <c r="C507" s="7"/>
      <c r="D507" s="7"/>
      <c r="E507" s="7"/>
      <c r="F507" s="7"/>
      <c r="G507" s="7"/>
      <c r="H507" s="7"/>
      <c r="I507" s="7"/>
      <c r="J507" s="7"/>
      <c r="K507" s="7"/>
    </row>
    <row r="508" spans="1:11" ht="13.2" x14ac:dyDescent="0.25">
      <c r="A508" s="7"/>
      <c r="B508" s="7"/>
      <c r="C508" s="7"/>
      <c r="D508" s="7"/>
      <c r="E508" s="7"/>
      <c r="F508" s="7"/>
      <c r="G508" s="7"/>
      <c r="H508" s="7"/>
      <c r="I508" s="7"/>
      <c r="J508" s="7"/>
      <c r="K508" s="7"/>
    </row>
    <row r="509" spans="1:11" ht="13.2" x14ac:dyDescent="0.25">
      <c r="A509" s="7"/>
      <c r="B509" s="7"/>
      <c r="C509" s="7"/>
      <c r="D509" s="7"/>
      <c r="E509" s="7"/>
      <c r="F509" s="7"/>
      <c r="G509" s="7"/>
      <c r="H509" s="7"/>
      <c r="I509" s="7"/>
      <c r="J509" s="7"/>
      <c r="K509" s="7"/>
    </row>
    <row r="510" spans="1:11" ht="13.2" x14ac:dyDescent="0.25">
      <c r="A510" s="7"/>
      <c r="B510" s="7"/>
      <c r="C510" s="7"/>
      <c r="D510" s="7"/>
      <c r="E510" s="7"/>
      <c r="F510" s="7"/>
      <c r="G510" s="7"/>
      <c r="H510" s="7"/>
      <c r="I510" s="7"/>
      <c r="J510" s="7"/>
      <c r="K510" s="7"/>
    </row>
    <row r="511" spans="1:11" ht="13.2" x14ac:dyDescent="0.25">
      <c r="A511" s="7"/>
      <c r="B511" s="7"/>
      <c r="C511" s="7"/>
      <c r="D511" s="7"/>
      <c r="E511" s="7"/>
      <c r="F511" s="7"/>
      <c r="G511" s="7"/>
      <c r="H511" s="7"/>
      <c r="I511" s="7"/>
      <c r="J511" s="7"/>
      <c r="K511" s="7"/>
    </row>
    <row r="512" spans="1:11" ht="13.2" x14ac:dyDescent="0.25">
      <c r="A512" s="7"/>
      <c r="B512" s="7"/>
      <c r="C512" s="7"/>
      <c r="D512" s="7"/>
      <c r="E512" s="7"/>
      <c r="F512" s="7"/>
      <c r="G512" s="7"/>
      <c r="H512" s="7"/>
      <c r="I512" s="7"/>
      <c r="J512" s="7"/>
      <c r="K512" s="7"/>
    </row>
    <row r="513" spans="1:11" ht="13.2" x14ac:dyDescent="0.25">
      <c r="A513" s="7"/>
      <c r="B513" s="7"/>
      <c r="C513" s="7"/>
      <c r="D513" s="7"/>
      <c r="E513" s="7"/>
      <c r="F513" s="7"/>
      <c r="G513" s="7"/>
      <c r="H513" s="7"/>
      <c r="I513" s="7"/>
      <c r="J513" s="7"/>
      <c r="K513" s="7"/>
    </row>
    <row r="514" spans="1:11" ht="13.2" x14ac:dyDescent="0.25">
      <c r="A514" s="7"/>
      <c r="B514" s="7"/>
      <c r="C514" s="7"/>
      <c r="D514" s="7"/>
      <c r="E514" s="7"/>
      <c r="F514" s="7"/>
      <c r="G514" s="7"/>
      <c r="H514" s="7"/>
      <c r="I514" s="7"/>
      <c r="J514" s="7"/>
      <c r="K514" s="7"/>
    </row>
    <row r="515" spans="1:11" ht="13.2" x14ac:dyDescent="0.25">
      <c r="A515" s="7"/>
      <c r="B515" s="7"/>
      <c r="C515" s="7"/>
      <c r="D515" s="7"/>
      <c r="E515" s="7"/>
      <c r="F515" s="7"/>
      <c r="G515" s="7"/>
      <c r="H515" s="7"/>
      <c r="I515" s="7"/>
      <c r="J515" s="7"/>
      <c r="K515" s="7"/>
    </row>
    <row r="516" spans="1:11" ht="13.2" x14ac:dyDescent="0.25">
      <c r="A516" s="7"/>
      <c r="B516" s="7"/>
      <c r="C516" s="7"/>
      <c r="D516" s="7"/>
      <c r="E516" s="7"/>
      <c r="F516" s="7"/>
      <c r="G516" s="7"/>
      <c r="H516" s="7"/>
      <c r="I516" s="7"/>
      <c r="J516" s="7"/>
      <c r="K516" s="7"/>
    </row>
    <row r="517" spans="1:11" ht="13.2" x14ac:dyDescent="0.25">
      <c r="A517" s="7"/>
      <c r="B517" s="7"/>
      <c r="C517" s="7"/>
      <c r="D517" s="7"/>
      <c r="E517" s="7"/>
      <c r="F517" s="7"/>
      <c r="G517" s="7"/>
      <c r="H517" s="7"/>
      <c r="I517" s="7"/>
      <c r="J517" s="7"/>
      <c r="K517" s="7"/>
    </row>
    <row r="518" spans="1:11" ht="13.2" x14ac:dyDescent="0.25">
      <c r="A518" s="7"/>
      <c r="B518" s="7"/>
      <c r="C518" s="7"/>
      <c r="D518" s="7"/>
      <c r="E518" s="7"/>
      <c r="F518" s="7"/>
      <c r="G518" s="7"/>
      <c r="H518" s="7"/>
      <c r="I518" s="7"/>
      <c r="J518" s="7"/>
      <c r="K518" s="7"/>
    </row>
    <row r="519" spans="1:11" ht="13.2" x14ac:dyDescent="0.25">
      <c r="A519" s="7"/>
      <c r="B519" s="7"/>
      <c r="C519" s="7"/>
      <c r="D519" s="7"/>
      <c r="E519" s="7"/>
      <c r="F519" s="7"/>
      <c r="G519" s="7"/>
      <c r="H519" s="7"/>
      <c r="I519" s="7"/>
      <c r="J519" s="7"/>
      <c r="K519" s="7"/>
    </row>
    <row r="520" spans="1:11" ht="13.2" x14ac:dyDescent="0.25">
      <c r="A520" s="7"/>
      <c r="B520" s="7"/>
      <c r="C520" s="7"/>
      <c r="D520" s="7"/>
      <c r="E520" s="7"/>
      <c r="F520" s="7"/>
      <c r="G520" s="7"/>
      <c r="H520" s="7"/>
      <c r="I520" s="7"/>
      <c r="J520" s="7"/>
      <c r="K520" s="7"/>
    </row>
    <row r="521" spans="1:11" ht="13.2" x14ac:dyDescent="0.25">
      <c r="A521" s="7"/>
      <c r="B521" s="7"/>
      <c r="C521" s="7"/>
      <c r="D521" s="7"/>
      <c r="E521" s="7"/>
      <c r="F521" s="7"/>
      <c r="G521" s="7"/>
      <c r="H521" s="7"/>
      <c r="I521" s="7"/>
      <c r="J521" s="7"/>
      <c r="K521" s="7"/>
    </row>
    <row r="522" spans="1:11" ht="13.2" x14ac:dyDescent="0.25">
      <c r="A522" s="7"/>
      <c r="B522" s="7"/>
      <c r="C522" s="7"/>
      <c r="D522" s="7"/>
      <c r="E522" s="7"/>
      <c r="F522" s="7"/>
      <c r="G522" s="7"/>
      <c r="H522" s="7"/>
      <c r="I522" s="7"/>
      <c r="J522" s="7"/>
      <c r="K522" s="7"/>
    </row>
    <row r="523" spans="1:11" ht="13.2" x14ac:dyDescent="0.25">
      <c r="A523" s="7"/>
      <c r="B523" s="7"/>
      <c r="C523" s="7"/>
      <c r="D523" s="7"/>
      <c r="E523" s="7"/>
      <c r="F523" s="7"/>
      <c r="G523" s="7"/>
      <c r="H523" s="7"/>
      <c r="I523" s="7"/>
      <c r="J523" s="7"/>
      <c r="K523" s="7"/>
    </row>
    <row r="524" spans="1:11" ht="13.2" x14ac:dyDescent="0.25">
      <c r="A524" s="7"/>
      <c r="B524" s="7"/>
      <c r="C524" s="7"/>
      <c r="D524" s="7"/>
      <c r="E524" s="7"/>
      <c r="F524" s="7"/>
      <c r="G524" s="7"/>
      <c r="H524" s="7"/>
      <c r="I524" s="7"/>
      <c r="J524" s="7"/>
      <c r="K524" s="7"/>
    </row>
    <row r="525" spans="1:11" ht="13.2" x14ac:dyDescent="0.25">
      <c r="A525" s="7"/>
      <c r="B525" s="7"/>
      <c r="C525" s="7"/>
      <c r="D525" s="7"/>
      <c r="E525" s="7"/>
      <c r="F525" s="7"/>
      <c r="G525" s="7"/>
      <c r="H525" s="7"/>
      <c r="I525" s="7"/>
      <c r="J525" s="7"/>
      <c r="K525" s="7"/>
    </row>
    <row r="526" spans="1:11" ht="13.2" x14ac:dyDescent="0.25">
      <c r="A526" s="7"/>
      <c r="B526" s="7"/>
      <c r="C526" s="7"/>
      <c r="D526" s="7"/>
      <c r="E526" s="7"/>
      <c r="F526" s="7"/>
      <c r="G526" s="7"/>
      <c r="H526" s="7"/>
      <c r="I526" s="7"/>
      <c r="J526" s="7"/>
      <c r="K526" s="7"/>
    </row>
    <row r="527" spans="1:11" ht="13.2" x14ac:dyDescent="0.25">
      <c r="A527" s="7"/>
      <c r="B527" s="7"/>
      <c r="C527" s="7"/>
      <c r="D527" s="7"/>
      <c r="E527" s="7"/>
      <c r="F527" s="7"/>
      <c r="G527" s="7"/>
      <c r="H527" s="7"/>
      <c r="I527" s="7"/>
      <c r="J527" s="7"/>
      <c r="K527" s="7"/>
    </row>
    <row r="528" spans="1:11" ht="13.2" x14ac:dyDescent="0.25">
      <c r="A528" s="7"/>
      <c r="B528" s="7"/>
      <c r="C528" s="7"/>
      <c r="D528" s="7"/>
      <c r="E528" s="7"/>
      <c r="F528" s="7"/>
      <c r="G528" s="7"/>
      <c r="H528" s="7"/>
      <c r="I528" s="7"/>
      <c r="J528" s="7"/>
      <c r="K528" s="7"/>
    </row>
    <row r="529" spans="1:11" ht="13.2" x14ac:dyDescent="0.25">
      <c r="A529" s="7"/>
      <c r="B529" s="7"/>
      <c r="C529" s="7"/>
      <c r="D529" s="7"/>
      <c r="E529" s="7"/>
      <c r="F529" s="7"/>
      <c r="G529" s="7"/>
      <c r="H529" s="7"/>
      <c r="I529" s="7"/>
      <c r="J529" s="7"/>
      <c r="K529" s="7"/>
    </row>
    <row r="530" spans="1:11" ht="13.2" x14ac:dyDescent="0.25">
      <c r="A530" s="7"/>
      <c r="B530" s="7"/>
      <c r="C530" s="7"/>
      <c r="D530" s="7"/>
      <c r="E530" s="7"/>
      <c r="F530" s="7"/>
      <c r="G530" s="7"/>
      <c r="H530" s="7"/>
      <c r="I530" s="7"/>
      <c r="J530" s="7"/>
      <c r="K530" s="7"/>
    </row>
    <row r="531" spans="1:11" ht="13.2" x14ac:dyDescent="0.25">
      <c r="A531" s="7"/>
      <c r="B531" s="7"/>
      <c r="C531" s="7"/>
      <c r="D531" s="7"/>
      <c r="E531" s="7"/>
      <c r="F531" s="7"/>
      <c r="G531" s="7"/>
      <c r="H531" s="7"/>
      <c r="I531" s="7"/>
      <c r="J531" s="7"/>
      <c r="K531" s="7"/>
    </row>
    <row r="532" spans="1:11" ht="13.2" x14ac:dyDescent="0.25">
      <c r="A532" s="7"/>
      <c r="B532" s="7"/>
      <c r="C532" s="7"/>
      <c r="D532" s="7"/>
      <c r="E532" s="7"/>
      <c r="F532" s="7"/>
      <c r="G532" s="7"/>
      <c r="H532" s="7"/>
      <c r="I532" s="7"/>
      <c r="J532" s="7"/>
      <c r="K532" s="7"/>
    </row>
    <row r="533" spans="1:11" ht="13.2" x14ac:dyDescent="0.25">
      <c r="A533" s="7"/>
      <c r="B533" s="7"/>
      <c r="C533" s="7"/>
      <c r="D533" s="7"/>
      <c r="E533" s="7"/>
      <c r="F533" s="7"/>
      <c r="G533" s="7"/>
      <c r="H533" s="7"/>
      <c r="I533" s="7"/>
      <c r="J533" s="7"/>
      <c r="K533" s="7"/>
    </row>
    <row r="534" spans="1:11" ht="13.2" x14ac:dyDescent="0.25">
      <c r="A534" s="7"/>
      <c r="B534" s="7"/>
      <c r="C534" s="7"/>
      <c r="D534" s="7"/>
      <c r="E534" s="7"/>
      <c r="F534" s="7"/>
      <c r="G534" s="7"/>
      <c r="H534" s="7"/>
      <c r="I534" s="7"/>
      <c r="J534" s="7"/>
      <c r="K534" s="7"/>
    </row>
    <row r="535" spans="1:11" ht="13.2" x14ac:dyDescent="0.25">
      <c r="A535" s="7"/>
      <c r="B535" s="7"/>
      <c r="C535" s="7"/>
      <c r="D535" s="7"/>
      <c r="E535" s="7"/>
      <c r="F535" s="7"/>
      <c r="G535" s="7"/>
      <c r="H535" s="7"/>
      <c r="I535" s="7"/>
      <c r="J535" s="7"/>
      <c r="K535" s="7"/>
    </row>
    <row r="536" spans="1:11" ht="13.2" x14ac:dyDescent="0.25">
      <c r="A536" s="7"/>
      <c r="B536" s="7"/>
      <c r="C536" s="7"/>
      <c r="D536" s="7"/>
      <c r="E536" s="7"/>
      <c r="F536" s="7"/>
      <c r="G536" s="7"/>
      <c r="H536" s="7"/>
      <c r="I536" s="7"/>
      <c r="J536" s="7"/>
      <c r="K536" s="7"/>
    </row>
    <row r="537" spans="1:11" ht="13.2" x14ac:dyDescent="0.25">
      <c r="A537" s="7"/>
      <c r="B537" s="7"/>
      <c r="C537" s="7"/>
      <c r="D537" s="7"/>
      <c r="E537" s="7"/>
      <c r="F537" s="7"/>
      <c r="G537" s="7"/>
      <c r="H537" s="7"/>
      <c r="I537" s="7"/>
      <c r="J537" s="7"/>
      <c r="K537" s="7"/>
    </row>
    <row r="538" spans="1:11" ht="13.2" x14ac:dyDescent="0.25">
      <c r="A538" s="7"/>
      <c r="B538" s="7"/>
      <c r="C538" s="7"/>
      <c r="D538" s="7"/>
      <c r="E538" s="7"/>
      <c r="F538" s="7"/>
      <c r="G538" s="7"/>
      <c r="H538" s="7"/>
      <c r="I538" s="7"/>
      <c r="J538" s="7"/>
      <c r="K538" s="7"/>
    </row>
    <row r="539" spans="1:11" ht="13.2" x14ac:dyDescent="0.25">
      <c r="A539" s="7"/>
      <c r="B539" s="7"/>
      <c r="C539" s="7"/>
      <c r="D539" s="7"/>
      <c r="E539" s="7"/>
      <c r="F539" s="7"/>
      <c r="G539" s="7"/>
      <c r="H539" s="7"/>
      <c r="I539" s="7"/>
      <c r="J539" s="7"/>
      <c r="K539" s="7"/>
    </row>
    <row r="540" spans="1:11" ht="13.2" x14ac:dyDescent="0.25">
      <c r="A540" s="7"/>
      <c r="B540" s="7"/>
      <c r="C540" s="7"/>
      <c r="D540" s="7"/>
      <c r="E540" s="7"/>
      <c r="F540" s="7"/>
      <c r="G540" s="7"/>
      <c r="H540" s="7"/>
      <c r="I540" s="7"/>
      <c r="J540" s="7"/>
      <c r="K540" s="7"/>
    </row>
    <row r="541" spans="1:11" ht="13.2" x14ac:dyDescent="0.25">
      <c r="A541" s="7"/>
      <c r="B541" s="7"/>
      <c r="C541" s="7"/>
      <c r="D541" s="7"/>
      <c r="E541" s="7"/>
      <c r="F541" s="7"/>
      <c r="G541" s="7"/>
      <c r="H541" s="7"/>
      <c r="I541" s="7"/>
      <c r="J541" s="7"/>
      <c r="K541" s="7"/>
    </row>
    <row r="542" spans="1:11" ht="13.2" x14ac:dyDescent="0.25">
      <c r="A542" s="7"/>
      <c r="B542" s="7"/>
      <c r="C542" s="7"/>
      <c r="D542" s="7"/>
      <c r="E542" s="7"/>
      <c r="F542" s="7"/>
      <c r="G542" s="7"/>
      <c r="H542" s="7"/>
      <c r="I542" s="7"/>
      <c r="J542" s="7"/>
      <c r="K542" s="7"/>
    </row>
    <row r="543" spans="1:11" ht="13.2" x14ac:dyDescent="0.25">
      <c r="A543" s="7"/>
      <c r="B543" s="7"/>
      <c r="C543" s="7"/>
      <c r="D543" s="7"/>
      <c r="E543" s="7"/>
      <c r="F543" s="7"/>
      <c r="G543" s="7"/>
      <c r="H543" s="7"/>
      <c r="I543" s="7"/>
      <c r="J543" s="7"/>
      <c r="K543" s="7"/>
    </row>
    <row r="544" spans="1:11" ht="13.2" x14ac:dyDescent="0.25">
      <c r="A544" s="7"/>
      <c r="B544" s="7"/>
      <c r="C544" s="7"/>
      <c r="D544" s="7"/>
      <c r="E544" s="7"/>
      <c r="F544" s="7"/>
      <c r="G544" s="7"/>
      <c r="H544" s="7"/>
      <c r="I544" s="7"/>
      <c r="J544" s="7"/>
      <c r="K544" s="7"/>
    </row>
    <row r="545" spans="1:11" ht="13.2" x14ac:dyDescent="0.25">
      <c r="A545" s="7"/>
      <c r="B545" s="7"/>
      <c r="C545" s="7"/>
      <c r="D545" s="7"/>
      <c r="E545" s="7"/>
      <c r="F545" s="7"/>
      <c r="G545" s="7"/>
      <c r="H545" s="7"/>
      <c r="I545" s="7"/>
      <c r="J545" s="7"/>
      <c r="K545" s="7"/>
    </row>
    <row r="546" spans="1:11" ht="13.2" x14ac:dyDescent="0.25">
      <c r="A546" s="7"/>
      <c r="B546" s="7"/>
      <c r="C546" s="7"/>
      <c r="D546" s="7"/>
      <c r="E546" s="7"/>
      <c r="F546" s="7"/>
      <c r="G546" s="7"/>
      <c r="H546" s="7"/>
      <c r="I546" s="7"/>
      <c r="J546" s="7"/>
      <c r="K546" s="7"/>
    </row>
    <row r="547" spans="1:11" ht="13.2" x14ac:dyDescent="0.25">
      <c r="A547" s="7"/>
      <c r="B547" s="7"/>
      <c r="C547" s="7"/>
      <c r="D547" s="7"/>
      <c r="E547" s="7"/>
      <c r="F547" s="7"/>
      <c r="G547" s="7"/>
      <c r="H547" s="7"/>
      <c r="I547" s="7"/>
      <c r="J547" s="7"/>
      <c r="K547" s="7"/>
    </row>
    <row r="548" spans="1:11" ht="13.2" x14ac:dyDescent="0.25">
      <c r="A548" s="7"/>
      <c r="B548" s="7"/>
      <c r="C548" s="7"/>
      <c r="D548" s="7"/>
      <c r="E548" s="7"/>
      <c r="F548" s="7"/>
      <c r="G548" s="7"/>
      <c r="H548" s="7"/>
      <c r="I548" s="7"/>
      <c r="J548" s="7"/>
      <c r="K548" s="7"/>
    </row>
    <row r="549" spans="1:11" ht="13.2" x14ac:dyDescent="0.25">
      <c r="A549" s="7"/>
      <c r="B549" s="7"/>
      <c r="C549" s="7"/>
      <c r="D549" s="7"/>
      <c r="E549" s="7"/>
      <c r="F549" s="7"/>
      <c r="G549" s="7"/>
      <c r="H549" s="7"/>
      <c r="I549" s="7"/>
      <c r="J549" s="7"/>
      <c r="K549" s="7"/>
    </row>
    <row r="550" spans="1:11" ht="13.2" x14ac:dyDescent="0.25">
      <c r="A550" s="7"/>
      <c r="B550" s="7"/>
      <c r="C550" s="7"/>
      <c r="D550" s="7"/>
      <c r="E550" s="7"/>
      <c r="F550" s="7"/>
      <c r="G550" s="7"/>
      <c r="H550" s="7"/>
      <c r="I550" s="7"/>
      <c r="J550" s="7"/>
      <c r="K550" s="7"/>
    </row>
    <row r="551" spans="1:11" ht="13.2" x14ac:dyDescent="0.25">
      <c r="A551" s="7"/>
      <c r="B551" s="7"/>
      <c r="C551" s="7"/>
      <c r="D551" s="7"/>
      <c r="E551" s="7"/>
      <c r="F551" s="7"/>
      <c r="G551" s="7"/>
      <c r="H551" s="7"/>
      <c r="I551" s="7"/>
      <c r="J551" s="7"/>
      <c r="K551" s="7"/>
    </row>
    <row r="552" spans="1:11" ht="13.2" x14ac:dyDescent="0.25">
      <c r="A552" s="7"/>
      <c r="B552" s="7"/>
      <c r="C552" s="7"/>
      <c r="D552" s="7"/>
      <c r="E552" s="7"/>
      <c r="F552" s="7"/>
      <c r="G552" s="7"/>
      <c r="H552" s="7"/>
      <c r="I552" s="7"/>
      <c r="J552" s="7"/>
      <c r="K552" s="7"/>
    </row>
    <row r="553" spans="1:11" ht="13.2" x14ac:dyDescent="0.25">
      <c r="A553" s="7"/>
      <c r="B553" s="7"/>
      <c r="C553" s="7"/>
      <c r="D553" s="7"/>
      <c r="E553" s="7"/>
      <c r="F553" s="7"/>
      <c r="G553" s="7"/>
      <c r="H553" s="7"/>
      <c r="I553" s="7"/>
      <c r="J553" s="7"/>
      <c r="K553" s="7"/>
    </row>
    <row r="554" spans="1:11" ht="13.2" x14ac:dyDescent="0.25">
      <c r="A554" s="7"/>
      <c r="B554" s="7"/>
      <c r="C554" s="7"/>
      <c r="D554" s="7"/>
      <c r="E554" s="7"/>
      <c r="F554" s="7"/>
      <c r="G554" s="7"/>
      <c r="H554" s="7"/>
      <c r="I554" s="7"/>
      <c r="J554" s="7"/>
      <c r="K554" s="7"/>
    </row>
    <row r="555" spans="1:11" ht="13.2" x14ac:dyDescent="0.25">
      <c r="A555" s="7"/>
      <c r="B555" s="7"/>
      <c r="C555" s="7"/>
      <c r="D555" s="7"/>
      <c r="E555" s="7"/>
      <c r="F555" s="7"/>
      <c r="G555" s="7"/>
      <c r="H555" s="7"/>
      <c r="I555" s="7"/>
      <c r="J555" s="7"/>
      <c r="K555" s="7"/>
    </row>
    <row r="556" spans="1:11" ht="13.2" x14ac:dyDescent="0.25">
      <c r="A556" s="7"/>
      <c r="B556" s="7"/>
      <c r="C556" s="7"/>
      <c r="D556" s="7"/>
      <c r="E556" s="7"/>
      <c r="F556" s="7"/>
      <c r="G556" s="7"/>
      <c r="H556" s="7"/>
      <c r="I556" s="7"/>
      <c r="J556" s="7"/>
      <c r="K556" s="7"/>
    </row>
    <row r="557" spans="1:11" ht="13.2" x14ac:dyDescent="0.25">
      <c r="A557" s="7"/>
      <c r="B557" s="7"/>
      <c r="C557" s="7"/>
      <c r="D557" s="7"/>
      <c r="E557" s="7"/>
      <c r="F557" s="7"/>
      <c r="G557" s="7"/>
      <c r="H557" s="7"/>
      <c r="I557" s="7"/>
      <c r="J557" s="7"/>
      <c r="K557" s="7"/>
    </row>
    <row r="558" spans="1:11" ht="13.2" x14ac:dyDescent="0.25">
      <c r="A558" s="7"/>
      <c r="B558" s="7"/>
      <c r="C558" s="7"/>
      <c r="D558" s="7"/>
      <c r="E558" s="7"/>
      <c r="F558" s="7"/>
      <c r="G558" s="7"/>
      <c r="H558" s="7"/>
      <c r="I558" s="7"/>
      <c r="J558" s="7"/>
      <c r="K558" s="7"/>
    </row>
    <row r="559" spans="1:11" ht="13.2" x14ac:dyDescent="0.25">
      <c r="A559" s="7"/>
      <c r="B559" s="7"/>
      <c r="C559" s="7"/>
      <c r="D559" s="7"/>
      <c r="E559" s="7"/>
      <c r="F559" s="7"/>
      <c r="G559" s="7"/>
      <c r="H559" s="7"/>
      <c r="I559" s="7"/>
      <c r="J559" s="7"/>
      <c r="K559" s="7"/>
    </row>
    <row r="560" spans="1:11" ht="13.2" x14ac:dyDescent="0.25">
      <c r="A560" s="7"/>
      <c r="B560" s="7"/>
      <c r="C560" s="7"/>
      <c r="D560" s="7"/>
      <c r="E560" s="7"/>
      <c r="F560" s="7"/>
      <c r="G560" s="7"/>
      <c r="H560" s="7"/>
      <c r="I560" s="7"/>
      <c r="J560" s="7"/>
      <c r="K560" s="7"/>
    </row>
    <row r="561" spans="1:11" ht="13.2" x14ac:dyDescent="0.25">
      <c r="A561" s="7"/>
      <c r="B561" s="7"/>
      <c r="C561" s="7"/>
      <c r="D561" s="7"/>
      <c r="E561" s="7"/>
      <c r="F561" s="7"/>
      <c r="G561" s="7"/>
      <c r="H561" s="7"/>
      <c r="I561" s="7"/>
      <c r="J561" s="7"/>
      <c r="K561" s="7"/>
    </row>
    <row r="562" spans="1:11" ht="13.2" x14ac:dyDescent="0.25">
      <c r="A562" s="7"/>
      <c r="B562" s="7"/>
      <c r="C562" s="7"/>
      <c r="D562" s="7"/>
      <c r="E562" s="7"/>
      <c r="F562" s="7"/>
      <c r="G562" s="7"/>
      <c r="H562" s="7"/>
      <c r="I562" s="7"/>
      <c r="J562" s="7"/>
      <c r="K562" s="7"/>
    </row>
    <row r="563" spans="1:11" ht="13.2" x14ac:dyDescent="0.25">
      <c r="A563" s="7"/>
      <c r="B563" s="7"/>
      <c r="C563" s="7"/>
      <c r="D563" s="7"/>
      <c r="E563" s="7"/>
      <c r="F563" s="7"/>
      <c r="G563" s="7"/>
      <c r="H563" s="7"/>
      <c r="I563" s="7"/>
      <c r="J563" s="7"/>
      <c r="K563" s="7"/>
    </row>
    <row r="564" spans="1:11" ht="13.2" x14ac:dyDescent="0.25">
      <c r="A564" s="7"/>
      <c r="B564" s="7"/>
      <c r="C564" s="7"/>
      <c r="D564" s="7"/>
      <c r="E564" s="7"/>
      <c r="F564" s="7"/>
      <c r="G564" s="7"/>
      <c r="H564" s="7"/>
      <c r="I564" s="7"/>
      <c r="J564" s="7"/>
      <c r="K564" s="7"/>
    </row>
    <row r="565" spans="1:11" ht="13.2" x14ac:dyDescent="0.25">
      <c r="A565" s="7"/>
      <c r="B565" s="7"/>
      <c r="C565" s="7"/>
      <c r="D565" s="7"/>
      <c r="E565" s="7"/>
      <c r="F565" s="7"/>
      <c r="G565" s="7"/>
      <c r="H565" s="7"/>
      <c r="I565" s="7"/>
      <c r="J565" s="7"/>
      <c r="K565" s="7"/>
    </row>
    <row r="566" spans="1:11" ht="13.2" x14ac:dyDescent="0.25">
      <c r="A566" s="7"/>
      <c r="B566" s="7"/>
      <c r="C566" s="7"/>
      <c r="D566" s="7"/>
      <c r="E566" s="7"/>
      <c r="F566" s="7"/>
      <c r="G566" s="7"/>
      <c r="H566" s="7"/>
      <c r="I566" s="7"/>
      <c r="J566" s="7"/>
      <c r="K566" s="7"/>
    </row>
    <row r="567" spans="1:11" ht="13.2" x14ac:dyDescent="0.25">
      <c r="A567" s="7"/>
      <c r="B567" s="7"/>
      <c r="C567" s="7"/>
      <c r="D567" s="7"/>
      <c r="E567" s="7"/>
      <c r="F567" s="7"/>
      <c r="G567" s="7"/>
      <c r="H567" s="7"/>
      <c r="I567" s="7"/>
      <c r="J567" s="7"/>
      <c r="K567" s="7"/>
    </row>
    <row r="568" spans="1:11" ht="13.2" x14ac:dyDescent="0.25">
      <c r="A568" s="7"/>
      <c r="B568" s="7"/>
      <c r="C568" s="7"/>
      <c r="D568" s="7"/>
      <c r="E568" s="7"/>
      <c r="F568" s="7"/>
      <c r="G568" s="7"/>
      <c r="H568" s="7"/>
      <c r="I568" s="7"/>
      <c r="J568" s="7"/>
      <c r="K568" s="7"/>
    </row>
    <row r="569" spans="1:11" ht="13.2" x14ac:dyDescent="0.25">
      <c r="A569" s="7"/>
      <c r="B569" s="7"/>
      <c r="C569" s="7"/>
      <c r="D569" s="7"/>
      <c r="E569" s="7"/>
      <c r="F569" s="7"/>
      <c r="G569" s="7"/>
      <c r="H569" s="7"/>
      <c r="I569" s="7"/>
      <c r="J569" s="7"/>
      <c r="K569" s="7"/>
    </row>
    <row r="570" spans="1:11" ht="13.2" x14ac:dyDescent="0.25">
      <c r="A570" s="7"/>
      <c r="B570" s="7"/>
      <c r="C570" s="7"/>
      <c r="D570" s="7"/>
      <c r="E570" s="7"/>
      <c r="F570" s="7"/>
      <c r="G570" s="7"/>
      <c r="H570" s="7"/>
      <c r="I570" s="7"/>
      <c r="J570" s="7"/>
      <c r="K570" s="7"/>
    </row>
    <row r="571" spans="1:11" ht="13.2" x14ac:dyDescent="0.25">
      <c r="A571" s="7"/>
      <c r="B571" s="7"/>
      <c r="C571" s="7"/>
      <c r="D571" s="7"/>
      <c r="E571" s="7"/>
      <c r="F571" s="7"/>
      <c r="G571" s="7"/>
      <c r="H571" s="7"/>
      <c r="I571" s="7"/>
      <c r="J571" s="7"/>
      <c r="K571" s="7"/>
    </row>
    <row r="572" spans="1:11" ht="13.2" x14ac:dyDescent="0.25">
      <c r="A572" s="7"/>
      <c r="B572" s="7"/>
      <c r="C572" s="7"/>
      <c r="D572" s="7"/>
      <c r="E572" s="7"/>
      <c r="F572" s="7"/>
      <c r="G572" s="7"/>
      <c r="H572" s="7"/>
      <c r="I572" s="7"/>
      <c r="J572" s="7"/>
      <c r="K572" s="7"/>
    </row>
    <row r="573" spans="1:11" ht="13.2" x14ac:dyDescent="0.25">
      <c r="A573" s="7"/>
      <c r="B573" s="7"/>
      <c r="C573" s="7"/>
      <c r="D573" s="7"/>
      <c r="E573" s="7"/>
      <c r="F573" s="7"/>
      <c r="G573" s="7"/>
      <c r="H573" s="7"/>
      <c r="I573" s="7"/>
      <c r="J573" s="7"/>
      <c r="K573" s="7"/>
    </row>
    <row r="574" spans="1:11" ht="13.2" x14ac:dyDescent="0.25">
      <c r="A574" s="7"/>
      <c r="B574" s="7"/>
      <c r="C574" s="7"/>
      <c r="D574" s="7"/>
      <c r="E574" s="7"/>
      <c r="F574" s="7"/>
      <c r="G574" s="7"/>
      <c r="H574" s="7"/>
      <c r="I574" s="7"/>
      <c r="J574" s="7"/>
      <c r="K574" s="7"/>
    </row>
    <row r="575" spans="1:11" ht="13.2" x14ac:dyDescent="0.25">
      <c r="A575" s="7"/>
      <c r="B575" s="7"/>
      <c r="C575" s="7"/>
      <c r="D575" s="7"/>
      <c r="E575" s="7"/>
      <c r="F575" s="7"/>
      <c r="G575" s="7"/>
      <c r="H575" s="7"/>
      <c r="I575" s="7"/>
      <c r="J575" s="7"/>
      <c r="K575" s="7"/>
    </row>
    <row r="576" spans="1:11" ht="13.2" x14ac:dyDescent="0.25">
      <c r="A576" s="7"/>
      <c r="B576" s="7"/>
      <c r="C576" s="7"/>
      <c r="D576" s="7"/>
      <c r="E576" s="7"/>
      <c r="F576" s="7"/>
      <c r="G576" s="7"/>
      <c r="H576" s="7"/>
      <c r="I576" s="7"/>
      <c r="J576" s="7"/>
      <c r="K576" s="7"/>
    </row>
    <row r="577" spans="1:11" ht="13.2" x14ac:dyDescent="0.25">
      <c r="A577" s="7"/>
      <c r="B577" s="7"/>
      <c r="C577" s="7"/>
      <c r="D577" s="7"/>
      <c r="E577" s="7"/>
      <c r="F577" s="7"/>
      <c r="G577" s="7"/>
      <c r="H577" s="7"/>
      <c r="I577" s="7"/>
      <c r="J577" s="7"/>
      <c r="K577" s="7"/>
    </row>
    <row r="578" spans="1:11" ht="13.2" x14ac:dyDescent="0.25">
      <c r="A578" s="7"/>
      <c r="B578" s="7"/>
      <c r="C578" s="7"/>
      <c r="D578" s="7"/>
      <c r="E578" s="7"/>
      <c r="F578" s="7"/>
      <c r="G578" s="7"/>
      <c r="H578" s="7"/>
      <c r="I578" s="7"/>
      <c r="J578" s="7"/>
      <c r="K578" s="7"/>
    </row>
    <row r="579" spans="1:11" ht="13.2" x14ac:dyDescent="0.25">
      <c r="A579" s="7"/>
      <c r="B579" s="7"/>
      <c r="C579" s="7"/>
      <c r="D579" s="7"/>
      <c r="E579" s="7"/>
      <c r="F579" s="7"/>
      <c r="G579" s="7"/>
      <c r="H579" s="7"/>
      <c r="I579" s="7"/>
      <c r="J579" s="7"/>
      <c r="K579" s="7"/>
    </row>
    <row r="580" spans="1:11" ht="13.2" x14ac:dyDescent="0.25">
      <c r="A580" s="7"/>
      <c r="B580" s="7"/>
      <c r="C580" s="7"/>
      <c r="D580" s="7"/>
      <c r="E580" s="7"/>
      <c r="F580" s="7"/>
      <c r="G580" s="7"/>
      <c r="H580" s="7"/>
      <c r="I580" s="7"/>
      <c r="J580" s="7"/>
      <c r="K580" s="7"/>
    </row>
    <row r="581" spans="1:11" ht="13.2" x14ac:dyDescent="0.25">
      <c r="A581" s="7"/>
      <c r="B581" s="7"/>
      <c r="C581" s="7"/>
      <c r="D581" s="7"/>
      <c r="E581" s="7"/>
      <c r="F581" s="7"/>
      <c r="G581" s="7"/>
      <c r="H581" s="7"/>
      <c r="I581" s="7"/>
      <c r="J581" s="7"/>
      <c r="K581" s="7"/>
    </row>
    <row r="582" spans="1:11" ht="13.2" x14ac:dyDescent="0.25">
      <c r="A582" s="7"/>
      <c r="B582" s="7"/>
      <c r="C582" s="7"/>
      <c r="D582" s="7"/>
      <c r="E582" s="7"/>
      <c r="F582" s="7"/>
      <c r="G582" s="7"/>
      <c r="H582" s="7"/>
      <c r="I582" s="7"/>
      <c r="J582" s="7"/>
      <c r="K582" s="7"/>
    </row>
    <row r="583" spans="1:11" ht="13.2" x14ac:dyDescent="0.25">
      <c r="A583" s="7"/>
      <c r="B583" s="7"/>
      <c r="C583" s="7"/>
      <c r="D583" s="7"/>
      <c r="E583" s="7"/>
      <c r="F583" s="7"/>
      <c r="G583" s="7"/>
      <c r="H583" s="7"/>
      <c r="I583" s="7"/>
      <c r="J583" s="7"/>
      <c r="K583" s="7"/>
    </row>
    <row r="584" spans="1:11" ht="13.2" x14ac:dyDescent="0.25">
      <c r="A584" s="7"/>
      <c r="B584" s="7"/>
      <c r="C584" s="7"/>
      <c r="D584" s="7"/>
      <c r="E584" s="7"/>
      <c r="F584" s="7"/>
      <c r="G584" s="7"/>
      <c r="H584" s="7"/>
      <c r="I584" s="7"/>
      <c r="J584" s="7"/>
      <c r="K584" s="7"/>
    </row>
    <row r="585" spans="1:11" ht="13.2" x14ac:dyDescent="0.25">
      <c r="A585" s="7"/>
      <c r="B585" s="7"/>
      <c r="C585" s="7"/>
      <c r="D585" s="7"/>
      <c r="E585" s="7"/>
      <c r="F585" s="7"/>
      <c r="G585" s="7"/>
      <c r="H585" s="7"/>
      <c r="I585" s="7"/>
      <c r="J585" s="7"/>
      <c r="K585" s="7"/>
    </row>
    <row r="586" spans="1:11" ht="13.2" x14ac:dyDescent="0.25">
      <c r="A586" s="7"/>
      <c r="B586" s="7"/>
      <c r="C586" s="7"/>
      <c r="D586" s="7"/>
      <c r="E586" s="7"/>
      <c r="F586" s="7"/>
      <c r="G586" s="7"/>
      <c r="H586" s="7"/>
      <c r="I586" s="7"/>
      <c r="J586" s="7"/>
      <c r="K586" s="7"/>
    </row>
    <row r="587" spans="1:11" ht="13.2" x14ac:dyDescent="0.25">
      <c r="A587" s="7"/>
      <c r="B587" s="7"/>
      <c r="C587" s="7"/>
      <c r="D587" s="7"/>
      <c r="E587" s="7"/>
      <c r="F587" s="7"/>
      <c r="G587" s="7"/>
      <c r="H587" s="7"/>
      <c r="I587" s="7"/>
      <c r="J587" s="7"/>
      <c r="K587" s="7"/>
    </row>
    <row r="588" spans="1:11" ht="13.2" x14ac:dyDescent="0.25">
      <c r="A588" s="7"/>
      <c r="B588" s="7"/>
      <c r="C588" s="7"/>
      <c r="D588" s="7"/>
      <c r="E588" s="7"/>
      <c r="F588" s="7"/>
      <c r="G588" s="7"/>
      <c r="H588" s="7"/>
      <c r="I588" s="7"/>
      <c r="J588" s="7"/>
      <c r="K588" s="7"/>
    </row>
    <row r="589" spans="1:11" ht="13.2" x14ac:dyDescent="0.25">
      <c r="A589" s="7"/>
      <c r="B589" s="7"/>
      <c r="C589" s="7"/>
      <c r="D589" s="7"/>
      <c r="E589" s="7"/>
      <c r="F589" s="7"/>
      <c r="G589" s="7"/>
      <c r="H589" s="7"/>
      <c r="I589" s="7"/>
      <c r="J589" s="7"/>
      <c r="K589" s="7"/>
    </row>
    <row r="590" spans="1:11" ht="13.2" x14ac:dyDescent="0.25">
      <c r="A590" s="7"/>
      <c r="B590" s="7"/>
      <c r="C590" s="7"/>
      <c r="D590" s="7"/>
      <c r="E590" s="7"/>
      <c r="F590" s="7"/>
      <c r="G590" s="7"/>
      <c r="H590" s="7"/>
      <c r="I590" s="7"/>
      <c r="J590" s="7"/>
      <c r="K590" s="7"/>
    </row>
    <row r="591" spans="1:11" ht="13.2" x14ac:dyDescent="0.25">
      <c r="A591" s="7"/>
      <c r="B591" s="7"/>
      <c r="C591" s="7"/>
      <c r="D591" s="7"/>
      <c r="E591" s="7"/>
      <c r="F591" s="7"/>
      <c r="G591" s="7"/>
      <c r="H591" s="7"/>
      <c r="I591" s="7"/>
      <c r="J591" s="7"/>
      <c r="K591" s="7"/>
    </row>
    <row r="592" spans="1:11" ht="13.2" x14ac:dyDescent="0.25">
      <c r="A592" s="7"/>
      <c r="B592" s="7"/>
      <c r="C592" s="7"/>
      <c r="D592" s="7"/>
      <c r="E592" s="7"/>
      <c r="F592" s="7"/>
      <c r="G592" s="7"/>
      <c r="H592" s="7"/>
      <c r="I592" s="7"/>
      <c r="J592" s="7"/>
      <c r="K592" s="7"/>
    </row>
    <row r="593" spans="1:11" ht="13.2" x14ac:dyDescent="0.25">
      <c r="A593" s="7"/>
      <c r="B593" s="7"/>
      <c r="C593" s="7"/>
      <c r="D593" s="7"/>
      <c r="E593" s="7"/>
      <c r="F593" s="7"/>
      <c r="G593" s="7"/>
      <c r="H593" s="7"/>
      <c r="I593" s="7"/>
      <c r="J593" s="7"/>
      <c r="K593" s="7"/>
    </row>
    <row r="594" spans="1:11" ht="13.2" x14ac:dyDescent="0.25">
      <c r="A594" s="7"/>
      <c r="B594" s="7"/>
      <c r="C594" s="7"/>
      <c r="D594" s="7"/>
      <c r="E594" s="7"/>
      <c r="F594" s="7"/>
      <c r="G594" s="7"/>
      <c r="H594" s="7"/>
      <c r="I594" s="7"/>
      <c r="J594" s="7"/>
      <c r="K594" s="7"/>
    </row>
    <row r="595" spans="1:11" ht="13.2" x14ac:dyDescent="0.25">
      <c r="A595" s="7"/>
      <c r="B595" s="7"/>
      <c r="C595" s="7"/>
      <c r="D595" s="7"/>
      <c r="E595" s="7"/>
      <c r="F595" s="7"/>
      <c r="G595" s="7"/>
      <c r="H595" s="7"/>
      <c r="I595" s="7"/>
      <c r="J595" s="7"/>
      <c r="K595" s="7"/>
    </row>
    <row r="596" spans="1:11" ht="13.2" x14ac:dyDescent="0.25">
      <c r="A596" s="7"/>
      <c r="B596" s="7"/>
      <c r="C596" s="7"/>
      <c r="D596" s="7"/>
      <c r="E596" s="7"/>
      <c r="F596" s="7"/>
      <c r="G596" s="7"/>
      <c r="H596" s="7"/>
      <c r="I596" s="7"/>
      <c r="J596" s="7"/>
      <c r="K596" s="7"/>
    </row>
    <row r="597" spans="1:11" ht="13.2" x14ac:dyDescent="0.25">
      <c r="A597" s="7"/>
      <c r="B597" s="7"/>
      <c r="C597" s="7"/>
      <c r="D597" s="7"/>
      <c r="E597" s="7"/>
      <c r="F597" s="7"/>
      <c r="G597" s="7"/>
      <c r="H597" s="7"/>
      <c r="I597" s="7"/>
      <c r="J597" s="7"/>
      <c r="K597" s="7"/>
    </row>
    <row r="598" spans="1:11" ht="13.2" x14ac:dyDescent="0.25">
      <c r="A598" s="7"/>
      <c r="B598" s="7"/>
      <c r="C598" s="7"/>
      <c r="D598" s="7"/>
      <c r="E598" s="7"/>
      <c r="F598" s="7"/>
      <c r="G598" s="7"/>
      <c r="H598" s="7"/>
      <c r="I598" s="7"/>
      <c r="J598" s="7"/>
      <c r="K598" s="7"/>
    </row>
    <row r="599" spans="1:11" ht="13.2" x14ac:dyDescent="0.25">
      <c r="A599" s="7"/>
      <c r="B599" s="7"/>
      <c r="C599" s="7"/>
      <c r="D599" s="7"/>
      <c r="E599" s="7"/>
      <c r="F599" s="7"/>
      <c r="G599" s="7"/>
      <c r="H599" s="7"/>
      <c r="I599" s="7"/>
      <c r="J599" s="7"/>
      <c r="K599" s="7"/>
    </row>
    <row r="600" spans="1:11" ht="13.2" x14ac:dyDescent="0.25">
      <c r="A600" s="7"/>
      <c r="B600" s="7"/>
      <c r="C600" s="7"/>
      <c r="D600" s="7"/>
      <c r="E600" s="7"/>
      <c r="F600" s="7"/>
      <c r="G600" s="7"/>
      <c r="H600" s="7"/>
      <c r="I600" s="7"/>
      <c r="J600" s="7"/>
      <c r="K600" s="7"/>
    </row>
    <row r="601" spans="1:11" ht="13.2" x14ac:dyDescent="0.25">
      <c r="A601" s="7"/>
      <c r="B601" s="7"/>
      <c r="C601" s="7"/>
      <c r="D601" s="7"/>
      <c r="E601" s="7"/>
      <c r="F601" s="7"/>
      <c r="G601" s="7"/>
      <c r="H601" s="7"/>
      <c r="I601" s="7"/>
      <c r="J601" s="7"/>
      <c r="K601" s="7"/>
    </row>
    <row r="602" spans="1:11" ht="13.2" x14ac:dyDescent="0.25">
      <c r="A602" s="7"/>
      <c r="B602" s="7"/>
      <c r="C602" s="7"/>
      <c r="D602" s="7"/>
      <c r="E602" s="7"/>
      <c r="F602" s="7"/>
      <c r="G602" s="7"/>
      <c r="H602" s="7"/>
      <c r="I602" s="7"/>
      <c r="J602" s="7"/>
      <c r="K602" s="7"/>
    </row>
    <row r="603" spans="1:11" ht="13.2" x14ac:dyDescent="0.25">
      <c r="A603" s="7"/>
      <c r="B603" s="7"/>
      <c r="C603" s="7"/>
      <c r="D603" s="7"/>
      <c r="E603" s="7"/>
      <c r="F603" s="7"/>
      <c r="G603" s="7"/>
      <c r="H603" s="7"/>
      <c r="I603" s="7"/>
      <c r="J603" s="7"/>
      <c r="K603" s="7"/>
    </row>
    <row r="604" spans="1:11" ht="13.2" x14ac:dyDescent="0.25">
      <c r="A604" s="7"/>
      <c r="B604" s="7"/>
      <c r="C604" s="7"/>
      <c r="D604" s="7"/>
      <c r="E604" s="7"/>
      <c r="F604" s="7"/>
      <c r="G604" s="7"/>
      <c r="H604" s="7"/>
      <c r="I604" s="7"/>
      <c r="J604" s="7"/>
      <c r="K604" s="7"/>
    </row>
    <row r="605" spans="1:11" ht="13.2" x14ac:dyDescent="0.25">
      <c r="A605" s="7"/>
      <c r="B605" s="7"/>
      <c r="C605" s="7"/>
      <c r="D605" s="7"/>
      <c r="E605" s="7"/>
      <c r="F605" s="7"/>
      <c r="G605" s="7"/>
      <c r="H605" s="7"/>
      <c r="I605" s="7"/>
      <c r="J605" s="7"/>
      <c r="K605" s="7"/>
    </row>
    <row r="606" spans="1:11" ht="13.2" x14ac:dyDescent="0.25">
      <c r="A606" s="7"/>
      <c r="B606" s="7"/>
      <c r="C606" s="7"/>
      <c r="D606" s="7"/>
      <c r="E606" s="7"/>
      <c r="F606" s="7"/>
      <c r="G606" s="7"/>
      <c r="H606" s="7"/>
      <c r="I606" s="7"/>
      <c r="J606" s="7"/>
      <c r="K606" s="7"/>
    </row>
    <row r="607" spans="1:11" ht="13.2" x14ac:dyDescent="0.25">
      <c r="A607" s="7"/>
      <c r="B607" s="7"/>
      <c r="C607" s="7"/>
      <c r="D607" s="7"/>
      <c r="E607" s="7"/>
      <c r="F607" s="7"/>
      <c r="G607" s="7"/>
      <c r="H607" s="7"/>
      <c r="I607" s="7"/>
      <c r="J607" s="7"/>
      <c r="K607" s="7"/>
    </row>
    <row r="608" spans="1:11" ht="13.2" x14ac:dyDescent="0.25">
      <c r="A608" s="7"/>
      <c r="B608" s="7"/>
      <c r="C608" s="7"/>
      <c r="D608" s="7"/>
      <c r="E608" s="7"/>
      <c r="F608" s="7"/>
      <c r="G608" s="7"/>
      <c r="H608" s="7"/>
      <c r="I608" s="7"/>
      <c r="J608" s="7"/>
      <c r="K608" s="7"/>
    </row>
    <row r="609" spans="1:11" ht="13.2" x14ac:dyDescent="0.25">
      <c r="A609" s="7"/>
      <c r="B609" s="7"/>
      <c r="C609" s="7"/>
      <c r="D609" s="7"/>
      <c r="E609" s="7"/>
      <c r="F609" s="7"/>
      <c r="G609" s="7"/>
      <c r="H609" s="7"/>
      <c r="I609" s="7"/>
      <c r="J609" s="7"/>
      <c r="K609" s="7"/>
    </row>
    <row r="610" spans="1:11" ht="13.2" x14ac:dyDescent="0.25">
      <c r="A610" s="7"/>
      <c r="B610" s="7"/>
      <c r="C610" s="7"/>
      <c r="D610" s="7"/>
      <c r="E610" s="7"/>
      <c r="F610" s="7"/>
      <c r="G610" s="7"/>
      <c r="H610" s="7"/>
      <c r="I610" s="7"/>
      <c r="J610" s="7"/>
      <c r="K610" s="7"/>
    </row>
    <row r="611" spans="1:11" ht="13.2" x14ac:dyDescent="0.25">
      <c r="A611" s="7"/>
      <c r="B611" s="7"/>
      <c r="C611" s="7"/>
      <c r="D611" s="7"/>
      <c r="E611" s="7"/>
      <c r="F611" s="7"/>
      <c r="G611" s="7"/>
      <c r="H611" s="7"/>
      <c r="I611" s="7"/>
      <c r="J611" s="7"/>
      <c r="K611" s="7"/>
    </row>
    <row r="612" spans="1:11" ht="13.2" x14ac:dyDescent="0.25">
      <c r="A612" s="7"/>
      <c r="B612" s="7"/>
      <c r="C612" s="7"/>
      <c r="D612" s="7"/>
      <c r="E612" s="7"/>
      <c r="F612" s="7"/>
      <c r="G612" s="7"/>
      <c r="H612" s="7"/>
      <c r="I612" s="7"/>
      <c r="J612" s="7"/>
      <c r="K612" s="7"/>
    </row>
    <row r="613" spans="1:11" ht="13.2" x14ac:dyDescent="0.25">
      <c r="A613" s="7"/>
      <c r="B613" s="7"/>
      <c r="C613" s="7"/>
      <c r="D613" s="7"/>
      <c r="E613" s="7"/>
      <c r="F613" s="7"/>
      <c r="G613" s="7"/>
      <c r="H613" s="7"/>
      <c r="I613" s="7"/>
      <c r="J613" s="7"/>
      <c r="K613" s="7"/>
    </row>
    <row r="614" spans="1:11" ht="13.2" x14ac:dyDescent="0.25">
      <c r="A614" s="7"/>
      <c r="B614" s="7"/>
      <c r="C614" s="7"/>
      <c r="D614" s="7"/>
      <c r="E614" s="7"/>
      <c r="F614" s="7"/>
      <c r="G614" s="7"/>
      <c r="H614" s="7"/>
      <c r="I614" s="7"/>
      <c r="J614" s="7"/>
      <c r="K614" s="7"/>
    </row>
    <row r="615" spans="1:11" ht="13.2" x14ac:dyDescent="0.25">
      <c r="A615" s="7"/>
      <c r="B615" s="7"/>
      <c r="C615" s="7"/>
      <c r="D615" s="7"/>
      <c r="E615" s="7"/>
      <c r="F615" s="7"/>
      <c r="G615" s="7"/>
      <c r="H615" s="7"/>
      <c r="I615" s="7"/>
      <c r="J615" s="7"/>
      <c r="K615" s="7"/>
    </row>
    <row r="616" spans="1:11" ht="13.2" x14ac:dyDescent="0.25">
      <c r="A616" s="7"/>
      <c r="B616" s="7"/>
      <c r="C616" s="7"/>
      <c r="D616" s="7"/>
      <c r="E616" s="7"/>
      <c r="F616" s="7"/>
      <c r="G616" s="7"/>
      <c r="H616" s="7"/>
      <c r="I616" s="7"/>
      <c r="J616" s="7"/>
      <c r="K616" s="7"/>
    </row>
    <row r="617" spans="1:11" ht="13.2" x14ac:dyDescent="0.25">
      <c r="A617" s="7"/>
      <c r="B617" s="7"/>
      <c r="C617" s="7"/>
      <c r="D617" s="7"/>
      <c r="E617" s="7"/>
      <c r="F617" s="7"/>
      <c r="G617" s="7"/>
      <c r="H617" s="7"/>
      <c r="I617" s="7"/>
      <c r="J617" s="7"/>
      <c r="K617" s="7"/>
    </row>
    <row r="618" spans="1:11" ht="13.2" x14ac:dyDescent="0.25">
      <c r="A618" s="7"/>
      <c r="B618" s="7"/>
      <c r="C618" s="7"/>
      <c r="D618" s="7"/>
      <c r="E618" s="7"/>
      <c r="F618" s="7"/>
      <c r="G618" s="7"/>
      <c r="H618" s="7"/>
      <c r="I618" s="7"/>
      <c r="J618" s="7"/>
      <c r="K618" s="7"/>
    </row>
    <row r="619" spans="1:11" ht="13.2" x14ac:dyDescent="0.25">
      <c r="A619" s="7"/>
      <c r="B619" s="7"/>
      <c r="C619" s="7"/>
      <c r="D619" s="7"/>
      <c r="E619" s="7"/>
      <c r="F619" s="7"/>
      <c r="G619" s="7"/>
      <c r="H619" s="7"/>
      <c r="I619" s="7"/>
      <c r="J619" s="7"/>
      <c r="K619" s="7"/>
    </row>
    <row r="620" spans="1:11" ht="13.2" x14ac:dyDescent="0.25">
      <c r="A620" s="7"/>
      <c r="B620" s="7"/>
      <c r="C620" s="7"/>
      <c r="D620" s="7"/>
      <c r="E620" s="7"/>
      <c r="F620" s="7"/>
      <c r="G620" s="7"/>
      <c r="H620" s="7"/>
      <c r="I620" s="7"/>
      <c r="J620" s="7"/>
      <c r="K620" s="7"/>
    </row>
    <row r="621" spans="1:11" ht="13.2" x14ac:dyDescent="0.25">
      <c r="A621" s="7"/>
      <c r="B621" s="7"/>
      <c r="C621" s="7"/>
      <c r="D621" s="7"/>
      <c r="E621" s="7"/>
      <c r="F621" s="7"/>
      <c r="G621" s="7"/>
      <c r="H621" s="7"/>
      <c r="I621" s="7"/>
      <c r="J621" s="7"/>
      <c r="K621" s="7"/>
    </row>
    <row r="622" spans="1:11" ht="13.2" x14ac:dyDescent="0.25">
      <c r="A622" s="7"/>
      <c r="B622" s="7"/>
      <c r="C622" s="7"/>
      <c r="D622" s="7"/>
      <c r="E622" s="7"/>
      <c r="F622" s="7"/>
      <c r="G622" s="7"/>
      <c r="H622" s="7"/>
      <c r="I622" s="7"/>
      <c r="J622" s="7"/>
      <c r="K622" s="7"/>
    </row>
    <row r="623" spans="1:11" ht="13.2" x14ac:dyDescent="0.25">
      <c r="A623" s="7"/>
      <c r="B623" s="7"/>
      <c r="C623" s="7"/>
      <c r="D623" s="7"/>
      <c r="E623" s="7"/>
      <c r="F623" s="7"/>
      <c r="G623" s="7"/>
      <c r="H623" s="7"/>
      <c r="I623" s="7"/>
      <c r="J623" s="7"/>
      <c r="K623" s="7"/>
    </row>
    <row r="624" spans="1:11" ht="13.2" x14ac:dyDescent="0.25">
      <c r="A624" s="7"/>
      <c r="B624" s="7"/>
      <c r="C624" s="7"/>
      <c r="D624" s="7"/>
      <c r="E624" s="7"/>
      <c r="F624" s="7"/>
      <c r="G624" s="7"/>
      <c r="H624" s="7"/>
      <c r="I624" s="7"/>
      <c r="J624" s="7"/>
      <c r="K624" s="7"/>
    </row>
    <row r="625" spans="1:11" ht="13.2" x14ac:dyDescent="0.25">
      <c r="A625" s="7"/>
      <c r="B625" s="7"/>
      <c r="C625" s="7"/>
      <c r="D625" s="7"/>
      <c r="E625" s="7"/>
      <c r="F625" s="7"/>
      <c r="G625" s="7"/>
      <c r="H625" s="7"/>
      <c r="I625" s="7"/>
      <c r="J625" s="7"/>
      <c r="K625" s="7"/>
    </row>
    <row r="626" spans="1:11" ht="13.2" x14ac:dyDescent="0.25">
      <c r="A626" s="7"/>
      <c r="B626" s="7"/>
      <c r="C626" s="7"/>
      <c r="D626" s="7"/>
      <c r="E626" s="7"/>
      <c r="F626" s="7"/>
      <c r="G626" s="7"/>
      <c r="H626" s="7"/>
      <c r="I626" s="7"/>
      <c r="J626" s="7"/>
      <c r="K626" s="7"/>
    </row>
    <row r="627" spans="1:11" ht="13.2" x14ac:dyDescent="0.25">
      <c r="A627" s="7"/>
      <c r="B627" s="7"/>
      <c r="C627" s="7"/>
      <c r="D627" s="7"/>
      <c r="E627" s="7"/>
      <c r="F627" s="7"/>
      <c r="G627" s="7"/>
      <c r="H627" s="7"/>
      <c r="I627" s="7"/>
      <c r="J627" s="7"/>
      <c r="K627" s="7"/>
    </row>
    <row r="628" spans="1:11" ht="13.2" x14ac:dyDescent="0.25">
      <c r="A628" s="7"/>
      <c r="B628" s="7"/>
      <c r="C628" s="7"/>
      <c r="D628" s="7"/>
      <c r="E628" s="7"/>
      <c r="F628" s="7"/>
      <c r="G628" s="7"/>
      <c r="H628" s="7"/>
      <c r="I628" s="7"/>
      <c r="J628" s="7"/>
      <c r="K628" s="7"/>
    </row>
    <row r="629" spans="1:11" ht="13.2" x14ac:dyDescent="0.25">
      <c r="A629" s="7"/>
      <c r="B629" s="7"/>
      <c r="C629" s="7"/>
      <c r="D629" s="7"/>
      <c r="E629" s="7"/>
      <c r="F629" s="7"/>
      <c r="G629" s="7"/>
      <c r="H629" s="7"/>
      <c r="I629" s="7"/>
      <c r="J629" s="7"/>
      <c r="K629" s="7"/>
    </row>
    <row r="630" spans="1:11" ht="13.2" x14ac:dyDescent="0.25">
      <c r="A630" s="7"/>
      <c r="B630" s="7"/>
      <c r="C630" s="7"/>
      <c r="D630" s="7"/>
      <c r="E630" s="7"/>
      <c r="F630" s="7"/>
      <c r="G630" s="7"/>
      <c r="H630" s="7"/>
      <c r="I630" s="7"/>
      <c r="J630" s="7"/>
      <c r="K630" s="7"/>
    </row>
    <row r="631" spans="1:11" ht="13.2" x14ac:dyDescent="0.25">
      <c r="A631" s="7"/>
      <c r="B631" s="7"/>
      <c r="C631" s="7"/>
      <c r="D631" s="7"/>
      <c r="E631" s="7"/>
      <c r="F631" s="7"/>
      <c r="G631" s="7"/>
      <c r="H631" s="7"/>
      <c r="I631" s="7"/>
      <c r="J631" s="7"/>
      <c r="K631" s="7"/>
    </row>
    <row r="632" spans="1:11" ht="13.2" x14ac:dyDescent="0.25">
      <c r="A632" s="7"/>
      <c r="B632" s="7"/>
      <c r="C632" s="7"/>
      <c r="D632" s="7"/>
      <c r="E632" s="7"/>
      <c r="F632" s="7"/>
      <c r="G632" s="7"/>
      <c r="H632" s="7"/>
      <c r="I632" s="7"/>
      <c r="J632" s="7"/>
      <c r="K632" s="7"/>
    </row>
    <row r="633" spans="1:11" ht="13.2" x14ac:dyDescent="0.25">
      <c r="A633" s="7"/>
      <c r="B633" s="7"/>
      <c r="C633" s="7"/>
      <c r="D633" s="7"/>
      <c r="E633" s="7"/>
      <c r="F633" s="7"/>
      <c r="G633" s="7"/>
      <c r="H633" s="7"/>
      <c r="I633" s="7"/>
      <c r="J633" s="7"/>
      <c r="K633" s="7"/>
    </row>
    <row r="634" spans="1:11" ht="13.2" x14ac:dyDescent="0.25">
      <c r="A634" s="7"/>
      <c r="B634" s="7"/>
      <c r="C634" s="7"/>
      <c r="D634" s="7"/>
      <c r="E634" s="7"/>
      <c r="F634" s="7"/>
      <c r="G634" s="7"/>
      <c r="H634" s="7"/>
      <c r="I634" s="7"/>
      <c r="J634" s="7"/>
      <c r="K634" s="7"/>
    </row>
    <row r="635" spans="1:11" ht="13.2" x14ac:dyDescent="0.25">
      <c r="A635" s="7"/>
      <c r="B635" s="7"/>
      <c r="C635" s="7"/>
      <c r="D635" s="7"/>
      <c r="E635" s="7"/>
      <c r="F635" s="7"/>
      <c r="G635" s="7"/>
      <c r="H635" s="7"/>
      <c r="I635" s="7"/>
      <c r="J635" s="7"/>
      <c r="K635" s="7"/>
    </row>
    <row r="636" spans="1:11" ht="13.2" x14ac:dyDescent="0.25">
      <c r="A636" s="7"/>
      <c r="B636" s="7"/>
      <c r="C636" s="7"/>
      <c r="D636" s="7"/>
      <c r="E636" s="7"/>
      <c r="F636" s="7"/>
      <c r="G636" s="7"/>
      <c r="H636" s="7"/>
      <c r="I636" s="7"/>
      <c r="J636" s="7"/>
      <c r="K636" s="7"/>
    </row>
    <row r="637" spans="1:11" ht="13.2" x14ac:dyDescent="0.25">
      <c r="A637" s="7"/>
      <c r="B637" s="7"/>
      <c r="C637" s="7"/>
      <c r="D637" s="7"/>
      <c r="E637" s="7"/>
      <c r="F637" s="7"/>
      <c r="G637" s="7"/>
      <c r="H637" s="7"/>
      <c r="I637" s="7"/>
      <c r="J637" s="7"/>
      <c r="K637" s="7"/>
    </row>
    <row r="638" spans="1:11" ht="13.2" x14ac:dyDescent="0.25">
      <c r="A638" s="7"/>
      <c r="B638" s="7"/>
      <c r="C638" s="7"/>
      <c r="D638" s="7"/>
      <c r="E638" s="7"/>
      <c r="F638" s="7"/>
      <c r="G638" s="7"/>
      <c r="H638" s="7"/>
      <c r="I638" s="7"/>
      <c r="J638" s="7"/>
      <c r="K638" s="7"/>
    </row>
    <row r="639" spans="1:11" ht="13.2" x14ac:dyDescent="0.25">
      <c r="A639" s="7"/>
      <c r="B639" s="7"/>
      <c r="C639" s="7"/>
      <c r="D639" s="7"/>
      <c r="E639" s="7"/>
      <c r="F639" s="7"/>
      <c r="G639" s="7"/>
      <c r="H639" s="7"/>
      <c r="I639" s="7"/>
      <c r="J639" s="7"/>
      <c r="K639" s="7"/>
    </row>
    <row r="640" spans="1:11" ht="13.2" x14ac:dyDescent="0.25">
      <c r="A640" s="7"/>
      <c r="B640" s="7"/>
      <c r="C640" s="7"/>
      <c r="D640" s="7"/>
      <c r="E640" s="7"/>
      <c r="F640" s="7"/>
      <c r="G640" s="7"/>
      <c r="H640" s="7"/>
      <c r="I640" s="7"/>
      <c r="J640" s="7"/>
      <c r="K640" s="7"/>
    </row>
    <row r="641" spans="1:11" ht="13.2" x14ac:dyDescent="0.25">
      <c r="A641" s="7"/>
      <c r="B641" s="7"/>
      <c r="C641" s="7"/>
      <c r="D641" s="7"/>
      <c r="E641" s="7"/>
      <c r="F641" s="7"/>
      <c r="G641" s="7"/>
      <c r="H641" s="7"/>
      <c r="I641" s="7"/>
      <c r="J641" s="7"/>
      <c r="K641" s="7"/>
    </row>
    <row r="642" spans="1:11" ht="13.2" x14ac:dyDescent="0.25">
      <c r="A642" s="7"/>
      <c r="B642" s="7"/>
      <c r="C642" s="7"/>
      <c r="D642" s="7"/>
      <c r="E642" s="7"/>
      <c r="F642" s="7"/>
      <c r="G642" s="7"/>
      <c r="H642" s="7"/>
      <c r="I642" s="7"/>
      <c r="J642" s="7"/>
      <c r="K642" s="7"/>
    </row>
    <row r="643" spans="1:11" ht="13.2" x14ac:dyDescent="0.25">
      <c r="A643" s="7"/>
      <c r="B643" s="7"/>
      <c r="C643" s="7"/>
      <c r="D643" s="7"/>
      <c r="E643" s="7"/>
      <c r="F643" s="7"/>
      <c r="G643" s="7"/>
      <c r="H643" s="7"/>
      <c r="I643" s="7"/>
      <c r="J643" s="7"/>
      <c r="K643" s="7"/>
    </row>
    <row r="644" spans="1:11" ht="13.2" x14ac:dyDescent="0.25">
      <c r="A644" s="7"/>
      <c r="B644" s="7"/>
      <c r="C644" s="7"/>
      <c r="D644" s="7"/>
      <c r="E644" s="7"/>
      <c r="F644" s="7"/>
      <c r="G644" s="7"/>
      <c r="H644" s="7"/>
      <c r="I644" s="7"/>
      <c r="J644" s="7"/>
      <c r="K644" s="7"/>
    </row>
    <row r="645" spans="1:11" ht="13.2" x14ac:dyDescent="0.25">
      <c r="A645" s="7"/>
      <c r="B645" s="7"/>
      <c r="C645" s="7"/>
      <c r="D645" s="7"/>
      <c r="E645" s="7"/>
      <c r="F645" s="7"/>
      <c r="G645" s="7"/>
      <c r="H645" s="7"/>
      <c r="I645" s="7"/>
      <c r="J645" s="7"/>
      <c r="K645" s="7"/>
    </row>
    <row r="646" spans="1:11" ht="13.2" x14ac:dyDescent="0.25">
      <c r="A646" s="7"/>
      <c r="B646" s="7"/>
      <c r="C646" s="7"/>
      <c r="D646" s="7"/>
      <c r="E646" s="7"/>
      <c r="F646" s="7"/>
      <c r="G646" s="7"/>
      <c r="H646" s="7"/>
      <c r="I646" s="7"/>
      <c r="J646" s="7"/>
      <c r="K646" s="7"/>
    </row>
    <row r="647" spans="1:11" ht="13.2" x14ac:dyDescent="0.25">
      <c r="A647" s="7"/>
      <c r="B647" s="7"/>
      <c r="C647" s="7"/>
      <c r="D647" s="7"/>
      <c r="E647" s="7"/>
      <c r="F647" s="7"/>
      <c r="G647" s="7"/>
      <c r="H647" s="7"/>
      <c r="I647" s="7"/>
      <c r="J647" s="7"/>
      <c r="K647" s="7"/>
    </row>
    <row r="648" spans="1:11" ht="13.2" x14ac:dyDescent="0.25">
      <c r="A648" s="7"/>
      <c r="B648" s="7"/>
      <c r="C648" s="7"/>
      <c r="D648" s="7"/>
      <c r="E648" s="7"/>
      <c r="F648" s="7"/>
      <c r="G648" s="7"/>
      <c r="H648" s="7"/>
      <c r="I648" s="7"/>
      <c r="J648" s="7"/>
      <c r="K648" s="7"/>
    </row>
    <row r="649" spans="1:11" ht="13.2" x14ac:dyDescent="0.25">
      <c r="A649" s="7"/>
      <c r="B649" s="7"/>
      <c r="C649" s="7"/>
      <c r="D649" s="7"/>
      <c r="E649" s="7"/>
      <c r="F649" s="7"/>
      <c r="G649" s="7"/>
      <c r="H649" s="7"/>
      <c r="I649" s="7"/>
      <c r="J649" s="7"/>
      <c r="K649" s="7"/>
    </row>
    <row r="650" spans="1:11" ht="13.2" x14ac:dyDescent="0.25">
      <c r="A650" s="7"/>
      <c r="B650" s="7"/>
      <c r="C650" s="7"/>
      <c r="D650" s="7"/>
      <c r="E650" s="7"/>
      <c r="F650" s="7"/>
      <c r="G650" s="7"/>
      <c r="H650" s="7"/>
      <c r="I650" s="7"/>
      <c r="J650" s="7"/>
      <c r="K650" s="7"/>
    </row>
    <row r="651" spans="1:11" ht="13.2" x14ac:dyDescent="0.25">
      <c r="A651" s="7"/>
      <c r="B651" s="7"/>
      <c r="C651" s="7"/>
      <c r="D651" s="7"/>
      <c r="E651" s="7"/>
      <c r="F651" s="7"/>
      <c r="G651" s="7"/>
      <c r="H651" s="7"/>
      <c r="I651" s="7"/>
      <c r="J651" s="7"/>
      <c r="K651" s="7"/>
    </row>
    <row r="652" spans="1:11" ht="13.2" x14ac:dyDescent="0.25">
      <c r="A652" s="7"/>
      <c r="B652" s="7"/>
      <c r="C652" s="7"/>
      <c r="D652" s="7"/>
      <c r="E652" s="7"/>
      <c r="F652" s="7"/>
      <c r="G652" s="7"/>
      <c r="H652" s="7"/>
      <c r="I652" s="7"/>
      <c r="J652" s="7"/>
      <c r="K652" s="7"/>
    </row>
    <row r="653" spans="1:11" ht="13.2" x14ac:dyDescent="0.25">
      <c r="A653" s="7"/>
      <c r="B653" s="7"/>
      <c r="C653" s="7"/>
      <c r="D653" s="7"/>
      <c r="E653" s="7"/>
      <c r="F653" s="7"/>
      <c r="G653" s="7"/>
      <c r="H653" s="7"/>
      <c r="I653" s="7"/>
      <c r="J653" s="7"/>
      <c r="K653" s="7"/>
    </row>
    <row r="654" spans="1:11" ht="13.2" x14ac:dyDescent="0.25">
      <c r="A654" s="7"/>
      <c r="B654" s="7"/>
      <c r="C654" s="7"/>
      <c r="D654" s="7"/>
      <c r="E654" s="7"/>
      <c r="F654" s="7"/>
      <c r="G654" s="7"/>
      <c r="H654" s="7"/>
      <c r="I654" s="7"/>
      <c r="J654" s="7"/>
      <c r="K654" s="7"/>
    </row>
    <row r="655" spans="1:11" ht="13.2" x14ac:dyDescent="0.25">
      <c r="A655" s="7"/>
      <c r="B655" s="7"/>
      <c r="C655" s="7"/>
      <c r="D655" s="7"/>
      <c r="E655" s="7"/>
      <c r="F655" s="7"/>
      <c r="G655" s="7"/>
      <c r="H655" s="7"/>
      <c r="I655" s="7"/>
      <c r="J655" s="7"/>
      <c r="K655" s="7"/>
    </row>
    <row r="656" spans="1:11" ht="13.2" x14ac:dyDescent="0.25">
      <c r="A656" s="7"/>
      <c r="B656" s="7"/>
      <c r="C656" s="7"/>
      <c r="D656" s="7"/>
      <c r="E656" s="7"/>
      <c r="F656" s="7"/>
      <c r="G656" s="7"/>
      <c r="H656" s="7"/>
      <c r="I656" s="7"/>
      <c r="J656" s="7"/>
      <c r="K656" s="7"/>
    </row>
    <row r="657" spans="1:11" ht="13.2" x14ac:dyDescent="0.25">
      <c r="A657" s="7"/>
      <c r="B657" s="7"/>
      <c r="C657" s="7"/>
      <c r="D657" s="7"/>
      <c r="E657" s="7"/>
      <c r="F657" s="7"/>
      <c r="G657" s="7"/>
      <c r="H657" s="7"/>
      <c r="I657" s="7"/>
      <c r="J657" s="7"/>
      <c r="K657" s="7"/>
    </row>
    <row r="658" spans="1:11" ht="13.2" x14ac:dyDescent="0.25">
      <c r="A658" s="7"/>
      <c r="B658" s="7"/>
      <c r="C658" s="7"/>
      <c r="D658" s="7"/>
      <c r="E658" s="7"/>
      <c r="F658" s="7"/>
      <c r="G658" s="7"/>
      <c r="H658" s="7"/>
      <c r="I658" s="7"/>
      <c r="J658" s="7"/>
      <c r="K658" s="7"/>
    </row>
    <row r="659" spans="1:11" ht="13.2" x14ac:dyDescent="0.25">
      <c r="A659" s="7"/>
      <c r="B659" s="7"/>
      <c r="C659" s="7"/>
      <c r="D659" s="7"/>
      <c r="E659" s="7"/>
      <c r="F659" s="7"/>
      <c r="G659" s="7"/>
      <c r="H659" s="7"/>
      <c r="I659" s="7"/>
      <c r="J659" s="7"/>
      <c r="K659" s="7"/>
    </row>
    <row r="660" spans="1:11" ht="13.2" x14ac:dyDescent="0.25">
      <c r="A660" s="7"/>
      <c r="B660" s="7"/>
      <c r="C660" s="7"/>
      <c r="D660" s="7"/>
      <c r="E660" s="7"/>
      <c r="F660" s="7"/>
      <c r="G660" s="7"/>
      <c r="H660" s="7"/>
      <c r="I660" s="7"/>
      <c r="J660" s="7"/>
      <c r="K660" s="7"/>
    </row>
    <row r="661" spans="1:11" ht="13.2" x14ac:dyDescent="0.25">
      <c r="A661" s="7"/>
      <c r="B661" s="7"/>
      <c r="C661" s="7"/>
      <c r="D661" s="7"/>
      <c r="E661" s="7"/>
      <c r="F661" s="7"/>
      <c r="G661" s="7"/>
      <c r="H661" s="7"/>
      <c r="I661" s="7"/>
      <c r="J661" s="7"/>
      <c r="K661" s="7"/>
    </row>
    <row r="662" spans="1:11" ht="13.2" x14ac:dyDescent="0.25">
      <c r="A662" s="7"/>
      <c r="B662" s="7"/>
      <c r="C662" s="7"/>
      <c r="D662" s="7"/>
      <c r="E662" s="7"/>
      <c r="F662" s="7"/>
      <c r="G662" s="7"/>
      <c r="H662" s="7"/>
      <c r="I662" s="7"/>
      <c r="J662" s="7"/>
      <c r="K662" s="7"/>
    </row>
    <row r="663" spans="1:11" ht="13.2" x14ac:dyDescent="0.25">
      <c r="A663" s="7"/>
      <c r="B663" s="7"/>
      <c r="C663" s="7"/>
      <c r="D663" s="7"/>
      <c r="E663" s="7"/>
      <c r="F663" s="7"/>
      <c r="G663" s="7"/>
      <c r="H663" s="7"/>
      <c r="I663" s="7"/>
      <c r="J663" s="7"/>
      <c r="K663" s="7"/>
    </row>
    <row r="664" spans="1:11" ht="13.2" x14ac:dyDescent="0.25">
      <c r="A664" s="7"/>
      <c r="B664" s="7"/>
      <c r="C664" s="7"/>
      <c r="D664" s="7"/>
      <c r="E664" s="7"/>
      <c r="F664" s="7"/>
      <c r="G664" s="7"/>
      <c r="H664" s="7"/>
      <c r="I664" s="7"/>
      <c r="J664" s="7"/>
      <c r="K664" s="7"/>
    </row>
    <row r="665" spans="1:11" ht="13.2" x14ac:dyDescent="0.25">
      <c r="A665" s="7"/>
      <c r="B665" s="7"/>
      <c r="C665" s="7"/>
      <c r="D665" s="7"/>
      <c r="E665" s="7"/>
      <c r="F665" s="7"/>
      <c r="G665" s="7"/>
      <c r="H665" s="7"/>
      <c r="I665" s="7"/>
      <c r="J665" s="7"/>
      <c r="K665" s="7"/>
    </row>
    <row r="666" spans="1:11" ht="13.2" x14ac:dyDescent="0.25">
      <c r="A666" s="7"/>
      <c r="B666" s="7"/>
      <c r="C666" s="7"/>
      <c r="D666" s="7"/>
      <c r="E666" s="7"/>
      <c r="F666" s="7"/>
      <c r="G666" s="7"/>
      <c r="H666" s="7"/>
      <c r="I666" s="7"/>
      <c r="J666" s="7"/>
      <c r="K666" s="7"/>
    </row>
    <row r="667" spans="1:11" ht="13.2" x14ac:dyDescent="0.25">
      <c r="A667" s="7"/>
      <c r="B667" s="7"/>
      <c r="C667" s="7"/>
      <c r="D667" s="7"/>
      <c r="E667" s="7"/>
      <c r="F667" s="7"/>
      <c r="G667" s="7"/>
      <c r="H667" s="7"/>
      <c r="I667" s="7"/>
      <c r="J667" s="7"/>
      <c r="K667" s="7"/>
    </row>
    <row r="668" spans="1:11" ht="13.2" x14ac:dyDescent="0.25">
      <c r="A668" s="7"/>
      <c r="B668" s="7"/>
      <c r="C668" s="7"/>
      <c r="D668" s="7"/>
      <c r="E668" s="7"/>
      <c r="F668" s="7"/>
      <c r="G668" s="7"/>
      <c r="H668" s="7"/>
      <c r="I668" s="7"/>
      <c r="J668" s="7"/>
      <c r="K668" s="7"/>
    </row>
    <row r="669" spans="1:11" ht="13.2" x14ac:dyDescent="0.25">
      <c r="A669" s="7"/>
      <c r="B669" s="7"/>
      <c r="C669" s="7"/>
      <c r="D669" s="7"/>
      <c r="E669" s="7"/>
      <c r="F669" s="7"/>
      <c r="G669" s="7"/>
      <c r="H669" s="7"/>
      <c r="I669" s="7"/>
      <c r="J669" s="7"/>
      <c r="K669" s="7"/>
    </row>
    <row r="670" spans="1:11" ht="13.2" x14ac:dyDescent="0.25">
      <c r="A670" s="7"/>
      <c r="B670" s="7"/>
      <c r="C670" s="7"/>
      <c r="D670" s="7"/>
      <c r="E670" s="7"/>
      <c r="F670" s="7"/>
      <c r="G670" s="7"/>
      <c r="H670" s="7"/>
      <c r="I670" s="7"/>
      <c r="J670" s="7"/>
      <c r="K670" s="7"/>
    </row>
    <row r="671" spans="1:11" ht="13.2" x14ac:dyDescent="0.25">
      <c r="A671" s="7"/>
      <c r="B671" s="7"/>
      <c r="C671" s="7"/>
      <c r="D671" s="7"/>
      <c r="E671" s="7"/>
      <c r="F671" s="7"/>
      <c r="G671" s="7"/>
      <c r="H671" s="7"/>
      <c r="I671" s="7"/>
      <c r="J671" s="7"/>
      <c r="K671" s="7"/>
    </row>
    <row r="672" spans="1:11" ht="13.2" x14ac:dyDescent="0.25">
      <c r="A672" s="7"/>
      <c r="B672" s="7"/>
      <c r="C672" s="7"/>
      <c r="D672" s="7"/>
      <c r="E672" s="7"/>
      <c r="F672" s="7"/>
      <c r="G672" s="7"/>
      <c r="H672" s="7"/>
      <c r="I672" s="7"/>
      <c r="J672" s="7"/>
      <c r="K672" s="7"/>
    </row>
    <row r="673" spans="1:11" ht="13.2" x14ac:dyDescent="0.25">
      <c r="A673" s="7"/>
      <c r="B673" s="7"/>
      <c r="C673" s="7"/>
      <c r="D673" s="7"/>
      <c r="E673" s="7"/>
      <c r="F673" s="7"/>
      <c r="G673" s="7"/>
      <c r="H673" s="7"/>
      <c r="I673" s="7"/>
      <c r="J673" s="7"/>
      <c r="K673" s="7"/>
    </row>
    <row r="674" spans="1:11" ht="13.2" x14ac:dyDescent="0.25">
      <c r="A674" s="7"/>
      <c r="B674" s="7"/>
      <c r="C674" s="7"/>
      <c r="D674" s="7"/>
      <c r="E674" s="7"/>
      <c r="F674" s="7"/>
      <c r="G674" s="7"/>
      <c r="H674" s="7"/>
      <c r="I674" s="7"/>
      <c r="J674" s="7"/>
      <c r="K674" s="7"/>
    </row>
    <row r="675" spans="1:11" ht="13.2" x14ac:dyDescent="0.25">
      <c r="A675" s="7"/>
      <c r="B675" s="7"/>
      <c r="C675" s="7"/>
      <c r="D675" s="7"/>
      <c r="E675" s="7"/>
      <c r="F675" s="7"/>
      <c r="G675" s="7"/>
      <c r="H675" s="7"/>
      <c r="I675" s="7"/>
      <c r="J675" s="7"/>
      <c r="K675" s="7"/>
    </row>
    <row r="676" spans="1:11" ht="13.2" x14ac:dyDescent="0.25">
      <c r="A676" s="7"/>
      <c r="B676" s="7"/>
      <c r="C676" s="7"/>
      <c r="D676" s="7"/>
      <c r="E676" s="7"/>
      <c r="F676" s="7"/>
      <c r="G676" s="7"/>
      <c r="H676" s="7"/>
      <c r="I676" s="7"/>
      <c r="J676" s="7"/>
      <c r="K676" s="7"/>
    </row>
    <row r="677" spans="1:11" ht="13.2" x14ac:dyDescent="0.25">
      <c r="A677" s="7"/>
      <c r="B677" s="7"/>
      <c r="C677" s="7"/>
      <c r="D677" s="7"/>
      <c r="E677" s="7"/>
      <c r="F677" s="7"/>
      <c r="G677" s="7"/>
      <c r="H677" s="7"/>
      <c r="I677" s="7"/>
      <c r="J677" s="7"/>
      <c r="K677" s="7"/>
    </row>
    <row r="678" spans="1:11" ht="13.2" x14ac:dyDescent="0.25">
      <c r="A678" s="7"/>
      <c r="B678" s="7"/>
      <c r="C678" s="7"/>
      <c r="D678" s="7"/>
      <c r="E678" s="7"/>
      <c r="F678" s="7"/>
      <c r="G678" s="7"/>
      <c r="H678" s="7"/>
      <c r="I678" s="7"/>
      <c r="J678" s="7"/>
      <c r="K678" s="7"/>
    </row>
    <row r="679" spans="1:11" ht="13.2" x14ac:dyDescent="0.25">
      <c r="A679" s="7"/>
      <c r="B679" s="7"/>
      <c r="C679" s="7"/>
      <c r="D679" s="7"/>
      <c r="E679" s="7"/>
      <c r="F679" s="7"/>
      <c r="G679" s="7"/>
      <c r="H679" s="7"/>
      <c r="I679" s="7"/>
      <c r="J679" s="7"/>
      <c r="K679" s="7"/>
    </row>
    <row r="680" spans="1:11" ht="13.2" x14ac:dyDescent="0.25">
      <c r="A680" s="7"/>
      <c r="B680" s="7"/>
      <c r="C680" s="7"/>
      <c r="D680" s="7"/>
      <c r="E680" s="7"/>
      <c r="F680" s="7"/>
      <c r="G680" s="7"/>
      <c r="H680" s="7"/>
      <c r="I680" s="7"/>
      <c r="J680" s="7"/>
      <c r="K680" s="7"/>
    </row>
    <row r="681" spans="1:11" ht="13.2" x14ac:dyDescent="0.25">
      <c r="A681" s="7"/>
      <c r="B681" s="7"/>
      <c r="C681" s="7"/>
      <c r="D681" s="7"/>
      <c r="E681" s="7"/>
      <c r="F681" s="7"/>
      <c r="G681" s="7"/>
      <c r="H681" s="7"/>
      <c r="I681" s="7"/>
      <c r="J681" s="7"/>
      <c r="K681" s="7"/>
    </row>
    <row r="682" spans="1:11" ht="13.2" x14ac:dyDescent="0.25">
      <c r="A682" s="7"/>
      <c r="B682" s="7"/>
      <c r="C682" s="7"/>
      <c r="D682" s="7"/>
      <c r="E682" s="7"/>
      <c r="F682" s="7"/>
      <c r="G682" s="7"/>
      <c r="H682" s="7"/>
      <c r="I682" s="7"/>
      <c r="J682" s="7"/>
      <c r="K682" s="7"/>
    </row>
    <row r="683" spans="1:11" ht="13.2" x14ac:dyDescent="0.25">
      <c r="A683" s="7"/>
      <c r="B683" s="7"/>
      <c r="C683" s="7"/>
      <c r="D683" s="7"/>
      <c r="E683" s="7"/>
      <c r="F683" s="7"/>
      <c r="G683" s="7"/>
      <c r="H683" s="7"/>
      <c r="I683" s="7"/>
      <c r="J683" s="7"/>
      <c r="K683" s="7"/>
    </row>
    <row r="684" spans="1:11" ht="13.2" x14ac:dyDescent="0.25">
      <c r="A684" s="7"/>
      <c r="B684" s="7"/>
      <c r="C684" s="7"/>
      <c r="D684" s="7"/>
      <c r="E684" s="7"/>
      <c r="F684" s="7"/>
      <c r="G684" s="7"/>
      <c r="H684" s="7"/>
      <c r="I684" s="7"/>
      <c r="J684" s="7"/>
      <c r="K684" s="7"/>
    </row>
    <row r="685" spans="1:11" ht="13.2" x14ac:dyDescent="0.25">
      <c r="A685" s="7"/>
      <c r="B685" s="7"/>
      <c r="C685" s="7"/>
      <c r="D685" s="7"/>
      <c r="E685" s="7"/>
      <c r="F685" s="7"/>
      <c r="G685" s="7"/>
      <c r="H685" s="7"/>
      <c r="I685" s="7"/>
      <c r="J685" s="7"/>
      <c r="K685" s="7"/>
    </row>
    <row r="686" spans="1:11" ht="13.2" x14ac:dyDescent="0.25">
      <c r="A686" s="7"/>
      <c r="B686" s="7"/>
      <c r="C686" s="7"/>
      <c r="D686" s="7"/>
      <c r="E686" s="7"/>
      <c r="F686" s="7"/>
      <c r="G686" s="7"/>
      <c r="H686" s="7"/>
      <c r="I686" s="7"/>
      <c r="J686" s="7"/>
      <c r="K686" s="7"/>
    </row>
    <row r="687" spans="1:11" ht="13.2" x14ac:dyDescent="0.25">
      <c r="A687" s="7"/>
      <c r="B687" s="7"/>
      <c r="C687" s="7"/>
      <c r="D687" s="7"/>
      <c r="E687" s="7"/>
      <c r="F687" s="7"/>
      <c r="G687" s="7"/>
      <c r="H687" s="7"/>
      <c r="I687" s="7"/>
      <c r="J687" s="7"/>
      <c r="K687" s="7"/>
    </row>
    <row r="688" spans="1:11" ht="13.2" x14ac:dyDescent="0.25">
      <c r="A688" s="7"/>
      <c r="B688" s="7"/>
      <c r="C688" s="7"/>
      <c r="D688" s="7"/>
      <c r="E688" s="7"/>
      <c r="F688" s="7"/>
      <c r="G688" s="7"/>
      <c r="H688" s="7"/>
      <c r="I688" s="7"/>
      <c r="J688" s="7"/>
      <c r="K688" s="7"/>
    </row>
    <row r="689" spans="1:11" ht="13.2" x14ac:dyDescent="0.25">
      <c r="A689" s="7"/>
      <c r="B689" s="7"/>
      <c r="C689" s="7"/>
      <c r="D689" s="7"/>
      <c r="E689" s="7"/>
      <c r="F689" s="7"/>
      <c r="G689" s="7"/>
      <c r="H689" s="7"/>
      <c r="I689" s="7"/>
      <c r="J689" s="7"/>
      <c r="K689" s="7"/>
    </row>
    <row r="690" spans="1:11" ht="13.2" x14ac:dyDescent="0.25">
      <c r="A690" s="7"/>
      <c r="B690" s="7"/>
      <c r="C690" s="7"/>
      <c r="D690" s="7"/>
      <c r="E690" s="7"/>
      <c r="F690" s="7"/>
      <c r="G690" s="7"/>
      <c r="H690" s="7"/>
      <c r="I690" s="7"/>
      <c r="J690" s="7"/>
      <c r="K690" s="7"/>
    </row>
    <row r="691" spans="1:11" ht="13.2" x14ac:dyDescent="0.25">
      <c r="A691" s="7"/>
      <c r="B691" s="7"/>
      <c r="C691" s="7"/>
      <c r="D691" s="7"/>
      <c r="E691" s="7"/>
      <c r="F691" s="7"/>
      <c r="G691" s="7"/>
      <c r="H691" s="7"/>
      <c r="I691" s="7"/>
      <c r="J691" s="7"/>
      <c r="K691" s="7"/>
    </row>
    <row r="692" spans="1:11" ht="13.2" x14ac:dyDescent="0.25">
      <c r="A692" s="7"/>
      <c r="B692" s="7"/>
      <c r="C692" s="7"/>
      <c r="D692" s="7"/>
      <c r="E692" s="7"/>
      <c r="F692" s="7"/>
      <c r="G692" s="7"/>
      <c r="H692" s="7"/>
      <c r="I692" s="7"/>
      <c r="J692" s="7"/>
      <c r="K692" s="7"/>
    </row>
    <row r="693" spans="1:11" ht="13.2" x14ac:dyDescent="0.25">
      <c r="A693" s="7"/>
      <c r="B693" s="7"/>
      <c r="C693" s="7"/>
      <c r="D693" s="7"/>
      <c r="E693" s="7"/>
      <c r="F693" s="7"/>
      <c r="G693" s="7"/>
      <c r="H693" s="7"/>
      <c r="I693" s="7"/>
      <c r="J693" s="7"/>
      <c r="K693" s="7"/>
    </row>
    <row r="694" spans="1:11" ht="13.2" x14ac:dyDescent="0.25">
      <c r="A694" s="7"/>
      <c r="B694" s="7"/>
      <c r="C694" s="7"/>
      <c r="D694" s="7"/>
      <c r="E694" s="7"/>
      <c r="F694" s="7"/>
      <c r="G694" s="7"/>
      <c r="H694" s="7"/>
      <c r="I694" s="7"/>
      <c r="J694" s="7"/>
      <c r="K694" s="7"/>
    </row>
    <row r="695" spans="1:11" ht="13.2" x14ac:dyDescent="0.25">
      <c r="A695" s="7"/>
      <c r="B695" s="7"/>
      <c r="C695" s="7"/>
      <c r="D695" s="7"/>
      <c r="E695" s="7"/>
      <c r="F695" s="7"/>
      <c r="G695" s="7"/>
      <c r="H695" s="7"/>
      <c r="I695" s="7"/>
      <c r="J695" s="7"/>
      <c r="K695" s="7"/>
    </row>
    <row r="696" spans="1:11" ht="13.2" x14ac:dyDescent="0.25">
      <c r="A696" s="7"/>
      <c r="B696" s="7"/>
      <c r="C696" s="7"/>
      <c r="D696" s="7"/>
      <c r="E696" s="7"/>
      <c r="F696" s="7"/>
      <c r="G696" s="7"/>
      <c r="H696" s="7"/>
      <c r="I696" s="7"/>
      <c r="J696" s="7"/>
      <c r="K696" s="7"/>
    </row>
    <row r="697" spans="1:11" ht="13.2" x14ac:dyDescent="0.25">
      <c r="A697" s="7"/>
      <c r="B697" s="7"/>
      <c r="C697" s="7"/>
      <c r="D697" s="7"/>
      <c r="E697" s="7"/>
      <c r="F697" s="7"/>
      <c r="G697" s="7"/>
      <c r="H697" s="7"/>
      <c r="I697" s="7"/>
      <c r="J697" s="7"/>
      <c r="K697" s="7"/>
    </row>
    <row r="698" spans="1:11" ht="13.2" x14ac:dyDescent="0.25">
      <c r="A698" s="7"/>
      <c r="B698" s="7"/>
      <c r="C698" s="7"/>
      <c r="D698" s="7"/>
      <c r="E698" s="7"/>
      <c r="F698" s="7"/>
      <c r="G698" s="7"/>
      <c r="H698" s="7"/>
      <c r="I698" s="7"/>
      <c r="J698" s="7"/>
      <c r="K698" s="7"/>
    </row>
    <row r="699" spans="1:11" ht="13.2" x14ac:dyDescent="0.25">
      <c r="A699" s="7"/>
      <c r="B699" s="7"/>
      <c r="C699" s="7"/>
      <c r="D699" s="7"/>
      <c r="E699" s="7"/>
      <c r="F699" s="7"/>
      <c r="G699" s="7"/>
      <c r="H699" s="7"/>
      <c r="I699" s="7"/>
      <c r="J699" s="7"/>
      <c r="K699" s="7"/>
    </row>
    <row r="700" spans="1:11" ht="13.2" x14ac:dyDescent="0.25">
      <c r="A700" s="7"/>
      <c r="B700" s="7"/>
      <c r="C700" s="7"/>
      <c r="D700" s="7"/>
      <c r="E700" s="7"/>
      <c r="F700" s="7"/>
      <c r="G700" s="7"/>
      <c r="H700" s="7"/>
      <c r="I700" s="7"/>
      <c r="J700" s="7"/>
      <c r="K700" s="7"/>
    </row>
    <row r="701" spans="1:11" ht="13.2" x14ac:dyDescent="0.25">
      <c r="A701" s="7"/>
      <c r="B701" s="7"/>
      <c r="C701" s="7"/>
      <c r="D701" s="7"/>
      <c r="E701" s="7"/>
      <c r="F701" s="7"/>
      <c r="G701" s="7"/>
      <c r="H701" s="7"/>
      <c r="I701" s="7"/>
      <c r="J701" s="7"/>
      <c r="K701" s="7"/>
    </row>
    <row r="702" spans="1:11" ht="13.2" x14ac:dyDescent="0.25">
      <c r="A702" s="7"/>
      <c r="B702" s="7"/>
      <c r="C702" s="7"/>
      <c r="D702" s="7"/>
      <c r="E702" s="7"/>
      <c r="F702" s="7"/>
      <c r="G702" s="7"/>
      <c r="H702" s="7"/>
      <c r="I702" s="7"/>
      <c r="J702" s="7"/>
      <c r="K702" s="7"/>
    </row>
    <row r="703" spans="1:11" ht="13.2" x14ac:dyDescent="0.25">
      <c r="A703" s="7"/>
      <c r="B703" s="7"/>
      <c r="C703" s="7"/>
      <c r="D703" s="7"/>
      <c r="E703" s="7"/>
      <c r="F703" s="7"/>
      <c r="G703" s="7"/>
      <c r="H703" s="7"/>
      <c r="I703" s="7"/>
      <c r="J703" s="7"/>
      <c r="K703" s="7"/>
    </row>
    <row r="704" spans="1:11" ht="13.2" x14ac:dyDescent="0.25">
      <c r="A704" s="7"/>
      <c r="B704" s="7"/>
      <c r="C704" s="7"/>
      <c r="D704" s="7"/>
      <c r="E704" s="7"/>
      <c r="F704" s="7"/>
      <c r="G704" s="7"/>
      <c r="H704" s="7"/>
      <c r="I704" s="7"/>
      <c r="J704" s="7"/>
      <c r="K704" s="7"/>
    </row>
    <row r="705" spans="1:11" ht="13.2" x14ac:dyDescent="0.25">
      <c r="A705" s="7"/>
      <c r="B705" s="7"/>
      <c r="C705" s="7"/>
      <c r="D705" s="7"/>
      <c r="E705" s="7"/>
      <c r="F705" s="7"/>
      <c r="G705" s="7"/>
      <c r="H705" s="7"/>
      <c r="I705" s="7"/>
      <c r="J705" s="7"/>
      <c r="K705" s="7"/>
    </row>
    <row r="706" spans="1:11" ht="13.2" x14ac:dyDescent="0.25">
      <c r="A706" s="7"/>
      <c r="B706" s="7"/>
      <c r="C706" s="7"/>
      <c r="D706" s="7"/>
      <c r="E706" s="7"/>
      <c r="F706" s="7"/>
      <c r="G706" s="7"/>
      <c r="H706" s="7"/>
      <c r="I706" s="7"/>
      <c r="J706" s="7"/>
      <c r="K706" s="7"/>
    </row>
    <row r="707" spans="1:11" ht="13.2" x14ac:dyDescent="0.25">
      <c r="A707" s="7"/>
      <c r="B707" s="7"/>
      <c r="C707" s="7"/>
      <c r="D707" s="7"/>
      <c r="E707" s="7"/>
      <c r="F707" s="7"/>
      <c r="G707" s="7"/>
      <c r="H707" s="7"/>
      <c r="I707" s="7"/>
      <c r="J707" s="7"/>
      <c r="K707" s="7"/>
    </row>
    <row r="708" spans="1:11" ht="13.2" x14ac:dyDescent="0.25">
      <c r="A708" s="7"/>
      <c r="B708" s="7"/>
      <c r="C708" s="7"/>
      <c r="D708" s="7"/>
      <c r="E708" s="7"/>
      <c r="F708" s="7"/>
      <c r="G708" s="7"/>
      <c r="H708" s="7"/>
      <c r="I708" s="7"/>
      <c r="J708" s="7"/>
      <c r="K708" s="7"/>
    </row>
    <row r="709" spans="1:11" ht="13.2" x14ac:dyDescent="0.25">
      <c r="A709" s="7"/>
      <c r="B709" s="7"/>
      <c r="C709" s="7"/>
      <c r="D709" s="7"/>
      <c r="E709" s="7"/>
      <c r="F709" s="7"/>
      <c r="G709" s="7"/>
      <c r="H709" s="7"/>
      <c r="I709" s="7"/>
      <c r="J709" s="7"/>
      <c r="K709" s="7"/>
    </row>
    <row r="710" spans="1:11" ht="13.2" x14ac:dyDescent="0.25">
      <c r="A710" s="7"/>
      <c r="B710" s="7"/>
      <c r="C710" s="7"/>
      <c r="D710" s="7"/>
      <c r="E710" s="7"/>
      <c r="F710" s="7"/>
      <c r="G710" s="7"/>
      <c r="H710" s="7"/>
      <c r="I710" s="7"/>
      <c r="J710" s="7"/>
      <c r="K710" s="7"/>
    </row>
    <row r="711" spans="1:11" ht="13.2" x14ac:dyDescent="0.25">
      <c r="A711" s="7"/>
      <c r="B711" s="7"/>
      <c r="C711" s="7"/>
      <c r="D711" s="7"/>
      <c r="E711" s="7"/>
      <c r="F711" s="7"/>
      <c r="G711" s="7"/>
      <c r="H711" s="7"/>
      <c r="I711" s="7"/>
      <c r="J711" s="7"/>
      <c r="K711" s="7"/>
    </row>
    <row r="712" spans="1:11" ht="13.2" x14ac:dyDescent="0.25">
      <c r="A712" s="7"/>
      <c r="B712" s="7"/>
      <c r="C712" s="7"/>
      <c r="D712" s="7"/>
      <c r="E712" s="7"/>
      <c r="F712" s="7"/>
      <c r="G712" s="7"/>
      <c r="H712" s="7"/>
      <c r="I712" s="7"/>
      <c r="J712" s="7"/>
      <c r="K712" s="7"/>
    </row>
    <row r="713" spans="1:11" ht="13.2" x14ac:dyDescent="0.25">
      <c r="A713" s="7"/>
      <c r="B713" s="7"/>
      <c r="C713" s="7"/>
      <c r="D713" s="7"/>
      <c r="E713" s="7"/>
      <c r="F713" s="7"/>
      <c r="G713" s="7"/>
      <c r="H713" s="7"/>
      <c r="I713" s="7"/>
      <c r="J713" s="7"/>
      <c r="K713" s="7"/>
    </row>
    <row r="714" spans="1:11" ht="13.2" x14ac:dyDescent="0.25">
      <c r="A714" s="7"/>
      <c r="B714" s="7"/>
      <c r="C714" s="7"/>
      <c r="D714" s="7"/>
      <c r="E714" s="7"/>
      <c r="F714" s="7"/>
      <c r="G714" s="7"/>
      <c r="H714" s="7"/>
      <c r="I714" s="7"/>
      <c r="J714" s="7"/>
      <c r="K714" s="7"/>
    </row>
    <row r="715" spans="1:11" ht="13.2" x14ac:dyDescent="0.25">
      <c r="A715" s="7"/>
      <c r="B715" s="7"/>
      <c r="C715" s="7"/>
      <c r="D715" s="7"/>
      <c r="E715" s="7"/>
      <c r="F715" s="7"/>
      <c r="G715" s="7"/>
      <c r="H715" s="7"/>
      <c r="I715" s="7"/>
      <c r="J715" s="7"/>
      <c r="K715" s="7"/>
    </row>
    <row r="716" spans="1:11" ht="13.2" x14ac:dyDescent="0.25">
      <c r="A716" s="7"/>
      <c r="B716" s="7"/>
      <c r="C716" s="7"/>
      <c r="D716" s="7"/>
      <c r="E716" s="7"/>
      <c r="F716" s="7"/>
      <c r="G716" s="7"/>
      <c r="H716" s="7"/>
      <c r="I716" s="7"/>
      <c r="J716" s="7"/>
      <c r="K716" s="7"/>
    </row>
    <row r="717" spans="1:11" ht="13.2" x14ac:dyDescent="0.25">
      <c r="A717" s="7"/>
      <c r="B717" s="7"/>
      <c r="C717" s="7"/>
      <c r="D717" s="7"/>
      <c r="E717" s="7"/>
      <c r="F717" s="7"/>
      <c r="G717" s="7"/>
      <c r="H717" s="7"/>
      <c r="I717" s="7"/>
      <c r="J717" s="7"/>
      <c r="K717" s="7"/>
    </row>
    <row r="718" spans="1:11" ht="13.2" x14ac:dyDescent="0.25">
      <c r="A718" s="7"/>
      <c r="B718" s="7"/>
      <c r="C718" s="7"/>
      <c r="D718" s="7"/>
      <c r="E718" s="7"/>
      <c r="F718" s="7"/>
      <c r="G718" s="7"/>
      <c r="H718" s="7"/>
      <c r="I718" s="7"/>
      <c r="J718" s="7"/>
      <c r="K718" s="7"/>
    </row>
    <row r="719" spans="1:11" ht="13.2" x14ac:dyDescent="0.25">
      <c r="A719" s="7"/>
      <c r="B719" s="7"/>
      <c r="C719" s="7"/>
      <c r="D719" s="7"/>
      <c r="E719" s="7"/>
      <c r="F719" s="7"/>
      <c r="G719" s="7"/>
      <c r="H719" s="7"/>
      <c r="I719" s="7"/>
      <c r="J719" s="7"/>
      <c r="K719" s="7"/>
    </row>
    <row r="720" spans="1:11" ht="13.2" x14ac:dyDescent="0.25">
      <c r="A720" s="7"/>
      <c r="B720" s="7"/>
      <c r="C720" s="7"/>
      <c r="D720" s="7"/>
      <c r="E720" s="7"/>
      <c r="F720" s="7"/>
      <c r="G720" s="7"/>
      <c r="H720" s="7"/>
      <c r="I720" s="7"/>
      <c r="J720" s="7"/>
      <c r="K720" s="7"/>
    </row>
    <row r="721" spans="1:11" ht="13.2" x14ac:dyDescent="0.25">
      <c r="A721" s="7"/>
      <c r="B721" s="7"/>
      <c r="C721" s="7"/>
      <c r="D721" s="7"/>
      <c r="E721" s="7"/>
      <c r="F721" s="7"/>
      <c r="G721" s="7"/>
      <c r="H721" s="7"/>
      <c r="I721" s="7"/>
      <c r="J721" s="7"/>
      <c r="K721" s="7"/>
    </row>
    <row r="722" spans="1:11" ht="13.2" x14ac:dyDescent="0.25">
      <c r="A722" s="7"/>
      <c r="B722" s="7"/>
      <c r="C722" s="7"/>
      <c r="D722" s="7"/>
      <c r="E722" s="7"/>
      <c r="F722" s="7"/>
      <c r="G722" s="7"/>
      <c r="H722" s="7"/>
      <c r="I722" s="7"/>
      <c r="J722" s="7"/>
      <c r="K722" s="7"/>
    </row>
    <row r="723" spans="1:11" ht="13.2" x14ac:dyDescent="0.25">
      <c r="A723" s="7"/>
      <c r="B723" s="7"/>
      <c r="C723" s="7"/>
      <c r="D723" s="7"/>
      <c r="E723" s="7"/>
      <c r="F723" s="7"/>
      <c r="G723" s="7"/>
      <c r="H723" s="7"/>
      <c r="I723" s="7"/>
      <c r="J723" s="7"/>
      <c r="K723" s="7"/>
    </row>
    <row r="724" spans="1:11" ht="13.2" x14ac:dyDescent="0.25">
      <c r="A724" s="7"/>
      <c r="B724" s="7"/>
      <c r="C724" s="7"/>
      <c r="D724" s="7"/>
      <c r="E724" s="7"/>
      <c r="F724" s="7"/>
      <c r="G724" s="7"/>
      <c r="H724" s="7"/>
      <c r="I724" s="7"/>
      <c r="J724" s="7"/>
      <c r="K724" s="7"/>
    </row>
    <row r="725" spans="1:11" ht="13.2" x14ac:dyDescent="0.25">
      <c r="A725" s="7"/>
      <c r="B725" s="7"/>
      <c r="C725" s="7"/>
      <c r="D725" s="7"/>
      <c r="E725" s="7"/>
      <c r="F725" s="7"/>
      <c r="G725" s="7"/>
      <c r="H725" s="7"/>
      <c r="I725" s="7"/>
      <c r="J725" s="7"/>
      <c r="K725" s="7"/>
    </row>
    <row r="726" spans="1:11" ht="13.2" x14ac:dyDescent="0.25">
      <c r="A726" s="7"/>
      <c r="B726" s="7"/>
      <c r="C726" s="7"/>
      <c r="D726" s="7"/>
      <c r="E726" s="7"/>
      <c r="F726" s="7"/>
      <c r="G726" s="7"/>
      <c r="H726" s="7"/>
      <c r="I726" s="7"/>
      <c r="J726" s="7"/>
      <c r="K726" s="7"/>
    </row>
    <row r="727" spans="1:11" ht="13.2" x14ac:dyDescent="0.25">
      <c r="A727" s="7"/>
      <c r="B727" s="7"/>
      <c r="C727" s="7"/>
      <c r="D727" s="7"/>
      <c r="E727" s="7"/>
      <c r="F727" s="7"/>
      <c r="G727" s="7"/>
      <c r="H727" s="7"/>
      <c r="I727" s="7"/>
      <c r="J727" s="7"/>
      <c r="K727" s="7"/>
    </row>
    <row r="728" spans="1:11" ht="13.2" x14ac:dyDescent="0.25">
      <c r="A728" s="7"/>
      <c r="B728" s="7"/>
      <c r="C728" s="7"/>
      <c r="D728" s="7"/>
      <c r="E728" s="7"/>
      <c r="F728" s="7"/>
      <c r="G728" s="7"/>
      <c r="H728" s="7"/>
      <c r="I728" s="7"/>
      <c r="J728" s="7"/>
      <c r="K728" s="7"/>
    </row>
    <row r="729" spans="1:11" ht="13.2" x14ac:dyDescent="0.25">
      <c r="A729" s="7"/>
      <c r="B729" s="7"/>
      <c r="C729" s="7"/>
      <c r="D729" s="7"/>
      <c r="E729" s="7"/>
      <c r="F729" s="7"/>
      <c r="G729" s="7"/>
      <c r="H729" s="7"/>
      <c r="I729" s="7"/>
      <c r="J729" s="7"/>
      <c r="K729" s="7"/>
    </row>
    <row r="730" spans="1:11" ht="13.2" x14ac:dyDescent="0.25">
      <c r="A730" s="7"/>
      <c r="B730" s="7"/>
      <c r="C730" s="7"/>
      <c r="D730" s="7"/>
      <c r="E730" s="7"/>
      <c r="F730" s="7"/>
      <c r="G730" s="7"/>
      <c r="H730" s="7"/>
      <c r="I730" s="7"/>
      <c r="J730" s="7"/>
      <c r="K730" s="7"/>
    </row>
    <row r="731" spans="1:11" ht="13.2" x14ac:dyDescent="0.25">
      <c r="A731" s="7"/>
      <c r="B731" s="7"/>
      <c r="C731" s="7"/>
      <c r="D731" s="7"/>
      <c r="E731" s="7"/>
      <c r="F731" s="7"/>
      <c r="G731" s="7"/>
      <c r="H731" s="7"/>
      <c r="I731" s="7"/>
      <c r="J731" s="7"/>
      <c r="K731" s="7"/>
    </row>
    <row r="732" spans="1:11" ht="13.2" x14ac:dyDescent="0.25">
      <c r="A732" s="7"/>
      <c r="B732" s="7"/>
      <c r="C732" s="7"/>
      <c r="D732" s="7"/>
      <c r="E732" s="7"/>
      <c r="F732" s="7"/>
      <c r="G732" s="7"/>
      <c r="H732" s="7"/>
      <c r="I732" s="7"/>
      <c r="J732" s="7"/>
      <c r="K732" s="7"/>
    </row>
    <row r="733" spans="1:11" ht="13.2" x14ac:dyDescent="0.25">
      <c r="A733" s="7"/>
      <c r="B733" s="7"/>
      <c r="C733" s="7"/>
      <c r="D733" s="7"/>
      <c r="E733" s="7"/>
      <c r="F733" s="7"/>
      <c r="G733" s="7"/>
      <c r="H733" s="7"/>
      <c r="I733" s="7"/>
      <c r="J733" s="7"/>
      <c r="K733" s="7"/>
    </row>
    <row r="734" spans="1:11" ht="13.2" x14ac:dyDescent="0.25">
      <c r="A734" s="7"/>
      <c r="B734" s="7"/>
      <c r="C734" s="7"/>
      <c r="D734" s="7"/>
      <c r="E734" s="7"/>
      <c r="F734" s="7"/>
      <c r="G734" s="7"/>
      <c r="H734" s="7"/>
      <c r="I734" s="7"/>
      <c r="J734" s="7"/>
      <c r="K734" s="7"/>
    </row>
    <row r="735" spans="1:11" ht="13.2" x14ac:dyDescent="0.25">
      <c r="A735" s="7"/>
      <c r="B735" s="7"/>
      <c r="C735" s="7"/>
      <c r="D735" s="7"/>
      <c r="E735" s="7"/>
      <c r="F735" s="7"/>
      <c r="G735" s="7"/>
      <c r="H735" s="7"/>
      <c r="I735" s="7"/>
      <c r="J735" s="7"/>
      <c r="K735" s="7"/>
    </row>
    <row r="736" spans="1:11" ht="13.2" x14ac:dyDescent="0.25">
      <c r="A736" s="7"/>
      <c r="B736" s="7"/>
      <c r="C736" s="7"/>
      <c r="D736" s="7"/>
      <c r="E736" s="7"/>
      <c r="F736" s="7"/>
      <c r="G736" s="7"/>
      <c r="H736" s="7"/>
      <c r="I736" s="7"/>
      <c r="J736" s="7"/>
      <c r="K736" s="7"/>
    </row>
    <row r="737" spans="1:11" ht="13.2" x14ac:dyDescent="0.25">
      <c r="A737" s="7"/>
      <c r="B737" s="7"/>
      <c r="C737" s="7"/>
      <c r="D737" s="7"/>
      <c r="E737" s="7"/>
      <c r="F737" s="7"/>
      <c r="G737" s="7"/>
      <c r="H737" s="7"/>
      <c r="I737" s="7"/>
      <c r="J737" s="7"/>
      <c r="K737" s="7"/>
    </row>
    <row r="738" spans="1:11" ht="13.2" x14ac:dyDescent="0.25">
      <c r="A738" s="7"/>
      <c r="B738" s="7"/>
      <c r="C738" s="7"/>
      <c r="D738" s="7"/>
      <c r="E738" s="7"/>
      <c r="F738" s="7"/>
      <c r="G738" s="7"/>
      <c r="H738" s="7"/>
      <c r="I738" s="7"/>
      <c r="J738" s="7"/>
      <c r="K738" s="7"/>
    </row>
    <row r="739" spans="1:11" ht="13.2" x14ac:dyDescent="0.25">
      <c r="A739" s="7"/>
      <c r="B739" s="7"/>
      <c r="C739" s="7"/>
      <c r="D739" s="7"/>
      <c r="E739" s="7"/>
      <c r="F739" s="7"/>
      <c r="G739" s="7"/>
      <c r="H739" s="7"/>
      <c r="I739" s="7"/>
      <c r="J739" s="7"/>
      <c r="K739" s="7"/>
    </row>
    <row r="740" spans="1:11" ht="13.2" x14ac:dyDescent="0.25">
      <c r="A740" s="7"/>
      <c r="B740" s="7"/>
      <c r="C740" s="7"/>
      <c r="D740" s="7"/>
      <c r="E740" s="7"/>
      <c r="F740" s="7"/>
      <c r="G740" s="7"/>
      <c r="H740" s="7"/>
      <c r="I740" s="7"/>
      <c r="J740" s="7"/>
      <c r="K740" s="7"/>
    </row>
    <row r="741" spans="1:11" ht="13.2" x14ac:dyDescent="0.25">
      <c r="A741" s="7"/>
      <c r="B741" s="7"/>
      <c r="C741" s="7"/>
      <c r="D741" s="7"/>
      <c r="E741" s="7"/>
      <c r="F741" s="7"/>
      <c r="G741" s="7"/>
      <c r="H741" s="7"/>
      <c r="I741" s="7"/>
      <c r="J741" s="7"/>
      <c r="K741" s="7"/>
    </row>
    <row r="742" spans="1:11" ht="13.2" x14ac:dyDescent="0.25">
      <c r="A742" s="7"/>
      <c r="B742" s="7"/>
      <c r="C742" s="7"/>
      <c r="D742" s="7"/>
      <c r="E742" s="7"/>
      <c r="F742" s="7"/>
      <c r="G742" s="7"/>
      <c r="H742" s="7"/>
      <c r="I742" s="7"/>
      <c r="J742" s="7"/>
      <c r="K742" s="7"/>
    </row>
    <row r="743" spans="1:11" ht="13.2" x14ac:dyDescent="0.25">
      <c r="A743" s="7"/>
      <c r="B743" s="7"/>
      <c r="C743" s="7"/>
      <c r="D743" s="7"/>
      <c r="E743" s="7"/>
      <c r="F743" s="7"/>
      <c r="G743" s="7"/>
      <c r="H743" s="7"/>
      <c r="I743" s="7"/>
      <c r="J743" s="7"/>
      <c r="K743" s="7"/>
    </row>
    <row r="744" spans="1:11" ht="13.2" x14ac:dyDescent="0.25">
      <c r="A744" s="7"/>
      <c r="B744" s="7"/>
      <c r="C744" s="7"/>
      <c r="D744" s="7"/>
      <c r="E744" s="7"/>
      <c r="F744" s="7"/>
      <c r="G744" s="7"/>
      <c r="H744" s="7"/>
      <c r="I744" s="7"/>
      <c r="J744" s="7"/>
      <c r="K744" s="7"/>
    </row>
    <row r="745" spans="1:11" ht="13.2" x14ac:dyDescent="0.25">
      <c r="A745" s="7"/>
      <c r="B745" s="7"/>
      <c r="C745" s="7"/>
      <c r="D745" s="7"/>
      <c r="E745" s="7"/>
      <c r="F745" s="7"/>
      <c r="G745" s="7"/>
      <c r="H745" s="7"/>
      <c r="I745" s="7"/>
      <c r="J745" s="7"/>
      <c r="K745" s="7"/>
    </row>
    <row r="746" spans="1:11" ht="13.2" x14ac:dyDescent="0.25">
      <c r="A746" s="7"/>
      <c r="B746" s="7"/>
      <c r="C746" s="7"/>
      <c r="D746" s="7"/>
      <c r="E746" s="7"/>
      <c r="F746" s="7"/>
      <c r="G746" s="7"/>
      <c r="H746" s="7"/>
      <c r="I746" s="7"/>
      <c r="J746" s="7"/>
      <c r="K746" s="7"/>
    </row>
    <row r="747" spans="1:11" ht="13.2" x14ac:dyDescent="0.25">
      <c r="A747" s="7"/>
      <c r="B747" s="7"/>
      <c r="C747" s="7"/>
      <c r="D747" s="7"/>
      <c r="E747" s="7"/>
      <c r="F747" s="7"/>
      <c r="G747" s="7"/>
      <c r="H747" s="7"/>
      <c r="I747" s="7"/>
      <c r="J747" s="7"/>
      <c r="K747" s="7"/>
    </row>
    <row r="748" spans="1:11" ht="13.2" x14ac:dyDescent="0.25">
      <c r="A748" s="7"/>
      <c r="B748" s="7"/>
      <c r="C748" s="7"/>
      <c r="D748" s="7"/>
      <c r="E748" s="7"/>
      <c r="F748" s="7"/>
      <c r="G748" s="7"/>
      <c r="H748" s="7"/>
      <c r="I748" s="7"/>
      <c r="J748" s="7"/>
      <c r="K748" s="7"/>
    </row>
    <row r="749" spans="1:11" ht="13.2" x14ac:dyDescent="0.25">
      <c r="A749" s="7"/>
      <c r="B749" s="7"/>
      <c r="C749" s="7"/>
      <c r="D749" s="7"/>
      <c r="E749" s="7"/>
      <c r="F749" s="7"/>
      <c r="G749" s="7"/>
      <c r="H749" s="7"/>
      <c r="I749" s="7"/>
      <c r="J749" s="7"/>
      <c r="K749" s="7"/>
    </row>
    <row r="750" spans="1:11" ht="13.2" x14ac:dyDescent="0.25">
      <c r="A750" s="7"/>
      <c r="B750" s="7"/>
      <c r="C750" s="7"/>
      <c r="D750" s="7"/>
      <c r="E750" s="7"/>
      <c r="F750" s="7"/>
      <c r="G750" s="7"/>
      <c r="H750" s="7"/>
      <c r="I750" s="7"/>
      <c r="J750" s="7"/>
      <c r="K750" s="7"/>
    </row>
    <row r="751" spans="1:11" ht="13.2" x14ac:dyDescent="0.25">
      <c r="A751" s="7"/>
      <c r="B751" s="7"/>
      <c r="C751" s="7"/>
      <c r="D751" s="7"/>
      <c r="E751" s="7"/>
      <c r="F751" s="7"/>
      <c r="G751" s="7"/>
      <c r="H751" s="7"/>
      <c r="I751" s="7"/>
      <c r="J751" s="7"/>
      <c r="K751" s="7"/>
    </row>
    <row r="752" spans="1:11" ht="13.2" x14ac:dyDescent="0.25">
      <c r="A752" s="7"/>
      <c r="B752" s="7"/>
      <c r="C752" s="7"/>
      <c r="D752" s="7"/>
      <c r="E752" s="7"/>
      <c r="F752" s="7"/>
      <c r="G752" s="7"/>
      <c r="H752" s="7"/>
      <c r="I752" s="7"/>
      <c r="J752" s="7"/>
      <c r="K752" s="7"/>
    </row>
    <row r="753" spans="1:11" ht="13.2" x14ac:dyDescent="0.25">
      <c r="A753" s="7"/>
      <c r="B753" s="7"/>
      <c r="C753" s="7"/>
      <c r="D753" s="7"/>
      <c r="E753" s="7"/>
      <c r="F753" s="7"/>
      <c r="G753" s="7"/>
      <c r="H753" s="7"/>
      <c r="I753" s="7"/>
      <c r="J753" s="7"/>
      <c r="K753" s="7"/>
    </row>
    <row r="754" spans="1:11" ht="13.2" x14ac:dyDescent="0.25">
      <c r="A754" s="7"/>
      <c r="B754" s="7"/>
      <c r="C754" s="7"/>
      <c r="D754" s="7"/>
      <c r="E754" s="7"/>
      <c r="F754" s="7"/>
      <c r="G754" s="7"/>
      <c r="H754" s="7"/>
      <c r="I754" s="7"/>
      <c r="J754" s="7"/>
      <c r="K754" s="7"/>
    </row>
    <row r="755" spans="1:11" ht="13.2" x14ac:dyDescent="0.25">
      <c r="A755" s="7"/>
      <c r="B755" s="7"/>
      <c r="C755" s="7"/>
      <c r="D755" s="7"/>
      <c r="E755" s="7"/>
      <c r="F755" s="7"/>
      <c r="G755" s="7"/>
      <c r="H755" s="7"/>
      <c r="I755" s="7"/>
      <c r="J755" s="7"/>
      <c r="K755" s="7"/>
    </row>
    <row r="756" spans="1:11" ht="13.2" x14ac:dyDescent="0.25">
      <c r="A756" s="7"/>
      <c r="B756" s="7"/>
      <c r="C756" s="7"/>
      <c r="D756" s="7"/>
      <c r="E756" s="7"/>
      <c r="F756" s="7"/>
      <c r="G756" s="7"/>
      <c r="H756" s="7"/>
      <c r="I756" s="7"/>
      <c r="J756" s="7"/>
      <c r="K756" s="7"/>
    </row>
    <row r="757" spans="1:11" ht="13.2" x14ac:dyDescent="0.25">
      <c r="A757" s="7"/>
      <c r="B757" s="7"/>
      <c r="C757" s="7"/>
      <c r="D757" s="7"/>
      <c r="E757" s="7"/>
      <c r="F757" s="7"/>
      <c r="G757" s="7"/>
      <c r="H757" s="7"/>
      <c r="I757" s="7"/>
      <c r="J757" s="7"/>
      <c r="K757" s="7"/>
    </row>
    <row r="758" spans="1:11" ht="13.2" x14ac:dyDescent="0.25">
      <c r="A758" s="7"/>
      <c r="B758" s="7"/>
      <c r="C758" s="7"/>
      <c r="D758" s="7"/>
      <c r="E758" s="7"/>
      <c r="F758" s="7"/>
      <c r="G758" s="7"/>
      <c r="H758" s="7"/>
      <c r="I758" s="7"/>
      <c r="J758" s="7"/>
      <c r="K758" s="7"/>
    </row>
    <row r="759" spans="1:11" ht="13.2" x14ac:dyDescent="0.25">
      <c r="A759" s="7"/>
      <c r="B759" s="7"/>
      <c r="C759" s="7"/>
      <c r="D759" s="7"/>
      <c r="E759" s="7"/>
      <c r="F759" s="7"/>
      <c r="G759" s="7"/>
      <c r="H759" s="7"/>
      <c r="I759" s="7"/>
      <c r="J759" s="7"/>
      <c r="K759" s="7"/>
    </row>
    <row r="760" spans="1:11" ht="13.2" x14ac:dyDescent="0.25">
      <c r="A760" s="7"/>
      <c r="B760" s="7"/>
      <c r="C760" s="7"/>
      <c r="D760" s="7"/>
      <c r="E760" s="7"/>
      <c r="F760" s="7"/>
      <c r="G760" s="7"/>
      <c r="H760" s="7"/>
      <c r="I760" s="7"/>
      <c r="J760" s="7"/>
      <c r="K760" s="7"/>
    </row>
    <row r="761" spans="1:11" ht="13.2" x14ac:dyDescent="0.25">
      <c r="A761" s="7"/>
      <c r="B761" s="7"/>
      <c r="C761" s="7"/>
      <c r="D761" s="7"/>
      <c r="E761" s="7"/>
      <c r="F761" s="7"/>
      <c r="G761" s="7"/>
      <c r="H761" s="7"/>
      <c r="I761" s="7"/>
      <c r="J761" s="7"/>
      <c r="K761" s="7"/>
    </row>
    <row r="762" spans="1:11" ht="13.2" x14ac:dyDescent="0.25">
      <c r="A762" s="7"/>
      <c r="B762" s="7"/>
      <c r="C762" s="7"/>
      <c r="D762" s="7"/>
      <c r="E762" s="7"/>
      <c r="F762" s="7"/>
      <c r="G762" s="7"/>
      <c r="H762" s="7"/>
      <c r="I762" s="7"/>
      <c r="J762" s="7"/>
      <c r="K762" s="7"/>
    </row>
    <row r="763" spans="1:11" ht="13.2" x14ac:dyDescent="0.25">
      <c r="A763" s="7"/>
      <c r="B763" s="7"/>
      <c r="C763" s="7"/>
      <c r="D763" s="7"/>
      <c r="E763" s="7"/>
      <c r="F763" s="7"/>
      <c r="G763" s="7"/>
      <c r="H763" s="7"/>
      <c r="I763" s="7"/>
      <c r="J763" s="7"/>
      <c r="K763" s="7"/>
    </row>
    <row r="764" spans="1:11" ht="13.2" x14ac:dyDescent="0.25">
      <c r="A764" s="7"/>
      <c r="B764" s="7"/>
      <c r="C764" s="7"/>
      <c r="D764" s="7"/>
      <c r="E764" s="7"/>
      <c r="F764" s="7"/>
      <c r="G764" s="7"/>
      <c r="H764" s="7"/>
      <c r="I764" s="7"/>
      <c r="J764" s="7"/>
      <c r="K764" s="7"/>
    </row>
    <row r="765" spans="1:11" ht="13.2" x14ac:dyDescent="0.25">
      <c r="A765" s="7"/>
      <c r="B765" s="7"/>
      <c r="C765" s="7"/>
      <c r="D765" s="7"/>
      <c r="E765" s="7"/>
      <c r="F765" s="7"/>
      <c r="G765" s="7"/>
      <c r="H765" s="7"/>
      <c r="I765" s="7"/>
      <c r="J765" s="7"/>
      <c r="K765" s="7"/>
    </row>
    <row r="766" spans="1:11" ht="13.2" x14ac:dyDescent="0.25">
      <c r="A766" s="7"/>
      <c r="B766" s="7"/>
      <c r="C766" s="7"/>
      <c r="D766" s="7"/>
      <c r="E766" s="7"/>
      <c r="F766" s="7"/>
      <c r="G766" s="7"/>
      <c r="H766" s="7"/>
      <c r="I766" s="7"/>
      <c r="J766" s="7"/>
      <c r="K766" s="7"/>
    </row>
    <row r="767" spans="1:11" ht="13.2" x14ac:dyDescent="0.25">
      <c r="A767" s="7"/>
      <c r="B767" s="7"/>
      <c r="C767" s="7"/>
      <c r="D767" s="7"/>
      <c r="E767" s="7"/>
      <c r="F767" s="7"/>
      <c r="G767" s="7"/>
      <c r="H767" s="7"/>
      <c r="I767" s="7"/>
      <c r="J767" s="7"/>
      <c r="K767" s="7"/>
    </row>
    <row r="768" spans="1:11" ht="13.2" x14ac:dyDescent="0.25">
      <c r="A768" s="7"/>
      <c r="B768" s="7"/>
      <c r="C768" s="7"/>
      <c r="D768" s="7"/>
      <c r="E768" s="7"/>
      <c r="F768" s="7"/>
      <c r="G768" s="7"/>
      <c r="H768" s="7"/>
      <c r="I768" s="7"/>
      <c r="J768" s="7"/>
      <c r="K768" s="7"/>
    </row>
    <row r="769" spans="1:11" ht="13.2" x14ac:dyDescent="0.25">
      <c r="A769" s="7"/>
      <c r="B769" s="7"/>
      <c r="C769" s="7"/>
      <c r="D769" s="7"/>
      <c r="E769" s="7"/>
      <c r="F769" s="7"/>
      <c r="G769" s="7"/>
      <c r="H769" s="7"/>
      <c r="I769" s="7"/>
      <c r="J769" s="7"/>
      <c r="K769" s="7"/>
    </row>
    <row r="770" spans="1:11" ht="13.2" x14ac:dyDescent="0.25">
      <c r="A770" s="7"/>
      <c r="B770" s="7"/>
      <c r="C770" s="7"/>
      <c r="D770" s="7"/>
      <c r="E770" s="7"/>
      <c r="F770" s="7"/>
      <c r="G770" s="7"/>
      <c r="H770" s="7"/>
      <c r="I770" s="7"/>
      <c r="J770" s="7"/>
      <c r="K770" s="7"/>
    </row>
    <row r="771" spans="1:11" ht="13.2" x14ac:dyDescent="0.25">
      <c r="A771" s="7"/>
      <c r="B771" s="7"/>
      <c r="C771" s="7"/>
      <c r="D771" s="7"/>
      <c r="E771" s="7"/>
      <c r="F771" s="7"/>
      <c r="G771" s="7"/>
      <c r="H771" s="7"/>
      <c r="I771" s="7"/>
      <c r="J771" s="7"/>
      <c r="K771" s="7"/>
    </row>
    <row r="772" spans="1:11" ht="13.2" x14ac:dyDescent="0.25">
      <c r="A772" s="7"/>
      <c r="B772" s="7"/>
      <c r="C772" s="7"/>
      <c r="D772" s="7"/>
      <c r="E772" s="7"/>
      <c r="F772" s="7"/>
      <c r="G772" s="7"/>
      <c r="H772" s="7"/>
      <c r="I772" s="7"/>
      <c r="J772" s="7"/>
      <c r="K772" s="7"/>
    </row>
    <row r="773" spans="1:11" ht="13.2" x14ac:dyDescent="0.25">
      <c r="A773" s="7"/>
      <c r="B773" s="7"/>
      <c r="C773" s="7"/>
      <c r="D773" s="7"/>
      <c r="E773" s="7"/>
      <c r="F773" s="7"/>
      <c r="G773" s="7"/>
      <c r="H773" s="7"/>
      <c r="I773" s="7"/>
      <c r="J773" s="7"/>
      <c r="K773" s="7"/>
    </row>
    <row r="774" spans="1:11" ht="13.2" x14ac:dyDescent="0.25">
      <c r="A774" s="7"/>
      <c r="B774" s="7"/>
      <c r="C774" s="7"/>
      <c r="D774" s="7"/>
      <c r="E774" s="7"/>
      <c r="F774" s="7"/>
      <c r="G774" s="7"/>
      <c r="H774" s="7"/>
      <c r="I774" s="7"/>
      <c r="J774" s="7"/>
      <c r="K774" s="7"/>
    </row>
    <row r="775" spans="1:11" ht="13.2" x14ac:dyDescent="0.25">
      <c r="A775" s="7"/>
      <c r="B775" s="7"/>
      <c r="C775" s="7"/>
      <c r="D775" s="7"/>
      <c r="E775" s="7"/>
      <c r="F775" s="7"/>
      <c r="G775" s="7"/>
      <c r="H775" s="7"/>
      <c r="I775" s="7"/>
      <c r="J775" s="7"/>
      <c r="K775" s="7"/>
    </row>
    <row r="776" spans="1:11" ht="13.2" x14ac:dyDescent="0.25">
      <c r="A776" s="7"/>
      <c r="B776" s="7"/>
      <c r="C776" s="7"/>
      <c r="D776" s="7"/>
      <c r="E776" s="7"/>
      <c r="F776" s="7"/>
      <c r="G776" s="7"/>
      <c r="H776" s="7"/>
      <c r="I776" s="7"/>
      <c r="J776" s="7"/>
      <c r="K776" s="7"/>
    </row>
    <row r="777" spans="1:11" ht="13.2" x14ac:dyDescent="0.25">
      <c r="A777" s="7"/>
      <c r="B777" s="7"/>
      <c r="C777" s="7"/>
      <c r="D777" s="7"/>
      <c r="E777" s="7"/>
      <c r="F777" s="7"/>
      <c r="G777" s="7"/>
      <c r="H777" s="7"/>
      <c r="I777" s="7"/>
      <c r="J777" s="7"/>
      <c r="K777" s="7"/>
    </row>
    <row r="778" spans="1:11" ht="13.2" x14ac:dyDescent="0.25">
      <c r="A778" s="7"/>
      <c r="B778" s="7"/>
      <c r="C778" s="7"/>
      <c r="D778" s="7"/>
      <c r="E778" s="7"/>
      <c r="F778" s="7"/>
      <c r="G778" s="7"/>
      <c r="H778" s="7"/>
      <c r="I778" s="7"/>
      <c r="J778" s="7"/>
      <c r="K778" s="7"/>
    </row>
    <row r="779" spans="1:11" ht="13.2" x14ac:dyDescent="0.25">
      <c r="A779" s="7"/>
      <c r="B779" s="7"/>
      <c r="C779" s="7"/>
      <c r="D779" s="7"/>
      <c r="E779" s="7"/>
      <c r="F779" s="7"/>
      <c r="G779" s="7"/>
      <c r="H779" s="7"/>
      <c r="I779" s="7"/>
      <c r="J779" s="7"/>
      <c r="K779" s="7"/>
    </row>
    <row r="780" spans="1:11" ht="13.2" x14ac:dyDescent="0.25">
      <c r="A780" s="7"/>
      <c r="B780" s="7"/>
      <c r="C780" s="7"/>
      <c r="D780" s="7"/>
      <c r="E780" s="7"/>
      <c r="F780" s="7"/>
      <c r="G780" s="7"/>
      <c r="H780" s="7"/>
      <c r="I780" s="7"/>
      <c r="J780" s="7"/>
      <c r="K780" s="7"/>
    </row>
    <row r="781" spans="1:11" ht="13.2" x14ac:dyDescent="0.25">
      <c r="A781" s="7"/>
      <c r="B781" s="7"/>
      <c r="C781" s="7"/>
      <c r="D781" s="7"/>
      <c r="E781" s="7"/>
      <c r="F781" s="7"/>
      <c r="G781" s="7"/>
      <c r="H781" s="7"/>
      <c r="I781" s="7"/>
      <c r="J781" s="7"/>
      <c r="K781" s="7"/>
    </row>
    <row r="782" spans="1:11" ht="13.2" x14ac:dyDescent="0.25">
      <c r="A782" s="7"/>
      <c r="B782" s="7"/>
      <c r="C782" s="7"/>
      <c r="D782" s="7"/>
      <c r="E782" s="7"/>
      <c r="F782" s="7"/>
      <c r="G782" s="7"/>
      <c r="H782" s="7"/>
      <c r="I782" s="7"/>
      <c r="J782" s="7"/>
      <c r="K782" s="7"/>
    </row>
    <row r="783" spans="1:11" ht="13.2" x14ac:dyDescent="0.25">
      <c r="A783" s="7"/>
      <c r="B783" s="7"/>
      <c r="C783" s="7"/>
      <c r="D783" s="7"/>
      <c r="E783" s="7"/>
      <c r="F783" s="7"/>
      <c r="G783" s="7"/>
      <c r="H783" s="7"/>
      <c r="I783" s="7"/>
      <c r="J783" s="7"/>
      <c r="K783" s="7"/>
    </row>
    <row r="784" spans="1:11" ht="13.2" x14ac:dyDescent="0.25">
      <c r="A784" s="7"/>
      <c r="B784" s="7"/>
      <c r="C784" s="7"/>
      <c r="D784" s="7"/>
      <c r="E784" s="7"/>
      <c r="F784" s="7"/>
      <c r="G784" s="7"/>
      <c r="H784" s="7"/>
      <c r="I784" s="7"/>
      <c r="J784" s="7"/>
      <c r="K784" s="7"/>
    </row>
    <row r="785" spans="1:11" ht="13.2" x14ac:dyDescent="0.25">
      <c r="A785" s="7"/>
      <c r="B785" s="7"/>
      <c r="C785" s="7"/>
      <c r="D785" s="7"/>
      <c r="E785" s="7"/>
      <c r="F785" s="7"/>
      <c r="G785" s="7"/>
      <c r="H785" s="7"/>
      <c r="I785" s="7"/>
      <c r="J785" s="7"/>
      <c r="K785" s="7"/>
    </row>
    <row r="786" spans="1:11" ht="13.2" x14ac:dyDescent="0.25">
      <c r="A786" s="7"/>
      <c r="B786" s="7"/>
      <c r="C786" s="7"/>
      <c r="D786" s="7"/>
      <c r="E786" s="7"/>
      <c r="F786" s="7"/>
      <c r="G786" s="7"/>
      <c r="H786" s="7"/>
      <c r="I786" s="7"/>
      <c r="J786" s="7"/>
      <c r="K786" s="7"/>
    </row>
    <row r="787" spans="1:11" ht="13.2" x14ac:dyDescent="0.25">
      <c r="A787" s="7"/>
      <c r="B787" s="7"/>
      <c r="C787" s="7"/>
      <c r="D787" s="7"/>
      <c r="E787" s="7"/>
      <c r="F787" s="7"/>
      <c r="G787" s="7"/>
      <c r="H787" s="7"/>
      <c r="I787" s="7"/>
      <c r="J787" s="7"/>
      <c r="K787" s="7"/>
    </row>
    <row r="788" spans="1:11" ht="13.2" x14ac:dyDescent="0.25">
      <c r="A788" s="7"/>
      <c r="B788" s="7"/>
      <c r="C788" s="7"/>
      <c r="D788" s="7"/>
      <c r="E788" s="7"/>
      <c r="F788" s="7"/>
      <c r="G788" s="7"/>
      <c r="H788" s="7"/>
      <c r="I788" s="7"/>
      <c r="J788" s="7"/>
      <c r="K788" s="7"/>
    </row>
    <row r="789" spans="1:11" ht="13.2" x14ac:dyDescent="0.25">
      <c r="A789" s="7"/>
      <c r="B789" s="7"/>
      <c r="C789" s="7"/>
      <c r="D789" s="7"/>
      <c r="E789" s="7"/>
      <c r="F789" s="7"/>
      <c r="G789" s="7"/>
      <c r="H789" s="7"/>
      <c r="I789" s="7"/>
      <c r="J789" s="7"/>
      <c r="K789" s="7"/>
    </row>
    <row r="790" spans="1:11" ht="13.2" x14ac:dyDescent="0.25">
      <c r="A790" s="7"/>
      <c r="B790" s="7"/>
      <c r="C790" s="7"/>
      <c r="D790" s="7"/>
      <c r="E790" s="7"/>
      <c r="F790" s="7"/>
      <c r="G790" s="7"/>
      <c r="H790" s="7"/>
      <c r="I790" s="7"/>
      <c r="J790" s="7"/>
      <c r="K790" s="7"/>
    </row>
    <row r="791" spans="1:11" ht="13.2" x14ac:dyDescent="0.25">
      <c r="A791" s="7"/>
      <c r="B791" s="7"/>
      <c r="C791" s="7"/>
      <c r="D791" s="7"/>
      <c r="E791" s="7"/>
      <c r="F791" s="7"/>
      <c r="G791" s="7"/>
      <c r="H791" s="7"/>
      <c r="I791" s="7"/>
      <c r="J791" s="7"/>
      <c r="K791" s="7"/>
    </row>
    <row r="792" spans="1:11" ht="13.2" x14ac:dyDescent="0.25">
      <c r="A792" s="7"/>
      <c r="B792" s="7"/>
      <c r="C792" s="7"/>
      <c r="D792" s="7"/>
      <c r="E792" s="7"/>
      <c r="F792" s="7"/>
      <c r="G792" s="7"/>
      <c r="H792" s="7"/>
      <c r="I792" s="7"/>
      <c r="J792" s="7"/>
      <c r="K792" s="7"/>
    </row>
    <row r="793" spans="1:11" ht="13.2" x14ac:dyDescent="0.25">
      <c r="A793" s="7"/>
      <c r="B793" s="7"/>
      <c r="C793" s="7"/>
      <c r="D793" s="7"/>
      <c r="E793" s="7"/>
      <c r="F793" s="7"/>
      <c r="G793" s="7"/>
      <c r="H793" s="7"/>
      <c r="I793" s="7"/>
      <c r="J793" s="7"/>
      <c r="K793" s="7"/>
    </row>
    <row r="794" spans="1:11" ht="13.2" x14ac:dyDescent="0.25">
      <c r="A794" s="7"/>
      <c r="B794" s="7"/>
      <c r="C794" s="7"/>
      <c r="D794" s="7"/>
      <c r="E794" s="7"/>
      <c r="F794" s="7"/>
      <c r="G794" s="7"/>
      <c r="H794" s="7"/>
      <c r="I794" s="7"/>
      <c r="J794" s="7"/>
      <c r="K794" s="7"/>
    </row>
    <row r="795" spans="1:11" ht="13.2" x14ac:dyDescent="0.25">
      <c r="A795" s="7"/>
      <c r="B795" s="7"/>
      <c r="C795" s="7"/>
      <c r="D795" s="7"/>
      <c r="E795" s="7"/>
      <c r="F795" s="7"/>
      <c r="G795" s="7"/>
      <c r="H795" s="7"/>
      <c r="I795" s="7"/>
      <c r="J795" s="7"/>
      <c r="K795" s="7"/>
    </row>
    <row r="796" spans="1:11" ht="13.2" x14ac:dyDescent="0.25">
      <c r="A796" s="7"/>
      <c r="B796" s="7"/>
      <c r="C796" s="7"/>
      <c r="D796" s="7"/>
      <c r="E796" s="7"/>
      <c r="F796" s="7"/>
      <c r="G796" s="7"/>
      <c r="H796" s="7"/>
      <c r="I796" s="7"/>
      <c r="J796" s="7"/>
      <c r="K796" s="7"/>
    </row>
    <row r="797" spans="1:11" ht="13.2" x14ac:dyDescent="0.25">
      <c r="A797" s="7"/>
      <c r="B797" s="7"/>
      <c r="C797" s="7"/>
      <c r="D797" s="7"/>
      <c r="E797" s="7"/>
      <c r="F797" s="7"/>
      <c r="G797" s="7"/>
      <c r="H797" s="7"/>
      <c r="I797" s="7"/>
      <c r="J797" s="7"/>
      <c r="K797" s="7"/>
    </row>
    <row r="798" spans="1:11" ht="13.2" x14ac:dyDescent="0.25">
      <c r="A798" s="7"/>
      <c r="B798" s="7"/>
      <c r="C798" s="7"/>
      <c r="D798" s="7"/>
      <c r="E798" s="7"/>
      <c r="F798" s="7"/>
      <c r="G798" s="7"/>
      <c r="H798" s="7"/>
      <c r="I798" s="7"/>
      <c r="J798" s="7"/>
      <c r="K798" s="7"/>
    </row>
    <row r="799" spans="1:11" ht="13.2" x14ac:dyDescent="0.25">
      <c r="A799" s="7"/>
      <c r="B799" s="7"/>
      <c r="C799" s="7"/>
      <c r="D799" s="7"/>
      <c r="E799" s="7"/>
      <c r="F799" s="7"/>
      <c r="G799" s="7"/>
      <c r="H799" s="7"/>
      <c r="I799" s="7"/>
      <c r="J799" s="7"/>
      <c r="K799" s="7"/>
    </row>
    <row r="800" spans="1:11" ht="13.2" x14ac:dyDescent="0.25">
      <c r="A800" s="7"/>
      <c r="B800" s="7"/>
      <c r="C800" s="7"/>
      <c r="D800" s="7"/>
      <c r="E800" s="7"/>
      <c r="F800" s="7"/>
      <c r="G800" s="7"/>
      <c r="H800" s="7"/>
      <c r="I800" s="7"/>
      <c r="J800" s="7"/>
      <c r="K800" s="7"/>
    </row>
    <row r="801" spans="1:11" ht="13.2" x14ac:dyDescent="0.25">
      <c r="A801" s="7"/>
      <c r="B801" s="7"/>
      <c r="C801" s="7"/>
      <c r="D801" s="7"/>
      <c r="E801" s="7"/>
      <c r="F801" s="7"/>
      <c r="G801" s="7"/>
      <c r="H801" s="7"/>
      <c r="I801" s="7"/>
      <c r="J801" s="7"/>
      <c r="K801" s="7"/>
    </row>
    <row r="802" spans="1:11" ht="13.2" x14ac:dyDescent="0.25">
      <c r="A802" s="7"/>
      <c r="B802" s="7"/>
      <c r="C802" s="7"/>
      <c r="D802" s="7"/>
      <c r="E802" s="7"/>
      <c r="F802" s="7"/>
      <c r="G802" s="7"/>
      <c r="H802" s="7"/>
      <c r="I802" s="7"/>
      <c r="J802" s="7"/>
      <c r="K802" s="7"/>
    </row>
    <row r="803" spans="1:11" ht="13.2" x14ac:dyDescent="0.25">
      <c r="A803" s="7"/>
      <c r="B803" s="7"/>
      <c r="C803" s="7"/>
      <c r="D803" s="7"/>
      <c r="E803" s="7"/>
      <c r="F803" s="7"/>
      <c r="G803" s="7"/>
      <c r="H803" s="7"/>
      <c r="I803" s="7"/>
      <c r="J803" s="7"/>
      <c r="K803" s="7"/>
    </row>
    <row r="804" spans="1:11" ht="13.2" x14ac:dyDescent="0.25">
      <c r="A804" s="7"/>
      <c r="B804" s="7"/>
      <c r="C804" s="7"/>
      <c r="D804" s="7"/>
      <c r="E804" s="7"/>
      <c r="F804" s="7"/>
      <c r="G804" s="7"/>
      <c r="H804" s="7"/>
      <c r="I804" s="7"/>
      <c r="J804" s="7"/>
      <c r="K804" s="7"/>
    </row>
    <row r="805" spans="1:11" ht="13.2" x14ac:dyDescent="0.25">
      <c r="A805" s="7"/>
      <c r="B805" s="7"/>
      <c r="C805" s="7"/>
      <c r="D805" s="7"/>
      <c r="E805" s="7"/>
      <c r="F805" s="7"/>
      <c r="G805" s="7"/>
      <c r="H805" s="7"/>
      <c r="I805" s="7"/>
      <c r="J805" s="7"/>
      <c r="K805" s="7"/>
    </row>
    <row r="806" spans="1:11" ht="13.2" x14ac:dyDescent="0.25">
      <c r="A806" s="7"/>
      <c r="B806" s="7"/>
      <c r="C806" s="7"/>
      <c r="D806" s="7"/>
      <c r="E806" s="7"/>
      <c r="F806" s="7"/>
      <c r="G806" s="7"/>
      <c r="H806" s="7"/>
      <c r="I806" s="7"/>
      <c r="J806" s="7"/>
      <c r="K806" s="7"/>
    </row>
    <row r="807" spans="1:11" ht="13.2" x14ac:dyDescent="0.25">
      <c r="A807" s="7"/>
      <c r="B807" s="7"/>
      <c r="C807" s="7"/>
      <c r="D807" s="7"/>
      <c r="E807" s="7"/>
      <c r="F807" s="7"/>
      <c r="G807" s="7"/>
      <c r="H807" s="7"/>
      <c r="I807" s="7"/>
      <c r="J807" s="7"/>
      <c r="K807" s="7"/>
    </row>
    <row r="808" spans="1:11" ht="13.2" x14ac:dyDescent="0.25">
      <c r="A808" s="7"/>
      <c r="B808" s="7"/>
      <c r="C808" s="7"/>
      <c r="D808" s="7"/>
      <c r="E808" s="7"/>
      <c r="F808" s="7"/>
      <c r="G808" s="7"/>
      <c r="H808" s="7"/>
      <c r="I808" s="7"/>
      <c r="J808" s="7"/>
      <c r="K808" s="7"/>
    </row>
    <row r="809" spans="1:11" ht="13.2" x14ac:dyDescent="0.25">
      <c r="A809" s="7"/>
      <c r="B809" s="7"/>
      <c r="C809" s="7"/>
      <c r="D809" s="7"/>
      <c r="E809" s="7"/>
      <c r="F809" s="7"/>
      <c r="G809" s="7"/>
      <c r="H809" s="7"/>
      <c r="I809" s="7"/>
      <c r="J809" s="7"/>
      <c r="K809" s="7"/>
    </row>
    <row r="810" spans="1:11" ht="13.2" x14ac:dyDescent="0.25">
      <c r="A810" s="7"/>
      <c r="B810" s="7"/>
      <c r="C810" s="7"/>
      <c r="D810" s="7"/>
      <c r="E810" s="7"/>
      <c r="F810" s="7"/>
      <c r="G810" s="7"/>
      <c r="H810" s="7"/>
      <c r="I810" s="7"/>
      <c r="J810" s="7"/>
      <c r="K810" s="7"/>
    </row>
    <row r="811" spans="1:11" ht="13.2" x14ac:dyDescent="0.25">
      <c r="A811" s="7"/>
      <c r="B811" s="7"/>
      <c r="C811" s="7"/>
      <c r="D811" s="7"/>
      <c r="E811" s="7"/>
      <c r="F811" s="7"/>
      <c r="G811" s="7"/>
      <c r="H811" s="7"/>
      <c r="I811" s="7"/>
      <c r="J811" s="7"/>
      <c r="K811" s="7"/>
    </row>
    <row r="812" spans="1:11" ht="13.2" x14ac:dyDescent="0.25">
      <c r="A812" s="7"/>
      <c r="B812" s="7"/>
      <c r="C812" s="7"/>
      <c r="D812" s="7"/>
      <c r="E812" s="7"/>
      <c r="F812" s="7"/>
      <c r="G812" s="7"/>
      <c r="H812" s="7"/>
      <c r="I812" s="7"/>
      <c r="J812" s="7"/>
      <c r="K812" s="7"/>
    </row>
    <row r="813" spans="1:11" ht="13.2" x14ac:dyDescent="0.25">
      <c r="A813" s="7"/>
      <c r="B813" s="7"/>
      <c r="C813" s="7"/>
      <c r="D813" s="7"/>
      <c r="E813" s="7"/>
      <c r="F813" s="7"/>
      <c r="G813" s="7"/>
      <c r="H813" s="7"/>
      <c r="I813" s="7"/>
      <c r="J813" s="7"/>
      <c r="K813" s="7"/>
    </row>
    <row r="814" spans="1:11" ht="13.2" x14ac:dyDescent="0.25">
      <c r="A814" s="7"/>
      <c r="B814" s="7"/>
      <c r="C814" s="7"/>
      <c r="D814" s="7"/>
      <c r="E814" s="7"/>
      <c r="F814" s="7"/>
      <c r="G814" s="7"/>
      <c r="H814" s="7"/>
      <c r="I814" s="7"/>
      <c r="J814" s="7"/>
      <c r="K814" s="7"/>
    </row>
    <row r="815" spans="1:11" ht="13.2" x14ac:dyDescent="0.25">
      <c r="A815" s="7"/>
      <c r="B815" s="7"/>
      <c r="C815" s="7"/>
      <c r="D815" s="7"/>
      <c r="E815" s="7"/>
      <c r="F815" s="7"/>
      <c r="G815" s="7"/>
      <c r="H815" s="7"/>
      <c r="I815" s="7"/>
      <c r="J815" s="7"/>
      <c r="K815" s="7"/>
    </row>
    <row r="816" spans="1:11" ht="13.2" x14ac:dyDescent="0.25">
      <c r="A816" s="7"/>
      <c r="B816" s="7"/>
      <c r="C816" s="7"/>
      <c r="D816" s="7"/>
      <c r="E816" s="7"/>
      <c r="F816" s="7"/>
      <c r="G816" s="7"/>
      <c r="H816" s="7"/>
      <c r="I816" s="7"/>
      <c r="J816" s="7"/>
      <c r="K816" s="7"/>
    </row>
    <row r="817" spans="1:11" ht="13.2" x14ac:dyDescent="0.25">
      <c r="A817" s="7"/>
      <c r="B817" s="7"/>
      <c r="C817" s="7"/>
      <c r="D817" s="7"/>
      <c r="E817" s="7"/>
      <c r="F817" s="7"/>
      <c r="G817" s="7"/>
      <c r="H817" s="7"/>
      <c r="I817" s="7"/>
      <c r="J817" s="7"/>
      <c r="K817" s="7"/>
    </row>
    <row r="818" spans="1:11" ht="13.2" x14ac:dyDescent="0.25">
      <c r="A818" s="7"/>
      <c r="B818" s="7"/>
      <c r="C818" s="7"/>
      <c r="D818" s="7"/>
      <c r="E818" s="7"/>
      <c r="F818" s="7"/>
      <c r="G818" s="7"/>
      <c r="H818" s="7"/>
      <c r="I818" s="7"/>
      <c r="J818" s="7"/>
      <c r="K818" s="7"/>
    </row>
    <row r="819" spans="1:11" ht="13.2" x14ac:dyDescent="0.25">
      <c r="A819" s="7"/>
      <c r="B819" s="7"/>
      <c r="C819" s="7"/>
      <c r="D819" s="7"/>
      <c r="E819" s="7"/>
      <c r="F819" s="7"/>
      <c r="G819" s="7"/>
      <c r="H819" s="7"/>
      <c r="I819" s="7"/>
      <c r="J819" s="7"/>
      <c r="K819" s="7"/>
    </row>
    <row r="820" spans="1:11" ht="13.2" x14ac:dyDescent="0.25">
      <c r="A820" s="7"/>
      <c r="B820" s="7"/>
      <c r="C820" s="7"/>
      <c r="D820" s="7"/>
      <c r="E820" s="7"/>
      <c r="F820" s="7"/>
      <c r="G820" s="7"/>
      <c r="H820" s="7"/>
      <c r="I820" s="7"/>
      <c r="J820" s="7"/>
      <c r="K820" s="7"/>
    </row>
    <row r="821" spans="1:11" ht="13.2" x14ac:dyDescent="0.25">
      <c r="A821" s="7"/>
      <c r="B821" s="7"/>
      <c r="C821" s="7"/>
      <c r="D821" s="7"/>
      <c r="E821" s="7"/>
      <c r="F821" s="7"/>
      <c r="G821" s="7"/>
      <c r="H821" s="7"/>
      <c r="I821" s="7"/>
      <c r="J821" s="7"/>
      <c r="K821" s="7"/>
    </row>
    <row r="822" spans="1:11" ht="13.2" x14ac:dyDescent="0.25">
      <c r="A822" s="7"/>
      <c r="B822" s="7"/>
      <c r="C822" s="7"/>
      <c r="D822" s="7"/>
      <c r="E822" s="7"/>
      <c r="F822" s="7"/>
      <c r="G822" s="7"/>
      <c r="H822" s="7"/>
      <c r="I822" s="7"/>
      <c r="J822" s="7"/>
      <c r="K822" s="7"/>
    </row>
    <row r="823" spans="1:11" ht="13.2" x14ac:dyDescent="0.25">
      <c r="A823" s="7"/>
      <c r="B823" s="7"/>
      <c r="C823" s="7"/>
      <c r="D823" s="7"/>
      <c r="E823" s="7"/>
      <c r="F823" s="7"/>
      <c r="G823" s="7"/>
      <c r="H823" s="7"/>
      <c r="I823" s="7"/>
      <c r="J823" s="7"/>
      <c r="K823" s="7"/>
    </row>
    <row r="824" spans="1:11" ht="13.2" x14ac:dyDescent="0.25">
      <c r="A824" s="7"/>
      <c r="B824" s="7"/>
      <c r="C824" s="7"/>
      <c r="D824" s="7"/>
      <c r="E824" s="7"/>
      <c r="F824" s="7"/>
      <c r="G824" s="7"/>
      <c r="H824" s="7"/>
      <c r="I824" s="7"/>
      <c r="J824" s="7"/>
      <c r="K824" s="7"/>
    </row>
    <row r="825" spans="1:11" ht="13.2" x14ac:dyDescent="0.25">
      <c r="A825" s="7"/>
      <c r="B825" s="7"/>
      <c r="C825" s="7"/>
      <c r="D825" s="7"/>
      <c r="E825" s="7"/>
      <c r="F825" s="7"/>
      <c r="G825" s="7"/>
      <c r="H825" s="7"/>
      <c r="I825" s="7"/>
      <c r="J825" s="7"/>
      <c r="K825" s="7"/>
    </row>
    <row r="826" spans="1:11" ht="13.2" x14ac:dyDescent="0.25">
      <c r="A826" s="7"/>
      <c r="B826" s="7"/>
      <c r="C826" s="7"/>
      <c r="D826" s="7"/>
      <c r="E826" s="7"/>
      <c r="F826" s="7"/>
      <c r="G826" s="7"/>
      <c r="H826" s="7"/>
      <c r="I826" s="7"/>
      <c r="J826" s="7"/>
      <c r="K826" s="7"/>
    </row>
    <row r="827" spans="1:11" ht="13.2" x14ac:dyDescent="0.25">
      <c r="A827" s="7"/>
      <c r="B827" s="7"/>
      <c r="C827" s="7"/>
      <c r="D827" s="7"/>
      <c r="E827" s="7"/>
      <c r="F827" s="7"/>
      <c r="G827" s="7"/>
      <c r="H827" s="7"/>
      <c r="I827" s="7"/>
      <c r="J827" s="7"/>
      <c r="K827" s="7"/>
    </row>
    <row r="828" spans="1:11" ht="13.2" x14ac:dyDescent="0.25">
      <c r="A828" s="7"/>
      <c r="B828" s="7"/>
      <c r="C828" s="7"/>
      <c r="D828" s="7"/>
      <c r="E828" s="7"/>
      <c r="F828" s="7"/>
      <c r="G828" s="7"/>
      <c r="H828" s="7"/>
      <c r="I828" s="7"/>
      <c r="J828" s="7"/>
      <c r="K828" s="7"/>
    </row>
    <row r="829" spans="1:11" ht="13.2" x14ac:dyDescent="0.25">
      <c r="A829" s="7"/>
      <c r="B829" s="7"/>
      <c r="C829" s="7"/>
      <c r="D829" s="7"/>
      <c r="E829" s="7"/>
      <c r="F829" s="7"/>
      <c r="G829" s="7"/>
      <c r="H829" s="7"/>
      <c r="I829" s="7"/>
      <c r="J829" s="7"/>
      <c r="K829" s="7"/>
    </row>
    <row r="830" spans="1:11" ht="13.2" x14ac:dyDescent="0.25">
      <c r="A830" s="7"/>
      <c r="B830" s="7"/>
      <c r="C830" s="7"/>
      <c r="D830" s="7"/>
      <c r="E830" s="7"/>
      <c r="F830" s="7"/>
      <c r="G830" s="7"/>
      <c r="H830" s="7"/>
      <c r="I830" s="7"/>
      <c r="J830" s="7"/>
      <c r="K830" s="7"/>
    </row>
    <row r="831" spans="1:11" ht="13.2" x14ac:dyDescent="0.25">
      <c r="A831" s="7"/>
      <c r="B831" s="7"/>
      <c r="C831" s="7"/>
      <c r="D831" s="7"/>
      <c r="E831" s="7"/>
      <c r="F831" s="7"/>
      <c r="G831" s="7"/>
      <c r="H831" s="7"/>
      <c r="I831" s="7"/>
      <c r="J831" s="7"/>
      <c r="K831" s="7"/>
    </row>
    <row r="832" spans="1:11" ht="13.2" x14ac:dyDescent="0.25">
      <c r="A832" s="7"/>
      <c r="B832" s="7"/>
      <c r="C832" s="7"/>
      <c r="D832" s="7"/>
      <c r="E832" s="7"/>
      <c r="F832" s="7"/>
      <c r="G832" s="7"/>
      <c r="H832" s="7"/>
      <c r="I832" s="7"/>
      <c r="J832" s="7"/>
      <c r="K832" s="7"/>
    </row>
    <row r="833" spans="1:11" ht="13.2" x14ac:dyDescent="0.25">
      <c r="A833" s="7"/>
      <c r="B833" s="7"/>
      <c r="C833" s="7"/>
      <c r="D833" s="7"/>
      <c r="E833" s="7"/>
      <c r="F833" s="7"/>
      <c r="G833" s="7"/>
      <c r="H833" s="7"/>
      <c r="I833" s="7"/>
      <c r="J833" s="7"/>
      <c r="K833" s="7"/>
    </row>
    <row r="834" spans="1:11" ht="13.2" x14ac:dyDescent="0.25">
      <c r="A834" s="7"/>
      <c r="B834" s="7"/>
      <c r="C834" s="7"/>
      <c r="D834" s="7"/>
      <c r="E834" s="7"/>
      <c r="F834" s="7"/>
      <c r="G834" s="7"/>
      <c r="H834" s="7"/>
      <c r="I834" s="7"/>
      <c r="J834" s="7"/>
      <c r="K834" s="7"/>
    </row>
    <row r="835" spans="1:11" ht="13.2" x14ac:dyDescent="0.25">
      <c r="A835" s="7"/>
      <c r="B835" s="7"/>
      <c r="C835" s="7"/>
      <c r="D835" s="7"/>
      <c r="E835" s="7"/>
      <c r="F835" s="7"/>
      <c r="G835" s="7"/>
      <c r="H835" s="7"/>
      <c r="I835" s="7"/>
      <c r="J835" s="7"/>
      <c r="K835" s="7"/>
    </row>
    <row r="836" spans="1:11" ht="13.2" x14ac:dyDescent="0.25">
      <c r="A836" s="7"/>
      <c r="B836" s="7"/>
      <c r="C836" s="7"/>
      <c r="D836" s="7"/>
      <c r="E836" s="7"/>
      <c r="F836" s="7"/>
      <c r="G836" s="7"/>
      <c r="H836" s="7"/>
      <c r="I836" s="7"/>
      <c r="J836" s="7"/>
      <c r="K836" s="7"/>
    </row>
    <row r="837" spans="1:11" ht="13.2" x14ac:dyDescent="0.25">
      <c r="A837" s="7"/>
      <c r="B837" s="7"/>
      <c r="C837" s="7"/>
      <c r="D837" s="7"/>
      <c r="E837" s="7"/>
      <c r="F837" s="7"/>
      <c r="G837" s="7"/>
      <c r="H837" s="7"/>
      <c r="I837" s="7"/>
      <c r="J837" s="7"/>
      <c r="K837" s="7"/>
    </row>
    <row r="838" spans="1:11" ht="13.2" x14ac:dyDescent="0.25">
      <c r="A838" s="7"/>
      <c r="B838" s="7"/>
      <c r="C838" s="7"/>
      <c r="D838" s="7"/>
      <c r="E838" s="7"/>
      <c r="F838" s="7"/>
      <c r="G838" s="7"/>
      <c r="H838" s="7"/>
      <c r="I838" s="7"/>
      <c r="J838" s="7"/>
      <c r="K838" s="7"/>
    </row>
    <row r="839" spans="1:11" ht="13.2" x14ac:dyDescent="0.25">
      <c r="A839" s="7"/>
      <c r="B839" s="7"/>
      <c r="C839" s="7"/>
      <c r="D839" s="7"/>
      <c r="E839" s="7"/>
      <c r="F839" s="7"/>
      <c r="G839" s="7"/>
      <c r="H839" s="7"/>
      <c r="I839" s="7"/>
      <c r="J839" s="7"/>
      <c r="K839" s="7"/>
    </row>
    <row r="840" spans="1:11" ht="13.2" x14ac:dyDescent="0.25">
      <c r="A840" s="7"/>
      <c r="B840" s="7"/>
      <c r="C840" s="7"/>
      <c r="D840" s="7"/>
      <c r="E840" s="7"/>
      <c r="F840" s="7"/>
      <c r="G840" s="7"/>
      <c r="H840" s="7"/>
      <c r="I840" s="7"/>
      <c r="J840" s="7"/>
      <c r="K840" s="7"/>
    </row>
    <row r="841" spans="1:11" ht="13.2" x14ac:dyDescent="0.25">
      <c r="A841" s="7"/>
      <c r="B841" s="7"/>
      <c r="C841" s="7"/>
      <c r="D841" s="7"/>
      <c r="E841" s="7"/>
      <c r="F841" s="7"/>
      <c r="G841" s="7"/>
      <c r="H841" s="7"/>
      <c r="I841" s="7"/>
      <c r="J841" s="7"/>
      <c r="K841" s="7"/>
    </row>
    <row r="842" spans="1:11" ht="13.2" x14ac:dyDescent="0.25">
      <c r="A842" s="7"/>
      <c r="B842" s="7"/>
      <c r="C842" s="7"/>
      <c r="D842" s="7"/>
      <c r="E842" s="7"/>
      <c r="F842" s="7"/>
      <c r="G842" s="7"/>
      <c r="H842" s="7"/>
      <c r="I842" s="7"/>
      <c r="J842" s="7"/>
      <c r="K842" s="7"/>
    </row>
    <row r="843" spans="1:11" ht="13.2" x14ac:dyDescent="0.25">
      <c r="A843" s="7"/>
      <c r="B843" s="7"/>
      <c r="C843" s="7"/>
      <c r="D843" s="7"/>
      <c r="E843" s="7"/>
      <c r="F843" s="7"/>
      <c r="G843" s="7"/>
      <c r="H843" s="7"/>
      <c r="I843" s="7"/>
      <c r="J843" s="7"/>
      <c r="K843" s="7"/>
    </row>
    <row r="844" spans="1:11" ht="13.2" x14ac:dyDescent="0.25">
      <c r="A844" s="7"/>
      <c r="B844" s="7"/>
      <c r="C844" s="7"/>
      <c r="D844" s="7"/>
      <c r="E844" s="7"/>
      <c r="F844" s="7"/>
      <c r="G844" s="7"/>
      <c r="H844" s="7"/>
      <c r="I844" s="7"/>
      <c r="J844" s="7"/>
      <c r="K844" s="7"/>
    </row>
    <row r="845" spans="1:11" ht="13.2" x14ac:dyDescent="0.25">
      <c r="A845" s="7"/>
      <c r="B845" s="7"/>
      <c r="C845" s="7"/>
      <c r="D845" s="7"/>
      <c r="E845" s="7"/>
      <c r="F845" s="7"/>
      <c r="G845" s="7"/>
      <c r="H845" s="7"/>
      <c r="I845" s="7"/>
      <c r="J845" s="7"/>
      <c r="K845" s="7"/>
    </row>
    <row r="846" spans="1:11" ht="13.2" x14ac:dyDescent="0.25">
      <c r="A846" s="7"/>
      <c r="B846" s="7"/>
      <c r="C846" s="7"/>
      <c r="D846" s="7"/>
      <c r="E846" s="7"/>
      <c r="F846" s="7"/>
      <c r="G846" s="7"/>
      <c r="H846" s="7"/>
      <c r="I846" s="7"/>
      <c r="J846" s="7"/>
      <c r="K846" s="7"/>
    </row>
    <row r="847" spans="1:11" ht="13.2" x14ac:dyDescent="0.25">
      <c r="A847" s="7"/>
      <c r="B847" s="7"/>
      <c r="C847" s="7"/>
      <c r="D847" s="7"/>
      <c r="E847" s="7"/>
      <c r="F847" s="7"/>
      <c r="G847" s="7"/>
      <c r="H847" s="7"/>
      <c r="I847" s="7"/>
      <c r="J847" s="7"/>
      <c r="K847" s="7"/>
    </row>
    <row r="848" spans="1:11" ht="13.2" x14ac:dyDescent="0.25">
      <c r="A848" s="7"/>
      <c r="B848" s="7"/>
      <c r="C848" s="7"/>
      <c r="D848" s="7"/>
      <c r="E848" s="7"/>
      <c r="F848" s="7"/>
      <c r="G848" s="7"/>
      <c r="H848" s="7"/>
      <c r="I848" s="7"/>
      <c r="J848" s="7"/>
      <c r="K848" s="7"/>
    </row>
    <row r="849" spans="1:11" ht="13.2" x14ac:dyDescent="0.25">
      <c r="A849" s="7"/>
      <c r="B849" s="7"/>
      <c r="C849" s="7"/>
      <c r="D849" s="7"/>
      <c r="E849" s="7"/>
      <c r="F849" s="7"/>
      <c r="G849" s="7"/>
      <c r="H849" s="7"/>
      <c r="I849" s="7"/>
      <c r="J849" s="7"/>
      <c r="K849" s="7"/>
    </row>
    <row r="850" spans="1:11" ht="13.2" x14ac:dyDescent="0.25">
      <c r="A850" s="7"/>
      <c r="B850" s="7"/>
      <c r="C850" s="7"/>
      <c r="D850" s="7"/>
      <c r="E850" s="7"/>
      <c r="F850" s="7"/>
      <c r="G850" s="7"/>
      <c r="H850" s="7"/>
      <c r="I850" s="7"/>
      <c r="J850" s="7"/>
      <c r="K850" s="7"/>
    </row>
    <row r="851" spans="1:11" ht="13.2" x14ac:dyDescent="0.25">
      <c r="A851" s="7"/>
      <c r="B851" s="7"/>
      <c r="C851" s="7"/>
      <c r="D851" s="7"/>
      <c r="E851" s="7"/>
      <c r="F851" s="7"/>
      <c r="G851" s="7"/>
      <c r="H851" s="7"/>
      <c r="I851" s="7"/>
      <c r="J851" s="7"/>
      <c r="K851" s="7"/>
    </row>
    <row r="852" spans="1:11" ht="13.2" x14ac:dyDescent="0.25">
      <c r="A852" s="7"/>
      <c r="B852" s="7"/>
      <c r="C852" s="7"/>
      <c r="D852" s="7"/>
      <c r="E852" s="7"/>
      <c r="F852" s="7"/>
      <c r="G852" s="7"/>
      <c r="H852" s="7"/>
      <c r="I852" s="7"/>
      <c r="J852" s="7"/>
      <c r="K852" s="7"/>
    </row>
    <row r="853" spans="1:11" ht="13.2" x14ac:dyDescent="0.25">
      <c r="A853" s="7"/>
      <c r="B853" s="7"/>
      <c r="C853" s="7"/>
      <c r="D853" s="7"/>
      <c r="E853" s="7"/>
      <c r="F853" s="7"/>
      <c r="G853" s="7"/>
      <c r="H853" s="7"/>
      <c r="I853" s="7"/>
      <c r="J853" s="7"/>
      <c r="K853" s="7"/>
    </row>
    <row r="854" spans="1:11" ht="13.2" x14ac:dyDescent="0.25">
      <c r="A854" s="7"/>
      <c r="B854" s="7"/>
      <c r="C854" s="7"/>
      <c r="D854" s="7"/>
      <c r="E854" s="7"/>
      <c r="F854" s="7"/>
      <c r="G854" s="7"/>
      <c r="H854" s="7"/>
      <c r="I854" s="7"/>
      <c r="J854" s="7"/>
      <c r="K854" s="7"/>
    </row>
    <row r="855" spans="1:11" ht="13.2" x14ac:dyDescent="0.25">
      <c r="A855" s="7"/>
      <c r="B855" s="7"/>
      <c r="C855" s="7"/>
      <c r="D855" s="7"/>
      <c r="E855" s="7"/>
      <c r="F855" s="7"/>
      <c r="G855" s="7"/>
      <c r="H855" s="7"/>
      <c r="I855" s="7"/>
      <c r="J855" s="7"/>
      <c r="K855" s="7"/>
    </row>
    <row r="856" spans="1:11" ht="13.2" x14ac:dyDescent="0.25">
      <c r="A856" s="7"/>
      <c r="B856" s="7"/>
      <c r="C856" s="7"/>
      <c r="D856" s="7"/>
      <c r="E856" s="7"/>
      <c r="F856" s="7"/>
      <c r="G856" s="7"/>
      <c r="H856" s="7"/>
      <c r="I856" s="7"/>
      <c r="J856" s="7"/>
      <c r="K856" s="7"/>
    </row>
    <row r="857" spans="1:11" ht="13.2" x14ac:dyDescent="0.25">
      <c r="A857" s="7"/>
      <c r="B857" s="7"/>
      <c r="C857" s="7"/>
      <c r="D857" s="7"/>
      <c r="E857" s="7"/>
      <c r="F857" s="7"/>
      <c r="G857" s="7"/>
      <c r="H857" s="7"/>
      <c r="I857" s="7"/>
      <c r="J857" s="7"/>
      <c r="K857" s="7"/>
    </row>
    <row r="858" spans="1:11" ht="13.2" x14ac:dyDescent="0.25">
      <c r="A858" s="7"/>
      <c r="B858" s="7"/>
      <c r="C858" s="7"/>
      <c r="D858" s="7"/>
      <c r="E858" s="7"/>
      <c r="F858" s="7"/>
      <c r="G858" s="7"/>
      <c r="H858" s="7"/>
      <c r="I858" s="7"/>
      <c r="J858" s="7"/>
      <c r="K858" s="7"/>
    </row>
    <row r="859" spans="1:11" ht="13.2" x14ac:dyDescent="0.25">
      <c r="A859" s="7"/>
      <c r="B859" s="7"/>
      <c r="C859" s="7"/>
      <c r="D859" s="7"/>
      <c r="E859" s="7"/>
      <c r="F859" s="7"/>
      <c r="G859" s="7"/>
      <c r="H859" s="7"/>
      <c r="I859" s="7"/>
      <c r="J859" s="7"/>
      <c r="K859" s="7"/>
    </row>
    <row r="860" spans="1:11" ht="13.2" x14ac:dyDescent="0.25">
      <c r="A860" s="7"/>
      <c r="B860" s="7"/>
      <c r="C860" s="7"/>
      <c r="D860" s="7"/>
      <c r="E860" s="7"/>
      <c r="F860" s="7"/>
      <c r="G860" s="7"/>
      <c r="H860" s="7"/>
      <c r="I860" s="7"/>
      <c r="J860" s="7"/>
      <c r="K860" s="7"/>
    </row>
    <row r="861" spans="1:11" ht="13.2" x14ac:dyDescent="0.25">
      <c r="A861" s="7"/>
      <c r="B861" s="7"/>
      <c r="C861" s="7"/>
      <c r="D861" s="7"/>
      <c r="E861" s="7"/>
      <c r="F861" s="7"/>
      <c r="G861" s="7"/>
      <c r="H861" s="7"/>
      <c r="I861" s="7"/>
      <c r="J861" s="7"/>
      <c r="K861" s="7"/>
    </row>
  </sheetData>
  <autoFilter ref="D1:D861" xr:uid="{00000000-0009-0000-0000-000000000000}"/>
  <mergeCells count="8">
    <mergeCell ref="A44:A53"/>
    <mergeCell ref="B44:B53"/>
    <mergeCell ref="A2:A11"/>
    <mergeCell ref="B2:B11"/>
    <mergeCell ref="A13:A27"/>
    <mergeCell ref="B13:B27"/>
    <mergeCell ref="A29:A43"/>
    <mergeCell ref="B29:B43"/>
  </mergeCells>
  <printOptions horizontalCentered="1" gridLines="1"/>
  <pageMargins left="0.25" right="0.25" top="0.75" bottom="0.75" header="0" footer="0"/>
  <pageSetup fitToHeight="0" pageOrder="overThenDown" orientation="landscape" cellComments="atEnd"/>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pageSetUpPr fitToPage="1"/>
  </sheetPr>
  <dimension ref="A1:H42"/>
  <sheetViews>
    <sheetView workbookViewId="0"/>
  </sheetViews>
  <sheetFormatPr defaultColWidth="12.6640625" defaultRowHeight="15.75" customHeight="1" x14ac:dyDescent="0.25"/>
  <cols>
    <col min="2" max="2" width="77.33203125" customWidth="1"/>
    <col min="3" max="3" width="39.109375" customWidth="1"/>
    <col min="7" max="7" width="16" customWidth="1"/>
  </cols>
  <sheetData>
    <row r="1" spans="1:7" x14ac:dyDescent="0.25">
      <c r="A1" s="24" t="s">
        <v>1</v>
      </c>
      <c r="B1" s="24" t="s">
        <v>2</v>
      </c>
      <c r="C1" s="24" t="s">
        <v>274</v>
      </c>
      <c r="D1" s="25"/>
      <c r="E1" s="19" t="s">
        <v>275</v>
      </c>
    </row>
    <row r="2" spans="1:7" x14ac:dyDescent="0.25">
      <c r="A2" s="133" t="s">
        <v>276</v>
      </c>
      <c r="B2" s="25" t="s">
        <v>277</v>
      </c>
      <c r="C2" s="25" t="s">
        <v>278</v>
      </c>
      <c r="D2" s="26"/>
      <c r="E2" s="19" t="s">
        <v>279</v>
      </c>
      <c r="F2" s="10" t="s">
        <v>161</v>
      </c>
    </row>
    <row r="3" spans="1:7" x14ac:dyDescent="0.25">
      <c r="A3" s="130"/>
      <c r="B3" s="25" t="s">
        <v>280</v>
      </c>
      <c r="C3" s="25" t="s">
        <v>278</v>
      </c>
      <c r="D3" s="26"/>
      <c r="E3" s="19" t="s">
        <v>279</v>
      </c>
      <c r="F3" s="10" t="s">
        <v>161</v>
      </c>
    </row>
    <row r="4" spans="1:7" x14ac:dyDescent="0.25">
      <c r="A4" s="130"/>
      <c r="B4" s="25" t="s">
        <v>281</v>
      </c>
      <c r="C4" s="25" t="s">
        <v>278</v>
      </c>
      <c r="D4" s="26"/>
      <c r="E4" s="19" t="s">
        <v>279</v>
      </c>
      <c r="F4" s="10" t="s">
        <v>161</v>
      </c>
    </row>
    <row r="5" spans="1:7" x14ac:dyDescent="0.25">
      <c r="A5" s="130"/>
      <c r="B5" s="25" t="s">
        <v>282</v>
      </c>
      <c r="C5" s="25" t="s">
        <v>278</v>
      </c>
      <c r="D5" s="26"/>
      <c r="E5" s="19" t="s">
        <v>279</v>
      </c>
      <c r="F5" s="10" t="s">
        <v>161</v>
      </c>
    </row>
    <row r="6" spans="1:7" x14ac:dyDescent="0.25">
      <c r="A6" s="130"/>
      <c r="B6" s="25" t="s">
        <v>283</v>
      </c>
      <c r="C6" s="25" t="s">
        <v>278</v>
      </c>
      <c r="D6" s="26"/>
      <c r="E6" s="19" t="s">
        <v>279</v>
      </c>
      <c r="F6" s="10" t="s">
        <v>161</v>
      </c>
    </row>
    <row r="7" spans="1:7" x14ac:dyDescent="0.25">
      <c r="A7" s="130"/>
      <c r="B7" s="25" t="s">
        <v>284</v>
      </c>
      <c r="C7" s="25" t="s">
        <v>278</v>
      </c>
      <c r="D7" s="26"/>
      <c r="E7" s="19" t="s">
        <v>279</v>
      </c>
      <c r="F7" s="10" t="s">
        <v>161</v>
      </c>
    </row>
    <row r="8" spans="1:7" x14ac:dyDescent="0.25">
      <c r="A8" s="130"/>
      <c r="B8" s="25" t="s">
        <v>285</v>
      </c>
      <c r="C8" s="25" t="s">
        <v>278</v>
      </c>
      <c r="D8" s="26"/>
      <c r="E8" s="19" t="s">
        <v>279</v>
      </c>
      <c r="F8" s="10" t="s">
        <v>161</v>
      </c>
    </row>
    <row r="9" spans="1:7" x14ac:dyDescent="0.25">
      <c r="A9" s="130"/>
      <c r="B9" s="25" t="s">
        <v>286</v>
      </c>
      <c r="C9" s="25" t="s">
        <v>278</v>
      </c>
      <c r="D9" s="26"/>
      <c r="E9" s="19" t="s">
        <v>279</v>
      </c>
      <c r="F9" s="10" t="s">
        <v>161</v>
      </c>
    </row>
    <row r="10" spans="1:7" x14ac:dyDescent="0.25">
      <c r="A10" s="130"/>
      <c r="B10" s="25" t="s">
        <v>287</v>
      </c>
      <c r="C10" s="25" t="s">
        <v>278</v>
      </c>
      <c r="D10" s="25"/>
      <c r="F10" s="10" t="s">
        <v>161</v>
      </c>
    </row>
    <row r="11" spans="1:7" x14ac:dyDescent="0.25">
      <c r="A11" s="130"/>
      <c r="B11" s="25" t="s">
        <v>288</v>
      </c>
      <c r="C11" s="25" t="s">
        <v>278</v>
      </c>
      <c r="D11" s="25"/>
      <c r="F11" s="10" t="s">
        <v>161</v>
      </c>
    </row>
    <row r="12" spans="1:7" x14ac:dyDescent="0.25">
      <c r="A12" s="130"/>
      <c r="B12" s="25" t="s">
        <v>289</v>
      </c>
      <c r="C12" s="25" t="s">
        <v>290</v>
      </c>
      <c r="D12" s="25"/>
      <c r="F12" s="10" t="s">
        <v>161</v>
      </c>
      <c r="G12" s="10" t="s">
        <v>291</v>
      </c>
    </row>
    <row r="13" spans="1:7" x14ac:dyDescent="0.25">
      <c r="A13" s="130"/>
      <c r="B13" s="25" t="s">
        <v>292</v>
      </c>
      <c r="C13" s="25" t="s">
        <v>290</v>
      </c>
      <c r="D13" s="25"/>
      <c r="F13" s="10" t="s">
        <v>161</v>
      </c>
      <c r="G13" s="10" t="s">
        <v>291</v>
      </c>
    </row>
    <row r="14" spans="1:7" x14ac:dyDescent="0.25">
      <c r="A14" s="130"/>
      <c r="B14" s="25" t="s">
        <v>293</v>
      </c>
      <c r="C14" s="25" t="s">
        <v>290</v>
      </c>
      <c r="D14" s="25"/>
      <c r="F14" s="10" t="s">
        <v>161</v>
      </c>
      <c r="G14" s="10" t="s">
        <v>291</v>
      </c>
    </row>
    <row r="15" spans="1:7" x14ac:dyDescent="0.25">
      <c r="A15" s="130"/>
      <c r="B15" s="25" t="s">
        <v>294</v>
      </c>
      <c r="C15" s="25" t="s">
        <v>295</v>
      </c>
      <c r="D15" s="25"/>
    </row>
    <row r="16" spans="1:7" x14ac:dyDescent="0.25">
      <c r="A16" s="130"/>
      <c r="B16" s="25" t="s">
        <v>296</v>
      </c>
      <c r="C16" s="25" t="s">
        <v>295</v>
      </c>
      <c r="D16" s="25"/>
    </row>
    <row r="17" spans="1:8" x14ac:dyDescent="0.25">
      <c r="A17" s="130"/>
      <c r="B17" s="25" t="s">
        <v>297</v>
      </c>
      <c r="C17" s="25" t="s">
        <v>298</v>
      </c>
      <c r="F17" s="10" t="s">
        <v>299</v>
      </c>
      <c r="G17" s="10" t="s">
        <v>300</v>
      </c>
    </row>
    <row r="18" spans="1:8" x14ac:dyDescent="0.25">
      <c r="A18" s="134" t="s">
        <v>301</v>
      </c>
      <c r="B18" s="27" t="s">
        <v>302</v>
      </c>
      <c r="C18" s="28" t="s">
        <v>303</v>
      </c>
      <c r="D18" s="29"/>
      <c r="F18" s="10" t="s">
        <v>304</v>
      </c>
      <c r="G18" s="10" t="s">
        <v>305</v>
      </c>
    </row>
    <row r="19" spans="1:8" x14ac:dyDescent="0.25">
      <c r="A19" s="130"/>
      <c r="B19" s="27" t="s">
        <v>306</v>
      </c>
      <c r="C19" s="28" t="s">
        <v>303</v>
      </c>
      <c r="F19" s="10" t="s">
        <v>304</v>
      </c>
      <c r="G19" s="10" t="s">
        <v>305</v>
      </c>
    </row>
    <row r="20" spans="1:8" x14ac:dyDescent="0.25">
      <c r="A20" s="130"/>
      <c r="B20" s="27" t="s">
        <v>307</v>
      </c>
      <c r="C20" s="28" t="s">
        <v>303</v>
      </c>
      <c r="F20" s="10" t="s">
        <v>304</v>
      </c>
      <c r="G20" s="10" t="s">
        <v>305</v>
      </c>
    </row>
    <row r="21" spans="1:8" x14ac:dyDescent="0.25">
      <c r="A21" s="130"/>
      <c r="B21" s="27" t="s">
        <v>308</v>
      </c>
      <c r="C21" s="28" t="s">
        <v>303</v>
      </c>
      <c r="F21" s="10" t="s">
        <v>304</v>
      </c>
      <c r="G21" s="10" t="s">
        <v>305</v>
      </c>
    </row>
    <row r="22" spans="1:8" x14ac:dyDescent="0.25">
      <c r="A22" s="130"/>
      <c r="B22" s="27" t="s">
        <v>309</v>
      </c>
      <c r="C22" s="28" t="s">
        <v>303</v>
      </c>
      <c r="F22" s="10" t="s">
        <v>304</v>
      </c>
      <c r="G22" s="10" t="s">
        <v>305</v>
      </c>
    </row>
    <row r="23" spans="1:8" x14ac:dyDescent="0.25">
      <c r="A23" s="130"/>
      <c r="B23" s="27" t="s">
        <v>310</v>
      </c>
      <c r="C23" s="28" t="s">
        <v>303</v>
      </c>
      <c r="F23" s="10" t="s">
        <v>304</v>
      </c>
      <c r="G23" s="10" t="s">
        <v>305</v>
      </c>
    </row>
    <row r="24" spans="1:8" x14ac:dyDescent="0.25">
      <c r="A24" s="130"/>
      <c r="B24" s="27" t="s">
        <v>311</v>
      </c>
      <c r="C24" s="28" t="s">
        <v>312</v>
      </c>
      <c r="F24" s="10" t="s">
        <v>189</v>
      </c>
      <c r="G24" s="10" t="s">
        <v>313</v>
      </c>
    </row>
    <row r="25" spans="1:8" x14ac:dyDescent="0.25">
      <c r="A25" s="130"/>
      <c r="B25" s="27" t="s">
        <v>314</v>
      </c>
      <c r="C25" s="28" t="s">
        <v>315</v>
      </c>
      <c r="F25" s="10" t="s">
        <v>316</v>
      </c>
    </row>
    <row r="26" spans="1:8" x14ac:dyDescent="0.25">
      <c r="A26" s="130"/>
      <c r="B26" s="27" t="s">
        <v>317</v>
      </c>
      <c r="C26" s="28" t="s">
        <v>318</v>
      </c>
      <c r="F26" s="10" t="s">
        <v>316</v>
      </c>
    </row>
    <row r="27" spans="1:8" x14ac:dyDescent="0.25">
      <c r="A27" s="135" t="s">
        <v>319</v>
      </c>
      <c r="B27" s="25" t="s">
        <v>320</v>
      </c>
      <c r="C27" s="25" t="s">
        <v>321</v>
      </c>
      <c r="F27" s="10" t="s">
        <v>322</v>
      </c>
      <c r="G27" s="10" t="s">
        <v>323</v>
      </c>
      <c r="H27" s="10" t="s">
        <v>324</v>
      </c>
    </row>
    <row r="28" spans="1:8" x14ac:dyDescent="0.25">
      <c r="A28" s="130"/>
      <c r="B28" s="25" t="s">
        <v>325</v>
      </c>
      <c r="C28" s="25" t="s">
        <v>326</v>
      </c>
      <c r="F28" s="10" t="s">
        <v>326</v>
      </c>
    </row>
    <row r="29" spans="1:8" x14ac:dyDescent="0.25">
      <c r="A29" s="130"/>
      <c r="B29" s="25" t="s">
        <v>327</v>
      </c>
      <c r="C29" s="25" t="s">
        <v>328</v>
      </c>
      <c r="F29" s="10" t="s">
        <v>329</v>
      </c>
    </row>
    <row r="30" spans="1:8" x14ac:dyDescent="0.25">
      <c r="A30" s="130"/>
      <c r="B30" s="25" t="s">
        <v>330</v>
      </c>
      <c r="C30" s="25" t="s">
        <v>331</v>
      </c>
      <c r="F30" s="10" t="s">
        <v>332</v>
      </c>
      <c r="G30" s="10" t="s">
        <v>94</v>
      </c>
      <c r="H30" s="10" t="s">
        <v>130</v>
      </c>
    </row>
    <row r="31" spans="1:8" x14ac:dyDescent="0.25">
      <c r="A31" s="130"/>
      <c r="B31" s="25" t="s">
        <v>333</v>
      </c>
      <c r="C31" s="25" t="s">
        <v>334</v>
      </c>
    </row>
    <row r="32" spans="1:8" x14ac:dyDescent="0.25">
      <c r="A32" s="130"/>
      <c r="B32" s="25" t="s">
        <v>335</v>
      </c>
      <c r="C32" s="25" t="s">
        <v>336</v>
      </c>
      <c r="D32" s="10"/>
      <c r="E32" s="19" t="s">
        <v>337</v>
      </c>
      <c r="F32" s="10" t="s">
        <v>338</v>
      </c>
    </row>
    <row r="33" spans="1:7" x14ac:dyDescent="0.25">
      <c r="A33" s="130"/>
      <c r="B33" s="25" t="s">
        <v>339</v>
      </c>
      <c r="C33" s="25" t="s">
        <v>340</v>
      </c>
      <c r="F33" s="10" t="s">
        <v>341</v>
      </c>
      <c r="G33" s="10" t="s">
        <v>342</v>
      </c>
    </row>
    <row r="34" spans="1:7" x14ac:dyDescent="0.25">
      <c r="A34" s="136" t="s">
        <v>343</v>
      </c>
      <c r="B34" s="28" t="s">
        <v>344</v>
      </c>
      <c r="C34" s="28" t="s">
        <v>345</v>
      </c>
      <c r="D34" s="10"/>
      <c r="E34" s="19" t="s">
        <v>346</v>
      </c>
      <c r="F34" s="10" t="s">
        <v>69</v>
      </c>
      <c r="G34" s="10" t="s">
        <v>26</v>
      </c>
    </row>
    <row r="35" spans="1:7" x14ac:dyDescent="0.25">
      <c r="A35" s="130"/>
      <c r="B35" s="28" t="s">
        <v>347</v>
      </c>
      <c r="C35" s="28" t="s">
        <v>345</v>
      </c>
      <c r="D35" s="10"/>
      <c r="E35" s="19" t="s">
        <v>348</v>
      </c>
      <c r="F35" s="10" t="s">
        <v>69</v>
      </c>
      <c r="G35" s="10" t="s">
        <v>26</v>
      </c>
    </row>
    <row r="36" spans="1:7" x14ac:dyDescent="0.25">
      <c r="A36" s="130"/>
      <c r="B36" s="28" t="s">
        <v>349</v>
      </c>
      <c r="C36" s="28" t="s">
        <v>350</v>
      </c>
      <c r="D36" s="10"/>
      <c r="E36" s="19" t="s">
        <v>348</v>
      </c>
      <c r="F36" s="10" t="s">
        <v>69</v>
      </c>
      <c r="G36" s="10" t="s">
        <v>26</v>
      </c>
    </row>
    <row r="37" spans="1:7" x14ac:dyDescent="0.25">
      <c r="A37" s="130"/>
      <c r="B37" s="28" t="s">
        <v>351</v>
      </c>
      <c r="C37" s="28" t="s">
        <v>352</v>
      </c>
      <c r="D37" s="10"/>
      <c r="E37" s="19" t="s">
        <v>353</v>
      </c>
      <c r="F37" s="10" t="s">
        <v>352</v>
      </c>
      <c r="G37" s="30"/>
    </row>
    <row r="38" spans="1:7" x14ac:dyDescent="0.25">
      <c r="A38" s="130"/>
      <c r="B38" s="28" t="s">
        <v>354</v>
      </c>
      <c r="C38" s="28" t="s">
        <v>355</v>
      </c>
      <c r="D38" s="10"/>
      <c r="E38" s="19" t="s">
        <v>337</v>
      </c>
      <c r="F38" s="10" t="s">
        <v>355</v>
      </c>
      <c r="G38" s="30"/>
    </row>
    <row r="39" spans="1:7" x14ac:dyDescent="0.25">
      <c r="A39" s="130"/>
      <c r="B39" s="28" t="s">
        <v>356</v>
      </c>
      <c r="C39" s="28" t="s">
        <v>357</v>
      </c>
      <c r="D39" s="10"/>
      <c r="E39" s="19" t="s">
        <v>337</v>
      </c>
    </row>
    <row r="40" spans="1:7" x14ac:dyDescent="0.25">
      <c r="A40" s="135" t="s">
        <v>358</v>
      </c>
      <c r="B40" s="25" t="s">
        <v>359</v>
      </c>
      <c r="C40" s="25" t="s">
        <v>360</v>
      </c>
      <c r="D40" s="10" t="s">
        <v>361</v>
      </c>
      <c r="E40" s="19" t="s">
        <v>353</v>
      </c>
      <c r="F40" s="10" t="s">
        <v>332</v>
      </c>
    </row>
    <row r="41" spans="1:7" x14ac:dyDescent="0.25">
      <c r="A41" s="130"/>
      <c r="B41" s="25" t="s">
        <v>362</v>
      </c>
      <c r="C41" s="25" t="s">
        <v>363</v>
      </c>
      <c r="E41" s="19" t="s">
        <v>364</v>
      </c>
      <c r="F41" s="10" t="s">
        <v>326</v>
      </c>
    </row>
    <row r="42" spans="1:7" x14ac:dyDescent="0.25">
      <c r="A42" s="130"/>
      <c r="B42" s="25" t="s">
        <v>365</v>
      </c>
      <c r="C42" s="25" t="s">
        <v>366</v>
      </c>
      <c r="F42" s="10" t="s">
        <v>94</v>
      </c>
      <c r="G42" s="10" t="s">
        <v>367</v>
      </c>
    </row>
  </sheetData>
  <mergeCells count="5">
    <mergeCell ref="A2:A17"/>
    <mergeCell ref="A18:A26"/>
    <mergeCell ref="A27:A33"/>
    <mergeCell ref="A34:A39"/>
    <mergeCell ref="A40:A42"/>
  </mergeCells>
  <printOptions horizontalCentered="1" gridLines="1"/>
  <pageMargins left="0.25" right="0.25" top="0.75" bottom="0.75" header="0" footer="0"/>
  <pageSetup fitToHeight="0" pageOrder="overThenDown" orientation="landscape" cellComments="atEnd"/>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pageSetUpPr fitToPage="1"/>
  </sheetPr>
  <dimension ref="A1:I1005"/>
  <sheetViews>
    <sheetView workbookViewId="0"/>
  </sheetViews>
  <sheetFormatPr defaultColWidth="12.6640625" defaultRowHeight="15.75" customHeight="1" x14ac:dyDescent="0.25"/>
  <cols>
    <col min="1" max="1" width="69.109375" customWidth="1"/>
    <col min="2" max="3" width="7.33203125" customWidth="1"/>
  </cols>
  <sheetData>
    <row r="1" spans="1:9" x14ac:dyDescent="0.25">
      <c r="A1" s="7" t="s">
        <v>368</v>
      </c>
    </row>
    <row r="2" spans="1:9" x14ac:dyDescent="0.25">
      <c r="A2" s="31" t="s">
        <v>369</v>
      </c>
      <c r="B2" s="137" t="s">
        <v>370</v>
      </c>
      <c r="C2" s="130"/>
      <c r="D2" s="32" t="s">
        <v>371</v>
      </c>
      <c r="E2" s="19" t="s">
        <v>372</v>
      </c>
      <c r="F2" s="19" t="s">
        <v>373</v>
      </c>
    </row>
    <row r="3" spans="1:9" x14ac:dyDescent="0.25">
      <c r="A3" s="7"/>
    </row>
    <row r="4" spans="1:9" x14ac:dyDescent="0.25">
      <c r="A4" s="138" t="s">
        <v>374</v>
      </c>
      <c r="B4" s="130"/>
      <c r="C4" s="130"/>
      <c r="D4" s="130"/>
      <c r="E4" s="130"/>
      <c r="F4" s="130"/>
      <c r="G4" s="130"/>
      <c r="H4" s="130"/>
      <c r="I4" s="130"/>
    </row>
    <row r="5" spans="1:9" x14ac:dyDescent="0.25">
      <c r="A5" s="33" t="s">
        <v>375</v>
      </c>
      <c r="B5" s="34">
        <f>SUM(B6:B9)/4</f>
        <v>1</v>
      </c>
      <c r="C5" s="35">
        <v>0.7</v>
      </c>
    </row>
    <row r="6" spans="1:9" x14ac:dyDescent="0.25">
      <c r="A6" s="7" t="s">
        <v>376</v>
      </c>
      <c r="B6" s="36">
        <v>1</v>
      </c>
    </row>
    <row r="7" spans="1:9" x14ac:dyDescent="0.25">
      <c r="A7" s="7" t="s">
        <v>377</v>
      </c>
      <c r="B7" s="36">
        <v>1</v>
      </c>
    </row>
    <row r="8" spans="1:9" x14ac:dyDescent="0.25">
      <c r="A8" s="7" t="s">
        <v>378</v>
      </c>
      <c r="B8" s="36">
        <v>1</v>
      </c>
      <c r="E8" s="37"/>
    </row>
    <row r="9" spans="1:9" x14ac:dyDescent="0.25">
      <c r="A9" s="7" t="s">
        <v>379</v>
      </c>
      <c r="B9" s="36">
        <v>1</v>
      </c>
    </row>
    <row r="10" spans="1:9" x14ac:dyDescent="0.25">
      <c r="A10" s="7"/>
    </row>
    <row r="11" spans="1:9" x14ac:dyDescent="0.25">
      <c r="A11" s="33" t="s">
        <v>380</v>
      </c>
      <c r="B11" s="34">
        <f>SUM(B12:B13)/2</f>
        <v>1</v>
      </c>
      <c r="C11" s="35">
        <v>0.2</v>
      </c>
    </row>
    <row r="12" spans="1:9" x14ac:dyDescent="0.25">
      <c r="A12" s="7" t="s">
        <v>381</v>
      </c>
      <c r="B12" s="36">
        <v>1</v>
      </c>
    </row>
    <row r="13" spans="1:9" x14ac:dyDescent="0.25">
      <c r="A13" s="7" t="s">
        <v>382</v>
      </c>
      <c r="B13" s="36">
        <v>1</v>
      </c>
    </row>
    <row r="14" spans="1:9" x14ac:dyDescent="0.25">
      <c r="A14" s="33"/>
      <c r="B14" s="38"/>
      <c r="C14" s="35"/>
    </row>
    <row r="15" spans="1:9" x14ac:dyDescent="0.25">
      <c r="A15" s="33" t="s">
        <v>383</v>
      </c>
      <c r="B15" s="39">
        <f>SUM(B16:B17)</f>
        <v>1</v>
      </c>
      <c r="C15" s="35">
        <v>0.1</v>
      </c>
    </row>
    <row r="16" spans="1:9" x14ac:dyDescent="0.25">
      <c r="A16" s="7" t="s">
        <v>384</v>
      </c>
      <c r="B16" s="35">
        <v>1</v>
      </c>
      <c r="C16" s="40"/>
    </row>
    <row r="17" spans="1:3" x14ac:dyDescent="0.25">
      <c r="A17" s="7"/>
      <c r="C17" s="40"/>
    </row>
    <row r="18" spans="1:3" x14ac:dyDescent="0.25">
      <c r="A18" s="7"/>
      <c r="C18" s="35">
        <f>SUM(C5+C11+C15)</f>
        <v>0.99999999999999989</v>
      </c>
    </row>
    <row r="19" spans="1:3" x14ac:dyDescent="0.25">
      <c r="A19" s="7"/>
    </row>
    <row r="20" spans="1:3" x14ac:dyDescent="0.25">
      <c r="A20" s="41" t="s">
        <v>385</v>
      </c>
    </row>
    <row r="21" spans="1:3" x14ac:dyDescent="0.25">
      <c r="A21" s="42" t="s">
        <v>386</v>
      </c>
    </row>
    <row r="22" spans="1:3" x14ac:dyDescent="0.25">
      <c r="A22" s="43" t="s">
        <v>387</v>
      </c>
    </row>
    <row r="23" spans="1:3" x14ac:dyDescent="0.25">
      <c r="A23" s="7" t="s">
        <v>388</v>
      </c>
    </row>
    <row r="24" spans="1:3" x14ac:dyDescent="0.25">
      <c r="A24" s="7" t="s">
        <v>389</v>
      </c>
    </row>
    <row r="25" spans="1:3" x14ac:dyDescent="0.25">
      <c r="A25" s="7"/>
    </row>
    <row r="26" spans="1:3" x14ac:dyDescent="0.25">
      <c r="A26" s="7"/>
    </row>
    <row r="27" spans="1:3" x14ac:dyDescent="0.25">
      <c r="A27" s="7"/>
    </row>
    <row r="28" spans="1:3" x14ac:dyDescent="0.25">
      <c r="A28" s="7"/>
    </row>
    <row r="29" spans="1:3" x14ac:dyDescent="0.25">
      <c r="A29" s="7"/>
    </row>
    <row r="30" spans="1:3" x14ac:dyDescent="0.25">
      <c r="A30" s="7"/>
    </row>
    <row r="31" spans="1:3" x14ac:dyDescent="0.25">
      <c r="A31" s="7"/>
    </row>
    <row r="32" spans="1:3" x14ac:dyDescent="0.25">
      <c r="A32" s="7"/>
    </row>
    <row r="33" spans="1:1" x14ac:dyDescent="0.25">
      <c r="A33" s="7"/>
    </row>
    <row r="34" spans="1:1" x14ac:dyDescent="0.25">
      <c r="A34" s="7"/>
    </row>
    <row r="35" spans="1:1" x14ac:dyDescent="0.25">
      <c r="A35" s="7"/>
    </row>
    <row r="36" spans="1:1" x14ac:dyDescent="0.25">
      <c r="A36" s="7"/>
    </row>
    <row r="37" spans="1:1" x14ac:dyDescent="0.25">
      <c r="A37" s="7"/>
    </row>
    <row r="38" spans="1:1" x14ac:dyDescent="0.25">
      <c r="A38" s="7"/>
    </row>
    <row r="39" spans="1:1" x14ac:dyDescent="0.25">
      <c r="A39" s="7"/>
    </row>
    <row r="40" spans="1:1" x14ac:dyDescent="0.25">
      <c r="A40" s="7"/>
    </row>
    <row r="41" spans="1:1" x14ac:dyDescent="0.25">
      <c r="A41" s="7"/>
    </row>
    <row r="42" spans="1:1" x14ac:dyDescent="0.25">
      <c r="A42" s="7"/>
    </row>
    <row r="43" spans="1:1" x14ac:dyDescent="0.25">
      <c r="A43" s="7"/>
    </row>
    <row r="44" spans="1:1" x14ac:dyDescent="0.25">
      <c r="A44" s="7"/>
    </row>
    <row r="45" spans="1:1" x14ac:dyDescent="0.25">
      <c r="A45" s="7"/>
    </row>
    <row r="46" spans="1:1" x14ac:dyDescent="0.25">
      <c r="A46" s="7"/>
    </row>
    <row r="47" spans="1:1" x14ac:dyDescent="0.25">
      <c r="A47" s="7"/>
    </row>
    <row r="48" spans="1:1" x14ac:dyDescent="0.25">
      <c r="A48" s="7"/>
    </row>
    <row r="49" spans="1:1" x14ac:dyDescent="0.25">
      <c r="A49" s="7"/>
    </row>
    <row r="50" spans="1:1" x14ac:dyDescent="0.25">
      <c r="A50" s="7"/>
    </row>
    <row r="51" spans="1:1" x14ac:dyDescent="0.25">
      <c r="A51" s="7"/>
    </row>
    <row r="52" spans="1:1" x14ac:dyDescent="0.25">
      <c r="A52" s="7"/>
    </row>
    <row r="53" spans="1:1" x14ac:dyDescent="0.25">
      <c r="A53" s="7"/>
    </row>
    <row r="54" spans="1:1" x14ac:dyDescent="0.25">
      <c r="A54" s="7"/>
    </row>
    <row r="55" spans="1:1" x14ac:dyDescent="0.25">
      <c r="A55" s="7"/>
    </row>
    <row r="56" spans="1:1" x14ac:dyDescent="0.25">
      <c r="A56" s="7"/>
    </row>
    <row r="57" spans="1:1" x14ac:dyDescent="0.25">
      <c r="A57" s="7"/>
    </row>
    <row r="58" spans="1:1" x14ac:dyDescent="0.25">
      <c r="A58" s="7"/>
    </row>
    <row r="59" spans="1:1" x14ac:dyDescent="0.25">
      <c r="A59" s="7"/>
    </row>
    <row r="60" spans="1:1" x14ac:dyDescent="0.25">
      <c r="A60" s="7"/>
    </row>
    <row r="61" spans="1:1" x14ac:dyDescent="0.25">
      <c r="A61" s="7"/>
    </row>
    <row r="62" spans="1:1" x14ac:dyDescent="0.25">
      <c r="A62" s="7"/>
    </row>
    <row r="63" spans="1:1" x14ac:dyDescent="0.25">
      <c r="A63" s="7"/>
    </row>
    <row r="64" spans="1:1" x14ac:dyDescent="0.25">
      <c r="A64" s="7"/>
    </row>
    <row r="65" spans="1:1" x14ac:dyDescent="0.25">
      <c r="A65" s="7"/>
    </row>
    <row r="66" spans="1:1" x14ac:dyDescent="0.25">
      <c r="A66" s="7"/>
    </row>
    <row r="67" spans="1:1" x14ac:dyDescent="0.25">
      <c r="A67" s="7"/>
    </row>
    <row r="68" spans="1:1" x14ac:dyDescent="0.25">
      <c r="A68" s="7"/>
    </row>
    <row r="69" spans="1:1" x14ac:dyDescent="0.25">
      <c r="A69" s="7"/>
    </row>
    <row r="70" spans="1:1" x14ac:dyDescent="0.25">
      <c r="A70" s="7"/>
    </row>
    <row r="71" spans="1:1" x14ac:dyDescent="0.25">
      <c r="A71" s="7"/>
    </row>
    <row r="72" spans="1:1" x14ac:dyDescent="0.25">
      <c r="A72" s="7"/>
    </row>
    <row r="73" spans="1:1" x14ac:dyDescent="0.25">
      <c r="A73" s="7"/>
    </row>
    <row r="74" spans="1:1" x14ac:dyDescent="0.25">
      <c r="A74" s="7"/>
    </row>
    <row r="75" spans="1:1" x14ac:dyDescent="0.25">
      <c r="A75" s="7"/>
    </row>
    <row r="76" spans="1:1" x14ac:dyDescent="0.25">
      <c r="A76" s="7"/>
    </row>
    <row r="77" spans="1:1" x14ac:dyDescent="0.25">
      <c r="A77" s="7"/>
    </row>
    <row r="78" spans="1:1" x14ac:dyDescent="0.25">
      <c r="A78" s="7"/>
    </row>
    <row r="79" spans="1:1" x14ac:dyDescent="0.25">
      <c r="A79" s="7"/>
    </row>
    <row r="80" spans="1:1" x14ac:dyDescent="0.25">
      <c r="A80" s="7"/>
    </row>
    <row r="81" spans="1:1" x14ac:dyDescent="0.25">
      <c r="A81" s="7"/>
    </row>
    <row r="82" spans="1:1" x14ac:dyDescent="0.25">
      <c r="A82" s="7"/>
    </row>
    <row r="83" spans="1:1" x14ac:dyDescent="0.25">
      <c r="A83" s="7"/>
    </row>
    <row r="84" spans="1:1" x14ac:dyDescent="0.25">
      <c r="A84" s="7"/>
    </row>
    <row r="85" spans="1:1" x14ac:dyDescent="0.25">
      <c r="A85" s="7"/>
    </row>
    <row r="86" spans="1:1" x14ac:dyDescent="0.25">
      <c r="A86" s="7"/>
    </row>
    <row r="87" spans="1:1" x14ac:dyDescent="0.25">
      <c r="A87" s="7"/>
    </row>
    <row r="88" spans="1:1" x14ac:dyDescent="0.25">
      <c r="A88" s="7"/>
    </row>
    <row r="89" spans="1:1" x14ac:dyDescent="0.25">
      <c r="A89" s="7"/>
    </row>
    <row r="90" spans="1:1" x14ac:dyDescent="0.25">
      <c r="A90" s="7"/>
    </row>
    <row r="91" spans="1:1" x14ac:dyDescent="0.25">
      <c r="A91" s="7"/>
    </row>
    <row r="92" spans="1:1" x14ac:dyDescent="0.25">
      <c r="A92" s="7"/>
    </row>
    <row r="93" spans="1:1" x14ac:dyDescent="0.25">
      <c r="A93" s="7"/>
    </row>
    <row r="94" spans="1:1" x14ac:dyDescent="0.25">
      <c r="A94" s="7"/>
    </row>
    <row r="95" spans="1:1" x14ac:dyDescent="0.25">
      <c r="A95" s="7"/>
    </row>
    <row r="96" spans="1:1" x14ac:dyDescent="0.25">
      <c r="A96" s="7"/>
    </row>
    <row r="97" spans="1:1" x14ac:dyDescent="0.25">
      <c r="A97" s="7"/>
    </row>
    <row r="98" spans="1:1" x14ac:dyDescent="0.25">
      <c r="A98" s="7"/>
    </row>
    <row r="99" spans="1:1" x14ac:dyDescent="0.25">
      <c r="A99" s="7"/>
    </row>
    <row r="100" spans="1:1" x14ac:dyDescent="0.25">
      <c r="A100" s="7"/>
    </row>
    <row r="101" spans="1:1" x14ac:dyDescent="0.25">
      <c r="A101" s="7"/>
    </row>
    <row r="102" spans="1:1" x14ac:dyDescent="0.25">
      <c r="A102" s="7"/>
    </row>
    <row r="103" spans="1:1" x14ac:dyDescent="0.25">
      <c r="A103" s="7"/>
    </row>
    <row r="104" spans="1:1" x14ac:dyDescent="0.25">
      <c r="A104" s="7"/>
    </row>
    <row r="105" spans="1:1" x14ac:dyDescent="0.25">
      <c r="A105" s="7"/>
    </row>
    <row r="106" spans="1:1" x14ac:dyDescent="0.25">
      <c r="A106" s="7"/>
    </row>
    <row r="107" spans="1:1" x14ac:dyDescent="0.25">
      <c r="A107" s="7"/>
    </row>
    <row r="108" spans="1:1" x14ac:dyDescent="0.25">
      <c r="A108" s="7"/>
    </row>
    <row r="109" spans="1:1" x14ac:dyDescent="0.25">
      <c r="A109" s="7"/>
    </row>
    <row r="110" spans="1:1" x14ac:dyDescent="0.25">
      <c r="A110" s="7"/>
    </row>
    <row r="111" spans="1:1" x14ac:dyDescent="0.25">
      <c r="A111" s="7"/>
    </row>
    <row r="112" spans="1:1" x14ac:dyDescent="0.25">
      <c r="A112" s="7"/>
    </row>
    <row r="113" spans="1:1" x14ac:dyDescent="0.25">
      <c r="A113" s="7"/>
    </row>
    <row r="114" spans="1:1" x14ac:dyDescent="0.25">
      <c r="A114" s="7"/>
    </row>
    <row r="115" spans="1:1" x14ac:dyDescent="0.25">
      <c r="A115" s="7"/>
    </row>
    <row r="116" spans="1:1" x14ac:dyDescent="0.25">
      <c r="A116" s="7"/>
    </row>
    <row r="117" spans="1:1" x14ac:dyDescent="0.25">
      <c r="A117" s="7"/>
    </row>
    <row r="118" spans="1:1" x14ac:dyDescent="0.25">
      <c r="A118" s="7"/>
    </row>
    <row r="119" spans="1:1" x14ac:dyDescent="0.25">
      <c r="A119" s="7"/>
    </row>
    <row r="120" spans="1:1" x14ac:dyDescent="0.25">
      <c r="A120" s="7"/>
    </row>
    <row r="121" spans="1:1" x14ac:dyDescent="0.25">
      <c r="A121" s="7"/>
    </row>
    <row r="122" spans="1:1" x14ac:dyDescent="0.25">
      <c r="A122" s="7"/>
    </row>
    <row r="123" spans="1:1" x14ac:dyDescent="0.25">
      <c r="A123" s="7"/>
    </row>
    <row r="124" spans="1:1" x14ac:dyDescent="0.25">
      <c r="A124" s="7"/>
    </row>
    <row r="125" spans="1:1" x14ac:dyDescent="0.25">
      <c r="A125" s="7"/>
    </row>
    <row r="126" spans="1:1" x14ac:dyDescent="0.25">
      <c r="A126" s="7"/>
    </row>
    <row r="127" spans="1:1" x14ac:dyDescent="0.25">
      <c r="A127" s="7"/>
    </row>
    <row r="128" spans="1:1" x14ac:dyDescent="0.25">
      <c r="A128" s="7"/>
    </row>
    <row r="129" spans="1:1" x14ac:dyDescent="0.25">
      <c r="A129" s="7"/>
    </row>
    <row r="130" spans="1:1" x14ac:dyDescent="0.25">
      <c r="A130" s="7"/>
    </row>
    <row r="131" spans="1:1" x14ac:dyDescent="0.25">
      <c r="A131" s="7"/>
    </row>
    <row r="132" spans="1:1" x14ac:dyDescent="0.25">
      <c r="A132" s="7"/>
    </row>
    <row r="133" spans="1:1" x14ac:dyDescent="0.25">
      <c r="A133" s="7"/>
    </row>
    <row r="134" spans="1:1" x14ac:dyDescent="0.25">
      <c r="A134" s="7"/>
    </row>
    <row r="135" spans="1:1" x14ac:dyDescent="0.25">
      <c r="A135" s="7"/>
    </row>
    <row r="136" spans="1:1" x14ac:dyDescent="0.25">
      <c r="A136" s="7"/>
    </row>
    <row r="137" spans="1:1" x14ac:dyDescent="0.25">
      <c r="A137" s="7"/>
    </row>
    <row r="138" spans="1:1" x14ac:dyDescent="0.25">
      <c r="A138" s="7"/>
    </row>
    <row r="139" spans="1:1" x14ac:dyDescent="0.25">
      <c r="A139" s="7"/>
    </row>
    <row r="140" spans="1:1" x14ac:dyDescent="0.25">
      <c r="A140" s="7"/>
    </row>
    <row r="141" spans="1:1" x14ac:dyDescent="0.25">
      <c r="A141" s="7"/>
    </row>
    <row r="142" spans="1:1" x14ac:dyDescent="0.25">
      <c r="A142" s="7"/>
    </row>
    <row r="143" spans="1:1" x14ac:dyDescent="0.25">
      <c r="A143" s="7"/>
    </row>
    <row r="144" spans="1:1" x14ac:dyDescent="0.25">
      <c r="A144" s="7"/>
    </row>
    <row r="145" spans="1:1" x14ac:dyDescent="0.25">
      <c r="A145" s="7"/>
    </row>
    <row r="146" spans="1:1" x14ac:dyDescent="0.25">
      <c r="A146" s="7"/>
    </row>
    <row r="147" spans="1:1" x14ac:dyDescent="0.25">
      <c r="A147" s="7"/>
    </row>
    <row r="148" spans="1:1" x14ac:dyDescent="0.25">
      <c r="A148" s="7"/>
    </row>
    <row r="149" spans="1:1" x14ac:dyDescent="0.25">
      <c r="A149" s="7"/>
    </row>
    <row r="150" spans="1:1" x14ac:dyDescent="0.25">
      <c r="A150" s="7"/>
    </row>
    <row r="151" spans="1:1" x14ac:dyDescent="0.25">
      <c r="A151" s="7"/>
    </row>
    <row r="152" spans="1:1" x14ac:dyDescent="0.25">
      <c r="A152" s="7"/>
    </row>
    <row r="153" spans="1:1" x14ac:dyDescent="0.25">
      <c r="A153" s="7"/>
    </row>
    <row r="154" spans="1:1" x14ac:dyDescent="0.25">
      <c r="A154" s="7"/>
    </row>
    <row r="155" spans="1:1" x14ac:dyDescent="0.25">
      <c r="A155" s="7"/>
    </row>
    <row r="156" spans="1:1" x14ac:dyDescent="0.25">
      <c r="A156" s="7"/>
    </row>
    <row r="157" spans="1:1" x14ac:dyDescent="0.25">
      <c r="A157" s="7"/>
    </row>
    <row r="158" spans="1:1" x14ac:dyDescent="0.25">
      <c r="A158" s="7"/>
    </row>
    <row r="159" spans="1:1" x14ac:dyDescent="0.25">
      <c r="A159" s="7"/>
    </row>
    <row r="160" spans="1:1" x14ac:dyDescent="0.25">
      <c r="A160" s="7"/>
    </row>
    <row r="161" spans="1:1" x14ac:dyDescent="0.25">
      <c r="A161" s="7"/>
    </row>
    <row r="162" spans="1:1" x14ac:dyDescent="0.25">
      <c r="A162" s="7"/>
    </row>
    <row r="163" spans="1:1" x14ac:dyDescent="0.25">
      <c r="A163" s="7"/>
    </row>
    <row r="164" spans="1:1" x14ac:dyDescent="0.25">
      <c r="A164" s="7"/>
    </row>
    <row r="165" spans="1:1" x14ac:dyDescent="0.25">
      <c r="A165" s="7"/>
    </row>
    <row r="166" spans="1:1" x14ac:dyDescent="0.25">
      <c r="A166" s="7"/>
    </row>
    <row r="167" spans="1:1" x14ac:dyDescent="0.25">
      <c r="A167" s="7"/>
    </row>
    <row r="168" spans="1:1" x14ac:dyDescent="0.25">
      <c r="A168" s="7"/>
    </row>
    <row r="169" spans="1:1" x14ac:dyDescent="0.25">
      <c r="A169" s="7"/>
    </row>
    <row r="170" spans="1:1" x14ac:dyDescent="0.25">
      <c r="A170" s="7"/>
    </row>
    <row r="171" spans="1:1" x14ac:dyDescent="0.25">
      <c r="A171" s="7"/>
    </row>
    <row r="172" spans="1:1" x14ac:dyDescent="0.25">
      <c r="A172" s="7"/>
    </row>
    <row r="173" spans="1:1" x14ac:dyDescent="0.25">
      <c r="A173" s="7"/>
    </row>
    <row r="174" spans="1:1" x14ac:dyDescent="0.25">
      <c r="A174" s="7"/>
    </row>
    <row r="175" spans="1:1" x14ac:dyDescent="0.25">
      <c r="A175" s="7"/>
    </row>
    <row r="176" spans="1:1" x14ac:dyDescent="0.25">
      <c r="A176" s="7"/>
    </row>
    <row r="177" spans="1:1" x14ac:dyDescent="0.25">
      <c r="A177" s="7"/>
    </row>
    <row r="178" spans="1:1" x14ac:dyDescent="0.25">
      <c r="A178" s="7"/>
    </row>
    <row r="179" spans="1:1" x14ac:dyDescent="0.25">
      <c r="A179" s="7"/>
    </row>
    <row r="180" spans="1:1" x14ac:dyDescent="0.25">
      <c r="A180" s="7"/>
    </row>
    <row r="181" spans="1:1" x14ac:dyDescent="0.25">
      <c r="A181" s="7"/>
    </row>
    <row r="182" spans="1:1" x14ac:dyDescent="0.25">
      <c r="A182" s="7"/>
    </row>
    <row r="183" spans="1:1" x14ac:dyDescent="0.25">
      <c r="A183" s="7"/>
    </row>
    <row r="184" spans="1:1" x14ac:dyDescent="0.25">
      <c r="A184" s="7"/>
    </row>
    <row r="185" spans="1:1" x14ac:dyDescent="0.25">
      <c r="A185" s="7"/>
    </row>
    <row r="186" spans="1:1" x14ac:dyDescent="0.25">
      <c r="A186" s="7"/>
    </row>
    <row r="187" spans="1:1" x14ac:dyDescent="0.25">
      <c r="A187" s="7"/>
    </row>
    <row r="188" spans="1:1" x14ac:dyDescent="0.25">
      <c r="A188" s="7"/>
    </row>
    <row r="189" spans="1:1" x14ac:dyDescent="0.25">
      <c r="A189" s="7"/>
    </row>
    <row r="190" spans="1:1" x14ac:dyDescent="0.25">
      <c r="A190" s="7"/>
    </row>
    <row r="191" spans="1:1" x14ac:dyDescent="0.25">
      <c r="A191" s="7"/>
    </row>
    <row r="192" spans="1:1" x14ac:dyDescent="0.25">
      <c r="A192" s="7"/>
    </row>
    <row r="193" spans="1:1" x14ac:dyDescent="0.25">
      <c r="A193" s="7"/>
    </row>
    <row r="194" spans="1:1" x14ac:dyDescent="0.25">
      <c r="A194" s="7"/>
    </row>
    <row r="195" spans="1:1" x14ac:dyDescent="0.25">
      <c r="A195" s="7"/>
    </row>
    <row r="196" spans="1:1" x14ac:dyDescent="0.25">
      <c r="A196" s="7"/>
    </row>
    <row r="197" spans="1:1" x14ac:dyDescent="0.25">
      <c r="A197" s="7"/>
    </row>
    <row r="198" spans="1:1" x14ac:dyDescent="0.25">
      <c r="A198" s="7"/>
    </row>
    <row r="199" spans="1:1" x14ac:dyDescent="0.25">
      <c r="A199" s="7"/>
    </row>
    <row r="200" spans="1:1" x14ac:dyDescent="0.25">
      <c r="A200" s="7"/>
    </row>
    <row r="201" spans="1:1" x14ac:dyDescent="0.25">
      <c r="A201" s="7"/>
    </row>
    <row r="202" spans="1:1" x14ac:dyDescent="0.25">
      <c r="A202" s="7"/>
    </row>
    <row r="203" spans="1:1" x14ac:dyDescent="0.25">
      <c r="A203" s="7"/>
    </row>
    <row r="204" spans="1:1" x14ac:dyDescent="0.25">
      <c r="A204" s="7"/>
    </row>
    <row r="205" spans="1:1" x14ac:dyDescent="0.25">
      <c r="A205" s="7"/>
    </row>
    <row r="206" spans="1:1" x14ac:dyDescent="0.25">
      <c r="A206" s="7"/>
    </row>
    <row r="207" spans="1:1" x14ac:dyDescent="0.25">
      <c r="A207" s="7"/>
    </row>
    <row r="208" spans="1:1" x14ac:dyDescent="0.25">
      <c r="A208" s="7"/>
    </row>
    <row r="209" spans="1:1" x14ac:dyDescent="0.25">
      <c r="A209" s="7"/>
    </row>
    <row r="210" spans="1:1" x14ac:dyDescent="0.25">
      <c r="A210" s="7"/>
    </row>
    <row r="211" spans="1:1" x14ac:dyDescent="0.25">
      <c r="A211" s="7"/>
    </row>
    <row r="212" spans="1:1" x14ac:dyDescent="0.25">
      <c r="A212" s="7"/>
    </row>
    <row r="213" spans="1:1" x14ac:dyDescent="0.25">
      <c r="A213" s="7"/>
    </row>
    <row r="214" spans="1:1" x14ac:dyDescent="0.25">
      <c r="A214" s="7"/>
    </row>
    <row r="215" spans="1:1" x14ac:dyDescent="0.25">
      <c r="A215" s="7"/>
    </row>
    <row r="216" spans="1:1" x14ac:dyDescent="0.25">
      <c r="A216" s="7"/>
    </row>
    <row r="217" spans="1:1" x14ac:dyDescent="0.25">
      <c r="A217" s="7"/>
    </row>
    <row r="218" spans="1:1" x14ac:dyDescent="0.25">
      <c r="A218" s="7"/>
    </row>
    <row r="219" spans="1:1" x14ac:dyDescent="0.25">
      <c r="A219" s="7"/>
    </row>
    <row r="220" spans="1:1" x14ac:dyDescent="0.25">
      <c r="A220" s="7"/>
    </row>
    <row r="221" spans="1:1" x14ac:dyDescent="0.25">
      <c r="A221" s="7"/>
    </row>
    <row r="222" spans="1:1" x14ac:dyDescent="0.25">
      <c r="A222" s="7"/>
    </row>
    <row r="223" spans="1:1" x14ac:dyDescent="0.25">
      <c r="A223" s="7"/>
    </row>
    <row r="224" spans="1:1" x14ac:dyDescent="0.25">
      <c r="A224" s="7"/>
    </row>
    <row r="225" spans="1:1" x14ac:dyDescent="0.25">
      <c r="A225" s="7"/>
    </row>
    <row r="226" spans="1:1" x14ac:dyDescent="0.25">
      <c r="A226" s="7"/>
    </row>
    <row r="227" spans="1:1" x14ac:dyDescent="0.25">
      <c r="A227" s="7"/>
    </row>
    <row r="228" spans="1:1" x14ac:dyDescent="0.25">
      <c r="A228" s="7"/>
    </row>
    <row r="229" spans="1:1" x14ac:dyDescent="0.25">
      <c r="A229" s="7"/>
    </row>
    <row r="230" spans="1:1" x14ac:dyDescent="0.25">
      <c r="A230" s="7"/>
    </row>
    <row r="231" spans="1:1" x14ac:dyDescent="0.25">
      <c r="A231" s="7"/>
    </row>
    <row r="232" spans="1:1" x14ac:dyDescent="0.25">
      <c r="A232" s="7"/>
    </row>
    <row r="233" spans="1:1" x14ac:dyDescent="0.25">
      <c r="A233" s="7"/>
    </row>
    <row r="234" spans="1:1" x14ac:dyDescent="0.25">
      <c r="A234" s="7"/>
    </row>
    <row r="235" spans="1:1" x14ac:dyDescent="0.25">
      <c r="A235" s="7"/>
    </row>
    <row r="236" spans="1:1" x14ac:dyDescent="0.25">
      <c r="A236" s="7"/>
    </row>
    <row r="237" spans="1:1" x14ac:dyDescent="0.25">
      <c r="A237" s="7"/>
    </row>
    <row r="238" spans="1:1" x14ac:dyDescent="0.25">
      <c r="A238" s="7"/>
    </row>
    <row r="239" spans="1:1" x14ac:dyDescent="0.25">
      <c r="A239" s="7"/>
    </row>
    <row r="240" spans="1:1" x14ac:dyDescent="0.25">
      <c r="A240" s="7"/>
    </row>
    <row r="241" spans="1:1" x14ac:dyDescent="0.25">
      <c r="A241" s="7"/>
    </row>
    <row r="242" spans="1:1" x14ac:dyDescent="0.25">
      <c r="A242" s="7"/>
    </row>
    <row r="243" spans="1:1" x14ac:dyDescent="0.25">
      <c r="A243" s="7"/>
    </row>
    <row r="244" spans="1:1" x14ac:dyDescent="0.25">
      <c r="A244" s="7"/>
    </row>
    <row r="245" spans="1:1" x14ac:dyDescent="0.25">
      <c r="A245" s="7"/>
    </row>
    <row r="246" spans="1:1" x14ac:dyDescent="0.25">
      <c r="A246" s="7"/>
    </row>
    <row r="247" spans="1:1" x14ac:dyDescent="0.25">
      <c r="A247" s="7"/>
    </row>
    <row r="248" spans="1:1" x14ac:dyDescent="0.25">
      <c r="A248" s="7"/>
    </row>
    <row r="249" spans="1:1" x14ac:dyDescent="0.25">
      <c r="A249" s="7"/>
    </row>
    <row r="250" spans="1:1" x14ac:dyDescent="0.25">
      <c r="A250" s="7"/>
    </row>
    <row r="251" spans="1:1" x14ac:dyDescent="0.25">
      <c r="A251" s="7"/>
    </row>
    <row r="252" spans="1:1" x14ac:dyDescent="0.25">
      <c r="A252" s="7"/>
    </row>
    <row r="253" spans="1:1" x14ac:dyDescent="0.25">
      <c r="A253" s="7"/>
    </row>
    <row r="254" spans="1:1" x14ac:dyDescent="0.25">
      <c r="A254" s="7"/>
    </row>
    <row r="255" spans="1:1" x14ac:dyDescent="0.25">
      <c r="A255" s="7"/>
    </row>
    <row r="256" spans="1:1" x14ac:dyDescent="0.25">
      <c r="A256" s="7"/>
    </row>
    <row r="257" spans="1:1" x14ac:dyDescent="0.25">
      <c r="A257" s="7"/>
    </row>
    <row r="258" spans="1:1" x14ac:dyDescent="0.25">
      <c r="A258" s="7"/>
    </row>
    <row r="259" spans="1:1" x14ac:dyDescent="0.25">
      <c r="A259" s="7"/>
    </row>
    <row r="260" spans="1:1" x14ac:dyDescent="0.25">
      <c r="A260" s="7"/>
    </row>
    <row r="261" spans="1:1" x14ac:dyDescent="0.25">
      <c r="A261" s="7"/>
    </row>
    <row r="262" spans="1:1" x14ac:dyDescent="0.25">
      <c r="A262" s="7"/>
    </row>
    <row r="263" spans="1:1" x14ac:dyDescent="0.25">
      <c r="A263" s="7"/>
    </row>
    <row r="264" spans="1:1" x14ac:dyDescent="0.25">
      <c r="A264" s="7"/>
    </row>
    <row r="265" spans="1:1" x14ac:dyDescent="0.25">
      <c r="A265" s="7"/>
    </row>
    <row r="266" spans="1:1" x14ac:dyDescent="0.25">
      <c r="A266" s="7"/>
    </row>
    <row r="267" spans="1:1" x14ac:dyDescent="0.25">
      <c r="A267" s="7"/>
    </row>
    <row r="268" spans="1:1" x14ac:dyDescent="0.25">
      <c r="A268" s="7"/>
    </row>
    <row r="269" spans="1:1" x14ac:dyDescent="0.25">
      <c r="A269" s="7"/>
    </row>
    <row r="270" spans="1:1" x14ac:dyDescent="0.25">
      <c r="A270" s="7"/>
    </row>
    <row r="271" spans="1:1" x14ac:dyDescent="0.25">
      <c r="A271" s="7"/>
    </row>
    <row r="272" spans="1:1" x14ac:dyDescent="0.25">
      <c r="A272" s="7"/>
    </row>
    <row r="273" spans="1:1" x14ac:dyDescent="0.25">
      <c r="A273" s="7"/>
    </row>
    <row r="274" spans="1:1" x14ac:dyDescent="0.25">
      <c r="A274" s="7"/>
    </row>
    <row r="275" spans="1:1" x14ac:dyDescent="0.25">
      <c r="A275" s="7"/>
    </row>
    <row r="276" spans="1:1" x14ac:dyDescent="0.25">
      <c r="A276" s="7"/>
    </row>
    <row r="277" spans="1:1" x14ac:dyDescent="0.25">
      <c r="A277" s="7"/>
    </row>
    <row r="278" spans="1:1" x14ac:dyDescent="0.25">
      <c r="A278" s="7"/>
    </row>
    <row r="279" spans="1:1" x14ac:dyDescent="0.25">
      <c r="A279" s="7"/>
    </row>
    <row r="280" spans="1:1" x14ac:dyDescent="0.25">
      <c r="A280" s="7"/>
    </row>
    <row r="281" spans="1:1" x14ac:dyDescent="0.25">
      <c r="A281" s="7"/>
    </row>
    <row r="282" spans="1:1" x14ac:dyDescent="0.25">
      <c r="A282" s="7"/>
    </row>
    <row r="283" spans="1:1" x14ac:dyDescent="0.25">
      <c r="A283" s="7"/>
    </row>
    <row r="284" spans="1:1" x14ac:dyDescent="0.25">
      <c r="A284" s="7"/>
    </row>
    <row r="285" spans="1:1" x14ac:dyDescent="0.25">
      <c r="A285" s="7"/>
    </row>
    <row r="286" spans="1:1" x14ac:dyDescent="0.25">
      <c r="A286" s="7"/>
    </row>
    <row r="287" spans="1:1" x14ac:dyDescent="0.25">
      <c r="A287" s="7"/>
    </row>
    <row r="288" spans="1:1" x14ac:dyDescent="0.25">
      <c r="A288" s="7"/>
    </row>
    <row r="289" spans="1:1" x14ac:dyDescent="0.25">
      <c r="A289" s="7"/>
    </row>
    <row r="290" spans="1:1" x14ac:dyDescent="0.25">
      <c r="A290" s="7"/>
    </row>
    <row r="291" spans="1:1" x14ac:dyDescent="0.25">
      <c r="A291" s="7"/>
    </row>
    <row r="292" spans="1:1" x14ac:dyDescent="0.25">
      <c r="A292" s="7"/>
    </row>
    <row r="293" spans="1:1" x14ac:dyDescent="0.25">
      <c r="A293" s="7"/>
    </row>
    <row r="294" spans="1:1" x14ac:dyDescent="0.25">
      <c r="A294" s="7"/>
    </row>
    <row r="295" spans="1:1" x14ac:dyDescent="0.25">
      <c r="A295" s="7"/>
    </row>
    <row r="296" spans="1:1" x14ac:dyDescent="0.25">
      <c r="A296" s="7"/>
    </row>
    <row r="297" spans="1:1" x14ac:dyDescent="0.25">
      <c r="A297" s="7"/>
    </row>
    <row r="298" spans="1:1" x14ac:dyDescent="0.25">
      <c r="A298" s="7"/>
    </row>
    <row r="299" spans="1:1" x14ac:dyDescent="0.25">
      <c r="A299" s="7"/>
    </row>
    <row r="300" spans="1:1" x14ac:dyDescent="0.25">
      <c r="A300" s="7"/>
    </row>
    <row r="301" spans="1:1" x14ac:dyDescent="0.25">
      <c r="A301" s="7"/>
    </row>
    <row r="302" spans="1:1" x14ac:dyDescent="0.25">
      <c r="A302" s="7"/>
    </row>
    <row r="303" spans="1:1" x14ac:dyDescent="0.25">
      <c r="A303" s="7"/>
    </row>
    <row r="304" spans="1:1" x14ac:dyDescent="0.25">
      <c r="A304" s="7"/>
    </row>
    <row r="305" spans="1:1" x14ac:dyDescent="0.25">
      <c r="A305" s="7"/>
    </row>
    <row r="306" spans="1:1" x14ac:dyDescent="0.25">
      <c r="A306" s="7"/>
    </row>
    <row r="307" spans="1:1" x14ac:dyDescent="0.25">
      <c r="A307" s="7"/>
    </row>
    <row r="308" spans="1:1" x14ac:dyDescent="0.25">
      <c r="A308" s="7"/>
    </row>
    <row r="309" spans="1:1" x14ac:dyDescent="0.25">
      <c r="A309" s="7"/>
    </row>
    <row r="310" spans="1:1" x14ac:dyDescent="0.25">
      <c r="A310" s="7"/>
    </row>
    <row r="311" spans="1:1" x14ac:dyDescent="0.25">
      <c r="A311" s="7"/>
    </row>
    <row r="312" spans="1:1" x14ac:dyDescent="0.25">
      <c r="A312" s="7"/>
    </row>
    <row r="313" spans="1:1" x14ac:dyDescent="0.25">
      <c r="A313" s="7"/>
    </row>
    <row r="314" spans="1:1" x14ac:dyDescent="0.25">
      <c r="A314" s="7"/>
    </row>
    <row r="315" spans="1:1" x14ac:dyDescent="0.25">
      <c r="A315" s="7"/>
    </row>
    <row r="316" spans="1:1" x14ac:dyDescent="0.25">
      <c r="A316" s="7"/>
    </row>
    <row r="317" spans="1:1" x14ac:dyDescent="0.25">
      <c r="A317" s="7"/>
    </row>
    <row r="318" spans="1:1" x14ac:dyDescent="0.25">
      <c r="A318" s="7"/>
    </row>
    <row r="319" spans="1:1" x14ac:dyDescent="0.25">
      <c r="A319" s="7"/>
    </row>
    <row r="320" spans="1:1" x14ac:dyDescent="0.25">
      <c r="A320" s="7"/>
    </row>
    <row r="321" spans="1:1" x14ac:dyDescent="0.25">
      <c r="A321" s="7"/>
    </row>
    <row r="322" spans="1:1" x14ac:dyDescent="0.25">
      <c r="A322" s="7"/>
    </row>
    <row r="323" spans="1:1" x14ac:dyDescent="0.25">
      <c r="A323" s="7"/>
    </row>
    <row r="324" spans="1:1" x14ac:dyDescent="0.25">
      <c r="A324" s="7"/>
    </row>
    <row r="325" spans="1:1" x14ac:dyDescent="0.25">
      <c r="A325" s="7"/>
    </row>
    <row r="326" spans="1:1" x14ac:dyDescent="0.25">
      <c r="A326" s="7"/>
    </row>
    <row r="327" spans="1:1" x14ac:dyDescent="0.25">
      <c r="A327" s="7"/>
    </row>
    <row r="328" spans="1:1" x14ac:dyDescent="0.25">
      <c r="A328" s="7"/>
    </row>
    <row r="329" spans="1:1" x14ac:dyDescent="0.25">
      <c r="A329" s="7"/>
    </row>
    <row r="330" spans="1:1" x14ac:dyDescent="0.25">
      <c r="A330" s="7"/>
    </row>
    <row r="331" spans="1:1" x14ac:dyDescent="0.25">
      <c r="A331" s="7"/>
    </row>
    <row r="332" spans="1:1" x14ac:dyDescent="0.25">
      <c r="A332" s="7"/>
    </row>
    <row r="333" spans="1:1" x14ac:dyDescent="0.25">
      <c r="A333" s="7"/>
    </row>
    <row r="334" spans="1:1" x14ac:dyDescent="0.25">
      <c r="A334" s="7"/>
    </row>
    <row r="335" spans="1:1" x14ac:dyDescent="0.25">
      <c r="A335" s="7"/>
    </row>
    <row r="336" spans="1:1" x14ac:dyDescent="0.25">
      <c r="A336" s="7"/>
    </row>
    <row r="337" spans="1:1" x14ac:dyDescent="0.25">
      <c r="A337" s="7"/>
    </row>
    <row r="338" spans="1:1" x14ac:dyDescent="0.25">
      <c r="A338" s="7"/>
    </row>
    <row r="339" spans="1:1" x14ac:dyDescent="0.25">
      <c r="A339" s="7"/>
    </row>
    <row r="340" spans="1:1" x14ac:dyDescent="0.25">
      <c r="A340" s="7"/>
    </row>
    <row r="341" spans="1:1" x14ac:dyDescent="0.25">
      <c r="A341" s="7"/>
    </row>
    <row r="342" spans="1:1" x14ac:dyDescent="0.25">
      <c r="A342" s="7"/>
    </row>
    <row r="343" spans="1:1" x14ac:dyDescent="0.25">
      <c r="A343" s="7"/>
    </row>
    <row r="344" spans="1:1" x14ac:dyDescent="0.25">
      <c r="A344" s="7"/>
    </row>
    <row r="345" spans="1:1" x14ac:dyDescent="0.25">
      <c r="A345" s="7"/>
    </row>
    <row r="346" spans="1:1" x14ac:dyDescent="0.25">
      <c r="A346" s="7"/>
    </row>
    <row r="347" spans="1:1" x14ac:dyDescent="0.25">
      <c r="A347" s="7"/>
    </row>
    <row r="348" spans="1:1" x14ac:dyDescent="0.25">
      <c r="A348" s="7"/>
    </row>
    <row r="349" spans="1:1" x14ac:dyDescent="0.25">
      <c r="A349" s="7"/>
    </row>
    <row r="350" spans="1:1" x14ac:dyDescent="0.25">
      <c r="A350" s="7"/>
    </row>
    <row r="351" spans="1:1" x14ac:dyDescent="0.25">
      <c r="A351" s="7"/>
    </row>
    <row r="352" spans="1:1" x14ac:dyDescent="0.25">
      <c r="A352" s="7"/>
    </row>
    <row r="353" spans="1:1" x14ac:dyDescent="0.25">
      <c r="A353" s="7"/>
    </row>
    <row r="354" spans="1:1" x14ac:dyDescent="0.25">
      <c r="A354" s="7"/>
    </row>
    <row r="355" spans="1:1" x14ac:dyDescent="0.25">
      <c r="A355" s="7"/>
    </row>
    <row r="356" spans="1:1" x14ac:dyDescent="0.25">
      <c r="A356" s="7"/>
    </row>
    <row r="357" spans="1:1" x14ac:dyDescent="0.25">
      <c r="A357" s="7"/>
    </row>
    <row r="358" spans="1:1" x14ac:dyDescent="0.25">
      <c r="A358" s="7"/>
    </row>
    <row r="359" spans="1:1" x14ac:dyDescent="0.25">
      <c r="A359" s="7"/>
    </row>
    <row r="360" spans="1:1" x14ac:dyDescent="0.25">
      <c r="A360" s="7"/>
    </row>
    <row r="361" spans="1:1" x14ac:dyDescent="0.25">
      <c r="A361" s="7"/>
    </row>
    <row r="362" spans="1:1" x14ac:dyDescent="0.25">
      <c r="A362" s="7"/>
    </row>
    <row r="363" spans="1:1" x14ac:dyDescent="0.25">
      <c r="A363" s="7"/>
    </row>
    <row r="364" spans="1:1" x14ac:dyDescent="0.25">
      <c r="A364" s="7"/>
    </row>
    <row r="365" spans="1:1" x14ac:dyDescent="0.25">
      <c r="A365" s="7"/>
    </row>
    <row r="366" spans="1:1" x14ac:dyDescent="0.25">
      <c r="A366" s="7"/>
    </row>
    <row r="367" spans="1:1" x14ac:dyDescent="0.25">
      <c r="A367" s="7"/>
    </row>
    <row r="368" spans="1:1" x14ac:dyDescent="0.25">
      <c r="A368" s="7"/>
    </row>
    <row r="369" spans="1:1" x14ac:dyDescent="0.25">
      <c r="A369" s="7"/>
    </row>
    <row r="370" spans="1:1" x14ac:dyDescent="0.25">
      <c r="A370" s="7"/>
    </row>
    <row r="371" spans="1:1" x14ac:dyDescent="0.25">
      <c r="A371" s="7"/>
    </row>
    <row r="372" spans="1:1" x14ac:dyDescent="0.25">
      <c r="A372" s="7"/>
    </row>
    <row r="373" spans="1:1" x14ac:dyDescent="0.25">
      <c r="A373" s="7"/>
    </row>
    <row r="374" spans="1:1" x14ac:dyDescent="0.25">
      <c r="A374" s="7"/>
    </row>
    <row r="375" spans="1:1" x14ac:dyDescent="0.25">
      <c r="A375" s="7"/>
    </row>
    <row r="376" spans="1:1" x14ac:dyDescent="0.25">
      <c r="A376" s="7"/>
    </row>
    <row r="377" spans="1:1" x14ac:dyDescent="0.25">
      <c r="A377" s="7"/>
    </row>
    <row r="378" spans="1:1" x14ac:dyDescent="0.25">
      <c r="A378" s="7"/>
    </row>
    <row r="379" spans="1:1" x14ac:dyDescent="0.25">
      <c r="A379" s="7"/>
    </row>
    <row r="380" spans="1:1" x14ac:dyDescent="0.25">
      <c r="A380" s="7"/>
    </row>
    <row r="381" spans="1:1" x14ac:dyDescent="0.25">
      <c r="A381" s="7"/>
    </row>
    <row r="382" spans="1:1" x14ac:dyDescent="0.25">
      <c r="A382" s="7"/>
    </row>
    <row r="383" spans="1:1" x14ac:dyDescent="0.25">
      <c r="A383" s="7"/>
    </row>
    <row r="384" spans="1:1" x14ac:dyDescent="0.25">
      <c r="A384" s="7"/>
    </row>
    <row r="385" spans="1:1" x14ac:dyDescent="0.25">
      <c r="A385" s="7"/>
    </row>
    <row r="386" spans="1:1" x14ac:dyDescent="0.25">
      <c r="A386" s="7"/>
    </row>
    <row r="387" spans="1:1" x14ac:dyDescent="0.25">
      <c r="A387" s="7"/>
    </row>
    <row r="388" spans="1:1" x14ac:dyDescent="0.25">
      <c r="A388" s="7"/>
    </row>
    <row r="389" spans="1:1" x14ac:dyDescent="0.25">
      <c r="A389" s="7"/>
    </row>
    <row r="390" spans="1:1" x14ac:dyDescent="0.25">
      <c r="A390" s="7"/>
    </row>
    <row r="391" spans="1:1" x14ac:dyDescent="0.25">
      <c r="A391" s="7"/>
    </row>
    <row r="392" spans="1:1" x14ac:dyDescent="0.25">
      <c r="A392" s="7"/>
    </row>
    <row r="393" spans="1:1" x14ac:dyDescent="0.25">
      <c r="A393" s="7"/>
    </row>
    <row r="394" spans="1:1" x14ac:dyDescent="0.25">
      <c r="A394" s="7"/>
    </row>
    <row r="395" spans="1:1" x14ac:dyDescent="0.25">
      <c r="A395" s="7"/>
    </row>
    <row r="396" spans="1:1" x14ac:dyDescent="0.25">
      <c r="A396" s="7"/>
    </row>
    <row r="397" spans="1:1" x14ac:dyDescent="0.25">
      <c r="A397" s="7"/>
    </row>
    <row r="398" spans="1:1" x14ac:dyDescent="0.25">
      <c r="A398" s="7"/>
    </row>
    <row r="399" spans="1:1" x14ac:dyDescent="0.25">
      <c r="A399" s="7"/>
    </row>
    <row r="400" spans="1:1" x14ac:dyDescent="0.25">
      <c r="A400" s="7"/>
    </row>
    <row r="401" spans="1:1" x14ac:dyDescent="0.25">
      <c r="A401" s="7"/>
    </row>
    <row r="402" spans="1:1" x14ac:dyDescent="0.25">
      <c r="A402" s="7"/>
    </row>
    <row r="403" spans="1:1" x14ac:dyDescent="0.25">
      <c r="A403" s="7"/>
    </row>
    <row r="404" spans="1:1" x14ac:dyDescent="0.25">
      <c r="A404" s="7"/>
    </row>
    <row r="405" spans="1:1" x14ac:dyDescent="0.25">
      <c r="A405" s="7"/>
    </row>
    <row r="406" spans="1:1" x14ac:dyDescent="0.25">
      <c r="A406" s="7"/>
    </row>
    <row r="407" spans="1:1" x14ac:dyDescent="0.25">
      <c r="A407" s="7"/>
    </row>
    <row r="408" spans="1:1" x14ac:dyDescent="0.25">
      <c r="A408" s="7"/>
    </row>
    <row r="409" spans="1:1" x14ac:dyDescent="0.25">
      <c r="A409" s="7"/>
    </row>
    <row r="410" spans="1:1" x14ac:dyDescent="0.25">
      <c r="A410" s="7"/>
    </row>
    <row r="411" spans="1:1" x14ac:dyDescent="0.25">
      <c r="A411" s="7"/>
    </row>
    <row r="412" spans="1:1" x14ac:dyDescent="0.25">
      <c r="A412" s="7"/>
    </row>
    <row r="413" spans="1:1" x14ac:dyDescent="0.25">
      <c r="A413" s="7"/>
    </row>
    <row r="414" spans="1:1" x14ac:dyDescent="0.25">
      <c r="A414" s="7"/>
    </row>
    <row r="415" spans="1:1" x14ac:dyDescent="0.25">
      <c r="A415" s="7"/>
    </row>
    <row r="416" spans="1:1" x14ac:dyDescent="0.25">
      <c r="A416" s="7"/>
    </row>
    <row r="417" spans="1:1" x14ac:dyDescent="0.25">
      <c r="A417" s="7"/>
    </row>
    <row r="418" spans="1:1" x14ac:dyDescent="0.25">
      <c r="A418" s="7"/>
    </row>
    <row r="419" spans="1:1" x14ac:dyDescent="0.25">
      <c r="A419" s="7"/>
    </row>
    <row r="420" spans="1:1" x14ac:dyDescent="0.25">
      <c r="A420" s="7"/>
    </row>
    <row r="421" spans="1:1" x14ac:dyDescent="0.25">
      <c r="A421" s="7"/>
    </row>
    <row r="422" spans="1:1" x14ac:dyDescent="0.25">
      <c r="A422" s="7"/>
    </row>
    <row r="423" spans="1:1" x14ac:dyDescent="0.25">
      <c r="A423" s="7"/>
    </row>
    <row r="424" spans="1:1" x14ac:dyDescent="0.25">
      <c r="A424" s="7"/>
    </row>
    <row r="425" spans="1:1" x14ac:dyDescent="0.25">
      <c r="A425" s="7"/>
    </row>
    <row r="426" spans="1:1" x14ac:dyDescent="0.25">
      <c r="A426" s="7"/>
    </row>
    <row r="427" spans="1:1" x14ac:dyDescent="0.25">
      <c r="A427" s="7"/>
    </row>
    <row r="428" spans="1:1" x14ac:dyDescent="0.25">
      <c r="A428" s="7"/>
    </row>
    <row r="429" spans="1:1" x14ac:dyDescent="0.25">
      <c r="A429" s="7"/>
    </row>
    <row r="430" spans="1:1" x14ac:dyDescent="0.25">
      <c r="A430" s="7"/>
    </row>
    <row r="431" spans="1:1" x14ac:dyDescent="0.25">
      <c r="A431" s="7"/>
    </row>
    <row r="432" spans="1:1" x14ac:dyDescent="0.25">
      <c r="A432" s="7"/>
    </row>
    <row r="433" spans="1:1" x14ac:dyDescent="0.25">
      <c r="A433" s="7"/>
    </row>
    <row r="434" spans="1:1" x14ac:dyDescent="0.25">
      <c r="A434" s="7"/>
    </row>
    <row r="435" spans="1:1" x14ac:dyDescent="0.25">
      <c r="A435" s="7"/>
    </row>
    <row r="436" spans="1:1" x14ac:dyDescent="0.25">
      <c r="A436" s="7"/>
    </row>
    <row r="437" spans="1:1" x14ac:dyDescent="0.25">
      <c r="A437" s="7"/>
    </row>
    <row r="438" spans="1:1" x14ac:dyDescent="0.25">
      <c r="A438" s="7"/>
    </row>
    <row r="439" spans="1:1" x14ac:dyDescent="0.25">
      <c r="A439" s="7"/>
    </row>
    <row r="440" spans="1:1" x14ac:dyDescent="0.25">
      <c r="A440" s="7"/>
    </row>
    <row r="441" spans="1:1" x14ac:dyDescent="0.25">
      <c r="A441" s="7"/>
    </row>
    <row r="442" spans="1:1" x14ac:dyDescent="0.25">
      <c r="A442" s="7"/>
    </row>
    <row r="443" spans="1:1" x14ac:dyDescent="0.25">
      <c r="A443" s="7"/>
    </row>
    <row r="444" spans="1:1" x14ac:dyDescent="0.25">
      <c r="A444" s="7"/>
    </row>
    <row r="445" spans="1:1" x14ac:dyDescent="0.25">
      <c r="A445" s="7"/>
    </row>
    <row r="446" spans="1:1" x14ac:dyDescent="0.25">
      <c r="A446" s="7"/>
    </row>
    <row r="447" spans="1:1" x14ac:dyDescent="0.25">
      <c r="A447" s="7"/>
    </row>
    <row r="448" spans="1:1" x14ac:dyDescent="0.25">
      <c r="A448" s="7"/>
    </row>
    <row r="449" spans="1:1" x14ac:dyDescent="0.25">
      <c r="A449" s="7"/>
    </row>
    <row r="450" spans="1:1" x14ac:dyDescent="0.25">
      <c r="A450" s="7"/>
    </row>
    <row r="451" spans="1:1" x14ac:dyDescent="0.25">
      <c r="A451" s="7"/>
    </row>
    <row r="452" spans="1:1" x14ac:dyDescent="0.25">
      <c r="A452" s="7"/>
    </row>
    <row r="453" spans="1:1" x14ac:dyDescent="0.25">
      <c r="A453" s="7"/>
    </row>
    <row r="454" spans="1:1" x14ac:dyDescent="0.25">
      <c r="A454" s="7"/>
    </row>
    <row r="455" spans="1:1" x14ac:dyDescent="0.25">
      <c r="A455" s="7"/>
    </row>
    <row r="456" spans="1:1" x14ac:dyDescent="0.25">
      <c r="A456" s="7"/>
    </row>
    <row r="457" spans="1:1" x14ac:dyDescent="0.25">
      <c r="A457" s="7"/>
    </row>
    <row r="458" spans="1:1" x14ac:dyDescent="0.25">
      <c r="A458" s="7"/>
    </row>
    <row r="459" spans="1:1" x14ac:dyDescent="0.25">
      <c r="A459" s="7"/>
    </row>
    <row r="460" spans="1:1" x14ac:dyDescent="0.25">
      <c r="A460" s="7"/>
    </row>
    <row r="461" spans="1:1" x14ac:dyDescent="0.25">
      <c r="A461" s="7"/>
    </row>
    <row r="462" spans="1:1" x14ac:dyDescent="0.25">
      <c r="A462" s="7"/>
    </row>
    <row r="463" spans="1:1" x14ac:dyDescent="0.25">
      <c r="A463" s="7"/>
    </row>
    <row r="464" spans="1:1" x14ac:dyDescent="0.25">
      <c r="A464" s="7"/>
    </row>
    <row r="465" spans="1:1" x14ac:dyDescent="0.25">
      <c r="A465" s="7"/>
    </row>
    <row r="466" spans="1:1" x14ac:dyDescent="0.25">
      <c r="A466" s="7"/>
    </row>
    <row r="467" spans="1:1" x14ac:dyDescent="0.25">
      <c r="A467" s="7"/>
    </row>
    <row r="468" spans="1:1" x14ac:dyDescent="0.25">
      <c r="A468" s="7"/>
    </row>
    <row r="469" spans="1:1" x14ac:dyDescent="0.25">
      <c r="A469" s="7"/>
    </row>
    <row r="470" spans="1:1" x14ac:dyDescent="0.25">
      <c r="A470" s="7"/>
    </row>
    <row r="471" spans="1:1" x14ac:dyDescent="0.25">
      <c r="A471" s="7"/>
    </row>
    <row r="472" spans="1:1" x14ac:dyDescent="0.25">
      <c r="A472" s="7"/>
    </row>
    <row r="473" spans="1:1" x14ac:dyDescent="0.25">
      <c r="A473" s="7"/>
    </row>
    <row r="474" spans="1:1" x14ac:dyDescent="0.25">
      <c r="A474" s="7"/>
    </row>
    <row r="475" spans="1:1" x14ac:dyDescent="0.25">
      <c r="A475" s="7"/>
    </row>
    <row r="476" spans="1:1" x14ac:dyDescent="0.25">
      <c r="A476" s="7"/>
    </row>
    <row r="477" spans="1:1" x14ac:dyDescent="0.25">
      <c r="A477" s="7"/>
    </row>
    <row r="478" spans="1:1" x14ac:dyDescent="0.25">
      <c r="A478" s="7"/>
    </row>
    <row r="479" spans="1:1" x14ac:dyDescent="0.25">
      <c r="A479" s="7"/>
    </row>
    <row r="480" spans="1:1" x14ac:dyDescent="0.25">
      <c r="A480" s="7"/>
    </row>
    <row r="481" spans="1:1" x14ac:dyDescent="0.25">
      <c r="A481" s="7"/>
    </row>
    <row r="482" spans="1:1" x14ac:dyDescent="0.25">
      <c r="A482" s="7"/>
    </row>
    <row r="483" spans="1:1" x14ac:dyDescent="0.25">
      <c r="A483" s="7"/>
    </row>
    <row r="484" spans="1:1" x14ac:dyDescent="0.25">
      <c r="A484" s="7"/>
    </row>
    <row r="485" spans="1:1" x14ac:dyDescent="0.25">
      <c r="A485" s="7"/>
    </row>
    <row r="486" spans="1:1" x14ac:dyDescent="0.25">
      <c r="A486" s="7"/>
    </row>
    <row r="487" spans="1:1" x14ac:dyDescent="0.25">
      <c r="A487" s="7"/>
    </row>
    <row r="488" spans="1:1" x14ac:dyDescent="0.25">
      <c r="A488" s="7"/>
    </row>
    <row r="489" spans="1:1" x14ac:dyDescent="0.25">
      <c r="A489" s="7"/>
    </row>
    <row r="490" spans="1:1" x14ac:dyDescent="0.25">
      <c r="A490" s="7"/>
    </row>
    <row r="491" spans="1:1" x14ac:dyDescent="0.25">
      <c r="A491" s="7"/>
    </row>
    <row r="492" spans="1:1" x14ac:dyDescent="0.25">
      <c r="A492" s="7"/>
    </row>
    <row r="493" spans="1:1" x14ac:dyDescent="0.25">
      <c r="A493" s="7"/>
    </row>
    <row r="494" spans="1:1" x14ac:dyDescent="0.25">
      <c r="A494" s="7"/>
    </row>
    <row r="495" spans="1:1" x14ac:dyDescent="0.25">
      <c r="A495" s="7"/>
    </row>
    <row r="496" spans="1:1" x14ac:dyDescent="0.25">
      <c r="A496" s="7"/>
    </row>
    <row r="497" spans="1:1" x14ac:dyDescent="0.25">
      <c r="A497" s="7"/>
    </row>
    <row r="498" spans="1:1" x14ac:dyDescent="0.25">
      <c r="A498" s="7"/>
    </row>
    <row r="499" spans="1:1" x14ac:dyDescent="0.25">
      <c r="A499" s="7"/>
    </row>
    <row r="500" spans="1:1" x14ac:dyDescent="0.25">
      <c r="A500" s="7"/>
    </row>
    <row r="501" spans="1:1" x14ac:dyDescent="0.25">
      <c r="A501" s="7"/>
    </row>
    <row r="502" spans="1:1" x14ac:dyDescent="0.25">
      <c r="A502" s="7"/>
    </row>
    <row r="503" spans="1:1" x14ac:dyDescent="0.25">
      <c r="A503" s="7"/>
    </row>
    <row r="504" spans="1:1" x14ac:dyDescent="0.25">
      <c r="A504" s="7"/>
    </row>
    <row r="505" spans="1:1" x14ac:dyDescent="0.25">
      <c r="A505" s="7"/>
    </row>
    <row r="506" spans="1:1" x14ac:dyDescent="0.25">
      <c r="A506" s="7"/>
    </row>
    <row r="507" spans="1:1" x14ac:dyDescent="0.25">
      <c r="A507" s="7"/>
    </row>
    <row r="508" spans="1:1" x14ac:dyDescent="0.25">
      <c r="A508" s="7"/>
    </row>
    <row r="509" spans="1:1" x14ac:dyDescent="0.25">
      <c r="A509" s="7"/>
    </row>
    <row r="510" spans="1:1" x14ac:dyDescent="0.25">
      <c r="A510" s="7"/>
    </row>
    <row r="511" spans="1:1" x14ac:dyDescent="0.25">
      <c r="A511" s="7"/>
    </row>
    <row r="512" spans="1:1" x14ac:dyDescent="0.25">
      <c r="A512" s="7"/>
    </row>
    <row r="513" spans="1:1" x14ac:dyDescent="0.25">
      <c r="A513" s="7"/>
    </row>
    <row r="514" spans="1:1" x14ac:dyDescent="0.25">
      <c r="A514" s="7"/>
    </row>
    <row r="515" spans="1:1" x14ac:dyDescent="0.25">
      <c r="A515" s="7"/>
    </row>
    <row r="516" spans="1:1" x14ac:dyDescent="0.25">
      <c r="A516" s="7"/>
    </row>
    <row r="517" spans="1:1" x14ac:dyDescent="0.25">
      <c r="A517" s="7"/>
    </row>
    <row r="518" spans="1:1" x14ac:dyDescent="0.25">
      <c r="A518" s="7"/>
    </row>
    <row r="519" spans="1:1" x14ac:dyDescent="0.25">
      <c r="A519" s="7"/>
    </row>
    <row r="520" spans="1:1" x14ac:dyDescent="0.25">
      <c r="A520" s="7"/>
    </row>
    <row r="521" spans="1:1" x14ac:dyDescent="0.25">
      <c r="A521" s="7"/>
    </row>
    <row r="522" spans="1:1" x14ac:dyDescent="0.25">
      <c r="A522" s="7"/>
    </row>
    <row r="523" spans="1:1" x14ac:dyDescent="0.25">
      <c r="A523" s="7"/>
    </row>
    <row r="524" spans="1:1" x14ac:dyDescent="0.25">
      <c r="A524" s="7"/>
    </row>
    <row r="525" spans="1:1" x14ac:dyDescent="0.25">
      <c r="A525" s="7"/>
    </row>
    <row r="526" spans="1:1" x14ac:dyDescent="0.25">
      <c r="A526" s="7"/>
    </row>
    <row r="527" spans="1:1" x14ac:dyDescent="0.25">
      <c r="A527" s="7"/>
    </row>
    <row r="528" spans="1:1" x14ac:dyDescent="0.25">
      <c r="A528" s="7"/>
    </row>
    <row r="529" spans="1:1" x14ac:dyDescent="0.25">
      <c r="A529" s="7"/>
    </row>
    <row r="530" spans="1:1" x14ac:dyDescent="0.25">
      <c r="A530" s="7"/>
    </row>
    <row r="531" spans="1:1" x14ac:dyDescent="0.25">
      <c r="A531" s="7"/>
    </row>
    <row r="532" spans="1:1" x14ac:dyDescent="0.25">
      <c r="A532" s="7"/>
    </row>
    <row r="533" spans="1:1" x14ac:dyDescent="0.25">
      <c r="A533" s="7"/>
    </row>
    <row r="534" spans="1:1" x14ac:dyDescent="0.25">
      <c r="A534" s="7"/>
    </row>
    <row r="535" spans="1:1" x14ac:dyDescent="0.25">
      <c r="A535" s="7"/>
    </row>
    <row r="536" spans="1:1" x14ac:dyDescent="0.25">
      <c r="A536" s="7"/>
    </row>
    <row r="537" spans="1:1" x14ac:dyDescent="0.25">
      <c r="A537" s="7"/>
    </row>
    <row r="538" spans="1:1" x14ac:dyDescent="0.25">
      <c r="A538" s="7"/>
    </row>
    <row r="539" spans="1:1" x14ac:dyDescent="0.25">
      <c r="A539" s="7"/>
    </row>
    <row r="540" spans="1:1" x14ac:dyDescent="0.25">
      <c r="A540" s="7"/>
    </row>
    <row r="541" spans="1:1" x14ac:dyDescent="0.25">
      <c r="A541" s="7"/>
    </row>
    <row r="542" spans="1:1" x14ac:dyDescent="0.25">
      <c r="A542" s="7"/>
    </row>
    <row r="543" spans="1:1" x14ac:dyDescent="0.25">
      <c r="A543" s="7"/>
    </row>
    <row r="544" spans="1:1" x14ac:dyDescent="0.25">
      <c r="A544" s="7"/>
    </row>
    <row r="545" spans="1:1" x14ac:dyDescent="0.25">
      <c r="A545" s="7"/>
    </row>
    <row r="546" spans="1:1" x14ac:dyDescent="0.25">
      <c r="A546" s="7"/>
    </row>
    <row r="547" spans="1:1" x14ac:dyDescent="0.25">
      <c r="A547" s="7"/>
    </row>
    <row r="548" spans="1:1" x14ac:dyDescent="0.25">
      <c r="A548" s="7"/>
    </row>
    <row r="549" spans="1:1" x14ac:dyDescent="0.25">
      <c r="A549" s="7"/>
    </row>
    <row r="550" spans="1:1" x14ac:dyDescent="0.25">
      <c r="A550" s="7"/>
    </row>
    <row r="551" spans="1:1" x14ac:dyDescent="0.25">
      <c r="A551" s="7"/>
    </row>
    <row r="552" spans="1:1" x14ac:dyDescent="0.25">
      <c r="A552" s="7"/>
    </row>
    <row r="553" spans="1:1" x14ac:dyDescent="0.25">
      <c r="A553" s="7"/>
    </row>
    <row r="554" spans="1:1" x14ac:dyDescent="0.25">
      <c r="A554" s="7"/>
    </row>
    <row r="555" spans="1:1" x14ac:dyDescent="0.25">
      <c r="A555" s="7"/>
    </row>
    <row r="556" spans="1:1" x14ac:dyDescent="0.25">
      <c r="A556" s="7"/>
    </row>
    <row r="557" spans="1:1" x14ac:dyDescent="0.25">
      <c r="A557" s="7"/>
    </row>
    <row r="558" spans="1:1" x14ac:dyDescent="0.25">
      <c r="A558" s="7"/>
    </row>
    <row r="559" spans="1:1" x14ac:dyDescent="0.25">
      <c r="A559" s="7"/>
    </row>
    <row r="560" spans="1:1" x14ac:dyDescent="0.25">
      <c r="A560" s="7"/>
    </row>
    <row r="561" spans="1:1" x14ac:dyDescent="0.25">
      <c r="A561" s="7"/>
    </row>
    <row r="562" spans="1:1" x14ac:dyDescent="0.25">
      <c r="A562" s="7"/>
    </row>
    <row r="563" spans="1:1" x14ac:dyDescent="0.25">
      <c r="A563" s="7"/>
    </row>
    <row r="564" spans="1:1" x14ac:dyDescent="0.25">
      <c r="A564" s="7"/>
    </row>
    <row r="565" spans="1:1" x14ac:dyDescent="0.25">
      <c r="A565" s="7"/>
    </row>
    <row r="566" spans="1:1" x14ac:dyDescent="0.25">
      <c r="A566" s="7"/>
    </row>
    <row r="567" spans="1:1" x14ac:dyDescent="0.25">
      <c r="A567" s="7"/>
    </row>
    <row r="568" spans="1:1" x14ac:dyDescent="0.25">
      <c r="A568" s="7"/>
    </row>
    <row r="569" spans="1:1" x14ac:dyDescent="0.25">
      <c r="A569" s="7"/>
    </row>
    <row r="570" spans="1:1" x14ac:dyDescent="0.25">
      <c r="A570" s="7"/>
    </row>
    <row r="571" spans="1:1" x14ac:dyDescent="0.25">
      <c r="A571" s="7"/>
    </row>
    <row r="572" spans="1:1" x14ac:dyDescent="0.25">
      <c r="A572" s="7"/>
    </row>
    <row r="573" spans="1:1" x14ac:dyDescent="0.25">
      <c r="A573" s="7"/>
    </row>
    <row r="574" spans="1:1" x14ac:dyDescent="0.25">
      <c r="A574" s="7"/>
    </row>
    <row r="575" spans="1:1" x14ac:dyDescent="0.25">
      <c r="A575" s="7"/>
    </row>
    <row r="576" spans="1:1" x14ac:dyDescent="0.25">
      <c r="A576" s="7"/>
    </row>
    <row r="577" spans="1:1" x14ac:dyDescent="0.25">
      <c r="A577" s="7"/>
    </row>
    <row r="578" spans="1:1" x14ac:dyDescent="0.25">
      <c r="A578" s="7"/>
    </row>
    <row r="579" spans="1:1" x14ac:dyDescent="0.25">
      <c r="A579" s="7"/>
    </row>
    <row r="580" spans="1:1" x14ac:dyDescent="0.25">
      <c r="A580" s="7"/>
    </row>
    <row r="581" spans="1:1" x14ac:dyDescent="0.25">
      <c r="A581" s="7"/>
    </row>
    <row r="582" spans="1:1" x14ac:dyDescent="0.25">
      <c r="A582" s="7"/>
    </row>
    <row r="583" spans="1:1" x14ac:dyDescent="0.25">
      <c r="A583" s="7"/>
    </row>
    <row r="584" spans="1:1" x14ac:dyDescent="0.25">
      <c r="A584" s="7"/>
    </row>
    <row r="585" spans="1:1" x14ac:dyDescent="0.25">
      <c r="A585" s="7"/>
    </row>
    <row r="586" spans="1:1" x14ac:dyDescent="0.25">
      <c r="A586" s="7"/>
    </row>
    <row r="587" spans="1:1" x14ac:dyDescent="0.25">
      <c r="A587" s="7"/>
    </row>
    <row r="588" spans="1:1" x14ac:dyDescent="0.25">
      <c r="A588" s="7"/>
    </row>
    <row r="589" spans="1:1" x14ac:dyDescent="0.25">
      <c r="A589" s="7"/>
    </row>
    <row r="590" spans="1:1" x14ac:dyDescent="0.25">
      <c r="A590" s="7"/>
    </row>
    <row r="591" spans="1:1" x14ac:dyDescent="0.25">
      <c r="A591" s="7"/>
    </row>
    <row r="592" spans="1:1" x14ac:dyDescent="0.25">
      <c r="A592" s="7"/>
    </row>
    <row r="593" spans="1:1" x14ac:dyDescent="0.25">
      <c r="A593" s="7"/>
    </row>
    <row r="594" spans="1:1" x14ac:dyDescent="0.25">
      <c r="A594" s="7"/>
    </row>
    <row r="595" spans="1:1" x14ac:dyDescent="0.25">
      <c r="A595" s="7"/>
    </row>
    <row r="596" spans="1:1" x14ac:dyDescent="0.25">
      <c r="A596" s="7"/>
    </row>
    <row r="597" spans="1:1" x14ac:dyDescent="0.25">
      <c r="A597" s="7"/>
    </row>
    <row r="598" spans="1:1" x14ac:dyDescent="0.25">
      <c r="A598" s="7"/>
    </row>
    <row r="599" spans="1:1" x14ac:dyDescent="0.25">
      <c r="A599" s="7"/>
    </row>
    <row r="600" spans="1:1" x14ac:dyDescent="0.25">
      <c r="A600" s="7"/>
    </row>
    <row r="601" spans="1:1" x14ac:dyDescent="0.25">
      <c r="A601" s="7"/>
    </row>
    <row r="602" spans="1:1" x14ac:dyDescent="0.25">
      <c r="A602" s="7"/>
    </row>
    <row r="603" spans="1:1" x14ac:dyDescent="0.25">
      <c r="A603" s="7"/>
    </row>
    <row r="604" spans="1:1" x14ac:dyDescent="0.25">
      <c r="A604" s="7"/>
    </row>
    <row r="605" spans="1:1" x14ac:dyDescent="0.25">
      <c r="A605" s="7"/>
    </row>
    <row r="606" spans="1:1" x14ac:dyDescent="0.25">
      <c r="A606" s="7"/>
    </row>
    <row r="607" spans="1:1" x14ac:dyDescent="0.25">
      <c r="A607" s="7"/>
    </row>
    <row r="608" spans="1:1" x14ac:dyDescent="0.25">
      <c r="A608" s="7"/>
    </row>
    <row r="609" spans="1:1" x14ac:dyDescent="0.25">
      <c r="A609" s="7"/>
    </row>
    <row r="610" spans="1:1" x14ac:dyDescent="0.25">
      <c r="A610" s="7"/>
    </row>
    <row r="611" spans="1:1" x14ac:dyDescent="0.25">
      <c r="A611" s="7"/>
    </row>
    <row r="612" spans="1:1" x14ac:dyDescent="0.25">
      <c r="A612" s="7"/>
    </row>
    <row r="613" spans="1:1" x14ac:dyDescent="0.25">
      <c r="A613" s="7"/>
    </row>
    <row r="614" spans="1:1" x14ac:dyDescent="0.25">
      <c r="A614" s="7"/>
    </row>
    <row r="615" spans="1:1" x14ac:dyDescent="0.25">
      <c r="A615" s="7"/>
    </row>
    <row r="616" spans="1:1" x14ac:dyDescent="0.25">
      <c r="A616" s="7"/>
    </row>
    <row r="617" spans="1:1" x14ac:dyDescent="0.25">
      <c r="A617" s="7"/>
    </row>
    <row r="618" spans="1:1" x14ac:dyDescent="0.25">
      <c r="A618" s="7"/>
    </row>
    <row r="619" spans="1:1" x14ac:dyDescent="0.25">
      <c r="A619" s="7"/>
    </row>
    <row r="620" spans="1:1" x14ac:dyDescent="0.25">
      <c r="A620" s="7"/>
    </row>
    <row r="621" spans="1:1" x14ac:dyDescent="0.25">
      <c r="A621" s="7"/>
    </row>
    <row r="622" spans="1:1" x14ac:dyDescent="0.25">
      <c r="A622" s="7"/>
    </row>
    <row r="623" spans="1:1" x14ac:dyDescent="0.25">
      <c r="A623" s="7"/>
    </row>
    <row r="624" spans="1:1" x14ac:dyDescent="0.25">
      <c r="A624" s="7"/>
    </row>
    <row r="625" spans="1:1" x14ac:dyDescent="0.25">
      <c r="A625" s="7"/>
    </row>
    <row r="626" spans="1:1" x14ac:dyDescent="0.25">
      <c r="A626" s="7"/>
    </row>
    <row r="627" spans="1:1" x14ac:dyDescent="0.25">
      <c r="A627" s="7"/>
    </row>
    <row r="628" spans="1:1" x14ac:dyDescent="0.25">
      <c r="A628" s="7"/>
    </row>
    <row r="629" spans="1:1" x14ac:dyDescent="0.25">
      <c r="A629" s="7"/>
    </row>
    <row r="630" spans="1:1" x14ac:dyDescent="0.25">
      <c r="A630" s="7"/>
    </row>
    <row r="631" spans="1:1" x14ac:dyDescent="0.25">
      <c r="A631" s="7"/>
    </row>
    <row r="632" spans="1:1" x14ac:dyDescent="0.25">
      <c r="A632" s="7"/>
    </row>
    <row r="633" spans="1:1" x14ac:dyDescent="0.25">
      <c r="A633" s="7"/>
    </row>
    <row r="634" spans="1:1" x14ac:dyDescent="0.25">
      <c r="A634" s="7"/>
    </row>
    <row r="635" spans="1:1" x14ac:dyDescent="0.25">
      <c r="A635" s="7"/>
    </row>
    <row r="636" spans="1:1" x14ac:dyDescent="0.25">
      <c r="A636" s="7"/>
    </row>
    <row r="637" spans="1:1" x14ac:dyDescent="0.25">
      <c r="A637" s="7"/>
    </row>
    <row r="638" spans="1:1" x14ac:dyDescent="0.25">
      <c r="A638" s="7"/>
    </row>
    <row r="639" spans="1:1" x14ac:dyDescent="0.25">
      <c r="A639" s="7"/>
    </row>
    <row r="640" spans="1:1" x14ac:dyDescent="0.25">
      <c r="A640" s="7"/>
    </row>
    <row r="641" spans="1:1" x14ac:dyDescent="0.25">
      <c r="A641" s="7"/>
    </row>
    <row r="642" spans="1:1" x14ac:dyDescent="0.25">
      <c r="A642" s="7"/>
    </row>
    <row r="643" spans="1:1" x14ac:dyDescent="0.25">
      <c r="A643" s="7"/>
    </row>
    <row r="644" spans="1:1" x14ac:dyDescent="0.25">
      <c r="A644" s="7"/>
    </row>
    <row r="645" spans="1:1" x14ac:dyDescent="0.25">
      <c r="A645" s="7"/>
    </row>
    <row r="646" spans="1:1" x14ac:dyDescent="0.25">
      <c r="A646" s="7"/>
    </row>
    <row r="647" spans="1:1" x14ac:dyDescent="0.25">
      <c r="A647" s="7"/>
    </row>
    <row r="648" spans="1:1" x14ac:dyDescent="0.25">
      <c r="A648" s="7"/>
    </row>
    <row r="649" spans="1:1" x14ac:dyDescent="0.25">
      <c r="A649" s="7"/>
    </row>
    <row r="650" spans="1:1" x14ac:dyDescent="0.25">
      <c r="A650" s="7"/>
    </row>
    <row r="651" spans="1:1" x14ac:dyDescent="0.25">
      <c r="A651" s="7"/>
    </row>
    <row r="652" spans="1:1" x14ac:dyDescent="0.25">
      <c r="A652" s="7"/>
    </row>
    <row r="653" spans="1:1" x14ac:dyDescent="0.25">
      <c r="A653" s="7"/>
    </row>
    <row r="654" spans="1:1" x14ac:dyDescent="0.25">
      <c r="A654" s="7"/>
    </row>
    <row r="655" spans="1:1" x14ac:dyDescent="0.25">
      <c r="A655" s="7"/>
    </row>
    <row r="656" spans="1:1" x14ac:dyDescent="0.25">
      <c r="A656" s="7"/>
    </row>
    <row r="657" spans="1:1" x14ac:dyDescent="0.25">
      <c r="A657" s="7"/>
    </row>
    <row r="658" spans="1:1" x14ac:dyDescent="0.25">
      <c r="A658" s="7"/>
    </row>
    <row r="659" spans="1:1" x14ac:dyDescent="0.25">
      <c r="A659" s="7"/>
    </row>
    <row r="660" spans="1:1" x14ac:dyDescent="0.25">
      <c r="A660" s="7"/>
    </row>
    <row r="661" spans="1:1" x14ac:dyDescent="0.25">
      <c r="A661" s="7"/>
    </row>
    <row r="662" spans="1:1" x14ac:dyDescent="0.25">
      <c r="A662" s="7"/>
    </row>
    <row r="663" spans="1:1" x14ac:dyDescent="0.25">
      <c r="A663" s="7"/>
    </row>
    <row r="664" spans="1:1" x14ac:dyDescent="0.25">
      <c r="A664" s="7"/>
    </row>
    <row r="665" spans="1:1" x14ac:dyDescent="0.25">
      <c r="A665" s="7"/>
    </row>
    <row r="666" spans="1:1" x14ac:dyDescent="0.25">
      <c r="A666" s="7"/>
    </row>
    <row r="667" spans="1:1" x14ac:dyDescent="0.25">
      <c r="A667" s="7"/>
    </row>
    <row r="668" spans="1:1" x14ac:dyDescent="0.25">
      <c r="A668" s="7"/>
    </row>
    <row r="669" spans="1:1" x14ac:dyDescent="0.25">
      <c r="A669" s="7"/>
    </row>
    <row r="670" spans="1:1" x14ac:dyDescent="0.25">
      <c r="A670" s="7"/>
    </row>
    <row r="671" spans="1:1" x14ac:dyDescent="0.25">
      <c r="A671" s="7"/>
    </row>
    <row r="672" spans="1:1" x14ac:dyDescent="0.25">
      <c r="A672" s="7"/>
    </row>
    <row r="673" spans="1:1" x14ac:dyDescent="0.25">
      <c r="A673" s="7"/>
    </row>
    <row r="674" spans="1:1" x14ac:dyDescent="0.25">
      <c r="A674" s="7"/>
    </row>
    <row r="675" spans="1:1" x14ac:dyDescent="0.25">
      <c r="A675" s="7"/>
    </row>
    <row r="676" spans="1:1" x14ac:dyDescent="0.25">
      <c r="A676" s="7"/>
    </row>
    <row r="677" spans="1:1" x14ac:dyDescent="0.25">
      <c r="A677" s="7"/>
    </row>
    <row r="678" spans="1:1" x14ac:dyDescent="0.25">
      <c r="A678" s="7"/>
    </row>
    <row r="679" spans="1:1" x14ac:dyDescent="0.25">
      <c r="A679" s="7"/>
    </row>
    <row r="680" spans="1:1" x14ac:dyDescent="0.25">
      <c r="A680" s="7"/>
    </row>
    <row r="681" spans="1:1" x14ac:dyDescent="0.25">
      <c r="A681" s="7"/>
    </row>
    <row r="682" spans="1:1" x14ac:dyDescent="0.25">
      <c r="A682" s="7"/>
    </row>
    <row r="683" spans="1:1" x14ac:dyDescent="0.25">
      <c r="A683" s="7"/>
    </row>
    <row r="684" spans="1:1" x14ac:dyDescent="0.25">
      <c r="A684" s="7"/>
    </row>
    <row r="685" spans="1:1" x14ac:dyDescent="0.25">
      <c r="A685" s="7"/>
    </row>
    <row r="686" spans="1:1" x14ac:dyDescent="0.25">
      <c r="A686" s="7"/>
    </row>
    <row r="687" spans="1:1" x14ac:dyDescent="0.25">
      <c r="A687" s="7"/>
    </row>
    <row r="688" spans="1:1" x14ac:dyDescent="0.25">
      <c r="A688" s="7"/>
    </row>
    <row r="689" spans="1:1" x14ac:dyDescent="0.25">
      <c r="A689" s="7"/>
    </row>
    <row r="690" spans="1:1" x14ac:dyDescent="0.25">
      <c r="A690" s="7"/>
    </row>
    <row r="691" spans="1:1" x14ac:dyDescent="0.25">
      <c r="A691" s="7"/>
    </row>
    <row r="692" spans="1:1" x14ac:dyDescent="0.25">
      <c r="A692" s="7"/>
    </row>
    <row r="693" spans="1:1" x14ac:dyDescent="0.25">
      <c r="A693" s="7"/>
    </row>
    <row r="694" spans="1:1" x14ac:dyDescent="0.25">
      <c r="A694" s="7"/>
    </row>
    <row r="695" spans="1:1" x14ac:dyDescent="0.25">
      <c r="A695" s="7"/>
    </row>
    <row r="696" spans="1:1" x14ac:dyDescent="0.25">
      <c r="A696" s="7"/>
    </row>
    <row r="697" spans="1:1" x14ac:dyDescent="0.25">
      <c r="A697" s="7"/>
    </row>
    <row r="698" spans="1:1" x14ac:dyDescent="0.25">
      <c r="A698" s="7"/>
    </row>
    <row r="699" spans="1:1" x14ac:dyDescent="0.25">
      <c r="A699" s="7"/>
    </row>
    <row r="700" spans="1:1" x14ac:dyDescent="0.25">
      <c r="A700" s="7"/>
    </row>
    <row r="701" spans="1:1" x14ac:dyDescent="0.25">
      <c r="A701" s="7"/>
    </row>
    <row r="702" spans="1:1" x14ac:dyDescent="0.25">
      <c r="A702" s="7"/>
    </row>
    <row r="703" spans="1:1" x14ac:dyDescent="0.25">
      <c r="A703" s="7"/>
    </row>
    <row r="704" spans="1:1" x14ac:dyDescent="0.25">
      <c r="A704" s="7"/>
    </row>
    <row r="705" spans="1:1" x14ac:dyDescent="0.25">
      <c r="A705" s="7"/>
    </row>
    <row r="706" spans="1:1" x14ac:dyDescent="0.25">
      <c r="A706" s="7"/>
    </row>
    <row r="707" spans="1:1" x14ac:dyDescent="0.25">
      <c r="A707" s="7"/>
    </row>
    <row r="708" spans="1:1" x14ac:dyDescent="0.25">
      <c r="A708" s="7"/>
    </row>
    <row r="709" spans="1:1" x14ac:dyDescent="0.25">
      <c r="A709" s="7"/>
    </row>
    <row r="710" spans="1:1" x14ac:dyDescent="0.25">
      <c r="A710" s="7"/>
    </row>
    <row r="711" spans="1:1" x14ac:dyDescent="0.25">
      <c r="A711" s="7"/>
    </row>
    <row r="712" spans="1:1" x14ac:dyDescent="0.25">
      <c r="A712" s="7"/>
    </row>
    <row r="713" spans="1:1" x14ac:dyDescent="0.25">
      <c r="A713" s="7"/>
    </row>
    <row r="714" spans="1:1" x14ac:dyDescent="0.25">
      <c r="A714" s="7"/>
    </row>
    <row r="715" spans="1:1" x14ac:dyDescent="0.25">
      <c r="A715" s="7"/>
    </row>
    <row r="716" spans="1:1" x14ac:dyDescent="0.25">
      <c r="A716" s="7"/>
    </row>
    <row r="717" spans="1:1" x14ac:dyDescent="0.25">
      <c r="A717" s="7"/>
    </row>
    <row r="718" spans="1:1" x14ac:dyDescent="0.25">
      <c r="A718" s="7"/>
    </row>
    <row r="719" spans="1:1" x14ac:dyDescent="0.25">
      <c r="A719" s="7"/>
    </row>
    <row r="720" spans="1:1" x14ac:dyDescent="0.25">
      <c r="A720" s="7"/>
    </row>
    <row r="721" spans="1:1" x14ac:dyDescent="0.25">
      <c r="A721" s="7"/>
    </row>
    <row r="722" spans="1:1" x14ac:dyDescent="0.25">
      <c r="A722" s="7"/>
    </row>
    <row r="723" spans="1:1" x14ac:dyDescent="0.25">
      <c r="A723" s="7"/>
    </row>
    <row r="724" spans="1:1" x14ac:dyDescent="0.25">
      <c r="A724" s="7"/>
    </row>
    <row r="725" spans="1:1" x14ac:dyDescent="0.25">
      <c r="A725" s="7"/>
    </row>
    <row r="726" spans="1:1" x14ac:dyDescent="0.25">
      <c r="A726" s="7"/>
    </row>
    <row r="727" spans="1:1" x14ac:dyDescent="0.25">
      <c r="A727" s="7"/>
    </row>
    <row r="728" spans="1:1" x14ac:dyDescent="0.25">
      <c r="A728" s="7"/>
    </row>
    <row r="729" spans="1:1" x14ac:dyDescent="0.25">
      <c r="A729" s="7"/>
    </row>
    <row r="730" spans="1:1" x14ac:dyDescent="0.25">
      <c r="A730" s="7"/>
    </row>
    <row r="731" spans="1:1" x14ac:dyDescent="0.25">
      <c r="A731" s="7"/>
    </row>
    <row r="732" spans="1:1" x14ac:dyDescent="0.25">
      <c r="A732" s="7"/>
    </row>
    <row r="733" spans="1:1" x14ac:dyDescent="0.25">
      <c r="A733" s="7"/>
    </row>
    <row r="734" spans="1:1" x14ac:dyDescent="0.25">
      <c r="A734" s="7"/>
    </row>
    <row r="735" spans="1:1" x14ac:dyDescent="0.25">
      <c r="A735" s="7"/>
    </row>
    <row r="736" spans="1:1" x14ac:dyDescent="0.25">
      <c r="A736" s="7"/>
    </row>
    <row r="737" spans="1:1" x14ac:dyDescent="0.25">
      <c r="A737" s="7"/>
    </row>
    <row r="738" spans="1:1" x14ac:dyDescent="0.25">
      <c r="A738" s="7"/>
    </row>
    <row r="739" spans="1:1" x14ac:dyDescent="0.25">
      <c r="A739" s="7"/>
    </row>
    <row r="740" spans="1:1" x14ac:dyDescent="0.25">
      <c r="A740" s="7"/>
    </row>
    <row r="741" spans="1:1" x14ac:dyDescent="0.25">
      <c r="A741" s="7"/>
    </row>
    <row r="742" spans="1:1" x14ac:dyDescent="0.25">
      <c r="A742" s="7"/>
    </row>
    <row r="743" spans="1:1" x14ac:dyDescent="0.25">
      <c r="A743" s="7"/>
    </row>
    <row r="744" spans="1:1" x14ac:dyDescent="0.25">
      <c r="A744" s="7"/>
    </row>
    <row r="745" spans="1:1" x14ac:dyDescent="0.25">
      <c r="A745" s="7"/>
    </row>
    <row r="746" spans="1:1" x14ac:dyDescent="0.25">
      <c r="A746" s="7"/>
    </row>
    <row r="747" spans="1:1" x14ac:dyDescent="0.25">
      <c r="A747" s="7"/>
    </row>
    <row r="748" spans="1:1" x14ac:dyDescent="0.25">
      <c r="A748" s="7"/>
    </row>
    <row r="749" spans="1:1" x14ac:dyDescent="0.25">
      <c r="A749" s="7"/>
    </row>
    <row r="750" spans="1:1" x14ac:dyDescent="0.25">
      <c r="A750" s="7"/>
    </row>
    <row r="751" spans="1:1" x14ac:dyDescent="0.25">
      <c r="A751" s="7"/>
    </row>
    <row r="752" spans="1:1" x14ac:dyDescent="0.25">
      <c r="A752" s="7"/>
    </row>
    <row r="753" spans="1:1" x14ac:dyDescent="0.25">
      <c r="A753" s="7"/>
    </row>
    <row r="754" spans="1:1" x14ac:dyDescent="0.25">
      <c r="A754" s="7"/>
    </row>
    <row r="755" spans="1:1" x14ac:dyDescent="0.25">
      <c r="A755" s="7"/>
    </row>
    <row r="756" spans="1:1" x14ac:dyDescent="0.25">
      <c r="A756" s="7"/>
    </row>
    <row r="757" spans="1:1" x14ac:dyDescent="0.25">
      <c r="A757" s="7"/>
    </row>
    <row r="758" spans="1:1" x14ac:dyDescent="0.25">
      <c r="A758" s="7"/>
    </row>
    <row r="759" spans="1:1" x14ac:dyDescent="0.25">
      <c r="A759" s="7"/>
    </row>
    <row r="760" spans="1:1" x14ac:dyDescent="0.25">
      <c r="A760" s="7"/>
    </row>
    <row r="761" spans="1:1" x14ac:dyDescent="0.25">
      <c r="A761" s="7"/>
    </row>
    <row r="762" spans="1:1" x14ac:dyDescent="0.25">
      <c r="A762" s="7"/>
    </row>
    <row r="763" spans="1:1" x14ac:dyDescent="0.25">
      <c r="A763" s="7"/>
    </row>
    <row r="764" spans="1:1" x14ac:dyDescent="0.25">
      <c r="A764" s="7"/>
    </row>
    <row r="765" spans="1:1" x14ac:dyDescent="0.25">
      <c r="A765" s="7"/>
    </row>
    <row r="766" spans="1:1" x14ac:dyDescent="0.25">
      <c r="A766" s="7"/>
    </row>
    <row r="767" spans="1:1" x14ac:dyDescent="0.25">
      <c r="A767" s="7"/>
    </row>
    <row r="768" spans="1:1" x14ac:dyDescent="0.25">
      <c r="A768" s="7"/>
    </row>
    <row r="769" spans="1:1" x14ac:dyDescent="0.25">
      <c r="A769" s="7"/>
    </row>
    <row r="770" spans="1:1" x14ac:dyDescent="0.25">
      <c r="A770" s="7"/>
    </row>
    <row r="771" spans="1:1" x14ac:dyDescent="0.25">
      <c r="A771" s="7"/>
    </row>
    <row r="772" spans="1:1" x14ac:dyDescent="0.25">
      <c r="A772" s="7"/>
    </row>
    <row r="773" spans="1:1" x14ac:dyDescent="0.25">
      <c r="A773" s="7"/>
    </row>
    <row r="774" spans="1:1" x14ac:dyDescent="0.25">
      <c r="A774" s="7"/>
    </row>
    <row r="775" spans="1:1" x14ac:dyDescent="0.25">
      <c r="A775" s="7"/>
    </row>
    <row r="776" spans="1:1" x14ac:dyDescent="0.25">
      <c r="A776" s="7"/>
    </row>
    <row r="777" spans="1:1" x14ac:dyDescent="0.25">
      <c r="A777" s="7"/>
    </row>
    <row r="778" spans="1:1" x14ac:dyDescent="0.25">
      <c r="A778" s="7"/>
    </row>
    <row r="779" spans="1:1" x14ac:dyDescent="0.25">
      <c r="A779" s="7"/>
    </row>
    <row r="780" spans="1:1" x14ac:dyDescent="0.25">
      <c r="A780" s="7"/>
    </row>
    <row r="781" spans="1:1" x14ac:dyDescent="0.25">
      <c r="A781" s="7"/>
    </row>
    <row r="782" spans="1:1" x14ac:dyDescent="0.25">
      <c r="A782" s="7"/>
    </row>
    <row r="783" spans="1:1" x14ac:dyDescent="0.25">
      <c r="A783" s="7"/>
    </row>
    <row r="784" spans="1:1" x14ac:dyDescent="0.25">
      <c r="A784" s="7"/>
    </row>
    <row r="785" spans="1:1" x14ac:dyDescent="0.25">
      <c r="A785" s="7"/>
    </row>
    <row r="786" spans="1:1" x14ac:dyDescent="0.25">
      <c r="A786" s="7"/>
    </row>
    <row r="787" spans="1:1" x14ac:dyDescent="0.25">
      <c r="A787" s="7"/>
    </row>
    <row r="788" spans="1:1" x14ac:dyDescent="0.25">
      <c r="A788" s="7"/>
    </row>
    <row r="789" spans="1:1" x14ac:dyDescent="0.25">
      <c r="A789" s="7"/>
    </row>
    <row r="790" spans="1:1" x14ac:dyDescent="0.25">
      <c r="A790" s="7"/>
    </row>
    <row r="791" spans="1:1" x14ac:dyDescent="0.25">
      <c r="A791" s="7"/>
    </row>
    <row r="792" spans="1:1" x14ac:dyDescent="0.25">
      <c r="A792" s="7"/>
    </row>
    <row r="793" spans="1:1" x14ac:dyDescent="0.25">
      <c r="A793" s="7"/>
    </row>
    <row r="794" spans="1:1" x14ac:dyDescent="0.25">
      <c r="A794" s="7"/>
    </row>
    <row r="795" spans="1:1" x14ac:dyDescent="0.25">
      <c r="A795" s="7"/>
    </row>
    <row r="796" spans="1:1" x14ac:dyDescent="0.25">
      <c r="A796" s="7"/>
    </row>
    <row r="797" spans="1:1" x14ac:dyDescent="0.25">
      <c r="A797" s="7"/>
    </row>
    <row r="798" spans="1:1" x14ac:dyDescent="0.25">
      <c r="A798" s="7"/>
    </row>
    <row r="799" spans="1:1" x14ac:dyDescent="0.25">
      <c r="A799" s="7"/>
    </row>
    <row r="800" spans="1:1" x14ac:dyDescent="0.25">
      <c r="A800" s="7"/>
    </row>
    <row r="801" spans="1:1" x14ac:dyDescent="0.25">
      <c r="A801" s="7"/>
    </row>
    <row r="802" spans="1:1" x14ac:dyDescent="0.25">
      <c r="A802" s="7"/>
    </row>
    <row r="803" spans="1:1" x14ac:dyDescent="0.25">
      <c r="A803" s="7"/>
    </row>
    <row r="804" spans="1:1" x14ac:dyDescent="0.25">
      <c r="A804" s="7"/>
    </row>
    <row r="805" spans="1:1" x14ac:dyDescent="0.25">
      <c r="A805" s="7"/>
    </row>
    <row r="806" spans="1:1" x14ac:dyDescent="0.25">
      <c r="A806" s="7"/>
    </row>
    <row r="807" spans="1:1" x14ac:dyDescent="0.25">
      <c r="A807" s="7"/>
    </row>
    <row r="808" spans="1:1" x14ac:dyDescent="0.25">
      <c r="A808" s="7"/>
    </row>
    <row r="809" spans="1:1" x14ac:dyDescent="0.25">
      <c r="A809" s="7"/>
    </row>
    <row r="810" spans="1:1" x14ac:dyDescent="0.25">
      <c r="A810" s="7"/>
    </row>
    <row r="811" spans="1:1" x14ac:dyDescent="0.25">
      <c r="A811" s="7"/>
    </row>
    <row r="812" spans="1:1" x14ac:dyDescent="0.25">
      <c r="A812" s="7"/>
    </row>
    <row r="813" spans="1:1" x14ac:dyDescent="0.25">
      <c r="A813" s="7"/>
    </row>
    <row r="814" spans="1:1" x14ac:dyDescent="0.25">
      <c r="A814" s="7"/>
    </row>
    <row r="815" spans="1:1" x14ac:dyDescent="0.25">
      <c r="A815" s="7"/>
    </row>
    <row r="816" spans="1:1" x14ac:dyDescent="0.25">
      <c r="A816" s="7"/>
    </row>
    <row r="817" spans="1:1" x14ac:dyDescent="0.25">
      <c r="A817" s="7"/>
    </row>
    <row r="818" spans="1:1" x14ac:dyDescent="0.25">
      <c r="A818" s="7"/>
    </row>
    <row r="819" spans="1:1" x14ac:dyDescent="0.25">
      <c r="A819" s="7"/>
    </row>
    <row r="820" spans="1:1" x14ac:dyDescent="0.25">
      <c r="A820" s="7"/>
    </row>
    <row r="821" spans="1:1" x14ac:dyDescent="0.25">
      <c r="A821" s="7"/>
    </row>
    <row r="822" spans="1:1" x14ac:dyDescent="0.25">
      <c r="A822" s="7"/>
    </row>
    <row r="823" spans="1:1" x14ac:dyDescent="0.25">
      <c r="A823" s="7"/>
    </row>
    <row r="824" spans="1:1" x14ac:dyDescent="0.25">
      <c r="A824" s="7"/>
    </row>
    <row r="825" spans="1:1" x14ac:dyDescent="0.25">
      <c r="A825" s="7"/>
    </row>
    <row r="826" spans="1:1" x14ac:dyDescent="0.25">
      <c r="A826" s="7"/>
    </row>
    <row r="827" spans="1:1" x14ac:dyDescent="0.25">
      <c r="A827" s="7"/>
    </row>
    <row r="828" spans="1:1" x14ac:dyDescent="0.25">
      <c r="A828" s="7"/>
    </row>
    <row r="829" spans="1:1" x14ac:dyDescent="0.25">
      <c r="A829" s="7"/>
    </row>
    <row r="830" spans="1:1" x14ac:dyDescent="0.25">
      <c r="A830" s="7"/>
    </row>
    <row r="831" spans="1:1" x14ac:dyDescent="0.25">
      <c r="A831" s="7"/>
    </row>
    <row r="832" spans="1:1" x14ac:dyDescent="0.25">
      <c r="A832" s="7"/>
    </row>
    <row r="833" spans="1:1" x14ac:dyDescent="0.25">
      <c r="A833" s="7"/>
    </row>
    <row r="834" spans="1:1" x14ac:dyDescent="0.25">
      <c r="A834" s="7"/>
    </row>
    <row r="835" spans="1:1" x14ac:dyDescent="0.25">
      <c r="A835" s="7"/>
    </row>
    <row r="836" spans="1:1" x14ac:dyDescent="0.25">
      <c r="A836" s="7"/>
    </row>
    <row r="837" spans="1:1" x14ac:dyDescent="0.25">
      <c r="A837" s="7"/>
    </row>
    <row r="838" spans="1:1" x14ac:dyDescent="0.25">
      <c r="A838" s="7"/>
    </row>
    <row r="839" spans="1:1" x14ac:dyDescent="0.25">
      <c r="A839" s="7"/>
    </row>
    <row r="840" spans="1:1" x14ac:dyDescent="0.25">
      <c r="A840" s="7"/>
    </row>
    <row r="841" spans="1:1" x14ac:dyDescent="0.25">
      <c r="A841" s="7"/>
    </row>
    <row r="842" spans="1:1" x14ac:dyDescent="0.25">
      <c r="A842" s="7"/>
    </row>
    <row r="843" spans="1:1" x14ac:dyDescent="0.25">
      <c r="A843" s="7"/>
    </row>
    <row r="844" spans="1:1" x14ac:dyDescent="0.25">
      <c r="A844" s="7"/>
    </row>
    <row r="845" spans="1:1" x14ac:dyDescent="0.25">
      <c r="A845" s="7"/>
    </row>
    <row r="846" spans="1:1" x14ac:dyDescent="0.25">
      <c r="A846" s="7"/>
    </row>
    <row r="847" spans="1:1" x14ac:dyDescent="0.25">
      <c r="A847" s="7"/>
    </row>
    <row r="848" spans="1:1" x14ac:dyDescent="0.25">
      <c r="A848" s="7"/>
    </row>
    <row r="849" spans="1:1" x14ac:dyDescent="0.25">
      <c r="A849" s="7"/>
    </row>
    <row r="850" spans="1:1" x14ac:dyDescent="0.25">
      <c r="A850" s="7"/>
    </row>
    <row r="851" spans="1:1" x14ac:dyDescent="0.25">
      <c r="A851" s="7"/>
    </row>
    <row r="852" spans="1:1" x14ac:dyDescent="0.25">
      <c r="A852" s="7"/>
    </row>
    <row r="853" spans="1:1" x14ac:dyDescent="0.25">
      <c r="A853" s="7"/>
    </row>
    <row r="854" spans="1:1" x14ac:dyDescent="0.25">
      <c r="A854" s="7"/>
    </row>
    <row r="855" spans="1:1" x14ac:dyDescent="0.25">
      <c r="A855" s="7"/>
    </row>
    <row r="856" spans="1:1" x14ac:dyDescent="0.25">
      <c r="A856" s="7"/>
    </row>
    <row r="857" spans="1:1" x14ac:dyDescent="0.25">
      <c r="A857" s="7"/>
    </row>
    <row r="858" spans="1:1" x14ac:dyDescent="0.25">
      <c r="A858" s="7"/>
    </row>
    <row r="859" spans="1:1" x14ac:dyDescent="0.25">
      <c r="A859" s="7"/>
    </row>
    <row r="860" spans="1:1" x14ac:dyDescent="0.25">
      <c r="A860" s="7"/>
    </row>
    <row r="861" spans="1:1" x14ac:dyDescent="0.25">
      <c r="A861" s="7"/>
    </row>
    <row r="862" spans="1:1" x14ac:dyDescent="0.25">
      <c r="A862" s="7"/>
    </row>
    <row r="863" spans="1:1" x14ac:dyDescent="0.25">
      <c r="A863" s="7"/>
    </row>
    <row r="864" spans="1:1" x14ac:dyDescent="0.25">
      <c r="A864" s="7"/>
    </row>
    <row r="865" spans="1:1" x14ac:dyDescent="0.25">
      <c r="A865" s="7"/>
    </row>
    <row r="866" spans="1:1" x14ac:dyDescent="0.25">
      <c r="A866" s="7"/>
    </row>
    <row r="867" spans="1:1" x14ac:dyDescent="0.25">
      <c r="A867" s="7"/>
    </row>
    <row r="868" spans="1:1" x14ac:dyDescent="0.25">
      <c r="A868" s="7"/>
    </row>
    <row r="869" spans="1:1" x14ac:dyDescent="0.25">
      <c r="A869" s="7"/>
    </row>
    <row r="870" spans="1:1" x14ac:dyDescent="0.25">
      <c r="A870" s="7"/>
    </row>
    <row r="871" spans="1:1" x14ac:dyDescent="0.25">
      <c r="A871" s="7"/>
    </row>
    <row r="872" spans="1:1" x14ac:dyDescent="0.25">
      <c r="A872" s="7"/>
    </row>
    <row r="873" spans="1:1" x14ac:dyDescent="0.25">
      <c r="A873" s="7"/>
    </row>
    <row r="874" spans="1:1" x14ac:dyDescent="0.25">
      <c r="A874" s="7"/>
    </row>
    <row r="875" spans="1:1" x14ac:dyDescent="0.25">
      <c r="A875" s="7"/>
    </row>
    <row r="876" spans="1:1" x14ac:dyDescent="0.25">
      <c r="A876" s="7"/>
    </row>
    <row r="877" spans="1:1" x14ac:dyDescent="0.25">
      <c r="A877" s="7"/>
    </row>
    <row r="878" spans="1:1" x14ac:dyDescent="0.25">
      <c r="A878" s="7"/>
    </row>
    <row r="879" spans="1:1" x14ac:dyDescent="0.25">
      <c r="A879" s="7"/>
    </row>
    <row r="880" spans="1:1" x14ac:dyDescent="0.25">
      <c r="A880" s="7"/>
    </row>
    <row r="881" spans="1:1" x14ac:dyDescent="0.25">
      <c r="A881" s="7"/>
    </row>
    <row r="882" spans="1:1" x14ac:dyDescent="0.25">
      <c r="A882" s="7"/>
    </row>
    <row r="883" spans="1:1" x14ac:dyDescent="0.25">
      <c r="A883" s="7"/>
    </row>
    <row r="884" spans="1:1" x14ac:dyDescent="0.25">
      <c r="A884" s="7"/>
    </row>
    <row r="885" spans="1:1" x14ac:dyDescent="0.25">
      <c r="A885" s="7"/>
    </row>
    <row r="886" spans="1:1" x14ac:dyDescent="0.25">
      <c r="A886" s="7"/>
    </row>
    <row r="887" spans="1:1" x14ac:dyDescent="0.25">
      <c r="A887" s="7"/>
    </row>
    <row r="888" spans="1:1" x14ac:dyDescent="0.25">
      <c r="A888" s="7"/>
    </row>
    <row r="889" spans="1:1" x14ac:dyDescent="0.25">
      <c r="A889" s="7"/>
    </row>
    <row r="890" spans="1:1" x14ac:dyDescent="0.25">
      <c r="A890" s="7"/>
    </row>
    <row r="891" spans="1:1" x14ac:dyDescent="0.25">
      <c r="A891" s="7"/>
    </row>
    <row r="892" spans="1:1" x14ac:dyDescent="0.25">
      <c r="A892" s="7"/>
    </row>
    <row r="893" spans="1:1" x14ac:dyDescent="0.25">
      <c r="A893" s="7"/>
    </row>
    <row r="894" spans="1:1" x14ac:dyDescent="0.25">
      <c r="A894" s="7"/>
    </row>
    <row r="895" spans="1:1" x14ac:dyDescent="0.25">
      <c r="A895" s="7"/>
    </row>
    <row r="896" spans="1:1" x14ac:dyDescent="0.25">
      <c r="A896" s="7"/>
    </row>
    <row r="897" spans="1:1" x14ac:dyDescent="0.25">
      <c r="A897" s="7"/>
    </row>
    <row r="898" spans="1:1" x14ac:dyDescent="0.25">
      <c r="A898" s="7"/>
    </row>
    <row r="899" spans="1:1" x14ac:dyDescent="0.25">
      <c r="A899" s="7"/>
    </row>
    <row r="900" spans="1:1" x14ac:dyDescent="0.25">
      <c r="A900" s="7"/>
    </row>
    <row r="901" spans="1:1" x14ac:dyDescent="0.25">
      <c r="A901" s="7"/>
    </row>
    <row r="902" spans="1:1" x14ac:dyDescent="0.25">
      <c r="A902" s="7"/>
    </row>
    <row r="903" spans="1:1" x14ac:dyDescent="0.25">
      <c r="A903" s="7"/>
    </row>
    <row r="904" spans="1:1" x14ac:dyDescent="0.25">
      <c r="A904" s="7"/>
    </row>
    <row r="905" spans="1:1" x14ac:dyDescent="0.25">
      <c r="A905" s="7"/>
    </row>
    <row r="906" spans="1:1" x14ac:dyDescent="0.25">
      <c r="A906" s="7"/>
    </row>
    <row r="907" spans="1:1" x14ac:dyDescent="0.25">
      <c r="A907" s="7"/>
    </row>
    <row r="908" spans="1:1" x14ac:dyDescent="0.25">
      <c r="A908" s="7"/>
    </row>
    <row r="909" spans="1:1" x14ac:dyDescent="0.25">
      <c r="A909" s="7"/>
    </row>
    <row r="910" spans="1:1" x14ac:dyDescent="0.25">
      <c r="A910" s="7"/>
    </row>
    <row r="911" spans="1:1" x14ac:dyDescent="0.25">
      <c r="A911" s="7"/>
    </row>
    <row r="912" spans="1:1" x14ac:dyDescent="0.25">
      <c r="A912" s="7"/>
    </row>
    <row r="913" spans="1:1" x14ac:dyDescent="0.25">
      <c r="A913" s="7"/>
    </row>
    <row r="914" spans="1:1" x14ac:dyDescent="0.25">
      <c r="A914" s="7"/>
    </row>
    <row r="915" spans="1:1" x14ac:dyDescent="0.25">
      <c r="A915" s="7"/>
    </row>
    <row r="916" spans="1:1" x14ac:dyDescent="0.25">
      <c r="A916" s="7"/>
    </row>
    <row r="917" spans="1:1" x14ac:dyDescent="0.25">
      <c r="A917" s="7"/>
    </row>
    <row r="918" spans="1:1" x14ac:dyDescent="0.25">
      <c r="A918" s="7"/>
    </row>
    <row r="919" spans="1:1" x14ac:dyDescent="0.25">
      <c r="A919" s="7"/>
    </row>
    <row r="920" spans="1:1" x14ac:dyDescent="0.25">
      <c r="A920" s="7"/>
    </row>
    <row r="921" spans="1:1" x14ac:dyDescent="0.25">
      <c r="A921" s="7"/>
    </row>
    <row r="922" spans="1:1" x14ac:dyDescent="0.25">
      <c r="A922" s="7"/>
    </row>
    <row r="923" spans="1:1" x14ac:dyDescent="0.25">
      <c r="A923" s="7"/>
    </row>
    <row r="924" spans="1:1" x14ac:dyDescent="0.25">
      <c r="A924" s="7"/>
    </row>
    <row r="925" spans="1:1" x14ac:dyDescent="0.25">
      <c r="A925" s="7"/>
    </row>
    <row r="926" spans="1:1" x14ac:dyDescent="0.25">
      <c r="A926" s="7"/>
    </row>
    <row r="927" spans="1:1" x14ac:dyDescent="0.25">
      <c r="A927" s="7"/>
    </row>
    <row r="928" spans="1:1" x14ac:dyDescent="0.25">
      <c r="A928" s="7"/>
    </row>
    <row r="929" spans="1:1" x14ac:dyDescent="0.25">
      <c r="A929" s="7"/>
    </row>
    <row r="930" spans="1:1" x14ac:dyDescent="0.25">
      <c r="A930" s="7"/>
    </row>
    <row r="931" spans="1:1" x14ac:dyDescent="0.25">
      <c r="A931" s="7"/>
    </row>
    <row r="932" spans="1:1" x14ac:dyDescent="0.25">
      <c r="A932" s="7"/>
    </row>
    <row r="933" spans="1:1" x14ac:dyDescent="0.25">
      <c r="A933" s="7"/>
    </row>
    <row r="934" spans="1:1" x14ac:dyDescent="0.25">
      <c r="A934" s="7"/>
    </row>
    <row r="935" spans="1:1" x14ac:dyDescent="0.25">
      <c r="A935" s="7"/>
    </row>
    <row r="936" spans="1:1" x14ac:dyDescent="0.25">
      <c r="A936" s="7"/>
    </row>
    <row r="937" spans="1:1" x14ac:dyDescent="0.25">
      <c r="A937" s="7"/>
    </row>
    <row r="938" spans="1:1" x14ac:dyDescent="0.25">
      <c r="A938" s="7"/>
    </row>
    <row r="939" spans="1:1" x14ac:dyDescent="0.25">
      <c r="A939" s="7"/>
    </row>
    <row r="940" spans="1:1" x14ac:dyDescent="0.25">
      <c r="A940" s="7"/>
    </row>
    <row r="941" spans="1:1" x14ac:dyDescent="0.25">
      <c r="A941" s="7"/>
    </row>
    <row r="942" spans="1:1" x14ac:dyDescent="0.25">
      <c r="A942" s="7"/>
    </row>
    <row r="943" spans="1:1" x14ac:dyDescent="0.25">
      <c r="A943" s="7"/>
    </row>
    <row r="944" spans="1:1" x14ac:dyDescent="0.25">
      <c r="A944" s="7"/>
    </row>
    <row r="945" spans="1:1" x14ac:dyDescent="0.25">
      <c r="A945" s="7"/>
    </row>
    <row r="946" spans="1:1" x14ac:dyDescent="0.25">
      <c r="A946" s="7"/>
    </row>
    <row r="947" spans="1:1" x14ac:dyDescent="0.25">
      <c r="A947" s="7"/>
    </row>
    <row r="948" spans="1:1" x14ac:dyDescent="0.25">
      <c r="A948" s="7"/>
    </row>
    <row r="949" spans="1:1" x14ac:dyDescent="0.25">
      <c r="A949" s="7"/>
    </row>
    <row r="950" spans="1:1" x14ac:dyDescent="0.25">
      <c r="A950" s="7"/>
    </row>
    <row r="951" spans="1:1" x14ac:dyDescent="0.25">
      <c r="A951" s="7"/>
    </row>
    <row r="952" spans="1:1" x14ac:dyDescent="0.25">
      <c r="A952" s="7"/>
    </row>
    <row r="953" spans="1:1" x14ac:dyDescent="0.25">
      <c r="A953" s="7"/>
    </row>
    <row r="954" spans="1:1" x14ac:dyDescent="0.25">
      <c r="A954" s="7"/>
    </row>
    <row r="955" spans="1:1" x14ac:dyDescent="0.25">
      <c r="A955" s="7"/>
    </row>
    <row r="956" spans="1:1" x14ac:dyDescent="0.25">
      <c r="A956" s="7"/>
    </row>
    <row r="957" spans="1:1" x14ac:dyDescent="0.25">
      <c r="A957" s="7"/>
    </row>
    <row r="958" spans="1:1" x14ac:dyDescent="0.25">
      <c r="A958" s="7"/>
    </row>
    <row r="959" spans="1:1" x14ac:dyDescent="0.25">
      <c r="A959" s="7"/>
    </row>
    <row r="960" spans="1:1" x14ac:dyDescent="0.25">
      <c r="A960" s="7"/>
    </row>
    <row r="961" spans="1:1" x14ac:dyDescent="0.25">
      <c r="A961" s="7"/>
    </row>
    <row r="962" spans="1:1" x14ac:dyDescent="0.25">
      <c r="A962" s="7"/>
    </row>
    <row r="963" spans="1:1" x14ac:dyDescent="0.25">
      <c r="A963" s="7"/>
    </row>
    <row r="964" spans="1:1" x14ac:dyDescent="0.25">
      <c r="A964" s="7"/>
    </row>
    <row r="965" spans="1:1" x14ac:dyDescent="0.25">
      <c r="A965" s="7"/>
    </row>
    <row r="966" spans="1:1" x14ac:dyDescent="0.25">
      <c r="A966" s="7"/>
    </row>
    <row r="967" spans="1:1" x14ac:dyDescent="0.25">
      <c r="A967" s="7"/>
    </row>
    <row r="968" spans="1:1" x14ac:dyDescent="0.25">
      <c r="A968" s="7"/>
    </row>
    <row r="969" spans="1:1" x14ac:dyDescent="0.25">
      <c r="A969" s="7"/>
    </row>
    <row r="970" spans="1:1" x14ac:dyDescent="0.25">
      <c r="A970" s="7"/>
    </row>
    <row r="971" spans="1:1" x14ac:dyDescent="0.25">
      <c r="A971" s="7"/>
    </row>
    <row r="972" spans="1:1" x14ac:dyDescent="0.25">
      <c r="A972" s="7"/>
    </row>
    <row r="973" spans="1:1" x14ac:dyDescent="0.25">
      <c r="A973" s="7"/>
    </row>
    <row r="974" spans="1:1" x14ac:dyDescent="0.25">
      <c r="A974" s="7"/>
    </row>
    <row r="975" spans="1:1" x14ac:dyDescent="0.25">
      <c r="A975" s="7"/>
    </row>
    <row r="976" spans="1:1" x14ac:dyDescent="0.25">
      <c r="A976" s="7"/>
    </row>
    <row r="977" spans="1:1" x14ac:dyDescent="0.25">
      <c r="A977" s="7"/>
    </row>
    <row r="978" spans="1:1" x14ac:dyDescent="0.25">
      <c r="A978" s="7"/>
    </row>
    <row r="979" spans="1:1" x14ac:dyDescent="0.25">
      <c r="A979" s="7"/>
    </row>
    <row r="980" spans="1:1" x14ac:dyDescent="0.25">
      <c r="A980" s="7"/>
    </row>
    <row r="981" spans="1:1" x14ac:dyDescent="0.25">
      <c r="A981" s="7"/>
    </row>
    <row r="982" spans="1:1" x14ac:dyDescent="0.25">
      <c r="A982" s="7"/>
    </row>
    <row r="983" spans="1:1" x14ac:dyDescent="0.25">
      <c r="A983" s="7"/>
    </row>
    <row r="984" spans="1:1" x14ac:dyDescent="0.25">
      <c r="A984" s="7"/>
    </row>
    <row r="985" spans="1:1" x14ac:dyDescent="0.25">
      <c r="A985" s="7"/>
    </row>
    <row r="986" spans="1:1" x14ac:dyDescent="0.25">
      <c r="A986" s="7"/>
    </row>
    <row r="987" spans="1:1" x14ac:dyDescent="0.25">
      <c r="A987" s="7"/>
    </row>
    <row r="988" spans="1:1" x14ac:dyDescent="0.25">
      <c r="A988" s="7"/>
    </row>
    <row r="989" spans="1:1" x14ac:dyDescent="0.25">
      <c r="A989" s="7"/>
    </row>
    <row r="990" spans="1:1" x14ac:dyDescent="0.25">
      <c r="A990" s="7"/>
    </row>
    <row r="991" spans="1:1" x14ac:dyDescent="0.25">
      <c r="A991" s="7"/>
    </row>
    <row r="992" spans="1:1" x14ac:dyDescent="0.25">
      <c r="A992" s="7"/>
    </row>
    <row r="993" spans="1:1" x14ac:dyDescent="0.25">
      <c r="A993" s="7"/>
    </row>
    <row r="994" spans="1:1" x14ac:dyDescent="0.25">
      <c r="A994" s="7"/>
    </row>
    <row r="995" spans="1:1" x14ac:dyDescent="0.25">
      <c r="A995" s="7"/>
    </row>
    <row r="996" spans="1:1" x14ac:dyDescent="0.25">
      <c r="A996" s="7"/>
    </row>
    <row r="997" spans="1:1" x14ac:dyDescent="0.25">
      <c r="A997" s="7"/>
    </row>
    <row r="998" spans="1:1" x14ac:dyDescent="0.25">
      <c r="A998" s="7"/>
    </row>
    <row r="999" spans="1:1" x14ac:dyDescent="0.25">
      <c r="A999" s="7"/>
    </row>
    <row r="1000" spans="1:1" x14ac:dyDescent="0.25">
      <c r="A1000" s="7"/>
    </row>
    <row r="1001" spans="1:1" x14ac:dyDescent="0.25">
      <c r="A1001" s="7"/>
    </row>
    <row r="1002" spans="1:1" x14ac:dyDescent="0.25">
      <c r="A1002" s="7"/>
    </row>
    <row r="1003" spans="1:1" x14ac:dyDescent="0.25">
      <c r="A1003" s="7"/>
    </row>
    <row r="1004" spans="1:1" x14ac:dyDescent="0.25">
      <c r="A1004" s="7"/>
    </row>
    <row r="1005" spans="1:1" x14ac:dyDescent="0.25">
      <c r="A1005" s="7"/>
    </row>
  </sheetData>
  <mergeCells count="2">
    <mergeCell ref="B2:C2"/>
    <mergeCell ref="A4:I4"/>
  </mergeCells>
  <printOptions horizontalCentered="1" verticalCentered="1" gridLines="1"/>
  <pageMargins left="0.25" right="0.25" top="0.75" bottom="0.75" header="0" footer="0"/>
  <pageSetup fitToHeight="0" pageOrder="overThenDown" orientation="landscape" cellComments="atEnd"/>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F995"/>
  <sheetViews>
    <sheetView workbookViewId="0"/>
  </sheetViews>
  <sheetFormatPr defaultColWidth="12.6640625" defaultRowHeight="15.75" customHeight="1" x14ac:dyDescent="0.25"/>
  <cols>
    <col min="1" max="7" width="25.44140625" customWidth="1"/>
  </cols>
  <sheetData>
    <row r="1" spans="1:6" x14ac:dyDescent="0.25">
      <c r="A1" s="139" t="s">
        <v>373</v>
      </c>
      <c r="B1" s="130"/>
      <c r="C1" s="130"/>
      <c r="D1" s="130"/>
      <c r="E1" s="130"/>
      <c r="F1" s="7"/>
    </row>
    <row r="2" spans="1:6" x14ac:dyDescent="0.25">
      <c r="A2" s="44" t="s">
        <v>390</v>
      </c>
      <c r="B2" s="44" t="s">
        <v>391</v>
      </c>
      <c r="C2" s="44" t="s">
        <v>392</v>
      </c>
      <c r="D2" s="44" t="s">
        <v>393</v>
      </c>
      <c r="E2" s="44" t="s">
        <v>394</v>
      </c>
      <c r="F2" s="7"/>
    </row>
    <row r="3" spans="1:6" x14ac:dyDescent="0.25">
      <c r="A3" s="7">
        <v>1</v>
      </c>
      <c r="B3" s="7">
        <v>2</v>
      </c>
      <c r="C3" s="7">
        <v>3</v>
      </c>
      <c r="D3" s="7">
        <v>4</v>
      </c>
      <c r="E3" s="7">
        <v>5</v>
      </c>
      <c r="F3" s="7"/>
    </row>
    <row r="4" spans="1:6" x14ac:dyDescent="0.25">
      <c r="A4" s="45" t="s">
        <v>395</v>
      </c>
      <c r="B4" s="45" t="s">
        <v>396</v>
      </c>
      <c r="C4" s="45" t="s">
        <v>397</v>
      </c>
      <c r="D4" s="45" t="s">
        <v>398</v>
      </c>
      <c r="E4" s="46">
        <v>1.3</v>
      </c>
      <c r="F4" s="47" t="s">
        <v>399</v>
      </c>
    </row>
    <row r="5" spans="1:6" x14ac:dyDescent="0.25">
      <c r="A5" s="140" t="s">
        <v>400</v>
      </c>
      <c r="B5" s="130"/>
      <c r="C5" s="130"/>
      <c r="D5" s="130"/>
      <c r="E5" s="130"/>
      <c r="F5" s="7"/>
    </row>
    <row r="6" spans="1:6" x14ac:dyDescent="0.25">
      <c r="A6" s="48" t="s">
        <v>401</v>
      </c>
      <c r="B6" s="48" t="s">
        <v>402</v>
      </c>
      <c r="C6" s="48" t="s">
        <v>403</v>
      </c>
      <c r="D6" s="48" t="s">
        <v>404</v>
      </c>
      <c r="E6" s="48" t="s">
        <v>405</v>
      </c>
      <c r="F6" s="7"/>
    </row>
    <row r="7" spans="1:6" x14ac:dyDescent="0.25">
      <c r="A7" s="7"/>
      <c r="B7" s="7"/>
      <c r="C7" s="7"/>
      <c r="D7" s="7"/>
      <c r="E7" s="7"/>
      <c r="F7" s="7"/>
    </row>
    <row r="8" spans="1:6" x14ac:dyDescent="0.25">
      <c r="A8" s="7"/>
      <c r="B8" s="7"/>
      <c r="C8" s="7"/>
      <c r="D8" s="7"/>
      <c r="E8" s="7"/>
      <c r="F8" s="7"/>
    </row>
    <row r="9" spans="1:6" x14ac:dyDescent="0.25">
      <c r="A9" s="7"/>
      <c r="B9" s="7"/>
      <c r="C9" s="7"/>
      <c r="D9" s="7"/>
      <c r="E9" s="7"/>
      <c r="F9" s="7"/>
    </row>
    <row r="10" spans="1:6" x14ac:dyDescent="0.25">
      <c r="A10" s="7"/>
      <c r="B10" s="7"/>
      <c r="C10" s="7"/>
      <c r="D10" s="7"/>
      <c r="E10" s="7"/>
      <c r="F10" s="7"/>
    </row>
    <row r="11" spans="1:6" x14ac:dyDescent="0.25">
      <c r="A11" s="7"/>
      <c r="B11" s="7"/>
      <c r="C11" s="7"/>
      <c r="D11" s="7"/>
      <c r="E11" s="7"/>
      <c r="F11" s="7"/>
    </row>
    <row r="12" spans="1:6" x14ac:dyDescent="0.25">
      <c r="A12" s="7"/>
      <c r="B12" s="7"/>
      <c r="C12" s="7"/>
      <c r="D12" s="7"/>
      <c r="E12" s="7"/>
      <c r="F12" s="7"/>
    </row>
    <row r="13" spans="1:6" x14ac:dyDescent="0.25">
      <c r="A13" s="7"/>
      <c r="B13" s="7"/>
      <c r="C13" s="7"/>
      <c r="D13" s="7"/>
      <c r="E13" s="7"/>
      <c r="F13" s="7"/>
    </row>
    <row r="14" spans="1:6" x14ac:dyDescent="0.25">
      <c r="A14" s="7"/>
      <c r="B14" s="7"/>
      <c r="C14" s="7"/>
      <c r="D14" s="7"/>
      <c r="E14" s="7"/>
      <c r="F14" s="7"/>
    </row>
    <row r="15" spans="1:6" x14ac:dyDescent="0.25">
      <c r="A15" s="7"/>
      <c r="B15" s="7"/>
      <c r="C15" s="7"/>
      <c r="D15" s="7"/>
      <c r="E15" s="7"/>
      <c r="F15" s="7"/>
    </row>
    <row r="16" spans="1:6" x14ac:dyDescent="0.25">
      <c r="A16" s="7"/>
      <c r="B16" s="7"/>
      <c r="C16" s="7"/>
      <c r="D16" s="7"/>
      <c r="E16" s="7"/>
      <c r="F16" s="7"/>
    </row>
    <row r="17" spans="1:6" x14ac:dyDescent="0.25">
      <c r="A17" s="7"/>
      <c r="B17" s="7"/>
      <c r="C17" s="7"/>
      <c r="D17" s="7"/>
      <c r="E17" s="7"/>
      <c r="F17" s="7"/>
    </row>
    <row r="18" spans="1:6" x14ac:dyDescent="0.25">
      <c r="A18" s="7"/>
      <c r="B18" s="7"/>
      <c r="C18" s="7"/>
      <c r="D18" s="7"/>
      <c r="E18" s="7"/>
      <c r="F18" s="7"/>
    </row>
    <row r="19" spans="1:6" x14ac:dyDescent="0.25">
      <c r="A19" s="7"/>
      <c r="B19" s="7"/>
      <c r="C19" s="7"/>
      <c r="D19" s="7"/>
      <c r="E19" s="7"/>
      <c r="F19" s="7"/>
    </row>
    <row r="20" spans="1:6" x14ac:dyDescent="0.25">
      <c r="A20" s="7"/>
      <c r="B20" s="7"/>
      <c r="C20" s="7"/>
      <c r="D20" s="7"/>
      <c r="E20" s="7"/>
      <c r="F20" s="7"/>
    </row>
    <row r="21" spans="1:6" x14ac:dyDescent="0.25">
      <c r="A21" s="7"/>
      <c r="B21" s="7"/>
      <c r="C21" s="7"/>
      <c r="D21" s="7"/>
      <c r="E21" s="7"/>
      <c r="F21" s="7"/>
    </row>
    <row r="22" spans="1:6" x14ac:dyDescent="0.25">
      <c r="A22" s="7"/>
      <c r="B22" s="7"/>
      <c r="C22" s="7"/>
      <c r="D22" s="7"/>
      <c r="E22" s="7"/>
      <c r="F22" s="7"/>
    </row>
    <row r="23" spans="1:6" x14ac:dyDescent="0.25">
      <c r="A23" s="7"/>
      <c r="B23" s="7"/>
      <c r="C23" s="7"/>
      <c r="D23" s="7"/>
      <c r="E23" s="7"/>
      <c r="F23" s="7"/>
    </row>
    <row r="24" spans="1:6" x14ac:dyDescent="0.25">
      <c r="A24" s="7"/>
      <c r="B24" s="7"/>
      <c r="C24" s="7"/>
      <c r="D24" s="7"/>
      <c r="E24" s="7"/>
      <c r="F24" s="7"/>
    </row>
    <row r="25" spans="1:6" x14ac:dyDescent="0.25">
      <c r="A25" s="7"/>
      <c r="B25" s="7"/>
      <c r="C25" s="7"/>
      <c r="D25" s="7"/>
      <c r="E25" s="7"/>
      <c r="F25" s="7"/>
    </row>
    <row r="26" spans="1:6" x14ac:dyDescent="0.25">
      <c r="A26" s="7"/>
      <c r="B26" s="7"/>
      <c r="C26" s="7"/>
      <c r="D26" s="7"/>
      <c r="E26" s="7"/>
      <c r="F26" s="7"/>
    </row>
    <row r="27" spans="1:6" x14ac:dyDescent="0.25">
      <c r="A27" s="7"/>
      <c r="B27" s="7"/>
      <c r="C27" s="7"/>
      <c r="D27" s="7"/>
      <c r="E27" s="7"/>
      <c r="F27" s="7"/>
    </row>
    <row r="28" spans="1:6" x14ac:dyDescent="0.25">
      <c r="A28" s="7"/>
      <c r="B28" s="7"/>
      <c r="C28" s="7"/>
      <c r="D28" s="7"/>
      <c r="E28" s="7"/>
      <c r="F28" s="7"/>
    </row>
    <row r="29" spans="1:6" x14ac:dyDescent="0.25">
      <c r="A29" s="7"/>
      <c r="B29" s="7"/>
      <c r="C29" s="7"/>
      <c r="D29" s="7"/>
      <c r="E29" s="7"/>
      <c r="F29" s="7"/>
    </row>
    <row r="30" spans="1:6" x14ac:dyDescent="0.25">
      <c r="A30" s="7"/>
      <c r="B30" s="7"/>
      <c r="C30" s="7"/>
      <c r="D30" s="7"/>
      <c r="E30" s="7"/>
      <c r="F30" s="7"/>
    </row>
    <row r="31" spans="1:6" x14ac:dyDescent="0.25">
      <c r="A31" s="7"/>
      <c r="B31" s="7"/>
      <c r="C31" s="7"/>
      <c r="D31" s="7"/>
      <c r="E31" s="7"/>
      <c r="F31" s="7"/>
    </row>
    <row r="32" spans="1:6" x14ac:dyDescent="0.25">
      <c r="A32" s="7"/>
      <c r="B32" s="7"/>
      <c r="C32" s="7"/>
      <c r="D32" s="7"/>
      <c r="E32" s="7"/>
      <c r="F32" s="7"/>
    </row>
    <row r="33" spans="1:6" x14ac:dyDescent="0.25">
      <c r="A33" s="7"/>
      <c r="B33" s="7"/>
      <c r="C33" s="7"/>
      <c r="D33" s="7"/>
      <c r="E33" s="7"/>
      <c r="F33" s="7"/>
    </row>
    <row r="34" spans="1:6" x14ac:dyDescent="0.25">
      <c r="A34" s="7"/>
      <c r="B34" s="7"/>
      <c r="C34" s="7"/>
      <c r="D34" s="7"/>
      <c r="E34" s="7"/>
      <c r="F34" s="7"/>
    </row>
    <row r="35" spans="1:6" x14ac:dyDescent="0.25">
      <c r="A35" s="7"/>
      <c r="B35" s="7"/>
      <c r="C35" s="7"/>
      <c r="D35" s="7"/>
      <c r="E35" s="7"/>
      <c r="F35" s="7"/>
    </row>
    <row r="36" spans="1:6" x14ac:dyDescent="0.25">
      <c r="A36" s="7"/>
      <c r="B36" s="7"/>
      <c r="C36" s="7"/>
      <c r="D36" s="7"/>
      <c r="E36" s="7"/>
      <c r="F36" s="7"/>
    </row>
    <row r="37" spans="1:6" x14ac:dyDescent="0.25">
      <c r="A37" s="7"/>
      <c r="B37" s="7"/>
      <c r="C37" s="7"/>
      <c r="D37" s="7"/>
      <c r="E37" s="7"/>
      <c r="F37" s="7"/>
    </row>
    <row r="38" spans="1:6" x14ac:dyDescent="0.25">
      <c r="A38" s="7"/>
      <c r="B38" s="7"/>
      <c r="C38" s="7"/>
      <c r="D38" s="7"/>
      <c r="E38" s="7"/>
      <c r="F38" s="7"/>
    </row>
    <row r="39" spans="1:6" x14ac:dyDescent="0.25">
      <c r="A39" s="7"/>
      <c r="B39" s="7"/>
      <c r="C39" s="7"/>
      <c r="D39" s="7"/>
      <c r="E39" s="7"/>
      <c r="F39" s="7"/>
    </row>
    <row r="40" spans="1:6" x14ac:dyDescent="0.25">
      <c r="A40" s="7"/>
      <c r="B40" s="7"/>
      <c r="C40" s="7"/>
      <c r="D40" s="7"/>
      <c r="E40" s="7"/>
      <c r="F40" s="7"/>
    </row>
    <row r="41" spans="1:6" x14ac:dyDescent="0.25">
      <c r="A41" s="7"/>
      <c r="B41" s="7"/>
      <c r="C41" s="7"/>
      <c r="D41" s="7"/>
      <c r="E41" s="7"/>
      <c r="F41" s="7"/>
    </row>
    <row r="42" spans="1:6" x14ac:dyDescent="0.25">
      <c r="A42" s="7"/>
      <c r="B42" s="7"/>
      <c r="C42" s="7"/>
      <c r="D42" s="7"/>
      <c r="E42" s="7"/>
      <c r="F42" s="7"/>
    </row>
    <row r="43" spans="1:6" x14ac:dyDescent="0.25">
      <c r="A43" s="7"/>
      <c r="B43" s="7"/>
      <c r="C43" s="7"/>
      <c r="D43" s="7"/>
      <c r="E43" s="7"/>
      <c r="F43" s="7"/>
    </row>
    <row r="44" spans="1:6" x14ac:dyDescent="0.25">
      <c r="A44" s="7"/>
      <c r="B44" s="7"/>
      <c r="C44" s="7"/>
      <c r="D44" s="7"/>
      <c r="E44" s="7"/>
      <c r="F44" s="7"/>
    </row>
    <row r="45" spans="1:6" x14ac:dyDescent="0.25">
      <c r="A45" s="7"/>
      <c r="B45" s="7"/>
      <c r="C45" s="7"/>
      <c r="D45" s="7"/>
      <c r="E45" s="7"/>
      <c r="F45" s="7"/>
    </row>
    <row r="46" spans="1:6" x14ac:dyDescent="0.25">
      <c r="A46" s="7"/>
      <c r="B46" s="7"/>
      <c r="C46" s="7"/>
      <c r="D46" s="7"/>
      <c r="E46" s="7"/>
      <c r="F46" s="7"/>
    </row>
    <row r="47" spans="1:6" x14ac:dyDescent="0.25">
      <c r="A47" s="7"/>
      <c r="B47" s="7"/>
      <c r="C47" s="7"/>
      <c r="D47" s="7"/>
      <c r="E47" s="7"/>
      <c r="F47" s="7"/>
    </row>
    <row r="48" spans="1:6" x14ac:dyDescent="0.25">
      <c r="A48" s="7"/>
      <c r="B48" s="7"/>
      <c r="C48" s="7"/>
      <c r="D48" s="7"/>
      <c r="E48" s="7"/>
      <c r="F48" s="7"/>
    </row>
    <row r="49" spans="1:6" x14ac:dyDescent="0.25">
      <c r="A49" s="7"/>
      <c r="B49" s="7"/>
      <c r="C49" s="7"/>
      <c r="D49" s="7"/>
      <c r="E49" s="7"/>
      <c r="F49" s="7"/>
    </row>
    <row r="50" spans="1:6" x14ac:dyDescent="0.25">
      <c r="A50" s="7"/>
      <c r="B50" s="7"/>
      <c r="C50" s="7"/>
      <c r="D50" s="7"/>
      <c r="E50" s="7"/>
      <c r="F50" s="7"/>
    </row>
    <row r="51" spans="1:6" x14ac:dyDescent="0.25">
      <c r="A51" s="7"/>
      <c r="B51" s="7"/>
      <c r="C51" s="7"/>
      <c r="D51" s="7"/>
      <c r="E51" s="7"/>
      <c r="F51" s="7"/>
    </row>
    <row r="52" spans="1:6" x14ac:dyDescent="0.25">
      <c r="A52" s="7"/>
      <c r="B52" s="7"/>
      <c r="C52" s="7"/>
      <c r="D52" s="7"/>
      <c r="E52" s="7"/>
      <c r="F52" s="7"/>
    </row>
    <row r="53" spans="1:6" x14ac:dyDescent="0.25">
      <c r="A53" s="7"/>
      <c r="B53" s="7"/>
      <c r="C53" s="7"/>
      <c r="D53" s="7"/>
      <c r="E53" s="7"/>
      <c r="F53" s="7"/>
    </row>
    <row r="54" spans="1:6" x14ac:dyDescent="0.25">
      <c r="A54" s="7"/>
      <c r="B54" s="7"/>
      <c r="C54" s="7"/>
      <c r="D54" s="7"/>
      <c r="E54" s="7"/>
      <c r="F54" s="7"/>
    </row>
    <row r="55" spans="1:6" x14ac:dyDescent="0.25">
      <c r="A55" s="7"/>
      <c r="B55" s="7"/>
      <c r="C55" s="7"/>
      <c r="D55" s="7"/>
      <c r="E55" s="7"/>
      <c r="F55" s="7"/>
    </row>
    <row r="56" spans="1:6" x14ac:dyDescent="0.25">
      <c r="A56" s="7"/>
      <c r="B56" s="7"/>
      <c r="C56" s="7"/>
      <c r="D56" s="7"/>
      <c r="E56" s="7"/>
      <c r="F56" s="7"/>
    </row>
    <row r="57" spans="1:6" x14ac:dyDescent="0.25">
      <c r="A57" s="7"/>
      <c r="B57" s="7"/>
      <c r="C57" s="7"/>
      <c r="D57" s="7"/>
      <c r="E57" s="7"/>
      <c r="F57" s="7"/>
    </row>
    <row r="58" spans="1:6" x14ac:dyDescent="0.25">
      <c r="A58" s="7"/>
      <c r="B58" s="7"/>
      <c r="C58" s="7"/>
      <c r="D58" s="7"/>
      <c r="E58" s="7"/>
      <c r="F58" s="7"/>
    </row>
    <row r="59" spans="1:6" x14ac:dyDescent="0.25">
      <c r="A59" s="7"/>
      <c r="B59" s="7"/>
      <c r="C59" s="7"/>
      <c r="D59" s="7"/>
      <c r="E59" s="7"/>
      <c r="F59" s="7"/>
    </row>
    <row r="60" spans="1:6" x14ac:dyDescent="0.25">
      <c r="A60" s="7"/>
      <c r="B60" s="7"/>
      <c r="C60" s="7"/>
      <c r="D60" s="7"/>
      <c r="E60" s="7"/>
      <c r="F60" s="7"/>
    </row>
    <row r="61" spans="1:6" x14ac:dyDescent="0.25">
      <c r="A61" s="7"/>
      <c r="B61" s="7"/>
      <c r="C61" s="7"/>
      <c r="D61" s="7"/>
      <c r="E61" s="7"/>
      <c r="F61" s="7"/>
    </row>
    <row r="62" spans="1:6" x14ac:dyDescent="0.25">
      <c r="A62" s="7"/>
      <c r="B62" s="7"/>
      <c r="C62" s="7"/>
      <c r="D62" s="7"/>
      <c r="E62" s="7"/>
      <c r="F62" s="7"/>
    </row>
    <row r="63" spans="1:6" x14ac:dyDescent="0.25">
      <c r="A63" s="7"/>
      <c r="B63" s="7"/>
      <c r="C63" s="7"/>
      <c r="D63" s="7"/>
      <c r="E63" s="7"/>
      <c r="F63" s="7"/>
    </row>
    <row r="64" spans="1:6" x14ac:dyDescent="0.25">
      <c r="A64" s="7"/>
      <c r="B64" s="7"/>
      <c r="C64" s="7"/>
      <c r="D64" s="7"/>
      <c r="E64" s="7"/>
      <c r="F64" s="7"/>
    </row>
    <row r="65" spans="1:6" x14ac:dyDescent="0.25">
      <c r="A65" s="7"/>
      <c r="B65" s="7"/>
      <c r="C65" s="7"/>
      <c r="D65" s="7"/>
      <c r="E65" s="7"/>
      <c r="F65" s="7"/>
    </row>
    <row r="66" spans="1:6" x14ac:dyDescent="0.25">
      <c r="A66" s="7"/>
      <c r="B66" s="7"/>
      <c r="C66" s="7"/>
      <c r="D66" s="7"/>
      <c r="E66" s="7"/>
      <c r="F66" s="7"/>
    </row>
    <row r="67" spans="1:6" x14ac:dyDescent="0.25">
      <c r="A67" s="7"/>
      <c r="B67" s="7"/>
      <c r="C67" s="7"/>
      <c r="D67" s="7"/>
      <c r="E67" s="7"/>
      <c r="F67" s="7"/>
    </row>
    <row r="68" spans="1:6" x14ac:dyDescent="0.25">
      <c r="A68" s="7"/>
      <c r="B68" s="7"/>
      <c r="C68" s="7"/>
      <c r="D68" s="7"/>
      <c r="E68" s="7"/>
      <c r="F68" s="7"/>
    </row>
    <row r="69" spans="1:6" x14ac:dyDescent="0.25">
      <c r="A69" s="7"/>
      <c r="B69" s="7"/>
      <c r="C69" s="7"/>
      <c r="D69" s="7"/>
      <c r="E69" s="7"/>
      <c r="F69" s="7"/>
    </row>
    <row r="70" spans="1:6" x14ac:dyDescent="0.25">
      <c r="A70" s="7"/>
      <c r="B70" s="7"/>
      <c r="C70" s="7"/>
      <c r="D70" s="7"/>
      <c r="E70" s="7"/>
      <c r="F70" s="7"/>
    </row>
    <row r="71" spans="1:6" x14ac:dyDescent="0.25">
      <c r="A71" s="7"/>
      <c r="B71" s="7"/>
      <c r="C71" s="7"/>
      <c r="D71" s="7"/>
      <c r="E71" s="7"/>
      <c r="F71" s="7"/>
    </row>
    <row r="72" spans="1:6" x14ac:dyDescent="0.25">
      <c r="A72" s="7"/>
      <c r="B72" s="7"/>
      <c r="C72" s="7"/>
      <c r="D72" s="7"/>
      <c r="E72" s="7"/>
      <c r="F72" s="7"/>
    </row>
    <row r="73" spans="1:6" x14ac:dyDescent="0.25">
      <c r="A73" s="7"/>
      <c r="B73" s="7"/>
      <c r="C73" s="7"/>
      <c r="D73" s="7"/>
      <c r="E73" s="7"/>
      <c r="F73" s="7"/>
    </row>
    <row r="74" spans="1:6" x14ac:dyDescent="0.25">
      <c r="A74" s="7"/>
      <c r="B74" s="7"/>
      <c r="C74" s="7"/>
      <c r="D74" s="7"/>
      <c r="E74" s="7"/>
      <c r="F74" s="7"/>
    </row>
    <row r="75" spans="1:6" x14ac:dyDescent="0.25">
      <c r="A75" s="7"/>
      <c r="B75" s="7"/>
      <c r="C75" s="7"/>
      <c r="D75" s="7"/>
      <c r="E75" s="7"/>
      <c r="F75" s="7"/>
    </row>
    <row r="76" spans="1:6" x14ac:dyDescent="0.25">
      <c r="A76" s="7"/>
      <c r="B76" s="7"/>
      <c r="C76" s="7"/>
      <c r="D76" s="7"/>
      <c r="E76" s="7"/>
      <c r="F76" s="7"/>
    </row>
    <row r="77" spans="1:6" x14ac:dyDescent="0.25">
      <c r="A77" s="7"/>
      <c r="B77" s="7"/>
      <c r="C77" s="7"/>
      <c r="D77" s="7"/>
      <c r="E77" s="7"/>
      <c r="F77" s="7"/>
    </row>
    <row r="78" spans="1:6" x14ac:dyDescent="0.25">
      <c r="A78" s="7"/>
      <c r="B78" s="7"/>
      <c r="C78" s="7"/>
      <c r="D78" s="7"/>
      <c r="E78" s="7"/>
      <c r="F78" s="7"/>
    </row>
    <row r="79" spans="1:6" x14ac:dyDescent="0.25">
      <c r="A79" s="7"/>
      <c r="B79" s="7"/>
      <c r="C79" s="7"/>
      <c r="D79" s="7"/>
      <c r="E79" s="7"/>
      <c r="F79" s="7"/>
    </row>
    <row r="80" spans="1:6" x14ac:dyDescent="0.25">
      <c r="A80" s="7"/>
      <c r="B80" s="7"/>
      <c r="C80" s="7"/>
      <c r="D80" s="7"/>
      <c r="E80" s="7"/>
      <c r="F80" s="7"/>
    </row>
    <row r="81" spans="1:6" x14ac:dyDescent="0.25">
      <c r="A81" s="7"/>
      <c r="B81" s="7"/>
      <c r="C81" s="7"/>
      <c r="D81" s="7"/>
      <c r="E81" s="7"/>
      <c r="F81" s="7"/>
    </row>
    <row r="82" spans="1:6" x14ac:dyDescent="0.25">
      <c r="A82" s="7"/>
      <c r="B82" s="7"/>
      <c r="C82" s="7"/>
      <c r="D82" s="7"/>
      <c r="E82" s="7"/>
      <c r="F82" s="7"/>
    </row>
    <row r="83" spans="1:6" x14ac:dyDescent="0.25">
      <c r="A83" s="7"/>
      <c r="B83" s="7"/>
      <c r="C83" s="7"/>
      <c r="D83" s="7"/>
      <c r="E83" s="7"/>
      <c r="F83" s="7"/>
    </row>
    <row r="84" spans="1:6" x14ac:dyDescent="0.25">
      <c r="A84" s="7"/>
      <c r="B84" s="7"/>
      <c r="C84" s="7"/>
      <c r="D84" s="7"/>
      <c r="E84" s="7"/>
      <c r="F84" s="7"/>
    </row>
    <row r="85" spans="1:6" x14ac:dyDescent="0.25">
      <c r="A85" s="7"/>
      <c r="B85" s="7"/>
      <c r="C85" s="7"/>
      <c r="D85" s="7"/>
      <c r="E85" s="7"/>
      <c r="F85" s="7"/>
    </row>
    <row r="86" spans="1:6" x14ac:dyDescent="0.25">
      <c r="A86" s="7"/>
      <c r="B86" s="7"/>
      <c r="C86" s="7"/>
      <c r="D86" s="7"/>
      <c r="E86" s="7"/>
      <c r="F86" s="7"/>
    </row>
    <row r="87" spans="1:6" x14ac:dyDescent="0.25">
      <c r="A87" s="7"/>
      <c r="B87" s="7"/>
      <c r="C87" s="7"/>
      <c r="D87" s="7"/>
      <c r="E87" s="7"/>
      <c r="F87" s="7"/>
    </row>
    <row r="88" spans="1:6" x14ac:dyDescent="0.25">
      <c r="A88" s="7"/>
      <c r="B88" s="7"/>
      <c r="C88" s="7"/>
      <c r="D88" s="7"/>
      <c r="E88" s="7"/>
      <c r="F88" s="7"/>
    </row>
    <row r="89" spans="1:6" x14ac:dyDescent="0.25">
      <c r="A89" s="7"/>
      <c r="B89" s="7"/>
      <c r="C89" s="7"/>
      <c r="D89" s="7"/>
      <c r="E89" s="7"/>
      <c r="F89" s="7"/>
    </row>
    <row r="90" spans="1:6" x14ac:dyDescent="0.25">
      <c r="A90" s="7"/>
      <c r="B90" s="7"/>
      <c r="C90" s="7"/>
      <c r="D90" s="7"/>
      <c r="E90" s="7"/>
      <c r="F90" s="7"/>
    </row>
    <row r="91" spans="1:6" x14ac:dyDescent="0.25">
      <c r="A91" s="7"/>
      <c r="B91" s="7"/>
      <c r="C91" s="7"/>
      <c r="D91" s="7"/>
      <c r="E91" s="7"/>
      <c r="F91" s="7"/>
    </row>
    <row r="92" spans="1:6" x14ac:dyDescent="0.25">
      <c r="A92" s="7"/>
      <c r="B92" s="7"/>
      <c r="C92" s="7"/>
      <c r="D92" s="7"/>
      <c r="E92" s="7"/>
      <c r="F92" s="7"/>
    </row>
    <row r="93" spans="1:6" x14ac:dyDescent="0.25">
      <c r="A93" s="7"/>
      <c r="B93" s="7"/>
      <c r="C93" s="7"/>
      <c r="D93" s="7"/>
      <c r="E93" s="7"/>
      <c r="F93" s="7"/>
    </row>
    <row r="94" spans="1:6" x14ac:dyDescent="0.25">
      <c r="A94" s="7"/>
      <c r="B94" s="7"/>
      <c r="C94" s="7"/>
      <c r="D94" s="7"/>
      <c r="E94" s="7"/>
      <c r="F94" s="7"/>
    </row>
    <row r="95" spans="1:6" x14ac:dyDescent="0.25">
      <c r="A95" s="7"/>
      <c r="B95" s="7"/>
      <c r="C95" s="7"/>
      <c r="D95" s="7"/>
      <c r="E95" s="7"/>
      <c r="F95" s="7"/>
    </row>
    <row r="96" spans="1:6" x14ac:dyDescent="0.25">
      <c r="A96" s="7"/>
      <c r="B96" s="7"/>
      <c r="C96" s="7"/>
      <c r="D96" s="7"/>
      <c r="E96" s="7"/>
      <c r="F96" s="7"/>
    </row>
    <row r="97" spans="1:6" x14ac:dyDescent="0.25">
      <c r="A97" s="7"/>
      <c r="B97" s="7"/>
      <c r="C97" s="7"/>
      <c r="D97" s="7"/>
      <c r="E97" s="7"/>
      <c r="F97" s="7"/>
    </row>
    <row r="98" spans="1:6" x14ac:dyDescent="0.25">
      <c r="A98" s="7"/>
      <c r="B98" s="7"/>
      <c r="C98" s="7"/>
      <c r="D98" s="7"/>
      <c r="E98" s="7"/>
      <c r="F98" s="7"/>
    </row>
    <row r="99" spans="1:6" x14ac:dyDescent="0.25">
      <c r="A99" s="7"/>
      <c r="B99" s="7"/>
      <c r="C99" s="7"/>
      <c r="D99" s="7"/>
      <c r="E99" s="7"/>
      <c r="F99" s="7"/>
    </row>
    <row r="100" spans="1:6" x14ac:dyDescent="0.25">
      <c r="A100" s="7"/>
      <c r="B100" s="7"/>
      <c r="C100" s="7"/>
      <c r="D100" s="7"/>
      <c r="E100" s="7"/>
      <c r="F100" s="7"/>
    </row>
    <row r="101" spans="1:6" x14ac:dyDescent="0.25">
      <c r="A101" s="7"/>
      <c r="B101" s="7"/>
      <c r="C101" s="7"/>
      <c r="D101" s="7"/>
      <c r="E101" s="7"/>
      <c r="F101" s="7"/>
    </row>
    <row r="102" spans="1:6" x14ac:dyDescent="0.25">
      <c r="A102" s="7"/>
      <c r="B102" s="7"/>
      <c r="C102" s="7"/>
      <c r="D102" s="7"/>
      <c r="E102" s="7"/>
      <c r="F102" s="7"/>
    </row>
    <row r="103" spans="1:6" x14ac:dyDescent="0.25">
      <c r="A103" s="7"/>
      <c r="B103" s="7"/>
      <c r="C103" s="7"/>
      <c r="D103" s="7"/>
      <c r="E103" s="7"/>
      <c r="F103" s="7"/>
    </row>
    <row r="104" spans="1:6" x14ac:dyDescent="0.25">
      <c r="A104" s="7"/>
      <c r="B104" s="7"/>
      <c r="C104" s="7"/>
      <c r="D104" s="7"/>
      <c r="E104" s="7"/>
      <c r="F104" s="7"/>
    </row>
    <row r="105" spans="1:6" x14ac:dyDescent="0.25">
      <c r="A105" s="7"/>
      <c r="B105" s="7"/>
      <c r="C105" s="7"/>
      <c r="D105" s="7"/>
      <c r="E105" s="7"/>
      <c r="F105" s="7"/>
    </row>
    <row r="106" spans="1:6" x14ac:dyDescent="0.25">
      <c r="A106" s="7"/>
      <c r="B106" s="7"/>
      <c r="C106" s="7"/>
      <c r="D106" s="7"/>
      <c r="E106" s="7"/>
      <c r="F106" s="7"/>
    </row>
    <row r="107" spans="1:6" x14ac:dyDescent="0.25">
      <c r="A107" s="7"/>
      <c r="B107" s="7"/>
      <c r="C107" s="7"/>
      <c r="D107" s="7"/>
      <c r="E107" s="7"/>
      <c r="F107" s="7"/>
    </row>
    <row r="108" spans="1:6" x14ac:dyDescent="0.25">
      <c r="A108" s="7"/>
      <c r="B108" s="7"/>
      <c r="C108" s="7"/>
      <c r="D108" s="7"/>
      <c r="E108" s="7"/>
      <c r="F108" s="7"/>
    </row>
    <row r="109" spans="1:6" x14ac:dyDescent="0.25">
      <c r="A109" s="7"/>
      <c r="B109" s="7"/>
      <c r="C109" s="7"/>
      <c r="D109" s="7"/>
      <c r="E109" s="7"/>
      <c r="F109" s="7"/>
    </row>
    <row r="110" spans="1:6" x14ac:dyDescent="0.25">
      <c r="A110" s="7"/>
      <c r="B110" s="7"/>
      <c r="C110" s="7"/>
      <c r="D110" s="7"/>
      <c r="E110" s="7"/>
      <c r="F110" s="7"/>
    </row>
    <row r="111" spans="1:6" x14ac:dyDescent="0.25">
      <c r="A111" s="7"/>
      <c r="B111" s="7"/>
      <c r="C111" s="7"/>
      <c r="D111" s="7"/>
      <c r="E111" s="7"/>
      <c r="F111" s="7"/>
    </row>
    <row r="112" spans="1:6" x14ac:dyDescent="0.25">
      <c r="A112" s="7"/>
      <c r="B112" s="7"/>
      <c r="C112" s="7"/>
      <c r="D112" s="7"/>
      <c r="E112" s="7"/>
      <c r="F112" s="7"/>
    </row>
    <row r="113" spans="1:6" x14ac:dyDescent="0.25">
      <c r="A113" s="7"/>
      <c r="B113" s="7"/>
      <c r="C113" s="7"/>
      <c r="D113" s="7"/>
      <c r="E113" s="7"/>
      <c r="F113" s="7"/>
    </row>
    <row r="114" spans="1:6" x14ac:dyDescent="0.25">
      <c r="A114" s="7"/>
      <c r="B114" s="7"/>
      <c r="C114" s="7"/>
      <c r="D114" s="7"/>
      <c r="E114" s="7"/>
      <c r="F114" s="7"/>
    </row>
    <row r="115" spans="1:6" x14ac:dyDescent="0.25">
      <c r="A115" s="7"/>
      <c r="B115" s="7"/>
      <c r="C115" s="7"/>
      <c r="D115" s="7"/>
      <c r="E115" s="7"/>
      <c r="F115" s="7"/>
    </row>
    <row r="116" spans="1:6" x14ac:dyDescent="0.25">
      <c r="A116" s="7"/>
      <c r="B116" s="7"/>
      <c r="C116" s="7"/>
      <c r="D116" s="7"/>
      <c r="E116" s="7"/>
      <c r="F116" s="7"/>
    </row>
    <row r="117" spans="1:6" x14ac:dyDescent="0.25">
      <c r="A117" s="7"/>
      <c r="B117" s="7"/>
      <c r="C117" s="7"/>
      <c r="D117" s="7"/>
      <c r="E117" s="7"/>
      <c r="F117" s="7"/>
    </row>
    <row r="118" spans="1:6" x14ac:dyDescent="0.25">
      <c r="A118" s="7"/>
      <c r="B118" s="7"/>
      <c r="C118" s="7"/>
      <c r="D118" s="7"/>
      <c r="E118" s="7"/>
      <c r="F118" s="7"/>
    </row>
    <row r="119" spans="1:6" x14ac:dyDescent="0.25">
      <c r="A119" s="7"/>
      <c r="B119" s="7"/>
      <c r="C119" s="7"/>
      <c r="D119" s="7"/>
      <c r="E119" s="7"/>
      <c r="F119" s="7"/>
    </row>
    <row r="120" spans="1:6" x14ac:dyDescent="0.25">
      <c r="A120" s="7"/>
      <c r="B120" s="7"/>
      <c r="C120" s="7"/>
      <c r="D120" s="7"/>
      <c r="E120" s="7"/>
      <c r="F120" s="7"/>
    </row>
    <row r="121" spans="1:6" x14ac:dyDescent="0.25">
      <c r="A121" s="7"/>
      <c r="B121" s="7"/>
      <c r="C121" s="7"/>
      <c r="D121" s="7"/>
      <c r="E121" s="7"/>
      <c r="F121" s="7"/>
    </row>
    <row r="122" spans="1:6" x14ac:dyDescent="0.25">
      <c r="A122" s="7"/>
      <c r="B122" s="7"/>
      <c r="C122" s="7"/>
      <c r="D122" s="7"/>
      <c r="E122" s="7"/>
      <c r="F122" s="7"/>
    </row>
    <row r="123" spans="1:6" x14ac:dyDescent="0.25">
      <c r="A123" s="7"/>
      <c r="B123" s="7"/>
      <c r="C123" s="7"/>
      <c r="D123" s="7"/>
      <c r="E123" s="7"/>
      <c r="F123" s="7"/>
    </row>
    <row r="124" spans="1:6" x14ac:dyDescent="0.25">
      <c r="A124" s="7"/>
      <c r="B124" s="7"/>
      <c r="C124" s="7"/>
      <c r="D124" s="7"/>
      <c r="E124" s="7"/>
      <c r="F124" s="7"/>
    </row>
    <row r="125" spans="1:6" x14ac:dyDescent="0.25">
      <c r="A125" s="7"/>
      <c r="B125" s="7"/>
      <c r="C125" s="7"/>
      <c r="D125" s="7"/>
      <c r="E125" s="7"/>
      <c r="F125" s="7"/>
    </row>
    <row r="126" spans="1:6" x14ac:dyDescent="0.25">
      <c r="A126" s="7"/>
      <c r="B126" s="7"/>
      <c r="C126" s="7"/>
      <c r="D126" s="7"/>
      <c r="E126" s="7"/>
      <c r="F126" s="7"/>
    </row>
    <row r="127" spans="1:6" x14ac:dyDescent="0.25">
      <c r="A127" s="7"/>
      <c r="B127" s="7"/>
      <c r="C127" s="7"/>
      <c r="D127" s="7"/>
      <c r="E127" s="7"/>
      <c r="F127" s="7"/>
    </row>
    <row r="128" spans="1:6" x14ac:dyDescent="0.25">
      <c r="A128" s="7"/>
      <c r="B128" s="7"/>
      <c r="C128" s="7"/>
      <c r="D128" s="7"/>
      <c r="E128" s="7"/>
      <c r="F128" s="7"/>
    </row>
    <row r="129" spans="1:6" x14ac:dyDescent="0.25">
      <c r="A129" s="7"/>
      <c r="B129" s="7"/>
      <c r="C129" s="7"/>
      <c r="D129" s="7"/>
      <c r="E129" s="7"/>
      <c r="F129" s="7"/>
    </row>
    <row r="130" spans="1:6" x14ac:dyDescent="0.25">
      <c r="A130" s="7"/>
      <c r="B130" s="7"/>
      <c r="C130" s="7"/>
      <c r="D130" s="7"/>
      <c r="E130" s="7"/>
      <c r="F130" s="7"/>
    </row>
    <row r="131" spans="1:6" x14ac:dyDescent="0.25">
      <c r="A131" s="7"/>
      <c r="B131" s="7"/>
      <c r="C131" s="7"/>
      <c r="D131" s="7"/>
      <c r="E131" s="7"/>
      <c r="F131" s="7"/>
    </row>
    <row r="132" spans="1:6" x14ac:dyDescent="0.25">
      <c r="A132" s="7"/>
      <c r="B132" s="7"/>
      <c r="C132" s="7"/>
      <c r="D132" s="7"/>
      <c r="E132" s="7"/>
      <c r="F132" s="7"/>
    </row>
    <row r="133" spans="1:6" x14ac:dyDescent="0.25">
      <c r="A133" s="7"/>
      <c r="B133" s="7"/>
      <c r="C133" s="7"/>
      <c r="D133" s="7"/>
      <c r="E133" s="7"/>
      <c r="F133" s="7"/>
    </row>
    <row r="134" spans="1:6" x14ac:dyDescent="0.25">
      <c r="A134" s="7"/>
      <c r="B134" s="7"/>
      <c r="C134" s="7"/>
      <c r="D134" s="7"/>
      <c r="E134" s="7"/>
      <c r="F134" s="7"/>
    </row>
    <row r="135" spans="1:6" x14ac:dyDescent="0.25">
      <c r="A135" s="7"/>
      <c r="B135" s="7"/>
      <c r="C135" s="7"/>
      <c r="D135" s="7"/>
      <c r="E135" s="7"/>
      <c r="F135" s="7"/>
    </row>
    <row r="136" spans="1:6" x14ac:dyDescent="0.25">
      <c r="A136" s="7"/>
      <c r="B136" s="7"/>
      <c r="C136" s="7"/>
      <c r="D136" s="7"/>
      <c r="E136" s="7"/>
      <c r="F136" s="7"/>
    </row>
    <row r="137" spans="1:6" x14ac:dyDescent="0.25">
      <c r="A137" s="7"/>
      <c r="B137" s="7"/>
      <c r="C137" s="7"/>
      <c r="D137" s="7"/>
      <c r="E137" s="7"/>
      <c r="F137" s="7"/>
    </row>
    <row r="138" spans="1:6" x14ac:dyDescent="0.25">
      <c r="A138" s="7"/>
      <c r="B138" s="7"/>
      <c r="C138" s="7"/>
      <c r="D138" s="7"/>
      <c r="E138" s="7"/>
      <c r="F138" s="7"/>
    </row>
    <row r="139" spans="1:6" x14ac:dyDescent="0.25">
      <c r="A139" s="7"/>
      <c r="B139" s="7"/>
      <c r="C139" s="7"/>
      <c r="D139" s="7"/>
      <c r="E139" s="7"/>
      <c r="F139" s="7"/>
    </row>
    <row r="140" spans="1:6" x14ac:dyDescent="0.25">
      <c r="A140" s="7"/>
      <c r="B140" s="7"/>
      <c r="C140" s="7"/>
      <c r="D140" s="7"/>
      <c r="E140" s="7"/>
      <c r="F140" s="7"/>
    </row>
    <row r="141" spans="1:6" x14ac:dyDescent="0.25">
      <c r="A141" s="7"/>
      <c r="B141" s="7"/>
      <c r="C141" s="7"/>
      <c r="D141" s="7"/>
      <c r="E141" s="7"/>
      <c r="F141" s="7"/>
    </row>
    <row r="142" spans="1:6" x14ac:dyDescent="0.25">
      <c r="A142" s="7"/>
      <c r="B142" s="7"/>
      <c r="C142" s="7"/>
      <c r="D142" s="7"/>
      <c r="E142" s="7"/>
      <c r="F142" s="7"/>
    </row>
    <row r="143" spans="1:6" x14ac:dyDescent="0.25">
      <c r="A143" s="7"/>
      <c r="B143" s="7"/>
      <c r="C143" s="7"/>
      <c r="D143" s="7"/>
      <c r="E143" s="7"/>
      <c r="F143" s="7"/>
    </row>
    <row r="144" spans="1:6" x14ac:dyDescent="0.25">
      <c r="A144" s="7"/>
      <c r="B144" s="7"/>
      <c r="C144" s="7"/>
      <c r="D144" s="7"/>
      <c r="E144" s="7"/>
      <c r="F144" s="7"/>
    </row>
    <row r="145" spans="1:6" x14ac:dyDescent="0.25">
      <c r="A145" s="7"/>
      <c r="B145" s="7"/>
      <c r="C145" s="7"/>
      <c r="D145" s="7"/>
      <c r="E145" s="7"/>
      <c r="F145" s="7"/>
    </row>
    <row r="146" spans="1:6" x14ac:dyDescent="0.25">
      <c r="A146" s="7"/>
      <c r="B146" s="7"/>
      <c r="C146" s="7"/>
      <c r="D146" s="7"/>
      <c r="E146" s="7"/>
      <c r="F146" s="7"/>
    </row>
    <row r="147" spans="1:6" x14ac:dyDescent="0.25">
      <c r="A147" s="7"/>
      <c r="B147" s="7"/>
      <c r="C147" s="7"/>
      <c r="D147" s="7"/>
      <c r="E147" s="7"/>
      <c r="F147" s="7"/>
    </row>
    <row r="148" spans="1:6" x14ac:dyDescent="0.25">
      <c r="A148" s="7"/>
      <c r="B148" s="7"/>
      <c r="C148" s="7"/>
      <c r="D148" s="7"/>
      <c r="E148" s="7"/>
      <c r="F148" s="7"/>
    </row>
    <row r="149" spans="1:6" x14ac:dyDescent="0.25">
      <c r="A149" s="7"/>
      <c r="B149" s="7"/>
      <c r="C149" s="7"/>
      <c r="D149" s="7"/>
      <c r="E149" s="7"/>
      <c r="F149" s="7"/>
    </row>
    <row r="150" spans="1:6" x14ac:dyDescent="0.25">
      <c r="A150" s="7"/>
      <c r="B150" s="7"/>
      <c r="C150" s="7"/>
      <c r="D150" s="7"/>
      <c r="E150" s="7"/>
      <c r="F150" s="7"/>
    </row>
    <row r="151" spans="1:6" x14ac:dyDescent="0.25">
      <c r="A151" s="7"/>
      <c r="B151" s="7"/>
      <c r="C151" s="7"/>
      <c r="D151" s="7"/>
      <c r="E151" s="7"/>
      <c r="F151" s="7"/>
    </row>
    <row r="152" spans="1:6" x14ac:dyDescent="0.25">
      <c r="A152" s="7"/>
      <c r="B152" s="7"/>
      <c r="C152" s="7"/>
      <c r="D152" s="7"/>
      <c r="E152" s="7"/>
      <c r="F152" s="7"/>
    </row>
    <row r="153" spans="1:6" x14ac:dyDescent="0.25">
      <c r="A153" s="7"/>
      <c r="B153" s="7"/>
      <c r="C153" s="7"/>
      <c r="D153" s="7"/>
      <c r="E153" s="7"/>
      <c r="F153" s="7"/>
    </row>
    <row r="154" spans="1:6" x14ac:dyDescent="0.25">
      <c r="A154" s="7"/>
      <c r="B154" s="7"/>
      <c r="C154" s="7"/>
      <c r="D154" s="7"/>
      <c r="E154" s="7"/>
      <c r="F154" s="7"/>
    </row>
    <row r="155" spans="1:6" x14ac:dyDescent="0.25">
      <c r="A155" s="7"/>
      <c r="B155" s="7"/>
      <c r="C155" s="7"/>
      <c r="D155" s="7"/>
      <c r="E155" s="7"/>
      <c r="F155" s="7"/>
    </row>
    <row r="156" spans="1:6" x14ac:dyDescent="0.25">
      <c r="A156" s="7"/>
      <c r="B156" s="7"/>
      <c r="C156" s="7"/>
      <c r="D156" s="7"/>
      <c r="E156" s="7"/>
      <c r="F156" s="7"/>
    </row>
    <row r="157" spans="1:6" x14ac:dyDescent="0.25">
      <c r="A157" s="7"/>
      <c r="B157" s="7"/>
      <c r="C157" s="7"/>
      <c r="D157" s="7"/>
      <c r="E157" s="7"/>
      <c r="F157" s="7"/>
    </row>
    <row r="158" spans="1:6" x14ac:dyDescent="0.25">
      <c r="A158" s="7"/>
      <c r="B158" s="7"/>
      <c r="C158" s="7"/>
      <c r="D158" s="7"/>
      <c r="E158" s="7"/>
      <c r="F158" s="7"/>
    </row>
    <row r="159" spans="1:6" x14ac:dyDescent="0.25">
      <c r="A159" s="7"/>
      <c r="B159" s="7"/>
      <c r="C159" s="7"/>
      <c r="D159" s="7"/>
      <c r="E159" s="7"/>
      <c r="F159" s="7"/>
    </row>
    <row r="160" spans="1:6" x14ac:dyDescent="0.25">
      <c r="A160" s="7"/>
      <c r="B160" s="7"/>
      <c r="C160" s="7"/>
      <c r="D160" s="7"/>
      <c r="E160" s="7"/>
      <c r="F160" s="7"/>
    </row>
    <row r="161" spans="1:6" x14ac:dyDescent="0.25">
      <c r="A161" s="7"/>
      <c r="B161" s="7"/>
      <c r="C161" s="7"/>
      <c r="D161" s="7"/>
      <c r="E161" s="7"/>
      <c r="F161" s="7"/>
    </row>
    <row r="162" spans="1:6" x14ac:dyDescent="0.25">
      <c r="A162" s="7"/>
      <c r="B162" s="7"/>
      <c r="C162" s="7"/>
      <c r="D162" s="7"/>
      <c r="E162" s="7"/>
      <c r="F162" s="7"/>
    </row>
    <row r="163" spans="1:6" x14ac:dyDescent="0.25">
      <c r="A163" s="7"/>
      <c r="B163" s="7"/>
      <c r="C163" s="7"/>
      <c r="D163" s="7"/>
      <c r="E163" s="7"/>
      <c r="F163" s="7"/>
    </row>
    <row r="164" spans="1:6" x14ac:dyDescent="0.25">
      <c r="A164" s="7"/>
      <c r="B164" s="7"/>
      <c r="C164" s="7"/>
      <c r="D164" s="7"/>
      <c r="E164" s="7"/>
      <c r="F164" s="7"/>
    </row>
    <row r="165" spans="1:6" x14ac:dyDescent="0.25">
      <c r="A165" s="7"/>
      <c r="B165" s="7"/>
      <c r="C165" s="7"/>
      <c r="D165" s="7"/>
      <c r="E165" s="7"/>
      <c r="F165" s="7"/>
    </row>
    <row r="166" spans="1:6" x14ac:dyDescent="0.25">
      <c r="A166" s="7"/>
      <c r="B166" s="7"/>
      <c r="C166" s="7"/>
      <c r="D166" s="7"/>
      <c r="E166" s="7"/>
      <c r="F166" s="7"/>
    </row>
    <row r="167" spans="1:6" x14ac:dyDescent="0.25">
      <c r="A167" s="7"/>
      <c r="B167" s="7"/>
      <c r="C167" s="7"/>
      <c r="D167" s="7"/>
      <c r="E167" s="7"/>
      <c r="F167" s="7"/>
    </row>
    <row r="168" spans="1:6" x14ac:dyDescent="0.25">
      <c r="A168" s="7"/>
      <c r="B168" s="7"/>
      <c r="C168" s="7"/>
      <c r="D168" s="7"/>
      <c r="E168" s="7"/>
      <c r="F168" s="7"/>
    </row>
    <row r="169" spans="1:6" x14ac:dyDescent="0.25">
      <c r="A169" s="7"/>
      <c r="B169" s="7"/>
      <c r="C169" s="7"/>
      <c r="D169" s="7"/>
      <c r="E169" s="7"/>
      <c r="F169" s="7"/>
    </row>
    <row r="170" spans="1:6" x14ac:dyDescent="0.25">
      <c r="A170" s="7"/>
      <c r="B170" s="7"/>
      <c r="C170" s="7"/>
      <c r="D170" s="7"/>
      <c r="E170" s="7"/>
      <c r="F170" s="7"/>
    </row>
    <row r="171" spans="1:6" x14ac:dyDescent="0.25">
      <c r="A171" s="7"/>
      <c r="B171" s="7"/>
      <c r="C171" s="7"/>
      <c r="D171" s="7"/>
      <c r="E171" s="7"/>
      <c r="F171" s="7"/>
    </row>
    <row r="172" spans="1:6" x14ac:dyDescent="0.25">
      <c r="A172" s="7"/>
      <c r="B172" s="7"/>
      <c r="C172" s="7"/>
      <c r="D172" s="7"/>
      <c r="E172" s="7"/>
      <c r="F172" s="7"/>
    </row>
    <row r="173" spans="1:6" x14ac:dyDescent="0.25">
      <c r="A173" s="7"/>
      <c r="B173" s="7"/>
      <c r="C173" s="7"/>
      <c r="D173" s="7"/>
      <c r="E173" s="7"/>
      <c r="F173" s="7"/>
    </row>
    <row r="174" spans="1:6" x14ac:dyDescent="0.25">
      <c r="A174" s="7"/>
      <c r="B174" s="7"/>
      <c r="C174" s="7"/>
      <c r="D174" s="7"/>
      <c r="E174" s="7"/>
      <c r="F174" s="7"/>
    </row>
    <row r="175" spans="1:6" x14ac:dyDescent="0.25">
      <c r="A175" s="7"/>
      <c r="B175" s="7"/>
      <c r="C175" s="7"/>
      <c r="D175" s="7"/>
      <c r="E175" s="7"/>
      <c r="F175" s="7"/>
    </row>
    <row r="176" spans="1:6" x14ac:dyDescent="0.25">
      <c r="A176" s="7"/>
      <c r="B176" s="7"/>
      <c r="C176" s="7"/>
      <c r="D176" s="7"/>
      <c r="E176" s="7"/>
      <c r="F176" s="7"/>
    </row>
    <row r="177" spans="1:6" x14ac:dyDescent="0.25">
      <c r="A177" s="7"/>
      <c r="B177" s="7"/>
      <c r="C177" s="7"/>
      <c r="D177" s="7"/>
      <c r="E177" s="7"/>
      <c r="F177" s="7"/>
    </row>
    <row r="178" spans="1:6" x14ac:dyDescent="0.25">
      <c r="A178" s="7"/>
      <c r="B178" s="7"/>
      <c r="C178" s="7"/>
      <c r="D178" s="7"/>
      <c r="E178" s="7"/>
      <c r="F178" s="7"/>
    </row>
    <row r="179" spans="1:6" x14ac:dyDescent="0.25">
      <c r="A179" s="7"/>
      <c r="B179" s="7"/>
      <c r="C179" s="7"/>
      <c r="D179" s="7"/>
      <c r="E179" s="7"/>
      <c r="F179" s="7"/>
    </row>
    <row r="180" spans="1:6" x14ac:dyDescent="0.25">
      <c r="A180" s="7"/>
      <c r="B180" s="7"/>
      <c r="C180" s="7"/>
      <c r="D180" s="7"/>
      <c r="E180" s="7"/>
      <c r="F180" s="7"/>
    </row>
    <row r="181" spans="1:6" x14ac:dyDescent="0.25">
      <c r="A181" s="7"/>
      <c r="B181" s="7"/>
      <c r="C181" s="7"/>
      <c r="D181" s="7"/>
      <c r="E181" s="7"/>
      <c r="F181" s="7"/>
    </row>
    <row r="182" spans="1:6" x14ac:dyDescent="0.25">
      <c r="A182" s="7"/>
      <c r="B182" s="7"/>
      <c r="C182" s="7"/>
      <c r="D182" s="7"/>
      <c r="E182" s="7"/>
      <c r="F182" s="7"/>
    </row>
    <row r="183" spans="1:6" x14ac:dyDescent="0.25">
      <c r="A183" s="7"/>
      <c r="B183" s="7"/>
      <c r="C183" s="7"/>
      <c r="D183" s="7"/>
      <c r="E183" s="7"/>
      <c r="F183" s="7"/>
    </row>
    <row r="184" spans="1:6" x14ac:dyDescent="0.25">
      <c r="A184" s="7"/>
      <c r="B184" s="7"/>
      <c r="C184" s="7"/>
      <c r="D184" s="7"/>
      <c r="E184" s="7"/>
      <c r="F184" s="7"/>
    </row>
    <row r="185" spans="1:6" x14ac:dyDescent="0.25">
      <c r="A185" s="7"/>
      <c r="B185" s="7"/>
      <c r="C185" s="7"/>
      <c r="D185" s="7"/>
      <c r="E185" s="7"/>
      <c r="F185" s="7"/>
    </row>
    <row r="186" spans="1:6" x14ac:dyDescent="0.25">
      <c r="A186" s="7"/>
      <c r="B186" s="7"/>
      <c r="C186" s="7"/>
      <c r="D186" s="7"/>
      <c r="E186" s="7"/>
      <c r="F186" s="7"/>
    </row>
    <row r="187" spans="1:6" x14ac:dyDescent="0.25">
      <c r="A187" s="7"/>
      <c r="B187" s="7"/>
      <c r="C187" s="7"/>
      <c r="D187" s="7"/>
      <c r="E187" s="7"/>
      <c r="F187" s="7"/>
    </row>
    <row r="188" spans="1:6" x14ac:dyDescent="0.25">
      <c r="A188" s="7"/>
      <c r="B188" s="7"/>
      <c r="C188" s="7"/>
      <c r="D188" s="7"/>
      <c r="E188" s="7"/>
      <c r="F188" s="7"/>
    </row>
    <row r="189" spans="1:6" x14ac:dyDescent="0.25">
      <c r="A189" s="7"/>
      <c r="B189" s="7"/>
      <c r="C189" s="7"/>
      <c r="D189" s="7"/>
      <c r="E189" s="7"/>
      <c r="F189" s="7"/>
    </row>
    <row r="190" spans="1:6" x14ac:dyDescent="0.25">
      <c r="A190" s="7"/>
      <c r="B190" s="7"/>
      <c r="C190" s="7"/>
      <c r="D190" s="7"/>
      <c r="E190" s="7"/>
      <c r="F190" s="7"/>
    </row>
    <row r="191" spans="1:6" x14ac:dyDescent="0.25">
      <c r="A191" s="7"/>
      <c r="B191" s="7"/>
      <c r="C191" s="7"/>
      <c r="D191" s="7"/>
      <c r="E191" s="7"/>
      <c r="F191" s="7"/>
    </row>
    <row r="192" spans="1:6" x14ac:dyDescent="0.25">
      <c r="A192" s="7"/>
      <c r="B192" s="7"/>
      <c r="C192" s="7"/>
      <c r="D192" s="7"/>
      <c r="E192" s="7"/>
      <c r="F192" s="7"/>
    </row>
    <row r="193" spans="1:6" x14ac:dyDescent="0.25">
      <c r="A193" s="7"/>
      <c r="B193" s="7"/>
      <c r="C193" s="7"/>
      <c r="D193" s="7"/>
      <c r="E193" s="7"/>
      <c r="F193" s="7"/>
    </row>
    <row r="194" spans="1:6" x14ac:dyDescent="0.25">
      <c r="A194" s="7"/>
      <c r="B194" s="7"/>
      <c r="C194" s="7"/>
      <c r="D194" s="7"/>
      <c r="E194" s="7"/>
      <c r="F194" s="7"/>
    </row>
    <row r="195" spans="1:6" x14ac:dyDescent="0.25">
      <c r="A195" s="7"/>
      <c r="B195" s="7"/>
      <c r="C195" s="7"/>
      <c r="D195" s="7"/>
      <c r="E195" s="7"/>
      <c r="F195" s="7"/>
    </row>
    <row r="196" spans="1:6" x14ac:dyDescent="0.25">
      <c r="A196" s="7"/>
      <c r="B196" s="7"/>
      <c r="C196" s="7"/>
      <c r="D196" s="7"/>
      <c r="E196" s="7"/>
      <c r="F196" s="7"/>
    </row>
    <row r="197" spans="1:6" x14ac:dyDescent="0.25">
      <c r="A197" s="7"/>
      <c r="B197" s="7"/>
      <c r="C197" s="7"/>
      <c r="D197" s="7"/>
      <c r="E197" s="7"/>
      <c r="F197" s="7"/>
    </row>
    <row r="198" spans="1:6" x14ac:dyDescent="0.25">
      <c r="A198" s="7"/>
      <c r="B198" s="7"/>
      <c r="C198" s="7"/>
      <c r="D198" s="7"/>
      <c r="E198" s="7"/>
      <c r="F198" s="7"/>
    </row>
    <row r="199" spans="1:6" x14ac:dyDescent="0.25">
      <c r="A199" s="7"/>
      <c r="B199" s="7"/>
      <c r="C199" s="7"/>
      <c r="D199" s="7"/>
      <c r="E199" s="7"/>
      <c r="F199" s="7"/>
    </row>
    <row r="200" spans="1:6" x14ac:dyDescent="0.25">
      <c r="A200" s="7"/>
      <c r="B200" s="7"/>
      <c r="C200" s="7"/>
      <c r="D200" s="7"/>
      <c r="E200" s="7"/>
      <c r="F200" s="7"/>
    </row>
    <row r="201" spans="1:6" x14ac:dyDescent="0.25">
      <c r="A201" s="7"/>
      <c r="B201" s="7"/>
      <c r="C201" s="7"/>
      <c r="D201" s="7"/>
      <c r="E201" s="7"/>
      <c r="F201" s="7"/>
    </row>
    <row r="202" spans="1:6" x14ac:dyDescent="0.25">
      <c r="A202" s="7"/>
      <c r="B202" s="7"/>
      <c r="C202" s="7"/>
      <c r="D202" s="7"/>
      <c r="E202" s="7"/>
      <c r="F202" s="7"/>
    </row>
    <row r="203" spans="1:6" x14ac:dyDescent="0.25">
      <c r="A203" s="7"/>
      <c r="B203" s="7"/>
      <c r="C203" s="7"/>
      <c r="D203" s="7"/>
      <c r="E203" s="7"/>
      <c r="F203" s="7"/>
    </row>
    <row r="204" spans="1:6" x14ac:dyDescent="0.25">
      <c r="A204" s="7"/>
      <c r="B204" s="7"/>
      <c r="C204" s="7"/>
      <c r="D204" s="7"/>
      <c r="E204" s="7"/>
      <c r="F204" s="7"/>
    </row>
    <row r="205" spans="1:6" x14ac:dyDescent="0.25">
      <c r="A205" s="7"/>
      <c r="B205" s="7"/>
      <c r="C205" s="7"/>
      <c r="D205" s="7"/>
      <c r="E205" s="7"/>
      <c r="F205" s="7"/>
    </row>
    <row r="206" spans="1:6" x14ac:dyDescent="0.25">
      <c r="A206" s="7"/>
      <c r="B206" s="7"/>
      <c r="C206" s="7"/>
      <c r="D206" s="7"/>
      <c r="E206" s="7"/>
      <c r="F206" s="7"/>
    </row>
    <row r="207" spans="1:6" x14ac:dyDescent="0.25">
      <c r="A207" s="7"/>
      <c r="B207" s="7"/>
      <c r="C207" s="7"/>
      <c r="D207" s="7"/>
      <c r="E207" s="7"/>
      <c r="F207" s="7"/>
    </row>
    <row r="208" spans="1:6" x14ac:dyDescent="0.25">
      <c r="A208" s="7"/>
      <c r="B208" s="7"/>
      <c r="C208" s="7"/>
      <c r="D208" s="7"/>
      <c r="E208" s="7"/>
      <c r="F208" s="7"/>
    </row>
    <row r="209" spans="1:6" x14ac:dyDescent="0.25">
      <c r="A209" s="7"/>
      <c r="B209" s="7"/>
      <c r="C209" s="7"/>
      <c r="D209" s="7"/>
      <c r="E209" s="7"/>
      <c r="F209" s="7"/>
    </row>
    <row r="210" spans="1:6" x14ac:dyDescent="0.25">
      <c r="A210" s="7"/>
      <c r="B210" s="7"/>
      <c r="C210" s="7"/>
      <c r="D210" s="7"/>
      <c r="E210" s="7"/>
      <c r="F210" s="7"/>
    </row>
    <row r="211" spans="1:6" x14ac:dyDescent="0.25">
      <c r="A211" s="7"/>
      <c r="B211" s="7"/>
      <c r="C211" s="7"/>
      <c r="D211" s="7"/>
      <c r="E211" s="7"/>
      <c r="F211" s="7"/>
    </row>
    <row r="212" spans="1:6" x14ac:dyDescent="0.25">
      <c r="A212" s="7"/>
      <c r="B212" s="7"/>
      <c r="C212" s="7"/>
      <c r="D212" s="7"/>
      <c r="E212" s="7"/>
      <c r="F212" s="7"/>
    </row>
    <row r="213" spans="1:6" x14ac:dyDescent="0.25">
      <c r="A213" s="7"/>
      <c r="B213" s="7"/>
      <c r="C213" s="7"/>
      <c r="D213" s="7"/>
      <c r="E213" s="7"/>
      <c r="F213" s="7"/>
    </row>
    <row r="214" spans="1:6" x14ac:dyDescent="0.25">
      <c r="A214" s="7"/>
      <c r="B214" s="7"/>
      <c r="C214" s="7"/>
      <c r="D214" s="7"/>
      <c r="E214" s="7"/>
      <c r="F214" s="7"/>
    </row>
    <row r="215" spans="1:6" x14ac:dyDescent="0.25">
      <c r="A215" s="7"/>
      <c r="B215" s="7"/>
      <c r="C215" s="7"/>
      <c r="D215" s="7"/>
      <c r="E215" s="7"/>
      <c r="F215" s="7"/>
    </row>
    <row r="216" spans="1:6" x14ac:dyDescent="0.25">
      <c r="A216" s="7"/>
      <c r="B216" s="7"/>
      <c r="C216" s="7"/>
      <c r="D216" s="7"/>
      <c r="E216" s="7"/>
      <c r="F216" s="7"/>
    </row>
    <row r="217" spans="1:6" x14ac:dyDescent="0.25">
      <c r="A217" s="7"/>
      <c r="B217" s="7"/>
      <c r="C217" s="7"/>
      <c r="D217" s="7"/>
      <c r="E217" s="7"/>
      <c r="F217" s="7"/>
    </row>
    <row r="218" spans="1:6" x14ac:dyDescent="0.25">
      <c r="A218" s="7"/>
      <c r="B218" s="7"/>
      <c r="C218" s="7"/>
      <c r="D218" s="7"/>
      <c r="E218" s="7"/>
      <c r="F218" s="7"/>
    </row>
    <row r="219" spans="1:6" x14ac:dyDescent="0.25">
      <c r="A219" s="7"/>
      <c r="B219" s="7"/>
      <c r="C219" s="7"/>
      <c r="D219" s="7"/>
      <c r="E219" s="7"/>
      <c r="F219" s="7"/>
    </row>
    <row r="220" spans="1:6" x14ac:dyDescent="0.25">
      <c r="A220" s="7"/>
      <c r="B220" s="7"/>
      <c r="C220" s="7"/>
      <c r="D220" s="7"/>
      <c r="E220" s="7"/>
      <c r="F220" s="7"/>
    </row>
    <row r="221" spans="1:6" x14ac:dyDescent="0.25">
      <c r="A221" s="7"/>
      <c r="B221" s="7"/>
      <c r="C221" s="7"/>
      <c r="D221" s="7"/>
      <c r="E221" s="7"/>
      <c r="F221" s="7"/>
    </row>
    <row r="222" spans="1:6" x14ac:dyDescent="0.25">
      <c r="A222" s="7"/>
      <c r="B222" s="7"/>
      <c r="C222" s="7"/>
      <c r="D222" s="7"/>
      <c r="E222" s="7"/>
      <c r="F222" s="7"/>
    </row>
    <row r="223" spans="1:6" x14ac:dyDescent="0.25">
      <c r="A223" s="7"/>
      <c r="B223" s="7"/>
      <c r="C223" s="7"/>
      <c r="D223" s="7"/>
      <c r="E223" s="7"/>
      <c r="F223" s="7"/>
    </row>
    <row r="224" spans="1:6" x14ac:dyDescent="0.25">
      <c r="A224" s="7"/>
      <c r="B224" s="7"/>
      <c r="C224" s="7"/>
      <c r="D224" s="7"/>
      <c r="E224" s="7"/>
      <c r="F224" s="7"/>
    </row>
    <row r="225" spans="1:6" x14ac:dyDescent="0.25">
      <c r="A225" s="7"/>
      <c r="B225" s="7"/>
      <c r="C225" s="7"/>
      <c r="D225" s="7"/>
      <c r="E225" s="7"/>
      <c r="F225" s="7"/>
    </row>
    <row r="226" spans="1:6" x14ac:dyDescent="0.25">
      <c r="A226" s="7"/>
      <c r="B226" s="7"/>
      <c r="C226" s="7"/>
      <c r="D226" s="7"/>
      <c r="E226" s="7"/>
      <c r="F226" s="7"/>
    </row>
    <row r="227" spans="1:6" x14ac:dyDescent="0.25">
      <c r="A227" s="7"/>
      <c r="B227" s="7"/>
      <c r="C227" s="7"/>
      <c r="D227" s="7"/>
      <c r="E227" s="7"/>
      <c r="F227" s="7"/>
    </row>
    <row r="228" spans="1:6" x14ac:dyDescent="0.25">
      <c r="A228" s="7"/>
      <c r="B228" s="7"/>
      <c r="C228" s="7"/>
      <c r="D228" s="7"/>
      <c r="E228" s="7"/>
      <c r="F228" s="7"/>
    </row>
    <row r="229" spans="1:6" x14ac:dyDescent="0.25">
      <c r="A229" s="7"/>
      <c r="B229" s="7"/>
      <c r="C229" s="7"/>
      <c r="D229" s="7"/>
      <c r="E229" s="7"/>
      <c r="F229" s="7"/>
    </row>
    <row r="230" spans="1:6" x14ac:dyDescent="0.25">
      <c r="A230" s="7"/>
      <c r="B230" s="7"/>
      <c r="C230" s="7"/>
      <c r="D230" s="7"/>
      <c r="E230" s="7"/>
      <c r="F230" s="7"/>
    </row>
    <row r="231" spans="1:6" x14ac:dyDescent="0.25">
      <c r="A231" s="7"/>
      <c r="B231" s="7"/>
      <c r="C231" s="7"/>
      <c r="D231" s="7"/>
      <c r="E231" s="7"/>
      <c r="F231" s="7"/>
    </row>
    <row r="232" spans="1:6" x14ac:dyDescent="0.25">
      <c r="A232" s="7"/>
      <c r="B232" s="7"/>
      <c r="C232" s="7"/>
      <c r="D232" s="7"/>
      <c r="E232" s="7"/>
      <c r="F232" s="7"/>
    </row>
    <row r="233" spans="1:6" x14ac:dyDescent="0.25">
      <c r="A233" s="7"/>
      <c r="B233" s="7"/>
      <c r="C233" s="7"/>
      <c r="D233" s="7"/>
      <c r="E233" s="7"/>
      <c r="F233" s="7"/>
    </row>
    <row r="234" spans="1:6" x14ac:dyDescent="0.25">
      <c r="A234" s="7"/>
      <c r="B234" s="7"/>
      <c r="C234" s="7"/>
      <c r="D234" s="7"/>
      <c r="E234" s="7"/>
      <c r="F234" s="7"/>
    </row>
    <row r="235" spans="1:6" x14ac:dyDescent="0.25">
      <c r="A235" s="7"/>
      <c r="B235" s="7"/>
      <c r="C235" s="7"/>
      <c r="D235" s="7"/>
      <c r="E235" s="7"/>
      <c r="F235" s="7"/>
    </row>
    <row r="236" spans="1:6" x14ac:dyDescent="0.25">
      <c r="A236" s="7"/>
      <c r="B236" s="7"/>
      <c r="C236" s="7"/>
      <c r="D236" s="7"/>
      <c r="E236" s="7"/>
      <c r="F236" s="7"/>
    </row>
    <row r="237" spans="1:6" x14ac:dyDescent="0.25">
      <c r="A237" s="7"/>
      <c r="B237" s="7"/>
      <c r="C237" s="7"/>
      <c r="D237" s="7"/>
      <c r="E237" s="7"/>
      <c r="F237" s="7"/>
    </row>
    <row r="238" spans="1:6" x14ac:dyDescent="0.25">
      <c r="A238" s="7"/>
      <c r="B238" s="7"/>
      <c r="C238" s="7"/>
      <c r="D238" s="7"/>
      <c r="E238" s="7"/>
      <c r="F238" s="7"/>
    </row>
    <row r="239" spans="1:6" x14ac:dyDescent="0.25">
      <c r="A239" s="7"/>
      <c r="B239" s="7"/>
      <c r="C239" s="7"/>
      <c r="D239" s="7"/>
      <c r="E239" s="7"/>
      <c r="F239" s="7"/>
    </row>
    <row r="240" spans="1:6" x14ac:dyDescent="0.25">
      <c r="A240" s="7"/>
      <c r="B240" s="7"/>
      <c r="C240" s="7"/>
      <c r="D240" s="7"/>
      <c r="E240" s="7"/>
      <c r="F240" s="7"/>
    </row>
    <row r="241" spans="1:6" x14ac:dyDescent="0.25">
      <c r="A241" s="7"/>
      <c r="B241" s="7"/>
      <c r="C241" s="7"/>
      <c r="D241" s="7"/>
      <c r="E241" s="7"/>
      <c r="F241" s="7"/>
    </row>
    <row r="242" spans="1:6" x14ac:dyDescent="0.25">
      <c r="A242" s="7"/>
      <c r="B242" s="7"/>
      <c r="C242" s="7"/>
      <c r="D242" s="7"/>
      <c r="E242" s="7"/>
      <c r="F242" s="7"/>
    </row>
    <row r="243" spans="1:6" x14ac:dyDescent="0.25">
      <c r="A243" s="7"/>
      <c r="B243" s="7"/>
      <c r="C243" s="7"/>
      <c r="D243" s="7"/>
      <c r="E243" s="7"/>
      <c r="F243" s="7"/>
    </row>
    <row r="244" spans="1:6" x14ac:dyDescent="0.25">
      <c r="A244" s="7"/>
      <c r="B244" s="7"/>
      <c r="C244" s="7"/>
      <c r="D244" s="7"/>
      <c r="E244" s="7"/>
      <c r="F244" s="7"/>
    </row>
    <row r="245" spans="1:6" x14ac:dyDescent="0.25">
      <c r="A245" s="7"/>
      <c r="B245" s="7"/>
      <c r="C245" s="7"/>
      <c r="D245" s="7"/>
      <c r="E245" s="7"/>
      <c r="F245" s="7"/>
    </row>
    <row r="246" spans="1:6" x14ac:dyDescent="0.25">
      <c r="A246" s="7"/>
      <c r="B246" s="7"/>
      <c r="C246" s="7"/>
      <c r="D246" s="7"/>
      <c r="E246" s="7"/>
      <c r="F246" s="7"/>
    </row>
    <row r="247" spans="1:6" x14ac:dyDescent="0.25">
      <c r="A247" s="7"/>
      <c r="B247" s="7"/>
      <c r="C247" s="7"/>
      <c r="D247" s="7"/>
      <c r="E247" s="7"/>
      <c r="F247" s="7"/>
    </row>
    <row r="248" spans="1:6" x14ac:dyDescent="0.25">
      <c r="A248" s="7"/>
      <c r="B248" s="7"/>
      <c r="C248" s="7"/>
      <c r="D248" s="7"/>
      <c r="E248" s="7"/>
      <c r="F248" s="7"/>
    </row>
    <row r="249" spans="1:6" x14ac:dyDescent="0.25">
      <c r="A249" s="7"/>
      <c r="B249" s="7"/>
      <c r="C249" s="7"/>
      <c r="D249" s="7"/>
      <c r="E249" s="7"/>
      <c r="F249" s="7"/>
    </row>
    <row r="250" spans="1:6" x14ac:dyDescent="0.25">
      <c r="A250" s="7"/>
      <c r="B250" s="7"/>
      <c r="C250" s="7"/>
      <c r="D250" s="7"/>
      <c r="E250" s="7"/>
      <c r="F250" s="7"/>
    </row>
    <row r="251" spans="1:6" x14ac:dyDescent="0.25">
      <c r="A251" s="7"/>
      <c r="B251" s="7"/>
      <c r="C251" s="7"/>
      <c r="D251" s="7"/>
      <c r="E251" s="7"/>
      <c r="F251" s="7"/>
    </row>
    <row r="252" spans="1:6" x14ac:dyDescent="0.25">
      <c r="A252" s="7"/>
      <c r="B252" s="7"/>
      <c r="C252" s="7"/>
      <c r="D252" s="7"/>
      <c r="E252" s="7"/>
      <c r="F252" s="7"/>
    </row>
    <row r="253" spans="1:6" x14ac:dyDescent="0.25">
      <c r="A253" s="7"/>
      <c r="B253" s="7"/>
      <c r="C253" s="7"/>
      <c r="D253" s="7"/>
      <c r="E253" s="7"/>
      <c r="F253" s="7"/>
    </row>
    <row r="254" spans="1:6" x14ac:dyDescent="0.25">
      <c r="A254" s="7"/>
      <c r="B254" s="7"/>
      <c r="C254" s="7"/>
      <c r="D254" s="7"/>
      <c r="E254" s="7"/>
      <c r="F254" s="7"/>
    </row>
    <row r="255" spans="1:6" x14ac:dyDescent="0.25">
      <c r="A255" s="7"/>
      <c r="B255" s="7"/>
      <c r="C255" s="7"/>
      <c r="D255" s="7"/>
      <c r="E255" s="7"/>
      <c r="F255" s="7"/>
    </row>
    <row r="256" spans="1:6" x14ac:dyDescent="0.25">
      <c r="A256" s="7"/>
      <c r="B256" s="7"/>
      <c r="C256" s="7"/>
      <c r="D256" s="7"/>
      <c r="E256" s="7"/>
      <c r="F256" s="7"/>
    </row>
    <row r="257" spans="1:6" x14ac:dyDescent="0.25">
      <c r="A257" s="7"/>
      <c r="B257" s="7"/>
      <c r="C257" s="7"/>
      <c r="D257" s="7"/>
      <c r="E257" s="7"/>
      <c r="F257" s="7"/>
    </row>
    <row r="258" spans="1:6" x14ac:dyDescent="0.25">
      <c r="A258" s="7"/>
      <c r="B258" s="7"/>
      <c r="C258" s="7"/>
      <c r="D258" s="7"/>
      <c r="E258" s="7"/>
      <c r="F258" s="7"/>
    </row>
    <row r="259" spans="1:6" x14ac:dyDescent="0.25">
      <c r="A259" s="7"/>
      <c r="B259" s="7"/>
      <c r="C259" s="7"/>
      <c r="D259" s="7"/>
      <c r="E259" s="7"/>
      <c r="F259" s="7"/>
    </row>
    <row r="260" spans="1:6" x14ac:dyDescent="0.25">
      <c r="A260" s="7"/>
      <c r="B260" s="7"/>
      <c r="C260" s="7"/>
      <c r="D260" s="7"/>
      <c r="E260" s="7"/>
      <c r="F260" s="7"/>
    </row>
    <row r="261" spans="1:6" x14ac:dyDescent="0.25">
      <c r="A261" s="7"/>
      <c r="B261" s="7"/>
      <c r="C261" s="7"/>
      <c r="D261" s="7"/>
      <c r="E261" s="7"/>
      <c r="F261" s="7"/>
    </row>
    <row r="262" spans="1:6" x14ac:dyDescent="0.25">
      <c r="A262" s="7"/>
      <c r="B262" s="7"/>
      <c r="C262" s="7"/>
      <c r="D262" s="7"/>
      <c r="E262" s="7"/>
      <c r="F262" s="7"/>
    </row>
    <row r="263" spans="1:6" x14ac:dyDescent="0.25">
      <c r="A263" s="7"/>
      <c r="B263" s="7"/>
      <c r="C263" s="7"/>
      <c r="D263" s="7"/>
      <c r="E263" s="7"/>
      <c r="F263" s="7"/>
    </row>
    <row r="264" spans="1:6" x14ac:dyDescent="0.25">
      <c r="A264" s="7"/>
      <c r="B264" s="7"/>
      <c r="C264" s="7"/>
      <c r="D264" s="7"/>
      <c r="E264" s="7"/>
      <c r="F264" s="7"/>
    </row>
    <row r="265" spans="1:6" x14ac:dyDescent="0.25">
      <c r="A265" s="7"/>
      <c r="B265" s="7"/>
      <c r="C265" s="7"/>
      <c r="D265" s="7"/>
      <c r="E265" s="7"/>
      <c r="F265" s="7"/>
    </row>
    <row r="266" spans="1:6" x14ac:dyDescent="0.25">
      <c r="A266" s="7"/>
      <c r="B266" s="7"/>
      <c r="C266" s="7"/>
      <c r="D266" s="7"/>
      <c r="E266" s="7"/>
      <c r="F266" s="7"/>
    </row>
    <row r="267" spans="1:6" x14ac:dyDescent="0.25">
      <c r="A267" s="7"/>
      <c r="B267" s="7"/>
      <c r="C267" s="7"/>
      <c r="D267" s="7"/>
      <c r="E267" s="7"/>
      <c r="F267" s="7"/>
    </row>
    <row r="268" spans="1:6" x14ac:dyDescent="0.25">
      <c r="A268" s="7"/>
      <c r="B268" s="7"/>
      <c r="C268" s="7"/>
      <c r="D268" s="7"/>
      <c r="E268" s="7"/>
      <c r="F268" s="7"/>
    </row>
    <row r="269" spans="1:6" x14ac:dyDescent="0.25">
      <c r="A269" s="7"/>
      <c r="B269" s="7"/>
      <c r="C269" s="7"/>
      <c r="D269" s="7"/>
      <c r="E269" s="7"/>
      <c r="F269" s="7"/>
    </row>
    <row r="270" spans="1:6" x14ac:dyDescent="0.25">
      <c r="A270" s="7"/>
      <c r="B270" s="7"/>
      <c r="C270" s="7"/>
      <c r="D270" s="7"/>
      <c r="E270" s="7"/>
      <c r="F270" s="7"/>
    </row>
    <row r="271" spans="1:6" x14ac:dyDescent="0.25">
      <c r="A271" s="7"/>
      <c r="B271" s="7"/>
      <c r="C271" s="7"/>
      <c r="D271" s="7"/>
      <c r="E271" s="7"/>
      <c r="F271" s="7"/>
    </row>
    <row r="272" spans="1:6" x14ac:dyDescent="0.25">
      <c r="A272" s="7"/>
      <c r="B272" s="7"/>
      <c r="C272" s="7"/>
      <c r="D272" s="7"/>
      <c r="E272" s="7"/>
      <c r="F272" s="7"/>
    </row>
    <row r="273" spans="1:6" x14ac:dyDescent="0.25">
      <c r="A273" s="7"/>
      <c r="B273" s="7"/>
      <c r="C273" s="7"/>
      <c r="D273" s="7"/>
      <c r="E273" s="7"/>
      <c r="F273" s="7"/>
    </row>
    <row r="274" spans="1:6" x14ac:dyDescent="0.25">
      <c r="A274" s="7"/>
      <c r="B274" s="7"/>
      <c r="C274" s="7"/>
      <c r="D274" s="7"/>
      <c r="E274" s="7"/>
      <c r="F274" s="7"/>
    </row>
    <row r="275" spans="1:6" x14ac:dyDescent="0.25">
      <c r="A275" s="7"/>
      <c r="B275" s="7"/>
      <c r="C275" s="7"/>
      <c r="D275" s="7"/>
      <c r="E275" s="7"/>
      <c r="F275" s="7"/>
    </row>
    <row r="276" spans="1:6" x14ac:dyDescent="0.25">
      <c r="A276" s="7"/>
      <c r="B276" s="7"/>
      <c r="C276" s="7"/>
      <c r="D276" s="7"/>
      <c r="E276" s="7"/>
      <c r="F276" s="7"/>
    </row>
    <row r="277" spans="1:6" x14ac:dyDescent="0.25">
      <c r="A277" s="7"/>
      <c r="B277" s="7"/>
      <c r="C277" s="7"/>
      <c r="D277" s="7"/>
      <c r="E277" s="7"/>
      <c r="F277" s="7"/>
    </row>
    <row r="278" spans="1:6" x14ac:dyDescent="0.25">
      <c r="A278" s="7"/>
      <c r="B278" s="7"/>
      <c r="C278" s="7"/>
      <c r="D278" s="7"/>
      <c r="E278" s="7"/>
      <c r="F278" s="7"/>
    </row>
    <row r="279" spans="1:6" x14ac:dyDescent="0.25">
      <c r="A279" s="7"/>
      <c r="B279" s="7"/>
      <c r="C279" s="7"/>
      <c r="D279" s="7"/>
      <c r="E279" s="7"/>
      <c r="F279" s="7"/>
    </row>
    <row r="280" spans="1:6" x14ac:dyDescent="0.25">
      <c r="A280" s="7"/>
      <c r="B280" s="7"/>
      <c r="C280" s="7"/>
      <c r="D280" s="7"/>
      <c r="E280" s="7"/>
      <c r="F280" s="7"/>
    </row>
    <row r="281" spans="1:6" x14ac:dyDescent="0.25">
      <c r="A281" s="7"/>
      <c r="B281" s="7"/>
      <c r="C281" s="7"/>
      <c r="D281" s="7"/>
      <c r="E281" s="7"/>
      <c r="F281" s="7"/>
    </row>
    <row r="282" spans="1:6" x14ac:dyDescent="0.25">
      <c r="A282" s="7"/>
      <c r="B282" s="7"/>
      <c r="C282" s="7"/>
      <c r="D282" s="7"/>
      <c r="E282" s="7"/>
      <c r="F282" s="7"/>
    </row>
    <row r="283" spans="1:6" x14ac:dyDescent="0.25">
      <c r="A283" s="7"/>
      <c r="B283" s="7"/>
      <c r="C283" s="7"/>
      <c r="D283" s="7"/>
      <c r="E283" s="7"/>
      <c r="F283" s="7"/>
    </row>
    <row r="284" spans="1:6" x14ac:dyDescent="0.25">
      <c r="A284" s="7"/>
      <c r="B284" s="7"/>
      <c r="C284" s="7"/>
      <c r="D284" s="7"/>
      <c r="E284" s="7"/>
      <c r="F284" s="7"/>
    </row>
    <row r="285" spans="1:6" x14ac:dyDescent="0.25">
      <c r="A285" s="7"/>
      <c r="B285" s="7"/>
      <c r="C285" s="7"/>
      <c r="D285" s="7"/>
      <c r="E285" s="7"/>
      <c r="F285" s="7"/>
    </row>
    <row r="286" spans="1:6" x14ac:dyDescent="0.25">
      <c r="A286" s="7"/>
      <c r="B286" s="7"/>
      <c r="C286" s="7"/>
      <c r="D286" s="7"/>
      <c r="E286" s="7"/>
      <c r="F286" s="7"/>
    </row>
    <row r="287" spans="1:6" x14ac:dyDescent="0.25">
      <c r="A287" s="7"/>
      <c r="B287" s="7"/>
      <c r="C287" s="7"/>
      <c r="D287" s="7"/>
      <c r="E287" s="7"/>
      <c r="F287" s="7"/>
    </row>
    <row r="288" spans="1:6" x14ac:dyDescent="0.25">
      <c r="A288" s="7"/>
      <c r="B288" s="7"/>
      <c r="C288" s="7"/>
      <c r="D288" s="7"/>
      <c r="E288" s="7"/>
      <c r="F288" s="7"/>
    </row>
    <row r="289" spans="1:6" x14ac:dyDescent="0.25">
      <c r="A289" s="7"/>
      <c r="B289" s="7"/>
      <c r="C289" s="7"/>
      <c r="D289" s="7"/>
      <c r="E289" s="7"/>
      <c r="F289" s="7"/>
    </row>
    <row r="290" spans="1:6" x14ac:dyDescent="0.25">
      <c r="A290" s="7"/>
      <c r="B290" s="7"/>
      <c r="C290" s="7"/>
      <c r="D290" s="7"/>
      <c r="E290" s="7"/>
      <c r="F290" s="7"/>
    </row>
    <row r="291" spans="1:6" x14ac:dyDescent="0.25">
      <c r="A291" s="7"/>
      <c r="B291" s="7"/>
      <c r="C291" s="7"/>
      <c r="D291" s="7"/>
      <c r="E291" s="7"/>
      <c r="F291" s="7"/>
    </row>
    <row r="292" spans="1:6" x14ac:dyDescent="0.25">
      <c r="A292" s="7"/>
      <c r="B292" s="7"/>
      <c r="C292" s="7"/>
      <c r="D292" s="7"/>
      <c r="E292" s="7"/>
      <c r="F292" s="7"/>
    </row>
    <row r="293" spans="1:6" x14ac:dyDescent="0.25">
      <c r="A293" s="7"/>
      <c r="B293" s="7"/>
      <c r="C293" s="7"/>
      <c r="D293" s="7"/>
      <c r="E293" s="7"/>
      <c r="F293" s="7"/>
    </row>
    <row r="294" spans="1:6" x14ac:dyDescent="0.25">
      <c r="A294" s="7"/>
      <c r="B294" s="7"/>
      <c r="C294" s="7"/>
      <c r="D294" s="7"/>
      <c r="E294" s="7"/>
      <c r="F294" s="7"/>
    </row>
    <row r="295" spans="1:6" x14ac:dyDescent="0.25">
      <c r="A295" s="7"/>
      <c r="B295" s="7"/>
      <c r="C295" s="7"/>
      <c r="D295" s="7"/>
      <c r="E295" s="7"/>
      <c r="F295" s="7"/>
    </row>
    <row r="296" spans="1:6" x14ac:dyDescent="0.25">
      <c r="A296" s="7"/>
      <c r="B296" s="7"/>
      <c r="C296" s="7"/>
      <c r="D296" s="7"/>
      <c r="E296" s="7"/>
      <c r="F296" s="7"/>
    </row>
    <row r="297" spans="1:6" x14ac:dyDescent="0.25">
      <c r="A297" s="7"/>
      <c r="B297" s="7"/>
      <c r="C297" s="7"/>
      <c r="D297" s="7"/>
      <c r="E297" s="7"/>
      <c r="F297" s="7"/>
    </row>
    <row r="298" spans="1:6" x14ac:dyDescent="0.25">
      <c r="A298" s="7"/>
      <c r="B298" s="7"/>
      <c r="C298" s="7"/>
      <c r="D298" s="7"/>
      <c r="E298" s="7"/>
      <c r="F298" s="7"/>
    </row>
    <row r="299" spans="1:6" x14ac:dyDescent="0.25">
      <c r="A299" s="7"/>
      <c r="B299" s="7"/>
      <c r="C299" s="7"/>
      <c r="D299" s="7"/>
      <c r="E299" s="7"/>
      <c r="F299" s="7"/>
    </row>
    <row r="300" spans="1:6" x14ac:dyDescent="0.25">
      <c r="A300" s="7"/>
      <c r="B300" s="7"/>
      <c r="C300" s="7"/>
      <c r="D300" s="7"/>
      <c r="E300" s="7"/>
      <c r="F300" s="7"/>
    </row>
    <row r="301" spans="1:6" x14ac:dyDescent="0.25">
      <c r="A301" s="7"/>
      <c r="B301" s="7"/>
      <c r="C301" s="7"/>
      <c r="D301" s="7"/>
      <c r="E301" s="7"/>
      <c r="F301" s="7"/>
    </row>
    <row r="302" spans="1:6" x14ac:dyDescent="0.25">
      <c r="A302" s="7"/>
      <c r="B302" s="7"/>
      <c r="C302" s="7"/>
      <c r="D302" s="7"/>
      <c r="E302" s="7"/>
      <c r="F302" s="7"/>
    </row>
    <row r="303" spans="1:6" x14ac:dyDescent="0.25">
      <c r="A303" s="7"/>
      <c r="B303" s="7"/>
      <c r="C303" s="7"/>
      <c r="D303" s="7"/>
      <c r="E303" s="7"/>
      <c r="F303" s="7"/>
    </row>
    <row r="304" spans="1:6" x14ac:dyDescent="0.25">
      <c r="A304" s="7"/>
      <c r="B304" s="7"/>
      <c r="C304" s="7"/>
      <c r="D304" s="7"/>
      <c r="E304" s="7"/>
      <c r="F304" s="7"/>
    </row>
    <row r="305" spans="1:6" x14ac:dyDescent="0.25">
      <c r="A305" s="7"/>
      <c r="B305" s="7"/>
      <c r="C305" s="7"/>
      <c r="D305" s="7"/>
      <c r="E305" s="7"/>
      <c r="F305" s="7"/>
    </row>
    <row r="306" spans="1:6" x14ac:dyDescent="0.25">
      <c r="A306" s="7"/>
      <c r="B306" s="7"/>
      <c r="C306" s="7"/>
      <c r="D306" s="7"/>
      <c r="E306" s="7"/>
      <c r="F306" s="7"/>
    </row>
    <row r="307" spans="1:6" x14ac:dyDescent="0.25">
      <c r="A307" s="7"/>
      <c r="B307" s="7"/>
      <c r="C307" s="7"/>
      <c r="D307" s="7"/>
      <c r="E307" s="7"/>
      <c r="F307" s="7"/>
    </row>
    <row r="308" spans="1:6" x14ac:dyDescent="0.25">
      <c r="A308" s="7"/>
      <c r="B308" s="7"/>
      <c r="C308" s="7"/>
      <c r="D308" s="7"/>
      <c r="E308" s="7"/>
      <c r="F308" s="7"/>
    </row>
    <row r="309" spans="1:6" x14ac:dyDescent="0.25">
      <c r="A309" s="7"/>
      <c r="B309" s="7"/>
      <c r="C309" s="7"/>
      <c r="D309" s="7"/>
      <c r="E309" s="7"/>
      <c r="F309" s="7"/>
    </row>
    <row r="310" spans="1:6" x14ac:dyDescent="0.25">
      <c r="A310" s="7"/>
      <c r="B310" s="7"/>
      <c r="C310" s="7"/>
      <c r="D310" s="7"/>
      <c r="E310" s="7"/>
      <c r="F310" s="7"/>
    </row>
    <row r="311" spans="1:6" x14ac:dyDescent="0.25">
      <c r="A311" s="7"/>
      <c r="B311" s="7"/>
      <c r="C311" s="7"/>
      <c r="D311" s="7"/>
      <c r="E311" s="7"/>
      <c r="F311" s="7"/>
    </row>
    <row r="312" spans="1:6" x14ac:dyDescent="0.25">
      <c r="A312" s="7"/>
      <c r="B312" s="7"/>
      <c r="C312" s="7"/>
      <c r="D312" s="7"/>
      <c r="E312" s="7"/>
      <c r="F312" s="7"/>
    </row>
    <row r="313" spans="1:6" x14ac:dyDescent="0.25">
      <c r="A313" s="7"/>
      <c r="B313" s="7"/>
      <c r="C313" s="7"/>
      <c r="D313" s="7"/>
      <c r="E313" s="7"/>
      <c r="F313" s="7"/>
    </row>
    <row r="314" spans="1:6" x14ac:dyDescent="0.25">
      <c r="A314" s="7"/>
      <c r="B314" s="7"/>
      <c r="C314" s="7"/>
      <c r="D314" s="7"/>
      <c r="E314" s="7"/>
      <c r="F314" s="7"/>
    </row>
    <row r="315" spans="1:6" x14ac:dyDescent="0.25">
      <c r="A315" s="7"/>
      <c r="B315" s="7"/>
      <c r="C315" s="7"/>
      <c r="D315" s="7"/>
      <c r="E315" s="7"/>
      <c r="F315" s="7"/>
    </row>
    <row r="316" spans="1:6" x14ac:dyDescent="0.25">
      <c r="A316" s="7"/>
      <c r="B316" s="7"/>
      <c r="C316" s="7"/>
      <c r="D316" s="7"/>
      <c r="E316" s="7"/>
      <c r="F316" s="7"/>
    </row>
    <row r="317" spans="1:6" x14ac:dyDescent="0.25">
      <c r="A317" s="7"/>
      <c r="B317" s="7"/>
      <c r="C317" s="7"/>
      <c r="D317" s="7"/>
      <c r="E317" s="7"/>
      <c r="F317" s="7"/>
    </row>
    <row r="318" spans="1:6" x14ac:dyDescent="0.25">
      <c r="A318" s="7"/>
      <c r="B318" s="7"/>
      <c r="C318" s="7"/>
      <c r="D318" s="7"/>
      <c r="E318" s="7"/>
      <c r="F318" s="7"/>
    </row>
    <row r="319" spans="1:6" x14ac:dyDescent="0.25">
      <c r="A319" s="7"/>
      <c r="B319" s="7"/>
      <c r="C319" s="7"/>
      <c r="D319" s="7"/>
      <c r="E319" s="7"/>
      <c r="F319" s="7"/>
    </row>
    <row r="320" spans="1:6" x14ac:dyDescent="0.25">
      <c r="A320" s="7"/>
      <c r="B320" s="7"/>
      <c r="C320" s="7"/>
      <c r="D320" s="7"/>
      <c r="E320" s="7"/>
      <c r="F320" s="7"/>
    </row>
    <row r="321" spans="1:6" x14ac:dyDescent="0.25">
      <c r="A321" s="7"/>
      <c r="B321" s="7"/>
      <c r="C321" s="7"/>
      <c r="D321" s="7"/>
      <c r="E321" s="7"/>
      <c r="F321" s="7"/>
    </row>
    <row r="322" spans="1:6" x14ac:dyDescent="0.25">
      <c r="A322" s="7"/>
      <c r="B322" s="7"/>
      <c r="C322" s="7"/>
      <c r="D322" s="7"/>
      <c r="E322" s="7"/>
      <c r="F322" s="7"/>
    </row>
    <row r="323" spans="1:6" x14ac:dyDescent="0.25">
      <c r="A323" s="7"/>
      <c r="B323" s="7"/>
      <c r="C323" s="7"/>
      <c r="D323" s="7"/>
      <c r="E323" s="7"/>
      <c r="F323" s="7"/>
    </row>
    <row r="324" spans="1:6" x14ac:dyDescent="0.25">
      <c r="A324" s="7"/>
      <c r="B324" s="7"/>
      <c r="C324" s="7"/>
      <c r="D324" s="7"/>
      <c r="E324" s="7"/>
      <c r="F324" s="7"/>
    </row>
    <row r="325" spans="1:6" x14ac:dyDescent="0.25">
      <c r="A325" s="7"/>
      <c r="B325" s="7"/>
      <c r="C325" s="7"/>
      <c r="D325" s="7"/>
      <c r="E325" s="7"/>
      <c r="F325" s="7"/>
    </row>
    <row r="326" spans="1:6" x14ac:dyDescent="0.25">
      <c r="A326" s="7"/>
      <c r="B326" s="7"/>
      <c r="C326" s="7"/>
      <c r="D326" s="7"/>
      <c r="E326" s="7"/>
      <c r="F326" s="7"/>
    </row>
    <row r="327" spans="1:6" x14ac:dyDescent="0.25">
      <c r="A327" s="7"/>
      <c r="B327" s="7"/>
      <c r="C327" s="7"/>
      <c r="D327" s="7"/>
      <c r="E327" s="7"/>
      <c r="F327" s="7"/>
    </row>
    <row r="328" spans="1:6" x14ac:dyDescent="0.25">
      <c r="A328" s="7"/>
      <c r="B328" s="7"/>
      <c r="C328" s="7"/>
      <c r="D328" s="7"/>
      <c r="E328" s="7"/>
      <c r="F328" s="7"/>
    </row>
    <row r="329" spans="1:6" x14ac:dyDescent="0.25">
      <c r="A329" s="7"/>
      <c r="B329" s="7"/>
      <c r="C329" s="7"/>
      <c r="D329" s="7"/>
      <c r="E329" s="7"/>
      <c r="F329" s="7"/>
    </row>
    <row r="330" spans="1:6" x14ac:dyDescent="0.25">
      <c r="A330" s="7"/>
      <c r="B330" s="7"/>
      <c r="C330" s="7"/>
      <c r="D330" s="7"/>
      <c r="E330" s="7"/>
      <c r="F330" s="7"/>
    </row>
    <row r="331" spans="1:6" x14ac:dyDescent="0.25">
      <c r="A331" s="7"/>
      <c r="B331" s="7"/>
      <c r="C331" s="7"/>
      <c r="D331" s="7"/>
      <c r="E331" s="7"/>
      <c r="F331" s="7"/>
    </row>
    <row r="332" spans="1:6" x14ac:dyDescent="0.25">
      <c r="A332" s="7"/>
      <c r="B332" s="7"/>
      <c r="C332" s="7"/>
      <c r="D332" s="7"/>
      <c r="E332" s="7"/>
      <c r="F332" s="7"/>
    </row>
    <row r="333" spans="1:6" x14ac:dyDescent="0.25">
      <c r="A333" s="7"/>
      <c r="B333" s="7"/>
      <c r="C333" s="7"/>
      <c r="D333" s="7"/>
      <c r="E333" s="7"/>
      <c r="F333" s="7"/>
    </row>
    <row r="334" spans="1:6" x14ac:dyDescent="0.25">
      <c r="A334" s="7"/>
      <c r="B334" s="7"/>
      <c r="C334" s="7"/>
      <c r="D334" s="7"/>
      <c r="E334" s="7"/>
      <c r="F334" s="7"/>
    </row>
    <row r="335" spans="1:6" x14ac:dyDescent="0.25">
      <c r="A335" s="7"/>
      <c r="B335" s="7"/>
      <c r="C335" s="7"/>
      <c r="D335" s="7"/>
      <c r="E335" s="7"/>
      <c r="F335" s="7"/>
    </row>
    <row r="336" spans="1:6" x14ac:dyDescent="0.25">
      <c r="A336" s="7"/>
      <c r="B336" s="7"/>
      <c r="C336" s="7"/>
      <c r="D336" s="7"/>
      <c r="E336" s="7"/>
      <c r="F336" s="7"/>
    </row>
    <row r="337" spans="1:6" x14ac:dyDescent="0.25">
      <c r="A337" s="7"/>
      <c r="B337" s="7"/>
      <c r="C337" s="7"/>
      <c r="D337" s="7"/>
      <c r="E337" s="7"/>
      <c r="F337" s="7"/>
    </row>
    <row r="338" spans="1:6" x14ac:dyDescent="0.25">
      <c r="A338" s="7"/>
      <c r="B338" s="7"/>
      <c r="C338" s="7"/>
      <c r="D338" s="7"/>
      <c r="E338" s="7"/>
      <c r="F338" s="7"/>
    </row>
    <row r="339" spans="1:6" x14ac:dyDescent="0.25">
      <c r="A339" s="7"/>
      <c r="B339" s="7"/>
      <c r="C339" s="7"/>
      <c r="D339" s="7"/>
      <c r="E339" s="7"/>
      <c r="F339" s="7"/>
    </row>
    <row r="340" spans="1:6" x14ac:dyDescent="0.25">
      <c r="A340" s="7"/>
      <c r="B340" s="7"/>
      <c r="C340" s="7"/>
      <c r="D340" s="7"/>
      <c r="E340" s="7"/>
      <c r="F340" s="7"/>
    </row>
    <row r="341" spans="1:6" x14ac:dyDescent="0.25">
      <c r="A341" s="7"/>
      <c r="B341" s="7"/>
      <c r="C341" s="7"/>
      <c r="D341" s="7"/>
      <c r="E341" s="7"/>
      <c r="F341" s="7"/>
    </row>
    <row r="342" spans="1:6" x14ac:dyDescent="0.25">
      <c r="A342" s="7"/>
      <c r="B342" s="7"/>
      <c r="C342" s="7"/>
      <c r="D342" s="7"/>
      <c r="E342" s="7"/>
      <c r="F342" s="7"/>
    </row>
    <row r="343" spans="1:6" x14ac:dyDescent="0.25">
      <c r="A343" s="7"/>
      <c r="B343" s="7"/>
      <c r="C343" s="7"/>
      <c r="D343" s="7"/>
      <c r="E343" s="7"/>
      <c r="F343" s="7"/>
    </row>
    <row r="344" spans="1:6" x14ac:dyDescent="0.25">
      <c r="A344" s="7"/>
      <c r="B344" s="7"/>
      <c r="C344" s="7"/>
      <c r="D344" s="7"/>
      <c r="E344" s="7"/>
      <c r="F344" s="7"/>
    </row>
    <row r="345" spans="1:6" x14ac:dyDescent="0.25">
      <c r="A345" s="7"/>
      <c r="B345" s="7"/>
      <c r="C345" s="7"/>
      <c r="D345" s="7"/>
      <c r="E345" s="7"/>
      <c r="F345" s="7"/>
    </row>
    <row r="346" spans="1:6" x14ac:dyDescent="0.25">
      <c r="A346" s="7"/>
      <c r="B346" s="7"/>
      <c r="C346" s="7"/>
      <c r="D346" s="7"/>
      <c r="E346" s="7"/>
      <c r="F346" s="7"/>
    </row>
    <row r="347" spans="1:6" x14ac:dyDescent="0.25">
      <c r="A347" s="7"/>
      <c r="B347" s="7"/>
      <c r="C347" s="7"/>
      <c r="D347" s="7"/>
      <c r="E347" s="7"/>
      <c r="F347" s="7"/>
    </row>
    <row r="348" spans="1:6" x14ac:dyDescent="0.25">
      <c r="A348" s="7"/>
      <c r="B348" s="7"/>
      <c r="C348" s="7"/>
      <c r="D348" s="7"/>
      <c r="E348" s="7"/>
      <c r="F348" s="7"/>
    </row>
    <row r="349" spans="1:6" x14ac:dyDescent="0.25">
      <c r="A349" s="7"/>
      <c r="B349" s="7"/>
      <c r="C349" s="7"/>
      <c r="D349" s="7"/>
      <c r="E349" s="7"/>
      <c r="F349" s="7"/>
    </row>
    <row r="350" spans="1:6" x14ac:dyDescent="0.25">
      <c r="A350" s="7"/>
      <c r="B350" s="7"/>
      <c r="C350" s="7"/>
      <c r="D350" s="7"/>
      <c r="E350" s="7"/>
      <c r="F350" s="7"/>
    </row>
    <row r="351" spans="1:6" x14ac:dyDescent="0.25">
      <c r="A351" s="7"/>
      <c r="B351" s="7"/>
      <c r="C351" s="7"/>
      <c r="D351" s="7"/>
      <c r="E351" s="7"/>
      <c r="F351" s="7"/>
    </row>
    <row r="352" spans="1:6" x14ac:dyDescent="0.25">
      <c r="A352" s="7"/>
      <c r="B352" s="7"/>
      <c r="C352" s="7"/>
      <c r="D352" s="7"/>
      <c r="E352" s="7"/>
      <c r="F352" s="7"/>
    </row>
    <row r="353" spans="1:6" x14ac:dyDescent="0.25">
      <c r="A353" s="7"/>
      <c r="B353" s="7"/>
      <c r="C353" s="7"/>
      <c r="D353" s="7"/>
      <c r="E353" s="7"/>
      <c r="F353" s="7"/>
    </row>
    <row r="354" spans="1:6" x14ac:dyDescent="0.25">
      <c r="A354" s="7"/>
      <c r="B354" s="7"/>
      <c r="C354" s="7"/>
      <c r="D354" s="7"/>
      <c r="E354" s="7"/>
      <c r="F354" s="7"/>
    </row>
    <row r="355" spans="1:6" x14ac:dyDescent="0.25">
      <c r="A355" s="7"/>
      <c r="B355" s="7"/>
      <c r="C355" s="7"/>
      <c r="D355" s="7"/>
      <c r="E355" s="7"/>
      <c r="F355" s="7"/>
    </row>
    <row r="356" spans="1:6" x14ac:dyDescent="0.25">
      <c r="A356" s="7"/>
      <c r="B356" s="7"/>
      <c r="C356" s="7"/>
      <c r="D356" s="7"/>
      <c r="E356" s="7"/>
      <c r="F356" s="7"/>
    </row>
    <row r="357" spans="1:6" x14ac:dyDescent="0.25">
      <c r="A357" s="7"/>
      <c r="B357" s="7"/>
      <c r="C357" s="7"/>
      <c r="D357" s="7"/>
      <c r="E357" s="7"/>
      <c r="F357" s="7"/>
    </row>
    <row r="358" spans="1:6" x14ac:dyDescent="0.25">
      <c r="A358" s="7"/>
      <c r="B358" s="7"/>
      <c r="C358" s="7"/>
      <c r="D358" s="7"/>
      <c r="E358" s="7"/>
      <c r="F358" s="7"/>
    </row>
    <row r="359" spans="1:6" x14ac:dyDescent="0.25">
      <c r="A359" s="7"/>
      <c r="B359" s="7"/>
      <c r="C359" s="7"/>
      <c r="D359" s="7"/>
      <c r="E359" s="7"/>
      <c r="F359" s="7"/>
    </row>
    <row r="360" spans="1:6" x14ac:dyDescent="0.25">
      <c r="A360" s="7"/>
      <c r="B360" s="7"/>
      <c r="C360" s="7"/>
      <c r="D360" s="7"/>
      <c r="E360" s="7"/>
      <c r="F360" s="7"/>
    </row>
    <row r="361" spans="1:6" x14ac:dyDescent="0.25">
      <c r="A361" s="7"/>
      <c r="B361" s="7"/>
      <c r="C361" s="7"/>
      <c r="D361" s="7"/>
      <c r="E361" s="7"/>
      <c r="F361" s="7"/>
    </row>
    <row r="362" spans="1:6" x14ac:dyDescent="0.25">
      <c r="A362" s="7"/>
      <c r="B362" s="7"/>
      <c r="C362" s="7"/>
      <c r="D362" s="7"/>
      <c r="E362" s="7"/>
      <c r="F362" s="7"/>
    </row>
    <row r="363" spans="1:6" x14ac:dyDescent="0.25">
      <c r="A363" s="7"/>
      <c r="B363" s="7"/>
      <c r="C363" s="7"/>
      <c r="D363" s="7"/>
      <c r="E363" s="7"/>
      <c r="F363" s="7"/>
    </row>
    <row r="364" spans="1:6" x14ac:dyDescent="0.25">
      <c r="A364" s="7"/>
      <c r="B364" s="7"/>
      <c r="C364" s="7"/>
      <c r="D364" s="7"/>
      <c r="E364" s="7"/>
      <c r="F364" s="7"/>
    </row>
    <row r="365" spans="1:6" x14ac:dyDescent="0.25">
      <c r="A365" s="7"/>
      <c r="B365" s="7"/>
      <c r="C365" s="7"/>
      <c r="D365" s="7"/>
      <c r="E365" s="7"/>
      <c r="F365" s="7"/>
    </row>
    <row r="366" spans="1:6" x14ac:dyDescent="0.25">
      <c r="A366" s="7"/>
      <c r="B366" s="7"/>
      <c r="C366" s="7"/>
      <c r="D366" s="7"/>
      <c r="E366" s="7"/>
      <c r="F366" s="7"/>
    </row>
    <row r="367" spans="1:6" x14ac:dyDescent="0.25">
      <c r="A367" s="7"/>
      <c r="B367" s="7"/>
      <c r="C367" s="7"/>
      <c r="D367" s="7"/>
      <c r="E367" s="7"/>
      <c r="F367" s="7"/>
    </row>
    <row r="368" spans="1:6" x14ac:dyDescent="0.25">
      <c r="A368" s="7"/>
      <c r="B368" s="7"/>
      <c r="C368" s="7"/>
      <c r="D368" s="7"/>
      <c r="E368" s="7"/>
      <c r="F368" s="7"/>
    </row>
    <row r="369" spans="1:6" x14ac:dyDescent="0.25">
      <c r="A369" s="7"/>
      <c r="B369" s="7"/>
      <c r="C369" s="7"/>
      <c r="D369" s="7"/>
      <c r="E369" s="7"/>
      <c r="F369" s="7"/>
    </row>
    <row r="370" spans="1:6" x14ac:dyDescent="0.25">
      <c r="A370" s="7"/>
      <c r="B370" s="7"/>
      <c r="C370" s="7"/>
      <c r="D370" s="7"/>
      <c r="E370" s="7"/>
      <c r="F370" s="7"/>
    </row>
    <row r="371" spans="1:6" x14ac:dyDescent="0.25">
      <c r="A371" s="7"/>
      <c r="B371" s="7"/>
      <c r="C371" s="7"/>
      <c r="D371" s="7"/>
      <c r="E371" s="7"/>
      <c r="F371" s="7"/>
    </row>
    <row r="372" spans="1:6" x14ac:dyDescent="0.25">
      <c r="A372" s="7"/>
      <c r="B372" s="7"/>
      <c r="C372" s="7"/>
      <c r="D372" s="7"/>
      <c r="E372" s="7"/>
      <c r="F372" s="7"/>
    </row>
    <row r="373" spans="1:6" x14ac:dyDescent="0.25">
      <c r="A373" s="7"/>
      <c r="B373" s="7"/>
      <c r="C373" s="7"/>
      <c r="D373" s="7"/>
      <c r="E373" s="7"/>
      <c r="F373" s="7"/>
    </row>
    <row r="374" spans="1:6" x14ac:dyDescent="0.25">
      <c r="A374" s="7"/>
      <c r="B374" s="7"/>
      <c r="C374" s="7"/>
      <c r="D374" s="7"/>
      <c r="E374" s="7"/>
      <c r="F374" s="7"/>
    </row>
    <row r="375" spans="1:6" x14ac:dyDescent="0.25">
      <c r="A375" s="7"/>
      <c r="B375" s="7"/>
      <c r="C375" s="7"/>
      <c r="D375" s="7"/>
      <c r="E375" s="7"/>
      <c r="F375" s="7"/>
    </row>
    <row r="376" spans="1:6" x14ac:dyDescent="0.25">
      <c r="A376" s="7"/>
      <c r="B376" s="7"/>
      <c r="C376" s="7"/>
      <c r="D376" s="7"/>
      <c r="E376" s="7"/>
      <c r="F376" s="7"/>
    </row>
    <row r="377" spans="1:6" x14ac:dyDescent="0.25">
      <c r="A377" s="7"/>
      <c r="B377" s="7"/>
      <c r="C377" s="7"/>
      <c r="D377" s="7"/>
      <c r="E377" s="7"/>
      <c r="F377" s="7"/>
    </row>
    <row r="378" spans="1:6" x14ac:dyDescent="0.25">
      <c r="A378" s="7"/>
      <c r="B378" s="7"/>
      <c r="C378" s="7"/>
      <c r="D378" s="7"/>
      <c r="E378" s="7"/>
      <c r="F378" s="7"/>
    </row>
    <row r="379" spans="1:6" x14ac:dyDescent="0.25">
      <c r="A379" s="7"/>
      <c r="B379" s="7"/>
      <c r="C379" s="7"/>
      <c r="D379" s="7"/>
      <c r="E379" s="7"/>
      <c r="F379" s="7"/>
    </row>
    <row r="380" spans="1:6" x14ac:dyDescent="0.25">
      <c r="A380" s="7"/>
      <c r="B380" s="7"/>
      <c r="C380" s="7"/>
      <c r="D380" s="7"/>
      <c r="E380" s="7"/>
      <c r="F380" s="7"/>
    </row>
    <row r="381" spans="1:6" x14ac:dyDescent="0.25">
      <c r="A381" s="7"/>
      <c r="B381" s="7"/>
      <c r="C381" s="7"/>
      <c r="D381" s="7"/>
      <c r="E381" s="7"/>
      <c r="F381" s="7"/>
    </row>
    <row r="382" spans="1:6" x14ac:dyDescent="0.25">
      <c r="A382" s="7"/>
      <c r="B382" s="7"/>
      <c r="C382" s="7"/>
      <c r="D382" s="7"/>
      <c r="E382" s="7"/>
      <c r="F382" s="7"/>
    </row>
    <row r="383" spans="1:6" x14ac:dyDescent="0.25">
      <c r="A383" s="7"/>
      <c r="B383" s="7"/>
      <c r="C383" s="7"/>
      <c r="D383" s="7"/>
      <c r="E383" s="7"/>
      <c r="F383" s="7"/>
    </row>
    <row r="384" spans="1:6" x14ac:dyDescent="0.25">
      <c r="A384" s="7"/>
      <c r="B384" s="7"/>
      <c r="C384" s="7"/>
      <c r="D384" s="7"/>
      <c r="E384" s="7"/>
      <c r="F384" s="7"/>
    </row>
    <row r="385" spans="1:6" x14ac:dyDescent="0.25">
      <c r="A385" s="7"/>
      <c r="B385" s="7"/>
      <c r="C385" s="7"/>
      <c r="D385" s="7"/>
      <c r="E385" s="7"/>
      <c r="F385" s="7"/>
    </row>
    <row r="386" spans="1:6" x14ac:dyDescent="0.25">
      <c r="A386" s="7"/>
      <c r="B386" s="7"/>
      <c r="C386" s="7"/>
      <c r="D386" s="7"/>
      <c r="E386" s="7"/>
      <c r="F386" s="7"/>
    </row>
    <row r="387" spans="1:6" x14ac:dyDescent="0.25">
      <c r="A387" s="7"/>
      <c r="B387" s="7"/>
      <c r="C387" s="7"/>
      <c r="D387" s="7"/>
      <c r="E387" s="7"/>
      <c r="F387" s="7"/>
    </row>
    <row r="388" spans="1:6" x14ac:dyDescent="0.25">
      <c r="A388" s="7"/>
      <c r="B388" s="7"/>
      <c r="C388" s="7"/>
      <c r="D388" s="7"/>
      <c r="E388" s="7"/>
      <c r="F388" s="7"/>
    </row>
    <row r="389" spans="1:6" x14ac:dyDescent="0.25">
      <c r="A389" s="7"/>
      <c r="B389" s="7"/>
      <c r="C389" s="7"/>
      <c r="D389" s="7"/>
      <c r="E389" s="7"/>
      <c r="F389" s="7"/>
    </row>
    <row r="390" spans="1:6" x14ac:dyDescent="0.25">
      <c r="A390" s="7"/>
      <c r="B390" s="7"/>
      <c r="C390" s="7"/>
      <c r="D390" s="7"/>
      <c r="E390" s="7"/>
      <c r="F390" s="7"/>
    </row>
    <row r="391" spans="1:6" x14ac:dyDescent="0.25">
      <c r="A391" s="7"/>
      <c r="B391" s="7"/>
      <c r="C391" s="7"/>
      <c r="D391" s="7"/>
      <c r="E391" s="7"/>
      <c r="F391" s="7"/>
    </row>
    <row r="392" spans="1:6" x14ac:dyDescent="0.25">
      <c r="A392" s="7"/>
      <c r="B392" s="7"/>
      <c r="C392" s="7"/>
      <c r="D392" s="7"/>
      <c r="E392" s="7"/>
      <c r="F392" s="7"/>
    </row>
    <row r="393" spans="1:6" x14ac:dyDescent="0.25">
      <c r="A393" s="7"/>
      <c r="B393" s="7"/>
      <c r="C393" s="7"/>
      <c r="D393" s="7"/>
      <c r="E393" s="7"/>
      <c r="F393" s="7"/>
    </row>
    <row r="394" spans="1:6" x14ac:dyDescent="0.25">
      <c r="A394" s="7"/>
      <c r="B394" s="7"/>
      <c r="C394" s="7"/>
      <c r="D394" s="7"/>
      <c r="E394" s="7"/>
      <c r="F394" s="7"/>
    </row>
    <row r="395" spans="1:6" x14ac:dyDescent="0.25">
      <c r="A395" s="7"/>
      <c r="B395" s="7"/>
      <c r="C395" s="7"/>
      <c r="D395" s="7"/>
      <c r="E395" s="7"/>
      <c r="F395" s="7"/>
    </row>
    <row r="396" spans="1:6" x14ac:dyDescent="0.25">
      <c r="A396" s="7"/>
      <c r="B396" s="7"/>
      <c r="C396" s="7"/>
      <c r="D396" s="7"/>
      <c r="E396" s="7"/>
      <c r="F396" s="7"/>
    </row>
    <row r="397" spans="1:6" x14ac:dyDescent="0.25">
      <c r="A397" s="7"/>
      <c r="B397" s="7"/>
      <c r="C397" s="7"/>
      <c r="D397" s="7"/>
      <c r="E397" s="7"/>
      <c r="F397" s="7"/>
    </row>
    <row r="398" spans="1:6" x14ac:dyDescent="0.25">
      <c r="A398" s="7"/>
      <c r="B398" s="7"/>
      <c r="C398" s="7"/>
      <c r="D398" s="7"/>
      <c r="E398" s="7"/>
      <c r="F398" s="7"/>
    </row>
    <row r="399" spans="1:6" x14ac:dyDescent="0.25">
      <c r="A399" s="7"/>
      <c r="B399" s="7"/>
      <c r="C399" s="7"/>
      <c r="D399" s="7"/>
      <c r="E399" s="7"/>
      <c r="F399" s="7"/>
    </row>
    <row r="400" spans="1:6" x14ac:dyDescent="0.25">
      <c r="A400" s="7"/>
      <c r="B400" s="7"/>
      <c r="C400" s="7"/>
      <c r="D400" s="7"/>
      <c r="E400" s="7"/>
      <c r="F400" s="7"/>
    </row>
    <row r="401" spans="1:6" x14ac:dyDescent="0.25">
      <c r="A401" s="7"/>
      <c r="B401" s="7"/>
      <c r="C401" s="7"/>
      <c r="D401" s="7"/>
      <c r="E401" s="7"/>
      <c r="F401" s="7"/>
    </row>
    <row r="402" spans="1:6" x14ac:dyDescent="0.25">
      <c r="A402" s="7"/>
      <c r="B402" s="7"/>
      <c r="C402" s="7"/>
      <c r="D402" s="7"/>
      <c r="E402" s="7"/>
      <c r="F402" s="7"/>
    </row>
    <row r="403" spans="1:6" x14ac:dyDescent="0.25">
      <c r="A403" s="7"/>
      <c r="B403" s="7"/>
      <c r="C403" s="7"/>
      <c r="D403" s="7"/>
      <c r="E403" s="7"/>
      <c r="F403" s="7"/>
    </row>
    <row r="404" spans="1:6" x14ac:dyDescent="0.25">
      <c r="A404" s="7"/>
      <c r="B404" s="7"/>
      <c r="C404" s="7"/>
      <c r="D404" s="7"/>
      <c r="E404" s="7"/>
      <c r="F404" s="7"/>
    </row>
    <row r="405" spans="1:6" x14ac:dyDescent="0.25">
      <c r="A405" s="7"/>
      <c r="B405" s="7"/>
      <c r="C405" s="7"/>
      <c r="D405" s="7"/>
      <c r="E405" s="7"/>
      <c r="F405" s="7"/>
    </row>
    <row r="406" spans="1:6" x14ac:dyDescent="0.25">
      <c r="A406" s="7"/>
      <c r="B406" s="7"/>
      <c r="C406" s="7"/>
      <c r="D406" s="7"/>
      <c r="E406" s="7"/>
      <c r="F406" s="7"/>
    </row>
    <row r="407" spans="1:6" x14ac:dyDescent="0.25">
      <c r="A407" s="7"/>
      <c r="B407" s="7"/>
      <c r="C407" s="7"/>
      <c r="D407" s="7"/>
      <c r="E407" s="7"/>
      <c r="F407" s="7"/>
    </row>
    <row r="408" spans="1:6" x14ac:dyDescent="0.25">
      <c r="A408" s="7"/>
      <c r="B408" s="7"/>
      <c r="C408" s="7"/>
      <c r="D408" s="7"/>
      <c r="E408" s="7"/>
      <c r="F408" s="7"/>
    </row>
    <row r="409" spans="1:6" x14ac:dyDescent="0.25">
      <c r="A409" s="7"/>
      <c r="B409" s="7"/>
      <c r="C409" s="7"/>
      <c r="D409" s="7"/>
      <c r="E409" s="7"/>
      <c r="F409" s="7"/>
    </row>
    <row r="410" spans="1:6" x14ac:dyDescent="0.25">
      <c r="A410" s="7"/>
      <c r="B410" s="7"/>
      <c r="C410" s="7"/>
      <c r="D410" s="7"/>
      <c r="E410" s="7"/>
      <c r="F410" s="7"/>
    </row>
    <row r="411" spans="1:6" x14ac:dyDescent="0.25">
      <c r="A411" s="7"/>
      <c r="B411" s="7"/>
      <c r="C411" s="7"/>
      <c r="D411" s="7"/>
      <c r="E411" s="7"/>
      <c r="F411" s="7"/>
    </row>
    <row r="412" spans="1:6" x14ac:dyDescent="0.25">
      <c r="A412" s="7"/>
      <c r="B412" s="7"/>
      <c r="C412" s="7"/>
      <c r="D412" s="7"/>
      <c r="E412" s="7"/>
      <c r="F412" s="7"/>
    </row>
    <row r="413" spans="1:6" x14ac:dyDescent="0.25">
      <c r="A413" s="7"/>
      <c r="B413" s="7"/>
      <c r="C413" s="7"/>
      <c r="D413" s="7"/>
      <c r="E413" s="7"/>
      <c r="F413" s="7"/>
    </row>
    <row r="414" spans="1:6" x14ac:dyDescent="0.25">
      <c r="A414" s="7"/>
      <c r="B414" s="7"/>
      <c r="C414" s="7"/>
      <c r="D414" s="7"/>
      <c r="E414" s="7"/>
      <c r="F414" s="7"/>
    </row>
    <row r="415" spans="1:6" x14ac:dyDescent="0.25">
      <c r="A415" s="7"/>
      <c r="B415" s="7"/>
      <c r="C415" s="7"/>
      <c r="D415" s="7"/>
      <c r="E415" s="7"/>
      <c r="F415" s="7"/>
    </row>
    <row r="416" spans="1:6" x14ac:dyDescent="0.25">
      <c r="A416" s="7"/>
      <c r="B416" s="7"/>
      <c r="C416" s="7"/>
      <c r="D416" s="7"/>
      <c r="E416" s="7"/>
      <c r="F416" s="7"/>
    </row>
    <row r="417" spans="1:6" x14ac:dyDescent="0.25">
      <c r="A417" s="7"/>
      <c r="B417" s="7"/>
      <c r="C417" s="7"/>
      <c r="D417" s="7"/>
      <c r="E417" s="7"/>
      <c r="F417" s="7"/>
    </row>
    <row r="418" spans="1:6" x14ac:dyDescent="0.25">
      <c r="A418" s="7"/>
      <c r="B418" s="7"/>
      <c r="C418" s="7"/>
      <c r="D418" s="7"/>
      <c r="E418" s="7"/>
      <c r="F418" s="7"/>
    </row>
    <row r="419" spans="1:6" x14ac:dyDescent="0.25">
      <c r="A419" s="7"/>
      <c r="B419" s="7"/>
      <c r="C419" s="7"/>
      <c r="D419" s="7"/>
      <c r="E419" s="7"/>
      <c r="F419" s="7"/>
    </row>
    <row r="420" spans="1:6" x14ac:dyDescent="0.25">
      <c r="A420" s="7"/>
      <c r="B420" s="7"/>
      <c r="C420" s="7"/>
      <c r="D420" s="7"/>
      <c r="E420" s="7"/>
      <c r="F420" s="7"/>
    </row>
    <row r="421" spans="1:6" x14ac:dyDescent="0.25">
      <c r="A421" s="7"/>
      <c r="B421" s="7"/>
      <c r="C421" s="7"/>
      <c r="D421" s="7"/>
      <c r="E421" s="7"/>
      <c r="F421" s="7"/>
    </row>
    <row r="422" spans="1:6" x14ac:dyDescent="0.25">
      <c r="A422" s="7"/>
      <c r="B422" s="7"/>
      <c r="C422" s="7"/>
      <c r="D422" s="7"/>
      <c r="E422" s="7"/>
      <c r="F422" s="7"/>
    </row>
    <row r="423" spans="1:6" x14ac:dyDescent="0.25">
      <c r="A423" s="7"/>
      <c r="B423" s="7"/>
      <c r="C423" s="7"/>
      <c r="D423" s="7"/>
      <c r="E423" s="7"/>
      <c r="F423" s="7"/>
    </row>
    <row r="424" spans="1:6" x14ac:dyDescent="0.25">
      <c r="A424" s="7"/>
      <c r="B424" s="7"/>
      <c r="C424" s="7"/>
      <c r="D424" s="7"/>
      <c r="E424" s="7"/>
      <c r="F424" s="7"/>
    </row>
    <row r="425" spans="1:6" x14ac:dyDescent="0.25">
      <c r="A425" s="7"/>
      <c r="B425" s="7"/>
      <c r="C425" s="7"/>
      <c r="D425" s="7"/>
      <c r="E425" s="7"/>
      <c r="F425" s="7"/>
    </row>
    <row r="426" spans="1:6" x14ac:dyDescent="0.25">
      <c r="A426" s="7"/>
      <c r="B426" s="7"/>
      <c r="C426" s="7"/>
      <c r="D426" s="7"/>
      <c r="E426" s="7"/>
      <c r="F426" s="7"/>
    </row>
    <row r="427" spans="1:6" x14ac:dyDescent="0.25">
      <c r="A427" s="7"/>
      <c r="B427" s="7"/>
      <c r="C427" s="7"/>
      <c r="D427" s="7"/>
      <c r="E427" s="7"/>
      <c r="F427" s="7"/>
    </row>
    <row r="428" spans="1:6" x14ac:dyDescent="0.25">
      <c r="A428" s="7"/>
      <c r="B428" s="7"/>
      <c r="C428" s="7"/>
      <c r="D428" s="7"/>
      <c r="E428" s="7"/>
      <c r="F428" s="7"/>
    </row>
    <row r="429" spans="1:6" x14ac:dyDescent="0.25">
      <c r="A429" s="7"/>
      <c r="B429" s="7"/>
      <c r="C429" s="7"/>
      <c r="D429" s="7"/>
      <c r="E429" s="7"/>
      <c r="F429" s="7"/>
    </row>
    <row r="430" spans="1:6" x14ac:dyDescent="0.25">
      <c r="A430" s="7"/>
      <c r="B430" s="7"/>
      <c r="C430" s="7"/>
      <c r="D430" s="7"/>
      <c r="E430" s="7"/>
      <c r="F430" s="7"/>
    </row>
    <row r="431" spans="1:6" x14ac:dyDescent="0.25">
      <c r="A431" s="7"/>
      <c r="B431" s="7"/>
      <c r="C431" s="7"/>
      <c r="D431" s="7"/>
      <c r="E431" s="7"/>
      <c r="F431" s="7"/>
    </row>
    <row r="432" spans="1:6" x14ac:dyDescent="0.25">
      <c r="A432" s="7"/>
      <c r="B432" s="7"/>
      <c r="C432" s="7"/>
      <c r="D432" s="7"/>
      <c r="E432" s="7"/>
      <c r="F432" s="7"/>
    </row>
    <row r="433" spans="1:6" x14ac:dyDescent="0.25">
      <c r="A433" s="7"/>
      <c r="B433" s="7"/>
      <c r="C433" s="7"/>
      <c r="D433" s="7"/>
      <c r="E433" s="7"/>
      <c r="F433" s="7"/>
    </row>
    <row r="434" spans="1:6" x14ac:dyDescent="0.25">
      <c r="A434" s="7"/>
      <c r="B434" s="7"/>
      <c r="C434" s="7"/>
      <c r="D434" s="7"/>
      <c r="E434" s="7"/>
      <c r="F434" s="7"/>
    </row>
    <row r="435" spans="1:6" x14ac:dyDescent="0.25">
      <c r="A435" s="7"/>
      <c r="B435" s="7"/>
      <c r="C435" s="7"/>
      <c r="D435" s="7"/>
      <c r="E435" s="7"/>
      <c r="F435" s="7"/>
    </row>
    <row r="436" spans="1:6" x14ac:dyDescent="0.25">
      <c r="A436" s="7"/>
      <c r="B436" s="7"/>
      <c r="C436" s="7"/>
      <c r="D436" s="7"/>
      <c r="E436" s="7"/>
      <c r="F436" s="7"/>
    </row>
    <row r="437" spans="1:6" x14ac:dyDescent="0.25">
      <c r="A437" s="7"/>
      <c r="B437" s="7"/>
      <c r="C437" s="7"/>
      <c r="D437" s="7"/>
      <c r="E437" s="7"/>
      <c r="F437" s="7"/>
    </row>
    <row r="438" spans="1:6" x14ac:dyDescent="0.25">
      <c r="A438" s="7"/>
      <c r="B438" s="7"/>
      <c r="C438" s="7"/>
      <c r="D438" s="7"/>
      <c r="E438" s="7"/>
      <c r="F438" s="7"/>
    </row>
    <row r="439" spans="1:6" x14ac:dyDescent="0.25">
      <c r="A439" s="7"/>
      <c r="B439" s="7"/>
      <c r="C439" s="7"/>
      <c r="D439" s="7"/>
      <c r="E439" s="7"/>
      <c r="F439" s="7"/>
    </row>
    <row r="440" spans="1:6" x14ac:dyDescent="0.25">
      <c r="A440" s="7"/>
      <c r="B440" s="7"/>
      <c r="C440" s="7"/>
      <c r="D440" s="7"/>
      <c r="E440" s="7"/>
      <c r="F440" s="7"/>
    </row>
    <row r="441" spans="1:6" x14ac:dyDescent="0.25">
      <c r="A441" s="7"/>
      <c r="B441" s="7"/>
      <c r="C441" s="7"/>
      <c r="D441" s="7"/>
      <c r="E441" s="7"/>
      <c r="F441" s="7"/>
    </row>
    <row r="442" spans="1:6" x14ac:dyDescent="0.25">
      <c r="A442" s="7"/>
      <c r="B442" s="7"/>
      <c r="C442" s="7"/>
      <c r="D442" s="7"/>
      <c r="E442" s="7"/>
      <c r="F442" s="7"/>
    </row>
    <row r="443" spans="1:6" x14ac:dyDescent="0.25">
      <c r="A443" s="7"/>
      <c r="B443" s="7"/>
      <c r="C443" s="7"/>
      <c r="D443" s="7"/>
      <c r="E443" s="7"/>
      <c r="F443" s="7"/>
    </row>
    <row r="444" spans="1:6" x14ac:dyDescent="0.25">
      <c r="A444" s="7"/>
      <c r="B444" s="7"/>
      <c r="C444" s="7"/>
      <c r="D444" s="7"/>
      <c r="E444" s="7"/>
      <c r="F444" s="7"/>
    </row>
    <row r="445" spans="1:6" x14ac:dyDescent="0.25">
      <c r="A445" s="7"/>
      <c r="B445" s="7"/>
      <c r="C445" s="7"/>
      <c r="D445" s="7"/>
      <c r="E445" s="7"/>
      <c r="F445" s="7"/>
    </row>
    <row r="446" spans="1:6" x14ac:dyDescent="0.25">
      <c r="A446" s="7"/>
      <c r="B446" s="7"/>
      <c r="C446" s="7"/>
      <c r="D446" s="7"/>
      <c r="E446" s="7"/>
      <c r="F446" s="7"/>
    </row>
    <row r="447" spans="1:6" x14ac:dyDescent="0.25">
      <c r="A447" s="7"/>
      <c r="B447" s="7"/>
      <c r="C447" s="7"/>
      <c r="D447" s="7"/>
      <c r="E447" s="7"/>
      <c r="F447" s="7"/>
    </row>
    <row r="448" spans="1:6" x14ac:dyDescent="0.25">
      <c r="A448" s="7"/>
      <c r="B448" s="7"/>
      <c r="C448" s="7"/>
      <c r="D448" s="7"/>
      <c r="E448" s="7"/>
      <c r="F448" s="7"/>
    </row>
    <row r="449" spans="1:6" x14ac:dyDescent="0.25">
      <c r="A449" s="7"/>
      <c r="B449" s="7"/>
      <c r="C449" s="7"/>
      <c r="D449" s="7"/>
      <c r="E449" s="7"/>
      <c r="F449" s="7"/>
    </row>
    <row r="450" spans="1:6" x14ac:dyDescent="0.25">
      <c r="A450" s="7"/>
      <c r="B450" s="7"/>
      <c r="C450" s="7"/>
      <c r="D450" s="7"/>
      <c r="E450" s="7"/>
      <c r="F450" s="7"/>
    </row>
    <row r="451" spans="1:6" x14ac:dyDescent="0.25">
      <c r="A451" s="7"/>
      <c r="B451" s="7"/>
      <c r="C451" s="7"/>
      <c r="D451" s="7"/>
      <c r="E451" s="7"/>
      <c r="F451" s="7"/>
    </row>
    <row r="452" spans="1:6" x14ac:dyDescent="0.25">
      <c r="A452" s="7"/>
      <c r="B452" s="7"/>
      <c r="C452" s="7"/>
      <c r="D452" s="7"/>
      <c r="E452" s="7"/>
      <c r="F452" s="7"/>
    </row>
    <row r="453" spans="1:6" x14ac:dyDescent="0.25">
      <c r="A453" s="7"/>
      <c r="B453" s="7"/>
      <c r="C453" s="7"/>
      <c r="D453" s="7"/>
      <c r="E453" s="7"/>
      <c r="F453" s="7"/>
    </row>
    <row r="454" spans="1:6" x14ac:dyDescent="0.25">
      <c r="A454" s="7"/>
      <c r="B454" s="7"/>
      <c r="C454" s="7"/>
      <c r="D454" s="7"/>
      <c r="E454" s="7"/>
      <c r="F454" s="7"/>
    </row>
    <row r="455" spans="1:6" x14ac:dyDescent="0.25">
      <c r="A455" s="7"/>
      <c r="B455" s="7"/>
      <c r="C455" s="7"/>
      <c r="D455" s="7"/>
      <c r="E455" s="7"/>
      <c r="F455" s="7"/>
    </row>
    <row r="456" spans="1:6" x14ac:dyDescent="0.25">
      <c r="A456" s="7"/>
      <c r="B456" s="7"/>
      <c r="C456" s="7"/>
      <c r="D456" s="7"/>
      <c r="E456" s="7"/>
      <c r="F456" s="7"/>
    </row>
    <row r="457" spans="1:6" x14ac:dyDescent="0.25">
      <c r="A457" s="7"/>
      <c r="B457" s="7"/>
      <c r="C457" s="7"/>
      <c r="D457" s="7"/>
      <c r="E457" s="7"/>
      <c r="F457" s="7"/>
    </row>
    <row r="458" spans="1:6" x14ac:dyDescent="0.25">
      <c r="A458" s="7"/>
      <c r="B458" s="7"/>
      <c r="C458" s="7"/>
      <c r="D458" s="7"/>
      <c r="E458" s="7"/>
      <c r="F458" s="7"/>
    </row>
    <row r="459" spans="1:6" x14ac:dyDescent="0.25">
      <c r="A459" s="7"/>
      <c r="B459" s="7"/>
      <c r="C459" s="7"/>
      <c r="D459" s="7"/>
      <c r="E459" s="7"/>
      <c r="F459" s="7"/>
    </row>
    <row r="460" spans="1:6" x14ac:dyDescent="0.25">
      <c r="A460" s="7"/>
      <c r="B460" s="7"/>
      <c r="C460" s="7"/>
      <c r="D460" s="7"/>
      <c r="E460" s="7"/>
      <c r="F460" s="7"/>
    </row>
    <row r="461" spans="1:6" x14ac:dyDescent="0.25">
      <c r="A461" s="7"/>
      <c r="B461" s="7"/>
      <c r="C461" s="7"/>
      <c r="D461" s="7"/>
      <c r="E461" s="7"/>
      <c r="F461" s="7"/>
    </row>
    <row r="462" spans="1:6" x14ac:dyDescent="0.25">
      <c r="A462" s="7"/>
      <c r="B462" s="7"/>
      <c r="C462" s="7"/>
      <c r="D462" s="7"/>
      <c r="E462" s="7"/>
      <c r="F462" s="7"/>
    </row>
    <row r="463" spans="1:6" x14ac:dyDescent="0.25">
      <c r="A463" s="7"/>
      <c r="B463" s="7"/>
      <c r="C463" s="7"/>
      <c r="D463" s="7"/>
      <c r="E463" s="7"/>
      <c r="F463" s="7"/>
    </row>
    <row r="464" spans="1:6" x14ac:dyDescent="0.25">
      <c r="A464" s="7"/>
      <c r="B464" s="7"/>
      <c r="C464" s="7"/>
      <c r="D464" s="7"/>
      <c r="E464" s="7"/>
      <c r="F464" s="7"/>
    </row>
    <row r="465" spans="1:6" x14ac:dyDescent="0.25">
      <c r="A465" s="7"/>
      <c r="B465" s="7"/>
      <c r="C465" s="7"/>
      <c r="D465" s="7"/>
      <c r="E465" s="7"/>
      <c r="F465" s="7"/>
    </row>
    <row r="466" spans="1:6" x14ac:dyDescent="0.25">
      <c r="A466" s="7"/>
      <c r="B466" s="7"/>
      <c r="C466" s="7"/>
      <c r="D466" s="7"/>
      <c r="E466" s="7"/>
      <c r="F466" s="7"/>
    </row>
    <row r="467" spans="1:6" x14ac:dyDescent="0.25">
      <c r="A467" s="7"/>
      <c r="B467" s="7"/>
      <c r="C467" s="7"/>
      <c r="D467" s="7"/>
      <c r="E467" s="7"/>
      <c r="F467" s="7"/>
    </row>
    <row r="468" spans="1:6" x14ac:dyDescent="0.25">
      <c r="A468" s="7"/>
      <c r="B468" s="7"/>
      <c r="C468" s="7"/>
      <c r="D468" s="7"/>
      <c r="E468" s="7"/>
      <c r="F468" s="7"/>
    </row>
    <row r="469" spans="1:6" x14ac:dyDescent="0.25">
      <c r="A469" s="7"/>
      <c r="B469" s="7"/>
      <c r="C469" s="7"/>
      <c r="D469" s="7"/>
      <c r="E469" s="7"/>
      <c r="F469" s="7"/>
    </row>
    <row r="470" spans="1:6" x14ac:dyDescent="0.25">
      <c r="A470" s="7"/>
      <c r="B470" s="7"/>
      <c r="C470" s="7"/>
      <c r="D470" s="7"/>
      <c r="E470" s="7"/>
      <c r="F470" s="7"/>
    </row>
    <row r="471" spans="1:6" x14ac:dyDescent="0.25">
      <c r="A471" s="7"/>
      <c r="B471" s="7"/>
      <c r="C471" s="7"/>
      <c r="D471" s="7"/>
      <c r="E471" s="7"/>
      <c r="F471" s="7"/>
    </row>
    <row r="472" spans="1:6" x14ac:dyDescent="0.25">
      <c r="A472" s="7"/>
      <c r="B472" s="7"/>
      <c r="C472" s="7"/>
      <c r="D472" s="7"/>
      <c r="E472" s="7"/>
      <c r="F472" s="7"/>
    </row>
    <row r="473" spans="1:6" x14ac:dyDescent="0.25">
      <c r="A473" s="7"/>
      <c r="B473" s="7"/>
      <c r="C473" s="7"/>
      <c r="D473" s="7"/>
      <c r="E473" s="7"/>
      <c r="F473" s="7"/>
    </row>
    <row r="474" spans="1:6" x14ac:dyDescent="0.25">
      <c r="A474" s="7"/>
      <c r="B474" s="7"/>
      <c r="C474" s="7"/>
      <c r="D474" s="7"/>
      <c r="E474" s="7"/>
      <c r="F474" s="7"/>
    </row>
    <row r="475" spans="1:6" x14ac:dyDescent="0.25">
      <c r="A475" s="7"/>
      <c r="B475" s="7"/>
      <c r="C475" s="7"/>
      <c r="D475" s="7"/>
      <c r="E475" s="7"/>
      <c r="F475" s="7"/>
    </row>
    <row r="476" spans="1:6" x14ac:dyDescent="0.25">
      <c r="A476" s="7"/>
      <c r="B476" s="7"/>
      <c r="C476" s="7"/>
      <c r="D476" s="7"/>
      <c r="E476" s="7"/>
      <c r="F476" s="7"/>
    </row>
    <row r="477" spans="1:6" x14ac:dyDescent="0.25">
      <c r="A477" s="7"/>
      <c r="B477" s="7"/>
      <c r="C477" s="7"/>
      <c r="D477" s="7"/>
      <c r="E477" s="7"/>
      <c r="F477" s="7"/>
    </row>
    <row r="478" spans="1:6" x14ac:dyDescent="0.25">
      <c r="A478" s="7"/>
      <c r="B478" s="7"/>
      <c r="C478" s="7"/>
      <c r="D478" s="7"/>
      <c r="E478" s="7"/>
      <c r="F478" s="7"/>
    </row>
    <row r="479" spans="1:6" x14ac:dyDescent="0.25">
      <c r="A479" s="7"/>
      <c r="B479" s="7"/>
      <c r="C479" s="7"/>
      <c r="D479" s="7"/>
      <c r="E479" s="7"/>
      <c r="F479" s="7"/>
    </row>
    <row r="480" spans="1:6" x14ac:dyDescent="0.25">
      <c r="A480" s="7"/>
      <c r="B480" s="7"/>
      <c r="C480" s="7"/>
      <c r="D480" s="7"/>
      <c r="E480" s="7"/>
      <c r="F480" s="7"/>
    </row>
    <row r="481" spans="1:6" x14ac:dyDescent="0.25">
      <c r="A481" s="7"/>
      <c r="B481" s="7"/>
      <c r="C481" s="7"/>
      <c r="D481" s="7"/>
      <c r="E481" s="7"/>
      <c r="F481" s="7"/>
    </row>
    <row r="482" spans="1:6" x14ac:dyDescent="0.25">
      <c r="A482" s="7"/>
      <c r="B482" s="7"/>
      <c r="C482" s="7"/>
      <c r="D482" s="7"/>
      <c r="E482" s="7"/>
      <c r="F482" s="7"/>
    </row>
    <row r="483" spans="1:6" x14ac:dyDescent="0.25">
      <c r="A483" s="7"/>
      <c r="B483" s="7"/>
      <c r="C483" s="7"/>
      <c r="D483" s="7"/>
      <c r="E483" s="7"/>
      <c r="F483" s="7"/>
    </row>
    <row r="484" spans="1:6" x14ac:dyDescent="0.25">
      <c r="A484" s="7"/>
      <c r="B484" s="7"/>
      <c r="C484" s="7"/>
      <c r="D484" s="7"/>
      <c r="E484" s="7"/>
      <c r="F484" s="7"/>
    </row>
    <row r="485" spans="1:6" x14ac:dyDescent="0.25">
      <c r="A485" s="7"/>
      <c r="B485" s="7"/>
      <c r="C485" s="7"/>
      <c r="D485" s="7"/>
      <c r="E485" s="7"/>
      <c r="F485" s="7"/>
    </row>
    <row r="486" spans="1:6" x14ac:dyDescent="0.25">
      <c r="A486" s="7"/>
      <c r="B486" s="7"/>
      <c r="C486" s="7"/>
      <c r="D486" s="7"/>
      <c r="E486" s="7"/>
      <c r="F486" s="7"/>
    </row>
    <row r="487" spans="1:6" x14ac:dyDescent="0.25">
      <c r="A487" s="7"/>
      <c r="B487" s="7"/>
      <c r="C487" s="7"/>
      <c r="D487" s="7"/>
      <c r="E487" s="7"/>
      <c r="F487" s="7"/>
    </row>
    <row r="488" spans="1:6" x14ac:dyDescent="0.25">
      <c r="A488" s="7"/>
      <c r="B488" s="7"/>
      <c r="C488" s="7"/>
      <c r="D488" s="7"/>
      <c r="E488" s="7"/>
      <c r="F488" s="7"/>
    </row>
    <row r="489" spans="1:6" x14ac:dyDescent="0.25">
      <c r="A489" s="7"/>
      <c r="B489" s="7"/>
      <c r="C489" s="7"/>
      <c r="D489" s="7"/>
      <c r="E489" s="7"/>
      <c r="F489" s="7"/>
    </row>
    <row r="490" spans="1:6" x14ac:dyDescent="0.25">
      <c r="A490" s="7"/>
      <c r="B490" s="7"/>
      <c r="C490" s="7"/>
      <c r="D490" s="7"/>
      <c r="E490" s="7"/>
      <c r="F490" s="7"/>
    </row>
    <row r="491" spans="1:6" x14ac:dyDescent="0.25">
      <c r="A491" s="7"/>
      <c r="B491" s="7"/>
      <c r="C491" s="7"/>
      <c r="D491" s="7"/>
      <c r="E491" s="7"/>
      <c r="F491" s="7"/>
    </row>
    <row r="492" spans="1:6" x14ac:dyDescent="0.25">
      <c r="A492" s="7"/>
      <c r="B492" s="7"/>
      <c r="C492" s="7"/>
      <c r="D492" s="7"/>
      <c r="E492" s="7"/>
      <c r="F492" s="7"/>
    </row>
    <row r="493" spans="1:6" x14ac:dyDescent="0.25">
      <c r="A493" s="7"/>
      <c r="B493" s="7"/>
      <c r="C493" s="7"/>
      <c r="D493" s="7"/>
      <c r="E493" s="7"/>
      <c r="F493" s="7"/>
    </row>
    <row r="494" spans="1:6" x14ac:dyDescent="0.25">
      <c r="A494" s="7"/>
      <c r="B494" s="7"/>
      <c r="C494" s="7"/>
      <c r="D494" s="7"/>
      <c r="E494" s="7"/>
      <c r="F494" s="7"/>
    </row>
    <row r="495" spans="1:6" x14ac:dyDescent="0.25">
      <c r="A495" s="7"/>
      <c r="B495" s="7"/>
      <c r="C495" s="7"/>
      <c r="D495" s="7"/>
      <c r="E495" s="7"/>
      <c r="F495" s="7"/>
    </row>
    <row r="496" spans="1:6" x14ac:dyDescent="0.25">
      <c r="A496" s="7"/>
      <c r="B496" s="7"/>
      <c r="C496" s="7"/>
      <c r="D496" s="7"/>
      <c r="E496" s="7"/>
      <c r="F496" s="7"/>
    </row>
    <row r="497" spans="1:6" x14ac:dyDescent="0.25">
      <c r="A497" s="7"/>
      <c r="B497" s="7"/>
      <c r="C497" s="7"/>
      <c r="D497" s="7"/>
      <c r="E497" s="7"/>
      <c r="F497" s="7"/>
    </row>
    <row r="498" spans="1:6" x14ac:dyDescent="0.25">
      <c r="A498" s="7"/>
      <c r="B498" s="7"/>
      <c r="C498" s="7"/>
      <c r="D498" s="7"/>
      <c r="E498" s="7"/>
      <c r="F498" s="7"/>
    </row>
    <row r="499" spans="1:6" x14ac:dyDescent="0.25">
      <c r="A499" s="7"/>
      <c r="B499" s="7"/>
      <c r="C499" s="7"/>
      <c r="D499" s="7"/>
      <c r="E499" s="7"/>
      <c r="F499" s="7"/>
    </row>
    <row r="500" spans="1:6" x14ac:dyDescent="0.25">
      <c r="A500" s="7"/>
      <c r="B500" s="7"/>
      <c r="C500" s="7"/>
      <c r="D500" s="7"/>
      <c r="E500" s="7"/>
      <c r="F500" s="7"/>
    </row>
    <row r="501" spans="1:6" x14ac:dyDescent="0.25">
      <c r="A501" s="7"/>
      <c r="B501" s="7"/>
      <c r="C501" s="7"/>
      <c r="D501" s="7"/>
      <c r="E501" s="7"/>
      <c r="F501" s="7"/>
    </row>
    <row r="502" spans="1:6" x14ac:dyDescent="0.25">
      <c r="A502" s="7"/>
      <c r="B502" s="7"/>
      <c r="C502" s="7"/>
      <c r="D502" s="7"/>
      <c r="E502" s="7"/>
      <c r="F502" s="7"/>
    </row>
    <row r="503" spans="1:6" x14ac:dyDescent="0.25">
      <c r="A503" s="7"/>
      <c r="B503" s="7"/>
      <c r="C503" s="7"/>
      <c r="D503" s="7"/>
      <c r="E503" s="7"/>
      <c r="F503" s="7"/>
    </row>
    <row r="504" spans="1:6" x14ac:dyDescent="0.25">
      <c r="A504" s="7"/>
      <c r="B504" s="7"/>
      <c r="C504" s="7"/>
      <c r="D504" s="7"/>
      <c r="E504" s="7"/>
      <c r="F504" s="7"/>
    </row>
    <row r="505" spans="1:6" x14ac:dyDescent="0.25">
      <c r="A505" s="7"/>
      <c r="B505" s="7"/>
      <c r="C505" s="7"/>
      <c r="D505" s="7"/>
      <c r="E505" s="7"/>
      <c r="F505" s="7"/>
    </row>
    <row r="506" spans="1:6" x14ac:dyDescent="0.25">
      <c r="A506" s="7"/>
      <c r="B506" s="7"/>
      <c r="C506" s="7"/>
      <c r="D506" s="7"/>
      <c r="E506" s="7"/>
      <c r="F506" s="7"/>
    </row>
    <row r="507" spans="1:6" x14ac:dyDescent="0.25">
      <c r="A507" s="7"/>
      <c r="B507" s="7"/>
      <c r="C507" s="7"/>
      <c r="D507" s="7"/>
      <c r="E507" s="7"/>
      <c r="F507" s="7"/>
    </row>
    <row r="508" spans="1:6" x14ac:dyDescent="0.25">
      <c r="A508" s="7"/>
      <c r="B508" s="7"/>
      <c r="C508" s="7"/>
      <c r="D508" s="7"/>
      <c r="E508" s="7"/>
      <c r="F508" s="7"/>
    </row>
    <row r="509" spans="1:6" x14ac:dyDescent="0.25">
      <c r="A509" s="7"/>
      <c r="B509" s="7"/>
      <c r="C509" s="7"/>
      <c r="D509" s="7"/>
      <c r="E509" s="7"/>
      <c r="F509" s="7"/>
    </row>
    <row r="510" spans="1:6" x14ac:dyDescent="0.25">
      <c r="A510" s="7"/>
      <c r="B510" s="7"/>
      <c r="C510" s="7"/>
      <c r="D510" s="7"/>
      <c r="E510" s="7"/>
      <c r="F510" s="7"/>
    </row>
    <row r="511" spans="1:6" x14ac:dyDescent="0.25">
      <c r="A511" s="7"/>
      <c r="B511" s="7"/>
      <c r="C511" s="7"/>
      <c r="D511" s="7"/>
      <c r="E511" s="7"/>
      <c r="F511" s="7"/>
    </row>
    <row r="512" spans="1:6" x14ac:dyDescent="0.25">
      <c r="A512" s="7"/>
      <c r="B512" s="7"/>
      <c r="C512" s="7"/>
      <c r="D512" s="7"/>
      <c r="E512" s="7"/>
      <c r="F512" s="7"/>
    </row>
    <row r="513" spans="1:6" x14ac:dyDescent="0.25">
      <c r="A513" s="7"/>
      <c r="B513" s="7"/>
      <c r="C513" s="7"/>
      <c r="D513" s="7"/>
      <c r="E513" s="7"/>
      <c r="F513" s="7"/>
    </row>
    <row r="514" spans="1:6" x14ac:dyDescent="0.25">
      <c r="A514" s="7"/>
      <c r="B514" s="7"/>
      <c r="C514" s="7"/>
      <c r="D514" s="7"/>
      <c r="E514" s="7"/>
      <c r="F514" s="7"/>
    </row>
    <row r="515" spans="1:6" x14ac:dyDescent="0.25">
      <c r="A515" s="7"/>
      <c r="B515" s="7"/>
      <c r="C515" s="7"/>
      <c r="D515" s="7"/>
      <c r="E515" s="7"/>
      <c r="F515" s="7"/>
    </row>
    <row r="516" spans="1:6" x14ac:dyDescent="0.25">
      <c r="A516" s="7"/>
      <c r="B516" s="7"/>
      <c r="C516" s="7"/>
      <c r="D516" s="7"/>
      <c r="E516" s="7"/>
      <c r="F516" s="7"/>
    </row>
    <row r="517" spans="1:6" x14ac:dyDescent="0.25">
      <c r="A517" s="7"/>
      <c r="B517" s="7"/>
      <c r="C517" s="7"/>
      <c r="D517" s="7"/>
      <c r="E517" s="7"/>
      <c r="F517" s="7"/>
    </row>
    <row r="518" spans="1:6" x14ac:dyDescent="0.25">
      <c r="A518" s="7"/>
      <c r="B518" s="7"/>
      <c r="C518" s="7"/>
      <c r="D518" s="7"/>
      <c r="E518" s="7"/>
      <c r="F518" s="7"/>
    </row>
    <row r="519" spans="1:6" x14ac:dyDescent="0.25">
      <c r="A519" s="7"/>
      <c r="B519" s="7"/>
      <c r="C519" s="7"/>
      <c r="D519" s="7"/>
      <c r="E519" s="7"/>
      <c r="F519" s="7"/>
    </row>
    <row r="520" spans="1:6" x14ac:dyDescent="0.25">
      <c r="A520" s="7"/>
      <c r="B520" s="7"/>
      <c r="C520" s="7"/>
      <c r="D520" s="7"/>
      <c r="E520" s="7"/>
      <c r="F520" s="7"/>
    </row>
    <row r="521" spans="1:6" x14ac:dyDescent="0.25">
      <c r="A521" s="7"/>
      <c r="B521" s="7"/>
      <c r="C521" s="7"/>
      <c r="D521" s="7"/>
      <c r="E521" s="7"/>
      <c r="F521" s="7"/>
    </row>
    <row r="522" spans="1:6" x14ac:dyDescent="0.25">
      <c r="A522" s="7"/>
      <c r="B522" s="7"/>
      <c r="C522" s="7"/>
      <c r="D522" s="7"/>
      <c r="E522" s="7"/>
      <c r="F522" s="7"/>
    </row>
    <row r="523" spans="1:6" x14ac:dyDescent="0.25">
      <c r="A523" s="7"/>
      <c r="B523" s="7"/>
      <c r="C523" s="7"/>
      <c r="D523" s="7"/>
      <c r="E523" s="7"/>
      <c r="F523" s="7"/>
    </row>
    <row r="524" spans="1:6" x14ac:dyDescent="0.25">
      <c r="A524" s="7"/>
      <c r="B524" s="7"/>
      <c r="C524" s="7"/>
      <c r="D524" s="7"/>
      <c r="E524" s="7"/>
      <c r="F524" s="7"/>
    </row>
    <row r="525" spans="1:6" x14ac:dyDescent="0.25">
      <c r="A525" s="7"/>
      <c r="B525" s="7"/>
      <c r="C525" s="7"/>
      <c r="D525" s="7"/>
      <c r="E525" s="7"/>
      <c r="F525" s="7"/>
    </row>
    <row r="526" spans="1:6" x14ac:dyDescent="0.25">
      <c r="A526" s="7"/>
      <c r="B526" s="7"/>
      <c r="C526" s="7"/>
      <c r="D526" s="7"/>
      <c r="E526" s="7"/>
      <c r="F526" s="7"/>
    </row>
    <row r="527" spans="1:6" x14ac:dyDescent="0.25">
      <c r="A527" s="7"/>
      <c r="B527" s="7"/>
      <c r="C527" s="7"/>
      <c r="D527" s="7"/>
      <c r="E527" s="7"/>
      <c r="F527" s="7"/>
    </row>
    <row r="528" spans="1:6" x14ac:dyDescent="0.25">
      <c r="A528" s="7"/>
      <c r="B528" s="7"/>
      <c r="C528" s="7"/>
      <c r="D528" s="7"/>
      <c r="E528" s="7"/>
      <c r="F528" s="7"/>
    </row>
    <row r="529" spans="1:6" x14ac:dyDescent="0.25">
      <c r="A529" s="7"/>
      <c r="B529" s="7"/>
      <c r="C529" s="7"/>
      <c r="D529" s="7"/>
      <c r="E529" s="7"/>
      <c r="F529" s="7"/>
    </row>
    <row r="530" spans="1:6" x14ac:dyDescent="0.25">
      <c r="A530" s="7"/>
      <c r="B530" s="7"/>
      <c r="C530" s="7"/>
      <c r="D530" s="7"/>
      <c r="E530" s="7"/>
      <c r="F530" s="7"/>
    </row>
    <row r="531" spans="1:6" x14ac:dyDescent="0.25">
      <c r="A531" s="7"/>
      <c r="B531" s="7"/>
      <c r="C531" s="7"/>
      <c r="D531" s="7"/>
      <c r="E531" s="7"/>
      <c r="F531" s="7"/>
    </row>
    <row r="532" spans="1:6" x14ac:dyDescent="0.25">
      <c r="A532" s="7"/>
      <c r="B532" s="7"/>
      <c r="C532" s="7"/>
      <c r="D532" s="7"/>
      <c r="E532" s="7"/>
      <c r="F532" s="7"/>
    </row>
    <row r="533" spans="1:6" x14ac:dyDescent="0.25">
      <c r="A533" s="7"/>
      <c r="B533" s="7"/>
      <c r="C533" s="7"/>
      <c r="D533" s="7"/>
      <c r="E533" s="7"/>
      <c r="F533" s="7"/>
    </row>
    <row r="534" spans="1:6" x14ac:dyDescent="0.25">
      <c r="A534" s="7"/>
      <c r="B534" s="7"/>
      <c r="C534" s="7"/>
      <c r="D534" s="7"/>
      <c r="E534" s="7"/>
      <c r="F534" s="7"/>
    </row>
    <row r="535" spans="1:6" x14ac:dyDescent="0.25">
      <c r="A535" s="7"/>
      <c r="B535" s="7"/>
      <c r="C535" s="7"/>
      <c r="D535" s="7"/>
      <c r="E535" s="7"/>
      <c r="F535" s="7"/>
    </row>
    <row r="536" spans="1:6" x14ac:dyDescent="0.25">
      <c r="A536" s="7"/>
      <c r="B536" s="7"/>
      <c r="C536" s="7"/>
      <c r="D536" s="7"/>
      <c r="E536" s="7"/>
      <c r="F536" s="7"/>
    </row>
    <row r="537" spans="1:6" x14ac:dyDescent="0.25">
      <c r="A537" s="7"/>
      <c r="B537" s="7"/>
      <c r="C537" s="7"/>
      <c r="D537" s="7"/>
      <c r="E537" s="7"/>
      <c r="F537" s="7"/>
    </row>
    <row r="538" spans="1:6" x14ac:dyDescent="0.25">
      <c r="A538" s="7"/>
      <c r="B538" s="7"/>
      <c r="C538" s="7"/>
      <c r="D538" s="7"/>
      <c r="E538" s="7"/>
      <c r="F538" s="7"/>
    </row>
    <row r="539" spans="1:6" x14ac:dyDescent="0.25">
      <c r="A539" s="7"/>
      <c r="B539" s="7"/>
      <c r="C539" s="7"/>
      <c r="D539" s="7"/>
      <c r="E539" s="7"/>
      <c r="F539" s="7"/>
    </row>
    <row r="540" spans="1:6" x14ac:dyDescent="0.25">
      <c r="A540" s="7"/>
      <c r="B540" s="7"/>
      <c r="C540" s="7"/>
      <c r="D540" s="7"/>
      <c r="E540" s="7"/>
      <c r="F540" s="7"/>
    </row>
    <row r="541" spans="1:6" x14ac:dyDescent="0.25">
      <c r="A541" s="7"/>
      <c r="B541" s="7"/>
      <c r="C541" s="7"/>
      <c r="D541" s="7"/>
      <c r="E541" s="7"/>
      <c r="F541" s="7"/>
    </row>
    <row r="542" spans="1:6" x14ac:dyDescent="0.25">
      <c r="A542" s="7"/>
      <c r="B542" s="7"/>
      <c r="C542" s="7"/>
      <c r="D542" s="7"/>
      <c r="E542" s="7"/>
      <c r="F542" s="7"/>
    </row>
    <row r="543" spans="1:6" x14ac:dyDescent="0.25">
      <c r="A543" s="7"/>
      <c r="B543" s="7"/>
      <c r="C543" s="7"/>
      <c r="D543" s="7"/>
      <c r="E543" s="7"/>
      <c r="F543" s="7"/>
    </row>
    <row r="544" spans="1:6" x14ac:dyDescent="0.25">
      <c r="A544" s="7"/>
      <c r="B544" s="7"/>
      <c r="C544" s="7"/>
      <c r="D544" s="7"/>
      <c r="E544" s="7"/>
      <c r="F544" s="7"/>
    </row>
    <row r="545" spans="1:6" x14ac:dyDescent="0.25">
      <c r="A545" s="7"/>
      <c r="B545" s="7"/>
      <c r="C545" s="7"/>
      <c r="D545" s="7"/>
      <c r="E545" s="7"/>
      <c r="F545" s="7"/>
    </row>
    <row r="546" spans="1:6" x14ac:dyDescent="0.25">
      <c r="A546" s="7"/>
      <c r="B546" s="7"/>
      <c r="C546" s="7"/>
      <c r="D546" s="7"/>
      <c r="E546" s="7"/>
      <c r="F546" s="7"/>
    </row>
    <row r="547" spans="1:6" x14ac:dyDescent="0.25">
      <c r="A547" s="7"/>
      <c r="B547" s="7"/>
      <c r="C547" s="7"/>
      <c r="D547" s="7"/>
      <c r="E547" s="7"/>
      <c r="F547" s="7"/>
    </row>
    <row r="548" spans="1:6" x14ac:dyDescent="0.25">
      <c r="A548" s="7"/>
      <c r="B548" s="7"/>
      <c r="C548" s="7"/>
      <c r="D548" s="7"/>
      <c r="E548" s="7"/>
      <c r="F548" s="7"/>
    </row>
    <row r="549" spans="1:6" x14ac:dyDescent="0.25">
      <c r="A549" s="7"/>
      <c r="B549" s="7"/>
      <c r="C549" s="7"/>
      <c r="D549" s="7"/>
      <c r="E549" s="7"/>
      <c r="F549" s="7"/>
    </row>
    <row r="550" spans="1:6" x14ac:dyDescent="0.25">
      <c r="A550" s="7"/>
      <c r="B550" s="7"/>
      <c r="C550" s="7"/>
      <c r="D550" s="7"/>
      <c r="E550" s="7"/>
      <c r="F550" s="7"/>
    </row>
    <row r="551" spans="1:6" x14ac:dyDescent="0.25">
      <c r="A551" s="7"/>
      <c r="B551" s="7"/>
      <c r="C551" s="7"/>
      <c r="D551" s="7"/>
      <c r="E551" s="7"/>
      <c r="F551" s="7"/>
    </row>
    <row r="552" spans="1:6" x14ac:dyDescent="0.25">
      <c r="A552" s="7"/>
      <c r="B552" s="7"/>
      <c r="C552" s="7"/>
      <c r="D552" s="7"/>
      <c r="E552" s="7"/>
      <c r="F552" s="7"/>
    </row>
    <row r="553" spans="1:6" x14ac:dyDescent="0.25">
      <c r="A553" s="7"/>
      <c r="B553" s="7"/>
      <c r="C553" s="7"/>
      <c r="D553" s="7"/>
      <c r="E553" s="7"/>
      <c r="F553" s="7"/>
    </row>
    <row r="554" spans="1:6" x14ac:dyDescent="0.25">
      <c r="A554" s="7"/>
      <c r="B554" s="7"/>
      <c r="C554" s="7"/>
      <c r="D554" s="7"/>
      <c r="E554" s="7"/>
      <c r="F554" s="7"/>
    </row>
    <row r="555" spans="1:6" x14ac:dyDescent="0.25">
      <c r="A555" s="7"/>
      <c r="B555" s="7"/>
      <c r="C555" s="7"/>
      <c r="D555" s="7"/>
      <c r="E555" s="7"/>
      <c r="F555" s="7"/>
    </row>
    <row r="556" spans="1:6" x14ac:dyDescent="0.25">
      <c r="A556" s="7"/>
      <c r="B556" s="7"/>
      <c r="C556" s="7"/>
      <c r="D556" s="7"/>
      <c r="E556" s="7"/>
      <c r="F556" s="7"/>
    </row>
    <row r="557" spans="1:6" x14ac:dyDescent="0.25">
      <c r="A557" s="7"/>
      <c r="B557" s="7"/>
      <c r="C557" s="7"/>
      <c r="D557" s="7"/>
      <c r="E557" s="7"/>
      <c r="F557" s="7"/>
    </row>
    <row r="558" spans="1:6" x14ac:dyDescent="0.25">
      <c r="A558" s="7"/>
      <c r="B558" s="7"/>
      <c r="C558" s="7"/>
      <c r="D558" s="7"/>
      <c r="E558" s="7"/>
      <c r="F558" s="7"/>
    </row>
    <row r="559" spans="1:6" x14ac:dyDescent="0.25">
      <c r="A559" s="7"/>
      <c r="B559" s="7"/>
      <c r="C559" s="7"/>
      <c r="D559" s="7"/>
      <c r="E559" s="7"/>
      <c r="F559" s="7"/>
    </row>
    <row r="560" spans="1:6" x14ac:dyDescent="0.25">
      <c r="A560" s="7"/>
      <c r="B560" s="7"/>
      <c r="C560" s="7"/>
      <c r="D560" s="7"/>
      <c r="E560" s="7"/>
      <c r="F560" s="7"/>
    </row>
    <row r="561" spans="1:6" x14ac:dyDescent="0.25">
      <c r="A561" s="7"/>
      <c r="B561" s="7"/>
      <c r="C561" s="7"/>
      <c r="D561" s="7"/>
      <c r="E561" s="7"/>
      <c r="F561" s="7"/>
    </row>
    <row r="562" spans="1:6" x14ac:dyDescent="0.25">
      <c r="A562" s="7"/>
      <c r="B562" s="7"/>
      <c r="C562" s="7"/>
      <c r="D562" s="7"/>
      <c r="E562" s="7"/>
      <c r="F562" s="7"/>
    </row>
    <row r="563" spans="1:6" x14ac:dyDescent="0.25">
      <c r="A563" s="7"/>
      <c r="B563" s="7"/>
      <c r="C563" s="7"/>
      <c r="D563" s="7"/>
      <c r="E563" s="7"/>
      <c r="F563" s="7"/>
    </row>
    <row r="564" spans="1:6" x14ac:dyDescent="0.25">
      <c r="A564" s="7"/>
      <c r="B564" s="7"/>
      <c r="C564" s="7"/>
      <c r="D564" s="7"/>
      <c r="E564" s="7"/>
      <c r="F564" s="7"/>
    </row>
    <row r="565" spans="1:6" x14ac:dyDescent="0.25">
      <c r="A565" s="7"/>
      <c r="B565" s="7"/>
      <c r="C565" s="7"/>
      <c r="D565" s="7"/>
      <c r="E565" s="7"/>
      <c r="F565" s="7"/>
    </row>
    <row r="566" spans="1:6" x14ac:dyDescent="0.25">
      <c r="A566" s="7"/>
      <c r="B566" s="7"/>
      <c r="C566" s="7"/>
      <c r="D566" s="7"/>
      <c r="E566" s="7"/>
      <c r="F566" s="7"/>
    </row>
    <row r="567" spans="1:6" x14ac:dyDescent="0.25">
      <c r="A567" s="7"/>
      <c r="B567" s="7"/>
      <c r="C567" s="7"/>
      <c r="D567" s="7"/>
      <c r="E567" s="7"/>
      <c r="F567" s="7"/>
    </row>
    <row r="568" spans="1:6" x14ac:dyDescent="0.25">
      <c r="A568" s="7"/>
      <c r="B568" s="7"/>
      <c r="C568" s="7"/>
      <c r="D568" s="7"/>
      <c r="E568" s="7"/>
      <c r="F568" s="7"/>
    </row>
    <row r="569" spans="1:6" x14ac:dyDescent="0.25">
      <c r="A569" s="7"/>
      <c r="B569" s="7"/>
      <c r="C569" s="7"/>
      <c r="D569" s="7"/>
      <c r="E569" s="7"/>
      <c r="F569" s="7"/>
    </row>
    <row r="570" spans="1:6" x14ac:dyDescent="0.25">
      <c r="A570" s="7"/>
      <c r="B570" s="7"/>
      <c r="C570" s="7"/>
      <c r="D570" s="7"/>
      <c r="E570" s="7"/>
      <c r="F570" s="7"/>
    </row>
    <row r="571" spans="1:6" x14ac:dyDescent="0.25">
      <c r="A571" s="7"/>
      <c r="B571" s="7"/>
      <c r="C571" s="7"/>
      <c r="D571" s="7"/>
      <c r="E571" s="7"/>
      <c r="F571" s="7"/>
    </row>
    <row r="572" spans="1:6" x14ac:dyDescent="0.25">
      <c r="A572" s="7"/>
      <c r="B572" s="7"/>
      <c r="C572" s="7"/>
      <c r="D572" s="7"/>
      <c r="E572" s="7"/>
      <c r="F572" s="7"/>
    </row>
    <row r="573" spans="1:6" x14ac:dyDescent="0.25">
      <c r="A573" s="7"/>
      <c r="B573" s="7"/>
      <c r="C573" s="7"/>
      <c r="D573" s="7"/>
      <c r="E573" s="7"/>
      <c r="F573" s="7"/>
    </row>
    <row r="574" spans="1:6" x14ac:dyDescent="0.25">
      <c r="A574" s="7"/>
      <c r="B574" s="7"/>
      <c r="C574" s="7"/>
      <c r="D574" s="7"/>
      <c r="E574" s="7"/>
      <c r="F574" s="7"/>
    </row>
    <row r="575" spans="1:6" x14ac:dyDescent="0.25">
      <c r="A575" s="7"/>
      <c r="B575" s="7"/>
      <c r="C575" s="7"/>
      <c r="D575" s="7"/>
      <c r="E575" s="7"/>
      <c r="F575" s="7"/>
    </row>
    <row r="576" spans="1:6" x14ac:dyDescent="0.25">
      <c r="A576" s="7"/>
      <c r="B576" s="7"/>
      <c r="C576" s="7"/>
      <c r="D576" s="7"/>
      <c r="E576" s="7"/>
      <c r="F576" s="7"/>
    </row>
    <row r="577" spans="1:6" x14ac:dyDescent="0.25">
      <c r="A577" s="7"/>
      <c r="B577" s="7"/>
      <c r="C577" s="7"/>
      <c r="D577" s="7"/>
      <c r="E577" s="7"/>
      <c r="F577" s="7"/>
    </row>
    <row r="578" spans="1:6" x14ac:dyDescent="0.25">
      <c r="A578" s="7"/>
      <c r="B578" s="7"/>
      <c r="C578" s="7"/>
      <c r="D578" s="7"/>
      <c r="E578" s="7"/>
      <c r="F578" s="7"/>
    </row>
    <row r="579" spans="1:6" x14ac:dyDescent="0.25">
      <c r="A579" s="7"/>
      <c r="B579" s="7"/>
      <c r="C579" s="7"/>
      <c r="D579" s="7"/>
      <c r="E579" s="7"/>
      <c r="F579" s="7"/>
    </row>
    <row r="580" spans="1:6" x14ac:dyDescent="0.25">
      <c r="A580" s="7"/>
      <c r="B580" s="7"/>
      <c r="C580" s="7"/>
      <c r="D580" s="7"/>
      <c r="E580" s="7"/>
      <c r="F580" s="7"/>
    </row>
    <row r="581" spans="1:6" x14ac:dyDescent="0.25">
      <c r="A581" s="7"/>
      <c r="B581" s="7"/>
      <c r="C581" s="7"/>
      <c r="D581" s="7"/>
      <c r="E581" s="7"/>
      <c r="F581" s="7"/>
    </row>
    <row r="582" spans="1:6" x14ac:dyDescent="0.25">
      <c r="A582" s="7"/>
      <c r="B582" s="7"/>
      <c r="C582" s="7"/>
      <c r="D582" s="7"/>
      <c r="E582" s="7"/>
      <c r="F582" s="7"/>
    </row>
    <row r="583" spans="1:6" x14ac:dyDescent="0.25">
      <c r="A583" s="7"/>
      <c r="B583" s="7"/>
      <c r="C583" s="7"/>
      <c r="D583" s="7"/>
      <c r="E583" s="7"/>
      <c r="F583" s="7"/>
    </row>
    <row r="584" spans="1:6" x14ac:dyDescent="0.25">
      <c r="A584" s="7"/>
      <c r="B584" s="7"/>
      <c r="C584" s="7"/>
      <c r="D584" s="7"/>
      <c r="E584" s="7"/>
      <c r="F584" s="7"/>
    </row>
    <row r="585" spans="1:6" x14ac:dyDescent="0.25">
      <c r="A585" s="7"/>
      <c r="B585" s="7"/>
      <c r="C585" s="7"/>
      <c r="D585" s="7"/>
      <c r="E585" s="7"/>
      <c r="F585" s="7"/>
    </row>
    <row r="586" spans="1:6" x14ac:dyDescent="0.25">
      <c r="A586" s="7"/>
      <c r="B586" s="7"/>
      <c r="C586" s="7"/>
      <c r="D586" s="7"/>
      <c r="E586" s="7"/>
      <c r="F586" s="7"/>
    </row>
    <row r="587" spans="1:6" x14ac:dyDescent="0.25">
      <c r="A587" s="7"/>
      <c r="B587" s="7"/>
      <c r="C587" s="7"/>
      <c r="D587" s="7"/>
      <c r="E587" s="7"/>
      <c r="F587" s="7"/>
    </row>
    <row r="588" spans="1:6" x14ac:dyDescent="0.25">
      <c r="A588" s="7"/>
      <c r="B588" s="7"/>
      <c r="C588" s="7"/>
      <c r="D588" s="7"/>
      <c r="E588" s="7"/>
      <c r="F588" s="7"/>
    </row>
    <row r="589" spans="1:6" x14ac:dyDescent="0.25">
      <c r="A589" s="7"/>
      <c r="B589" s="7"/>
      <c r="C589" s="7"/>
      <c r="D589" s="7"/>
      <c r="E589" s="7"/>
      <c r="F589" s="7"/>
    </row>
    <row r="590" spans="1:6" x14ac:dyDescent="0.25">
      <c r="A590" s="7"/>
      <c r="B590" s="7"/>
      <c r="C590" s="7"/>
      <c r="D590" s="7"/>
      <c r="E590" s="7"/>
      <c r="F590" s="7"/>
    </row>
    <row r="591" spans="1:6" x14ac:dyDescent="0.25">
      <c r="A591" s="7"/>
      <c r="B591" s="7"/>
      <c r="C591" s="7"/>
      <c r="D591" s="7"/>
      <c r="E591" s="7"/>
      <c r="F591" s="7"/>
    </row>
    <row r="592" spans="1:6" x14ac:dyDescent="0.25">
      <c r="A592" s="7"/>
      <c r="B592" s="7"/>
      <c r="C592" s="7"/>
      <c r="D592" s="7"/>
      <c r="E592" s="7"/>
      <c r="F592" s="7"/>
    </row>
    <row r="593" spans="1:6" x14ac:dyDescent="0.25">
      <c r="A593" s="7"/>
      <c r="B593" s="7"/>
      <c r="C593" s="7"/>
      <c r="D593" s="7"/>
      <c r="E593" s="7"/>
      <c r="F593" s="7"/>
    </row>
    <row r="594" spans="1:6" x14ac:dyDescent="0.25">
      <c r="A594" s="7"/>
      <c r="B594" s="7"/>
      <c r="C594" s="7"/>
      <c r="D594" s="7"/>
      <c r="E594" s="7"/>
      <c r="F594" s="7"/>
    </row>
    <row r="595" spans="1:6" x14ac:dyDescent="0.25">
      <c r="A595" s="7"/>
      <c r="B595" s="7"/>
      <c r="C595" s="7"/>
      <c r="D595" s="7"/>
      <c r="E595" s="7"/>
      <c r="F595" s="7"/>
    </row>
    <row r="596" spans="1:6" x14ac:dyDescent="0.25">
      <c r="A596" s="7"/>
      <c r="B596" s="7"/>
      <c r="C596" s="7"/>
      <c r="D596" s="7"/>
      <c r="E596" s="7"/>
      <c r="F596" s="7"/>
    </row>
    <row r="597" spans="1:6" x14ac:dyDescent="0.25">
      <c r="A597" s="7"/>
      <c r="B597" s="7"/>
      <c r="C597" s="7"/>
      <c r="D597" s="7"/>
      <c r="E597" s="7"/>
      <c r="F597" s="7"/>
    </row>
    <row r="598" spans="1:6" x14ac:dyDescent="0.25">
      <c r="A598" s="7"/>
      <c r="B598" s="7"/>
      <c r="C598" s="7"/>
      <c r="D598" s="7"/>
      <c r="E598" s="7"/>
      <c r="F598" s="7"/>
    </row>
    <row r="599" spans="1:6" x14ac:dyDescent="0.25">
      <c r="A599" s="7"/>
      <c r="B599" s="7"/>
      <c r="C599" s="7"/>
      <c r="D599" s="7"/>
      <c r="E599" s="7"/>
      <c r="F599" s="7"/>
    </row>
    <row r="600" spans="1:6" x14ac:dyDescent="0.25">
      <c r="A600" s="7"/>
      <c r="B600" s="7"/>
      <c r="C600" s="7"/>
      <c r="D600" s="7"/>
      <c r="E600" s="7"/>
      <c r="F600" s="7"/>
    </row>
    <row r="601" spans="1:6" x14ac:dyDescent="0.25">
      <c r="A601" s="7"/>
      <c r="B601" s="7"/>
      <c r="C601" s="7"/>
      <c r="D601" s="7"/>
      <c r="E601" s="7"/>
      <c r="F601" s="7"/>
    </row>
    <row r="602" spans="1:6" x14ac:dyDescent="0.25">
      <c r="A602" s="7"/>
      <c r="B602" s="7"/>
      <c r="C602" s="7"/>
      <c r="D602" s="7"/>
      <c r="E602" s="7"/>
      <c r="F602" s="7"/>
    </row>
    <row r="603" spans="1:6" x14ac:dyDescent="0.25">
      <c r="A603" s="7"/>
      <c r="B603" s="7"/>
      <c r="C603" s="7"/>
      <c r="D603" s="7"/>
      <c r="E603" s="7"/>
      <c r="F603" s="7"/>
    </row>
    <row r="604" spans="1:6" x14ac:dyDescent="0.25">
      <c r="A604" s="7"/>
      <c r="B604" s="7"/>
      <c r="C604" s="7"/>
      <c r="D604" s="7"/>
      <c r="E604" s="7"/>
      <c r="F604" s="7"/>
    </row>
    <row r="605" spans="1:6" x14ac:dyDescent="0.25">
      <c r="A605" s="7"/>
      <c r="B605" s="7"/>
      <c r="C605" s="7"/>
      <c r="D605" s="7"/>
      <c r="E605" s="7"/>
      <c r="F605" s="7"/>
    </row>
    <row r="606" spans="1:6" x14ac:dyDescent="0.25">
      <c r="A606" s="7"/>
      <c r="B606" s="7"/>
      <c r="C606" s="7"/>
      <c r="D606" s="7"/>
      <c r="E606" s="7"/>
      <c r="F606" s="7"/>
    </row>
    <row r="607" spans="1:6" x14ac:dyDescent="0.25">
      <c r="A607" s="7"/>
      <c r="B607" s="7"/>
      <c r="C607" s="7"/>
      <c r="D607" s="7"/>
      <c r="E607" s="7"/>
      <c r="F607" s="7"/>
    </row>
    <row r="608" spans="1:6" x14ac:dyDescent="0.25">
      <c r="A608" s="7"/>
      <c r="B608" s="7"/>
      <c r="C608" s="7"/>
      <c r="D608" s="7"/>
      <c r="E608" s="7"/>
      <c r="F608" s="7"/>
    </row>
    <row r="609" spans="1:6" x14ac:dyDescent="0.25">
      <c r="A609" s="7"/>
      <c r="B609" s="7"/>
      <c r="C609" s="7"/>
      <c r="D609" s="7"/>
      <c r="E609" s="7"/>
      <c r="F609" s="7"/>
    </row>
    <row r="610" spans="1:6" x14ac:dyDescent="0.25">
      <c r="A610" s="7"/>
      <c r="B610" s="7"/>
      <c r="C610" s="7"/>
      <c r="D610" s="7"/>
      <c r="E610" s="7"/>
      <c r="F610" s="7"/>
    </row>
    <row r="611" spans="1:6" x14ac:dyDescent="0.25">
      <c r="A611" s="7"/>
      <c r="B611" s="7"/>
      <c r="C611" s="7"/>
      <c r="D611" s="7"/>
      <c r="E611" s="7"/>
      <c r="F611" s="7"/>
    </row>
    <row r="612" spans="1:6" x14ac:dyDescent="0.25">
      <c r="A612" s="7"/>
      <c r="B612" s="7"/>
      <c r="C612" s="7"/>
      <c r="D612" s="7"/>
      <c r="E612" s="7"/>
      <c r="F612" s="7"/>
    </row>
    <row r="613" spans="1:6" x14ac:dyDescent="0.25">
      <c r="A613" s="7"/>
      <c r="B613" s="7"/>
      <c r="C613" s="7"/>
      <c r="D613" s="7"/>
      <c r="E613" s="7"/>
      <c r="F613" s="7"/>
    </row>
    <row r="614" spans="1:6" x14ac:dyDescent="0.25">
      <c r="A614" s="7"/>
      <c r="B614" s="7"/>
      <c r="C614" s="7"/>
      <c r="D614" s="7"/>
      <c r="E614" s="7"/>
      <c r="F614" s="7"/>
    </row>
    <row r="615" spans="1:6" x14ac:dyDescent="0.25">
      <c r="A615" s="7"/>
      <c r="B615" s="7"/>
      <c r="C615" s="7"/>
      <c r="D615" s="7"/>
      <c r="E615" s="7"/>
      <c r="F615" s="7"/>
    </row>
    <row r="616" spans="1:6" x14ac:dyDescent="0.25">
      <c r="A616" s="7"/>
      <c r="B616" s="7"/>
      <c r="C616" s="7"/>
      <c r="D616" s="7"/>
      <c r="E616" s="7"/>
      <c r="F616" s="7"/>
    </row>
    <row r="617" spans="1:6" x14ac:dyDescent="0.25">
      <c r="A617" s="7"/>
      <c r="B617" s="7"/>
      <c r="C617" s="7"/>
      <c r="D617" s="7"/>
      <c r="E617" s="7"/>
      <c r="F617" s="7"/>
    </row>
    <row r="618" spans="1:6" x14ac:dyDescent="0.25">
      <c r="A618" s="7"/>
      <c r="B618" s="7"/>
      <c r="C618" s="7"/>
      <c r="D618" s="7"/>
      <c r="E618" s="7"/>
      <c r="F618" s="7"/>
    </row>
    <row r="619" spans="1:6" x14ac:dyDescent="0.25">
      <c r="A619" s="7"/>
      <c r="B619" s="7"/>
      <c r="C619" s="7"/>
      <c r="D619" s="7"/>
      <c r="E619" s="7"/>
      <c r="F619" s="7"/>
    </row>
    <row r="620" spans="1:6" x14ac:dyDescent="0.25">
      <c r="A620" s="7"/>
      <c r="B620" s="7"/>
      <c r="C620" s="7"/>
      <c r="D620" s="7"/>
      <c r="E620" s="7"/>
      <c r="F620" s="7"/>
    </row>
    <row r="621" spans="1:6" x14ac:dyDescent="0.25">
      <c r="A621" s="7"/>
      <c r="B621" s="7"/>
      <c r="C621" s="7"/>
      <c r="D621" s="7"/>
      <c r="E621" s="7"/>
      <c r="F621" s="7"/>
    </row>
    <row r="622" spans="1:6" x14ac:dyDescent="0.25">
      <c r="A622" s="7"/>
      <c r="B622" s="7"/>
      <c r="C622" s="7"/>
      <c r="D622" s="7"/>
      <c r="E622" s="7"/>
      <c r="F622" s="7"/>
    </row>
    <row r="623" spans="1:6" x14ac:dyDescent="0.25">
      <c r="A623" s="7"/>
      <c r="B623" s="7"/>
      <c r="C623" s="7"/>
      <c r="D623" s="7"/>
      <c r="E623" s="7"/>
      <c r="F623" s="7"/>
    </row>
    <row r="624" spans="1:6" x14ac:dyDescent="0.25">
      <c r="A624" s="7"/>
      <c r="B624" s="7"/>
      <c r="C624" s="7"/>
      <c r="D624" s="7"/>
      <c r="E624" s="7"/>
      <c r="F624" s="7"/>
    </row>
    <row r="625" spans="1:6" x14ac:dyDescent="0.25">
      <c r="A625" s="7"/>
      <c r="B625" s="7"/>
      <c r="C625" s="7"/>
      <c r="D625" s="7"/>
      <c r="E625" s="7"/>
      <c r="F625" s="7"/>
    </row>
    <row r="626" spans="1:6" x14ac:dyDescent="0.25">
      <c r="A626" s="7"/>
      <c r="B626" s="7"/>
      <c r="C626" s="7"/>
      <c r="D626" s="7"/>
      <c r="E626" s="7"/>
      <c r="F626" s="7"/>
    </row>
    <row r="627" spans="1:6" x14ac:dyDescent="0.25">
      <c r="A627" s="7"/>
      <c r="B627" s="7"/>
      <c r="C627" s="7"/>
      <c r="D627" s="7"/>
      <c r="E627" s="7"/>
      <c r="F627" s="7"/>
    </row>
    <row r="628" spans="1:6" x14ac:dyDescent="0.25">
      <c r="A628" s="7"/>
      <c r="B628" s="7"/>
      <c r="C628" s="7"/>
      <c r="D628" s="7"/>
      <c r="E628" s="7"/>
      <c r="F628" s="7"/>
    </row>
    <row r="629" spans="1:6" x14ac:dyDescent="0.25">
      <c r="A629" s="7"/>
      <c r="B629" s="7"/>
      <c r="C629" s="7"/>
      <c r="D629" s="7"/>
      <c r="E629" s="7"/>
      <c r="F629" s="7"/>
    </row>
    <row r="630" spans="1:6" x14ac:dyDescent="0.25">
      <c r="A630" s="7"/>
      <c r="B630" s="7"/>
      <c r="C630" s="7"/>
      <c r="D630" s="7"/>
      <c r="E630" s="7"/>
      <c r="F630" s="7"/>
    </row>
    <row r="631" spans="1:6" x14ac:dyDescent="0.25">
      <c r="A631" s="7"/>
      <c r="B631" s="7"/>
      <c r="C631" s="7"/>
      <c r="D631" s="7"/>
      <c r="E631" s="7"/>
      <c r="F631" s="7"/>
    </row>
    <row r="632" spans="1:6" x14ac:dyDescent="0.25">
      <c r="A632" s="7"/>
      <c r="B632" s="7"/>
      <c r="C632" s="7"/>
      <c r="D632" s="7"/>
      <c r="E632" s="7"/>
      <c r="F632" s="7"/>
    </row>
    <row r="633" spans="1:6" x14ac:dyDescent="0.25">
      <c r="A633" s="7"/>
      <c r="B633" s="7"/>
      <c r="C633" s="7"/>
      <c r="D633" s="7"/>
      <c r="E633" s="7"/>
      <c r="F633" s="7"/>
    </row>
    <row r="634" spans="1:6" x14ac:dyDescent="0.25">
      <c r="A634" s="7"/>
      <c r="B634" s="7"/>
      <c r="C634" s="7"/>
      <c r="D634" s="7"/>
      <c r="E634" s="7"/>
      <c r="F634" s="7"/>
    </row>
    <row r="635" spans="1:6" x14ac:dyDescent="0.25">
      <c r="A635" s="7"/>
      <c r="B635" s="7"/>
      <c r="C635" s="7"/>
      <c r="D635" s="7"/>
      <c r="E635" s="7"/>
      <c r="F635" s="7"/>
    </row>
    <row r="636" spans="1:6" x14ac:dyDescent="0.25">
      <c r="A636" s="7"/>
      <c r="B636" s="7"/>
      <c r="C636" s="7"/>
      <c r="D636" s="7"/>
      <c r="E636" s="7"/>
      <c r="F636" s="7"/>
    </row>
    <row r="637" spans="1:6" x14ac:dyDescent="0.25">
      <c r="A637" s="7"/>
      <c r="B637" s="7"/>
      <c r="C637" s="7"/>
      <c r="D637" s="7"/>
      <c r="E637" s="7"/>
      <c r="F637" s="7"/>
    </row>
    <row r="638" spans="1:6" x14ac:dyDescent="0.25">
      <c r="A638" s="7"/>
      <c r="B638" s="7"/>
      <c r="C638" s="7"/>
      <c r="D638" s="7"/>
      <c r="E638" s="7"/>
      <c r="F638" s="7"/>
    </row>
    <row r="639" spans="1:6" x14ac:dyDescent="0.25">
      <c r="A639" s="7"/>
      <c r="B639" s="7"/>
      <c r="C639" s="7"/>
      <c r="D639" s="7"/>
      <c r="E639" s="7"/>
      <c r="F639" s="7"/>
    </row>
    <row r="640" spans="1:6" x14ac:dyDescent="0.25">
      <c r="A640" s="7"/>
      <c r="B640" s="7"/>
      <c r="C640" s="7"/>
      <c r="D640" s="7"/>
      <c r="E640" s="7"/>
      <c r="F640" s="7"/>
    </row>
    <row r="641" spans="1:6" x14ac:dyDescent="0.25">
      <c r="A641" s="7"/>
      <c r="B641" s="7"/>
      <c r="C641" s="7"/>
      <c r="D641" s="7"/>
      <c r="E641" s="7"/>
      <c r="F641" s="7"/>
    </row>
    <row r="642" spans="1:6" x14ac:dyDescent="0.25">
      <c r="A642" s="7"/>
      <c r="B642" s="7"/>
      <c r="C642" s="7"/>
      <c r="D642" s="7"/>
      <c r="E642" s="7"/>
      <c r="F642" s="7"/>
    </row>
    <row r="643" spans="1:6" x14ac:dyDescent="0.25">
      <c r="A643" s="7"/>
      <c r="B643" s="7"/>
      <c r="C643" s="7"/>
      <c r="D643" s="7"/>
      <c r="E643" s="7"/>
      <c r="F643" s="7"/>
    </row>
    <row r="644" spans="1:6" x14ac:dyDescent="0.25">
      <c r="A644" s="7"/>
      <c r="B644" s="7"/>
      <c r="C644" s="7"/>
      <c r="D644" s="7"/>
      <c r="E644" s="7"/>
      <c r="F644" s="7"/>
    </row>
    <row r="645" spans="1:6" x14ac:dyDescent="0.25">
      <c r="A645" s="7"/>
      <c r="B645" s="7"/>
      <c r="C645" s="7"/>
      <c r="D645" s="7"/>
      <c r="E645" s="7"/>
      <c r="F645" s="7"/>
    </row>
    <row r="646" spans="1:6" x14ac:dyDescent="0.25">
      <c r="A646" s="7"/>
      <c r="B646" s="7"/>
      <c r="C646" s="7"/>
      <c r="D646" s="7"/>
      <c r="E646" s="7"/>
      <c r="F646" s="7"/>
    </row>
    <row r="647" spans="1:6" x14ac:dyDescent="0.25">
      <c r="A647" s="7"/>
      <c r="B647" s="7"/>
      <c r="C647" s="7"/>
      <c r="D647" s="7"/>
      <c r="E647" s="7"/>
      <c r="F647" s="7"/>
    </row>
    <row r="648" spans="1:6" x14ac:dyDescent="0.25">
      <c r="A648" s="7"/>
      <c r="B648" s="7"/>
      <c r="C648" s="7"/>
      <c r="D648" s="7"/>
      <c r="E648" s="7"/>
      <c r="F648" s="7"/>
    </row>
    <row r="649" spans="1:6" x14ac:dyDescent="0.25">
      <c r="A649" s="7"/>
      <c r="B649" s="7"/>
      <c r="C649" s="7"/>
      <c r="D649" s="7"/>
      <c r="E649" s="7"/>
      <c r="F649" s="7"/>
    </row>
    <row r="650" spans="1:6" x14ac:dyDescent="0.25">
      <c r="A650" s="7"/>
      <c r="B650" s="7"/>
      <c r="C650" s="7"/>
      <c r="D650" s="7"/>
      <c r="E650" s="7"/>
      <c r="F650" s="7"/>
    </row>
    <row r="651" spans="1:6" x14ac:dyDescent="0.25">
      <c r="A651" s="7"/>
      <c r="B651" s="7"/>
      <c r="C651" s="7"/>
      <c r="D651" s="7"/>
      <c r="E651" s="7"/>
      <c r="F651" s="7"/>
    </row>
    <row r="652" spans="1:6" x14ac:dyDescent="0.25">
      <c r="A652" s="7"/>
      <c r="B652" s="7"/>
      <c r="C652" s="7"/>
      <c r="D652" s="7"/>
      <c r="E652" s="7"/>
      <c r="F652" s="7"/>
    </row>
    <row r="653" spans="1:6" x14ac:dyDescent="0.25">
      <c r="A653" s="7"/>
      <c r="B653" s="7"/>
      <c r="C653" s="7"/>
      <c r="D653" s="7"/>
      <c r="E653" s="7"/>
      <c r="F653" s="7"/>
    </row>
    <row r="654" spans="1:6" x14ac:dyDescent="0.25">
      <c r="A654" s="7"/>
      <c r="B654" s="7"/>
      <c r="C654" s="7"/>
      <c r="D654" s="7"/>
      <c r="E654" s="7"/>
      <c r="F654" s="7"/>
    </row>
    <row r="655" spans="1:6" x14ac:dyDescent="0.25">
      <c r="A655" s="7"/>
      <c r="B655" s="7"/>
      <c r="C655" s="7"/>
      <c r="D655" s="7"/>
      <c r="E655" s="7"/>
      <c r="F655" s="7"/>
    </row>
    <row r="656" spans="1:6" x14ac:dyDescent="0.25">
      <c r="A656" s="7"/>
      <c r="B656" s="7"/>
      <c r="C656" s="7"/>
      <c r="D656" s="7"/>
      <c r="E656" s="7"/>
      <c r="F656" s="7"/>
    </row>
    <row r="657" spans="1:6" x14ac:dyDescent="0.25">
      <c r="A657" s="7"/>
      <c r="B657" s="7"/>
      <c r="C657" s="7"/>
      <c r="D657" s="7"/>
      <c r="E657" s="7"/>
      <c r="F657" s="7"/>
    </row>
    <row r="658" spans="1:6" x14ac:dyDescent="0.25">
      <c r="A658" s="7"/>
      <c r="B658" s="7"/>
      <c r="C658" s="7"/>
      <c r="D658" s="7"/>
      <c r="E658" s="7"/>
      <c r="F658" s="7"/>
    </row>
    <row r="659" spans="1:6" x14ac:dyDescent="0.25">
      <c r="A659" s="7"/>
      <c r="B659" s="7"/>
      <c r="C659" s="7"/>
      <c r="D659" s="7"/>
      <c r="E659" s="7"/>
      <c r="F659" s="7"/>
    </row>
    <row r="660" spans="1:6" x14ac:dyDescent="0.25">
      <c r="A660" s="7"/>
      <c r="B660" s="7"/>
      <c r="C660" s="7"/>
      <c r="D660" s="7"/>
      <c r="E660" s="7"/>
      <c r="F660" s="7"/>
    </row>
    <row r="661" spans="1:6" x14ac:dyDescent="0.25">
      <c r="A661" s="7"/>
      <c r="B661" s="7"/>
      <c r="C661" s="7"/>
      <c r="D661" s="7"/>
      <c r="E661" s="7"/>
      <c r="F661" s="7"/>
    </row>
    <row r="662" spans="1:6" x14ac:dyDescent="0.25">
      <c r="A662" s="7"/>
      <c r="B662" s="7"/>
      <c r="C662" s="7"/>
      <c r="D662" s="7"/>
      <c r="E662" s="7"/>
      <c r="F662" s="7"/>
    </row>
    <row r="663" spans="1:6" x14ac:dyDescent="0.25">
      <c r="A663" s="7"/>
      <c r="B663" s="7"/>
      <c r="C663" s="7"/>
      <c r="D663" s="7"/>
      <c r="E663" s="7"/>
      <c r="F663" s="7"/>
    </row>
    <row r="664" spans="1:6" x14ac:dyDescent="0.25">
      <c r="A664" s="7"/>
      <c r="B664" s="7"/>
      <c r="C664" s="7"/>
      <c r="D664" s="7"/>
      <c r="E664" s="7"/>
      <c r="F664" s="7"/>
    </row>
    <row r="665" spans="1:6" x14ac:dyDescent="0.25">
      <c r="A665" s="7"/>
      <c r="B665" s="7"/>
      <c r="C665" s="7"/>
      <c r="D665" s="7"/>
      <c r="E665" s="7"/>
      <c r="F665" s="7"/>
    </row>
    <row r="666" spans="1:6" x14ac:dyDescent="0.25">
      <c r="A666" s="7"/>
      <c r="B666" s="7"/>
      <c r="C666" s="7"/>
      <c r="D666" s="7"/>
      <c r="E666" s="7"/>
      <c r="F666" s="7"/>
    </row>
    <row r="667" spans="1:6" x14ac:dyDescent="0.25">
      <c r="A667" s="7"/>
      <c r="B667" s="7"/>
      <c r="C667" s="7"/>
      <c r="D667" s="7"/>
      <c r="E667" s="7"/>
      <c r="F667" s="7"/>
    </row>
    <row r="668" spans="1:6" x14ac:dyDescent="0.25">
      <c r="A668" s="7"/>
      <c r="B668" s="7"/>
      <c r="C668" s="7"/>
      <c r="D668" s="7"/>
      <c r="E668" s="7"/>
      <c r="F668" s="7"/>
    </row>
    <row r="669" spans="1:6" x14ac:dyDescent="0.25">
      <c r="A669" s="7"/>
      <c r="B669" s="7"/>
      <c r="C669" s="7"/>
      <c r="D669" s="7"/>
      <c r="E669" s="7"/>
      <c r="F669" s="7"/>
    </row>
    <row r="670" spans="1:6" x14ac:dyDescent="0.25">
      <c r="A670" s="7"/>
      <c r="B670" s="7"/>
      <c r="C670" s="7"/>
      <c r="D670" s="7"/>
      <c r="E670" s="7"/>
      <c r="F670" s="7"/>
    </row>
    <row r="671" spans="1:6" x14ac:dyDescent="0.25">
      <c r="A671" s="7"/>
      <c r="B671" s="7"/>
      <c r="C671" s="7"/>
      <c r="D671" s="7"/>
      <c r="E671" s="7"/>
      <c r="F671" s="7"/>
    </row>
    <row r="672" spans="1:6" x14ac:dyDescent="0.25">
      <c r="A672" s="7"/>
      <c r="B672" s="7"/>
      <c r="C672" s="7"/>
      <c r="D672" s="7"/>
      <c r="E672" s="7"/>
      <c r="F672" s="7"/>
    </row>
    <row r="673" spans="1:6" x14ac:dyDescent="0.25">
      <c r="A673" s="7"/>
      <c r="B673" s="7"/>
      <c r="C673" s="7"/>
      <c r="D673" s="7"/>
      <c r="E673" s="7"/>
      <c r="F673" s="7"/>
    </row>
    <row r="674" spans="1:6" x14ac:dyDescent="0.25">
      <c r="A674" s="7"/>
      <c r="B674" s="7"/>
      <c r="C674" s="7"/>
      <c r="D674" s="7"/>
      <c r="E674" s="7"/>
      <c r="F674" s="7"/>
    </row>
    <row r="675" spans="1:6" x14ac:dyDescent="0.25">
      <c r="A675" s="7"/>
      <c r="B675" s="7"/>
      <c r="C675" s="7"/>
      <c r="D675" s="7"/>
      <c r="E675" s="7"/>
      <c r="F675" s="7"/>
    </row>
    <row r="676" spans="1:6" x14ac:dyDescent="0.25">
      <c r="A676" s="7"/>
      <c r="B676" s="7"/>
      <c r="C676" s="7"/>
      <c r="D676" s="7"/>
      <c r="E676" s="7"/>
      <c r="F676" s="7"/>
    </row>
    <row r="677" spans="1:6" x14ac:dyDescent="0.25">
      <c r="A677" s="7"/>
      <c r="B677" s="7"/>
      <c r="C677" s="7"/>
      <c r="D677" s="7"/>
      <c r="E677" s="7"/>
      <c r="F677" s="7"/>
    </row>
    <row r="678" spans="1:6" x14ac:dyDescent="0.25">
      <c r="A678" s="7"/>
      <c r="B678" s="7"/>
      <c r="C678" s="7"/>
      <c r="D678" s="7"/>
      <c r="E678" s="7"/>
      <c r="F678" s="7"/>
    </row>
    <row r="679" spans="1:6" x14ac:dyDescent="0.25">
      <c r="A679" s="7"/>
      <c r="B679" s="7"/>
      <c r="C679" s="7"/>
      <c r="D679" s="7"/>
      <c r="E679" s="7"/>
      <c r="F679" s="7"/>
    </row>
    <row r="680" spans="1:6" x14ac:dyDescent="0.25">
      <c r="A680" s="7"/>
      <c r="B680" s="7"/>
      <c r="C680" s="7"/>
      <c r="D680" s="7"/>
      <c r="E680" s="7"/>
      <c r="F680" s="7"/>
    </row>
    <row r="681" spans="1:6" x14ac:dyDescent="0.25">
      <c r="A681" s="7"/>
      <c r="B681" s="7"/>
      <c r="C681" s="7"/>
      <c r="D681" s="7"/>
      <c r="E681" s="7"/>
      <c r="F681" s="7"/>
    </row>
    <row r="682" spans="1:6" x14ac:dyDescent="0.25">
      <c r="A682" s="7"/>
      <c r="B682" s="7"/>
      <c r="C682" s="7"/>
      <c r="D682" s="7"/>
      <c r="E682" s="7"/>
      <c r="F682" s="7"/>
    </row>
    <row r="683" spans="1:6" x14ac:dyDescent="0.25">
      <c r="A683" s="7"/>
      <c r="B683" s="7"/>
      <c r="C683" s="7"/>
      <c r="D683" s="7"/>
      <c r="E683" s="7"/>
      <c r="F683" s="7"/>
    </row>
    <row r="684" spans="1:6" x14ac:dyDescent="0.25">
      <c r="A684" s="7"/>
      <c r="B684" s="7"/>
      <c r="C684" s="7"/>
      <c r="D684" s="7"/>
      <c r="E684" s="7"/>
      <c r="F684" s="7"/>
    </row>
    <row r="685" spans="1:6" x14ac:dyDescent="0.25">
      <c r="A685" s="7"/>
      <c r="B685" s="7"/>
      <c r="C685" s="7"/>
      <c r="D685" s="7"/>
      <c r="E685" s="7"/>
      <c r="F685" s="7"/>
    </row>
    <row r="686" spans="1:6" x14ac:dyDescent="0.25">
      <c r="A686" s="7"/>
      <c r="B686" s="7"/>
      <c r="C686" s="7"/>
      <c r="D686" s="7"/>
      <c r="E686" s="7"/>
      <c r="F686" s="7"/>
    </row>
    <row r="687" spans="1:6" x14ac:dyDescent="0.25">
      <c r="A687" s="7"/>
      <c r="B687" s="7"/>
      <c r="C687" s="7"/>
      <c r="D687" s="7"/>
      <c r="E687" s="7"/>
      <c r="F687" s="7"/>
    </row>
    <row r="688" spans="1:6" x14ac:dyDescent="0.25">
      <c r="A688" s="7"/>
      <c r="B688" s="7"/>
      <c r="C688" s="7"/>
      <c r="D688" s="7"/>
      <c r="E688" s="7"/>
      <c r="F688" s="7"/>
    </row>
    <row r="689" spans="1:6" x14ac:dyDescent="0.25">
      <c r="A689" s="7"/>
      <c r="B689" s="7"/>
      <c r="C689" s="7"/>
      <c r="D689" s="7"/>
      <c r="E689" s="7"/>
      <c r="F689" s="7"/>
    </row>
    <row r="690" spans="1:6" x14ac:dyDescent="0.25">
      <c r="A690" s="7"/>
      <c r="B690" s="7"/>
      <c r="C690" s="7"/>
      <c r="D690" s="7"/>
      <c r="E690" s="7"/>
      <c r="F690" s="7"/>
    </row>
    <row r="691" spans="1:6" x14ac:dyDescent="0.25">
      <c r="A691" s="7"/>
      <c r="B691" s="7"/>
      <c r="C691" s="7"/>
      <c r="D691" s="7"/>
      <c r="E691" s="7"/>
      <c r="F691" s="7"/>
    </row>
    <row r="692" spans="1:6" x14ac:dyDescent="0.25">
      <c r="A692" s="7"/>
      <c r="B692" s="7"/>
      <c r="C692" s="7"/>
      <c r="D692" s="7"/>
      <c r="E692" s="7"/>
      <c r="F692" s="7"/>
    </row>
    <row r="693" spans="1:6" x14ac:dyDescent="0.25">
      <c r="A693" s="7"/>
      <c r="B693" s="7"/>
      <c r="C693" s="7"/>
      <c r="D693" s="7"/>
      <c r="E693" s="7"/>
      <c r="F693" s="7"/>
    </row>
    <row r="694" spans="1:6" x14ac:dyDescent="0.25">
      <c r="A694" s="7"/>
      <c r="B694" s="7"/>
      <c r="C694" s="7"/>
      <c r="D694" s="7"/>
      <c r="E694" s="7"/>
      <c r="F694" s="7"/>
    </row>
    <row r="695" spans="1:6" x14ac:dyDescent="0.25">
      <c r="A695" s="7"/>
      <c r="B695" s="7"/>
      <c r="C695" s="7"/>
      <c r="D695" s="7"/>
      <c r="E695" s="7"/>
      <c r="F695" s="7"/>
    </row>
    <row r="696" spans="1:6" x14ac:dyDescent="0.25">
      <c r="A696" s="7"/>
      <c r="B696" s="7"/>
      <c r="C696" s="7"/>
      <c r="D696" s="7"/>
      <c r="E696" s="7"/>
      <c r="F696" s="7"/>
    </row>
    <row r="697" spans="1:6" x14ac:dyDescent="0.25">
      <c r="A697" s="7"/>
      <c r="B697" s="7"/>
      <c r="C697" s="7"/>
      <c r="D697" s="7"/>
      <c r="E697" s="7"/>
      <c r="F697" s="7"/>
    </row>
    <row r="698" spans="1:6" x14ac:dyDescent="0.25">
      <c r="A698" s="7"/>
      <c r="B698" s="7"/>
      <c r="C698" s="7"/>
      <c r="D698" s="7"/>
      <c r="E698" s="7"/>
      <c r="F698" s="7"/>
    </row>
    <row r="699" spans="1:6" x14ac:dyDescent="0.25">
      <c r="A699" s="7"/>
      <c r="B699" s="7"/>
      <c r="C699" s="7"/>
      <c r="D699" s="7"/>
      <c r="E699" s="7"/>
      <c r="F699" s="7"/>
    </row>
    <row r="700" spans="1:6" x14ac:dyDescent="0.25">
      <c r="A700" s="7"/>
      <c r="B700" s="7"/>
      <c r="C700" s="7"/>
      <c r="D700" s="7"/>
      <c r="E700" s="7"/>
      <c r="F700" s="7"/>
    </row>
    <row r="701" spans="1:6" x14ac:dyDescent="0.25">
      <c r="A701" s="7"/>
      <c r="B701" s="7"/>
      <c r="C701" s="7"/>
      <c r="D701" s="7"/>
      <c r="E701" s="7"/>
      <c r="F701" s="7"/>
    </row>
    <row r="702" spans="1:6" x14ac:dyDescent="0.25">
      <c r="A702" s="7"/>
      <c r="B702" s="7"/>
      <c r="C702" s="7"/>
      <c r="D702" s="7"/>
      <c r="E702" s="7"/>
      <c r="F702" s="7"/>
    </row>
    <row r="703" spans="1:6" x14ac:dyDescent="0.25">
      <c r="A703" s="7"/>
      <c r="B703" s="7"/>
      <c r="C703" s="7"/>
      <c r="D703" s="7"/>
      <c r="E703" s="7"/>
      <c r="F703" s="7"/>
    </row>
    <row r="704" spans="1:6" x14ac:dyDescent="0.25">
      <c r="A704" s="7"/>
      <c r="B704" s="7"/>
      <c r="C704" s="7"/>
      <c r="D704" s="7"/>
      <c r="E704" s="7"/>
      <c r="F704" s="7"/>
    </row>
    <row r="705" spans="1:6" x14ac:dyDescent="0.25">
      <c r="A705" s="7"/>
      <c r="B705" s="7"/>
      <c r="C705" s="7"/>
      <c r="D705" s="7"/>
      <c r="E705" s="7"/>
      <c r="F705" s="7"/>
    </row>
    <row r="706" spans="1:6" x14ac:dyDescent="0.25">
      <c r="A706" s="7"/>
      <c r="B706" s="7"/>
      <c r="C706" s="7"/>
      <c r="D706" s="7"/>
      <c r="E706" s="7"/>
      <c r="F706" s="7"/>
    </row>
    <row r="707" spans="1:6" x14ac:dyDescent="0.25">
      <c r="A707" s="7"/>
      <c r="B707" s="7"/>
      <c r="C707" s="7"/>
      <c r="D707" s="7"/>
      <c r="E707" s="7"/>
      <c r="F707" s="7"/>
    </row>
    <row r="708" spans="1:6" x14ac:dyDescent="0.25">
      <c r="A708" s="7"/>
      <c r="B708" s="7"/>
      <c r="C708" s="7"/>
      <c r="D708" s="7"/>
      <c r="E708" s="7"/>
      <c r="F708" s="7"/>
    </row>
    <row r="709" spans="1:6" x14ac:dyDescent="0.25">
      <c r="A709" s="7"/>
      <c r="B709" s="7"/>
      <c r="C709" s="7"/>
      <c r="D709" s="7"/>
      <c r="E709" s="7"/>
      <c r="F709" s="7"/>
    </row>
    <row r="710" spans="1:6" x14ac:dyDescent="0.25">
      <c r="A710" s="7"/>
      <c r="B710" s="7"/>
      <c r="C710" s="7"/>
      <c r="D710" s="7"/>
      <c r="E710" s="7"/>
      <c r="F710" s="7"/>
    </row>
    <row r="711" spans="1:6" x14ac:dyDescent="0.25">
      <c r="A711" s="7"/>
      <c r="B711" s="7"/>
      <c r="C711" s="7"/>
      <c r="D711" s="7"/>
      <c r="E711" s="7"/>
      <c r="F711" s="7"/>
    </row>
    <row r="712" spans="1:6" x14ac:dyDescent="0.25">
      <c r="A712" s="7"/>
      <c r="B712" s="7"/>
      <c r="C712" s="7"/>
      <c r="D712" s="7"/>
      <c r="E712" s="7"/>
      <c r="F712" s="7"/>
    </row>
    <row r="713" spans="1:6" x14ac:dyDescent="0.25">
      <c r="A713" s="7"/>
      <c r="B713" s="7"/>
      <c r="C713" s="7"/>
      <c r="D713" s="7"/>
      <c r="E713" s="7"/>
      <c r="F713" s="7"/>
    </row>
    <row r="714" spans="1:6" x14ac:dyDescent="0.25">
      <c r="A714" s="7"/>
      <c r="B714" s="7"/>
      <c r="C714" s="7"/>
      <c r="D714" s="7"/>
      <c r="E714" s="7"/>
      <c r="F714" s="7"/>
    </row>
    <row r="715" spans="1:6" x14ac:dyDescent="0.25">
      <c r="A715" s="7"/>
      <c r="B715" s="7"/>
      <c r="C715" s="7"/>
      <c r="D715" s="7"/>
      <c r="E715" s="7"/>
      <c r="F715" s="7"/>
    </row>
    <row r="716" spans="1:6" x14ac:dyDescent="0.25">
      <c r="A716" s="7"/>
      <c r="B716" s="7"/>
      <c r="C716" s="7"/>
      <c r="D716" s="7"/>
      <c r="E716" s="7"/>
      <c r="F716" s="7"/>
    </row>
    <row r="717" spans="1:6" x14ac:dyDescent="0.25">
      <c r="A717" s="7"/>
      <c r="B717" s="7"/>
      <c r="C717" s="7"/>
      <c r="D717" s="7"/>
      <c r="E717" s="7"/>
      <c r="F717" s="7"/>
    </row>
    <row r="718" spans="1:6" x14ac:dyDescent="0.25">
      <c r="A718" s="7"/>
      <c r="B718" s="7"/>
      <c r="C718" s="7"/>
      <c r="D718" s="7"/>
      <c r="E718" s="7"/>
      <c r="F718" s="7"/>
    </row>
    <row r="719" spans="1:6" x14ac:dyDescent="0.25">
      <c r="A719" s="7"/>
      <c r="B719" s="7"/>
      <c r="C719" s="7"/>
      <c r="D719" s="7"/>
      <c r="E719" s="7"/>
      <c r="F719" s="7"/>
    </row>
    <row r="720" spans="1:6" x14ac:dyDescent="0.25">
      <c r="A720" s="7"/>
      <c r="B720" s="7"/>
      <c r="C720" s="7"/>
      <c r="D720" s="7"/>
      <c r="E720" s="7"/>
      <c r="F720" s="7"/>
    </row>
    <row r="721" spans="1:6" x14ac:dyDescent="0.25">
      <c r="A721" s="7"/>
      <c r="B721" s="7"/>
      <c r="C721" s="7"/>
      <c r="D721" s="7"/>
      <c r="E721" s="7"/>
      <c r="F721" s="7"/>
    </row>
    <row r="722" spans="1:6" x14ac:dyDescent="0.25">
      <c r="A722" s="7"/>
      <c r="B722" s="7"/>
      <c r="C722" s="7"/>
      <c r="D722" s="7"/>
      <c r="E722" s="7"/>
      <c r="F722" s="7"/>
    </row>
    <row r="723" spans="1:6" x14ac:dyDescent="0.25">
      <c r="A723" s="7"/>
      <c r="B723" s="7"/>
      <c r="C723" s="7"/>
      <c r="D723" s="7"/>
      <c r="E723" s="7"/>
      <c r="F723" s="7"/>
    </row>
    <row r="724" spans="1:6" x14ac:dyDescent="0.25">
      <c r="A724" s="7"/>
      <c r="B724" s="7"/>
      <c r="C724" s="7"/>
      <c r="D724" s="7"/>
      <c r="E724" s="7"/>
      <c r="F724" s="7"/>
    </row>
    <row r="725" spans="1:6" x14ac:dyDescent="0.25">
      <c r="A725" s="7"/>
      <c r="B725" s="7"/>
      <c r="C725" s="7"/>
      <c r="D725" s="7"/>
      <c r="E725" s="7"/>
      <c r="F725" s="7"/>
    </row>
    <row r="726" spans="1:6" x14ac:dyDescent="0.25">
      <c r="A726" s="7"/>
      <c r="B726" s="7"/>
      <c r="C726" s="7"/>
      <c r="D726" s="7"/>
      <c r="E726" s="7"/>
      <c r="F726" s="7"/>
    </row>
    <row r="727" spans="1:6" x14ac:dyDescent="0.25">
      <c r="A727" s="7"/>
      <c r="B727" s="7"/>
      <c r="C727" s="7"/>
      <c r="D727" s="7"/>
      <c r="E727" s="7"/>
      <c r="F727" s="7"/>
    </row>
    <row r="728" spans="1:6" x14ac:dyDescent="0.25">
      <c r="A728" s="7"/>
      <c r="B728" s="7"/>
      <c r="C728" s="7"/>
      <c r="D728" s="7"/>
      <c r="E728" s="7"/>
      <c r="F728" s="7"/>
    </row>
    <row r="729" spans="1:6" x14ac:dyDescent="0.25">
      <c r="A729" s="7"/>
      <c r="B729" s="7"/>
      <c r="C729" s="7"/>
      <c r="D729" s="7"/>
      <c r="E729" s="7"/>
      <c r="F729" s="7"/>
    </row>
    <row r="730" spans="1:6" x14ac:dyDescent="0.25">
      <c r="A730" s="7"/>
      <c r="B730" s="7"/>
      <c r="C730" s="7"/>
      <c r="D730" s="7"/>
      <c r="E730" s="7"/>
      <c r="F730" s="7"/>
    </row>
    <row r="731" spans="1:6" x14ac:dyDescent="0.25">
      <c r="A731" s="7"/>
      <c r="B731" s="7"/>
      <c r="C731" s="7"/>
      <c r="D731" s="7"/>
      <c r="E731" s="7"/>
      <c r="F731" s="7"/>
    </row>
    <row r="732" spans="1:6" x14ac:dyDescent="0.25">
      <c r="A732" s="7"/>
      <c r="B732" s="7"/>
      <c r="C732" s="7"/>
      <c r="D732" s="7"/>
      <c r="E732" s="7"/>
      <c r="F732" s="7"/>
    </row>
    <row r="733" spans="1:6" x14ac:dyDescent="0.25">
      <c r="A733" s="7"/>
      <c r="B733" s="7"/>
      <c r="C733" s="7"/>
      <c r="D733" s="7"/>
      <c r="E733" s="7"/>
      <c r="F733" s="7"/>
    </row>
    <row r="734" spans="1:6" x14ac:dyDescent="0.25">
      <c r="A734" s="7"/>
      <c r="B734" s="7"/>
      <c r="C734" s="7"/>
      <c r="D734" s="7"/>
      <c r="E734" s="7"/>
      <c r="F734" s="7"/>
    </row>
    <row r="735" spans="1:6" x14ac:dyDescent="0.25">
      <c r="A735" s="7"/>
      <c r="B735" s="7"/>
      <c r="C735" s="7"/>
      <c r="D735" s="7"/>
      <c r="E735" s="7"/>
      <c r="F735" s="7"/>
    </row>
    <row r="736" spans="1:6" x14ac:dyDescent="0.25">
      <c r="A736" s="7"/>
      <c r="B736" s="7"/>
      <c r="C736" s="7"/>
      <c r="D736" s="7"/>
      <c r="E736" s="7"/>
      <c r="F736" s="7"/>
    </row>
    <row r="737" spans="1:6" x14ac:dyDescent="0.25">
      <c r="A737" s="7"/>
      <c r="B737" s="7"/>
      <c r="C737" s="7"/>
      <c r="D737" s="7"/>
      <c r="E737" s="7"/>
      <c r="F737" s="7"/>
    </row>
    <row r="738" spans="1:6" x14ac:dyDescent="0.25">
      <c r="A738" s="7"/>
      <c r="B738" s="7"/>
      <c r="C738" s="7"/>
      <c r="D738" s="7"/>
      <c r="E738" s="7"/>
      <c r="F738" s="7"/>
    </row>
    <row r="739" spans="1:6" x14ac:dyDescent="0.25">
      <c r="A739" s="7"/>
      <c r="B739" s="7"/>
      <c r="C739" s="7"/>
      <c r="D739" s="7"/>
      <c r="E739" s="7"/>
      <c r="F739" s="7"/>
    </row>
    <row r="740" spans="1:6" x14ac:dyDescent="0.25">
      <c r="A740" s="7"/>
      <c r="B740" s="7"/>
      <c r="C740" s="7"/>
      <c r="D740" s="7"/>
      <c r="E740" s="7"/>
      <c r="F740" s="7"/>
    </row>
    <row r="741" spans="1:6" x14ac:dyDescent="0.25">
      <c r="A741" s="7"/>
      <c r="B741" s="7"/>
      <c r="C741" s="7"/>
      <c r="D741" s="7"/>
      <c r="E741" s="7"/>
      <c r="F741" s="7"/>
    </row>
    <row r="742" spans="1:6" x14ac:dyDescent="0.25">
      <c r="A742" s="7"/>
      <c r="B742" s="7"/>
      <c r="C742" s="7"/>
      <c r="D742" s="7"/>
      <c r="E742" s="7"/>
      <c r="F742" s="7"/>
    </row>
    <row r="743" spans="1:6" x14ac:dyDescent="0.25">
      <c r="A743" s="7"/>
      <c r="B743" s="7"/>
      <c r="C743" s="7"/>
      <c r="D743" s="7"/>
      <c r="E743" s="7"/>
      <c r="F743" s="7"/>
    </row>
    <row r="744" spans="1:6" x14ac:dyDescent="0.25">
      <c r="A744" s="7"/>
      <c r="B744" s="7"/>
      <c r="C744" s="7"/>
      <c r="D744" s="7"/>
      <c r="E744" s="7"/>
      <c r="F744" s="7"/>
    </row>
    <row r="745" spans="1:6" x14ac:dyDescent="0.25">
      <c r="A745" s="7"/>
      <c r="B745" s="7"/>
      <c r="C745" s="7"/>
      <c r="D745" s="7"/>
      <c r="E745" s="7"/>
      <c r="F745" s="7"/>
    </row>
    <row r="746" spans="1:6" x14ac:dyDescent="0.25">
      <c r="A746" s="7"/>
      <c r="B746" s="7"/>
      <c r="C746" s="7"/>
      <c r="D746" s="7"/>
      <c r="E746" s="7"/>
      <c r="F746" s="7"/>
    </row>
    <row r="747" spans="1:6" x14ac:dyDescent="0.25">
      <c r="A747" s="7"/>
      <c r="B747" s="7"/>
      <c r="C747" s="7"/>
      <c r="D747" s="7"/>
      <c r="E747" s="7"/>
      <c r="F747" s="7"/>
    </row>
    <row r="748" spans="1:6" x14ac:dyDescent="0.25">
      <c r="A748" s="7"/>
      <c r="B748" s="7"/>
      <c r="C748" s="7"/>
      <c r="D748" s="7"/>
      <c r="E748" s="7"/>
      <c r="F748" s="7"/>
    </row>
    <row r="749" spans="1:6" x14ac:dyDescent="0.25">
      <c r="A749" s="7"/>
      <c r="B749" s="7"/>
      <c r="C749" s="7"/>
      <c r="D749" s="7"/>
      <c r="E749" s="7"/>
      <c r="F749" s="7"/>
    </row>
    <row r="750" spans="1:6" x14ac:dyDescent="0.25">
      <c r="A750" s="7"/>
      <c r="B750" s="7"/>
      <c r="C750" s="7"/>
      <c r="D750" s="7"/>
      <c r="E750" s="7"/>
      <c r="F750" s="7"/>
    </row>
    <row r="751" spans="1:6" x14ac:dyDescent="0.25">
      <c r="A751" s="7"/>
      <c r="B751" s="7"/>
      <c r="C751" s="7"/>
      <c r="D751" s="7"/>
      <c r="E751" s="7"/>
      <c r="F751" s="7"/>
    </row>
    <row r="752" spans="1:6" x14ac:dyDescent="0.25">
      <c r="A752" s="7"/>
      <c r="B752" s="7"/>
      <c r="C752" s="7"/>
      <c r="D752" s="7"/>
      <c r="E752" s="7"/>
      <c r="F752" s="7"/>
    </row>
    <row r="753" spans="1:6" x14ac:dyDescent="0.25">
      <c r="A753" s="7"/>
      <c r="B753" s="7"/>
      <c r="C753" s="7"/>
      <c r="D753" s="7"/>
      <c r="E753" s="7"/>
      <c r="F753" s="7"/>
    </row>
    <row r="754" spans="1:6" x14ac:dyDescent="0.25">
      <c r="A754" s="7"/>
      <c r="B754" s="7"/>
      <c r="C754" s="7"/>
      <c r="D754" s="7"/>
      <c r="E754" s="7"/>
      <c r="F754" s="7"/>
    </row>
    <row r="755" spans="1:6" x14ac:dyDescent="0.25">
      <c r="A755" s="7"/>
      <c r="B755" s="7"/>
      <c r="C755" s="7"/>
      <c r="D755" s="7"/>
      <c r="E755" s="7"/>
      <c r="F755" s="7"/>
    </row>
    <row r="756" spans="1:6" x14ac:dyDescent="0.25">
      <c r="A756" s="7"/>
      <c r="B756" s="7"/>
      <c r="C756" s="7"/>
      <c r="D756" s="7"/>
      <c r="E756" s="7"/>
      <c r="F756" s="7"/>
    </row>
    <row r="757" spans="1:6" x14ac:dyDescent="0.25">
      <c r="A757" s="7"/>
      <c r="B757" s="7"/>
      <c r="C757" s="7"/>
      <c r="D757" s="7"/>
      <c r="E757" s="7"/>
      <c r="F757" s="7"/>
    </row>
    <row r="758" spans="1:6" x14ac:dyDescent="0.25">
      <c r="A758" s="7"/>
      <c r="B758" s="7"/>
      <c r="C758" s="7"/>
      <c r="D758" s="7"/>
      <c r="E758" s="7"/>
      <c r="F758" s="7"/>
    </row>
    <row r="759" spans="1:6" x14ac:dyDescent="0.25">
      <c r="A759" s="7"/>
      <c r="B759" s="7"/>
      <c r="C759" s="7"/>
      <c r="D759" s="7"/>
      <c r="E759" s="7"/>
      <c r="F759" s="7"/>
    </row>
    <row r="760" spans="1:6" x14ac:dyDescent="0.25">
      <c r="A760" s="7"/>
      <c r="B760" s="7"/>
      <c r="C760" s="7"/>
      <c r="D760" s="7"/>
      <c r="E760" s="7"/>
      <c r="F760" s="7"/>
    </row>
    <row r="761" spans="1:6" x14ac:dyDescent="0.25">
      <c r="A761" s="7"/>
      <c r="B761" s="7"/>
      <c r="C761" s="7"/>
      <c r="D761" s="7"/>
      <c r="E761" s="7"/>
      <c r="F761" s="7"/>
    </row>
    <row r="762" spans="1:6" x14ac:dyDescent="0.25">
      <c r="A762" s="7"/>
      <c r="B762" s="7"/>
      <c r="C762" s="7"/>
      <c r="D762" s="7"/>
      <c r="E762" s="7"/>
      <c r="F762" s="7"/>
    </row>
    <row r="763" spans="1:6" x14ac:dyDescent="0.25">
      <c r="A763" s="7"/>
      <c r="B763" s="7"/>
      <c r="C763" s="7"/>
      <c r="D763" s="7"/>
      <c r="E763" s="7"/>
      <c r="F763" s="7"/>
    </row>
    <row r="764" spans="1:6" x14ac:dyDescent="0.25">
      <c r="A764" s="7"/>
      <c r="B764" s="7"/>
      <c r="C764" s="7"/>
      <c r="D764" s="7"/>
      <c r="E764" s="7"/>
      <c r="F764" s="7"/>
    </row>
    <row r="765" spans="1:6" x14ac:dyDescent="0.25">
      <c r="A765" s="7"/>
      <c r="B765" s="7"/>
      <c r="C765" s="7"/>
      <c r="D765" s="7"/>
      <c r="E765" s="7"/>
      <c r="F765" s="7"/>
    </row>
    <row r="766" spans="1:6" x14ac:dyDescent="0.25">
      <c r="A766" s="7"/>
      <c r="B766" s="7"/>
      <c r="C766" s="7"/>
      <c r="D766" s="7"/>
      <c r="E766" s="7"/>
      <c r="F766" s="7"/>
    </row>
    <row r="767" spans="1:6" x14ac:dyDescent="0.25">
      <c r="A767" s="7"/>
      <c r="B767" s="7"/>
      <c r="C767" s="7"/>
      <c r="D767" s="7"/>
      <c r="E767" s="7"/>
      <c r="F767" s="7"/>
    </row>
    <row r="768" spans="1:6" x14ac:dyDescent="0.25">
      <c r="A768" s="7"/>
      <c r="B768" s="7"/>
      <c r="C768" s="7"/>
      <c r="D768" s="7"/>
      <c r="E768" s="7"/>
      <c r="F768" s="7"/>
    </row>
    <row r="769" spans="1:6" x14ac:dyDescent="0.25">
      <c r="A769" s="7"/>
      <c r="B769" s="7"/>
      <c r="C769" s="7"/>
      <c r="D769" s="7"/>
      <c r="E769" s="7"/>
      <c r="F769" s="7"/>
    </row>
    <row r="770" spans="1:6" x14ac:dyDescent="0.25">
      <c r="A770" s="7"/>
      <c r="B770" s="7"/>
      <c r="C770" s="7"/>
      <c r="D770" s="7"/>
      <c r="E770" s="7"/>
      <c r="F770" s="7"/>
    </row>
    <row r="771" spans="1:6" x14ac:dyDescent="0.25">
      <c r="A771" s="7"/>
      <c r="B771" s="7"/>
      <c r="C771" s="7"/>
      <c r="D771" s="7"/>
      <c r="E771" s="7"/>
      <c r="F771" s="7"/>
    </row>
    <row r="772" spans="1:6" x14ac:dyDescent="0.25">
      <c r="A772" s="7"/>
      <c r="B772" s="7"/>
      <c r="C772" s="7"/>
      <c r="D772" s="7"/>
      <c r="E772" s="7"/>
      <c r="F772" s="7"/>
    </row>
    <row r="773" spans="1:6" x14ac:dyDescent="0.25">
      <c r="A773" s="7"/>
      <c r="B773" s="7"/>
      <c r="C773" s="7"/>
      <c r="D773" s="7"/>
      <c r="E773" s="7"/>
      <c r="F773" s="7"/>
    </row>
    <row r="774" spans="1:6" x14ac:dyDescent="0.25">
      <c r="A774" s="7"/>
      <c r="B774" s="7"/>
      <c r="C774" s="7"/>
      <c r="D774" s="7"/>
      <c r="E774" s="7"/>
      <c r="F774" s="7"/>
    </row>
    <row r="775" spans="1:6" x14ac:dyDescent="0.25">
      <c r="A775" s="7"/>
      <c r="B775" s="7"/>
      <c r="C775" s="7"/>
      <c r="D775" s="7"/>
      <c r="E775" s="7"/>
      <c r="F775" s="7"/>
    </row>
    <row r="776" spans="1:6" x14ac:dyDescent="0.25">
      <c r="A776" s="7"/>
      <c r="B776" s="7"/>
      <c r="C776" s="7"/>
      <c r="D776" s="7"/>
      <c r="E776" s="7"/>
      <c r="F776" s="7"/>
    </row>
    <row r="777" spans="1:6" x14ac:dyDescent="0.25">
      <c r="A777" s="7"/>
      <c r="B777" s="7"/>
      <c r="C777" s="7"/>
      <c r="D777" s="7"/>
      <c r="E777" s="7"/>
      <c r="F777" s="7"/>
    </row>
    <row r="778" spans="1:6" x14ac:dyDescent="0.25">
      <c r="A778" s="7"/>
      <c r="B778" s="7"/>
      <c r="C778" s="7"/>
      <c r="D778" s="7"/>
      <c r="E778" s="7"/>
      <c r="F778" s="7"/>
    </row>
    <row r="779" spans="1:6" x14ac:dyDescent="0.25">
      <c r="A779" s="7"/>
      <c r="B779" s="7"/>
      <c r="C779" s="7"/>
      <c r="D779" s="7"/>
      <c r="E779" s="7"/>
      <c r="F779" s="7"/>
    </row>
    <row r="780" spans="1:6" x14ac:dyDescent="0.25">
      <c r="A780" s="7"/>
      <c r="B780" s="7"/>
      <c r="C780" s="7"/>
      <c r="D780" s="7"/>
      <c r="E780" s="7"/>
      <c r="F780" s="7"/>
    </row>
    <row r="781" spans="1:6" x14ac:dyDescent="0.25">
      <c r="A781" s="7"/>
      <c r="B781" s="7"/>
      <c r="C781" s="7"/>
      <c r="D781" s="7"/>
      <c r="E781" s="7"/>
      <c r="F781" s="7"/>
    </row>
    <row r="782" spans="1:6" x14ac:dyDescent="0.25">
      <c r="A782" s="7"/>
      <c r="B782" s="7"/>
      <c r="C782" s="7"/>
      <c r="D782" s="7"/>
      <c r="E782" s="7"/>
      <c r="F782" s="7"/>
    </row>
    <row r="783" spans="1:6" x14ac:dyDescent="0.25">
      <c r="A783" s="7"/>
      <c r="B783" s="7"/>
      <c r="C783" s="7"/>
      <c r="D783" s="7"/>
      <c r="E783" s="7"/>
      <c r="F783" s="7"/>
    </row>
    <row r="784" spans="1:6" x14ac:dyDescent="0.25">
      <c r="A784" s="7"/>
      <c r="B784" s="7"/>
      <c r="C784" s="7"/>
      <c r="D784" s="7"/>
      <c r="E784" s="7"/>
      <c r="F784" s="7"/>
    </row>
    <row r="785" spans="1:6" x14ac:dyDescent="0.25">
      <c r="A785" s="7"/>
      <c r="B785" s="7"/>
      <c r="C785" s="7"/>
      <c r="D785" s="7"/>
      <c r="E785" s="7"/>
      <c r="F785" s="7"/>
    </row>
    <row r="786" spans="1:6" x14ac:dyDescent="0.25">
      <c r="A786" s="7"/>
      <c r="B786" s="7"/>
      <c r="C786" s="7"/>
      <c r="D786" s="7"/>
      <c r="E786" s="7"/>
      <c r="F786" s="7"/>
    </row>
    <row r="787" spans="1:6" x14ac:dyDescent="0.25">
      <c r="A787" s="7"/>
      <c r="B787" s="7"/>
      <c r="C787" s="7"/>
      <c r="D787" s="7"/>
      <c r="E787" s="7"/>
      <c r="F787" s="7"/>
    </row>
    <row r="788" spans="1:6" x14ac:dyDescent="0.25">
      <c r="A788" s="7"/>
      <c r="B788" s="7"/>
      <c r="C788" s="7"/>
      <c r="D788" s="7"/>
      <c r="E788" s="7"/>
      <c r="F788" s="7"/>
    </row>
    <row r="789" spans="1:6" x14ac:dyDescent="0.25">
      <c r="A789" s="7"/>
      <c r="B789" s="7"/>
      <c r="C789" s="7"/>
      <c r="D789" s="7"/>
      <c r="E789" s="7"/>
      <c r="F789" s="7"/>
    </row>
    <row r="790" spans="1:6" x14ac:dyDescent="0.25">
      <c r="A790" s="7"/>
      <c r="B790" s="7"/>
      <c r="C790" s="7"/>
      <c r="D790" s="7"/>
      <c r="E790" s="7"/>
      <c r="F790" s="7"/>
    </row>
    <row r="791" spans="1:6" x14ac:dyDescent="0.25">
      <c r="A791" s="7"/>
      <c r="B791" s="7"/>
      <c r="C791" s="7"/>
      <c r="D791" s="7"/>
      <c r="E791" s="7"/>
      <c r="F791" s="7"/>
    </row>
    <row r="792" spans="1:6" x14ac:dyDescent="0.25">
      <c r="A792" s="7"/>
      <c r="B792" s="7"/>
      <c r="C792" s="7"/>
      <c r="D792" s="7"/>
      <c r="E792" s="7"/>
      <c r="F792" s="7"/>
    </row>
    <row r="793" spans="1:6" x14ac:dyDescent="0.25">
      <c r="A793" s="7"/>
      <c r="B793" s="7"/>
      <c r="C793" s="7"/>
      <c r="D793" s="7"/>
      <c r="E793" s="7"/>
      <c r="F793" s="7"/>
    </row>
    <row r="794" spans="1:6" x14ac:dyDescent="0.25">
      <c r="A794" s="7"/>
      <c r="B794" s="7"/>
      <c r="C794" s="7"/>
      <c r="D794" s="7"/>
      <c r="E794" s="7"/>
      <c r="F794" s="7"/>
    </row>
    <row r="795" spans="1:6" x14ac:dyDescent="0.25">
      <c r="A795" s="7"/>
      <c r="B795" s="7"/>
      <c r="C795" s="7"/>
      <c r="D795" s="7"/>
      <c r="E795" s="7"/>
      <c r="F795" s="7"/>
    </row>
    <row r="796" spans="1:6" x14ac:dyDescent="0.25">
      <c r="A796" s="7"/>
      <c r="B796" s="7"/>
      <c r="C796" s="7"/>
      <c r="D796" s="7"/>
      <c r="E796" s="7"/>
      <c r="F796" s="7"/>
    </row>
    <row r="797" spans="1:6" x14ac:dyDescent="0.25">
      <c r="A797" s="7"/>
      <c r="B797" s="7"/>
      <c r="C797" s="7"/>
      <c r="D797" s="7"/>
      <c r="E797" s="7"/>
      <c r="F797" s="7"/>
    </row>
    <row r="798" spans="1:6" x14ac:dyDescent="0.25">
      <c r="A798" s="7"/>
      <c r="B798" s="7"/>
      <c r="C798" s="7"/>
      <c r="D798" s="7"/>
      <c r="E798" s="7"/>
      <c r="F798" s="7"/>
    </row>
    <row r="799" spans="1:6" x14ac:dyDescent="0.25">
      <c r="A799" s="7"/>
      <c r="B799" s="7"/>
      <c r="C799" s="7"/>
      <c r="D799" s="7"/>
      <c r="E799" s="7"/>
      <c r="F799" s="7"/>
    </row>
    <row r="800" spans="1:6" x14ac:dyDescent="0.25">
      <c r="A800" s="7"/>
      <c r="B800" s="7"/>
      <c r="C800" s="7"/>
      <c r="D800" s="7"/>
      <c r="E800" s="7"/>
      <c r="F800" s="7"/>
    </row>
    <row r="801" spans="1:6" x14ac:dyDescent="0.25">
      <c r="A801" s="7"/>
      <c r="B801" s="7"/>
      <c r="C801" s="7"/>
      <c r="D801" s="7"/>
      <c r="E801" s="7"/>
      <c r="F801" s="7"/>
    </row>
    <row r="802" spans="1:6" x14ac:dyDescent="0.25">
      <c r="A802" s="7"/>
      <c r="B802" s="7"/>
      <c r="C802" s="7"/>
      <c r="D802" s="7"/>
      <c r="E802" s="7"/>
      <c r="F802" s="7"/>
    </row>
    <row r="803" spans="1:6" x14ac:dyDescent="0.25">
      <c r="A803" s="7"/>
      <c r="B803" s="7"/>
      <c r="C803" s="7"/>
      <c r="D803" s="7"/>
      <c r="E803" s="7"/>
      <c r="F803" s="7"/>
    </row>
    <row r="804" spans="1:6" x14ac:dyDescent="0.25">
      <c r="A804" s="7"/>
      <c r="B804" s="7"/>
      <c r="C804" s="7"/>
      <c r="D804" s="7"/>
      <c r="E804" s="7"/>
      <c r="F804" s="7"/>
    </row>
    <row r="805" spans="1:6" x14ac:dyDescent="0.25">
      <c r="A805" s="7"/>
      <c r="B805" s="7"/>
      <c r="C805" s="7"/>
      <c r="D805" s="7"/>
      <c r="E805" s="7"/>
      <c r="F805" s="7"/>
    </row>
    <row r="806" spans="1:6" x14ac:dyDescent="0.25">
      <c r="A806" s="7"/>
      <c r="B806" s="7"/>
      <c r="C806" s="7"/>
      <c r="D806" s="7"/>
      <c r="E806" s="7"/>
      <c r="F806" s="7"/>
    </row>
    <row r="807" spans="1:6" x14ac:dyDescent="0.25">
      <c r="A807" s="7"/>
      <c r="B807" s="7"/>
      <c r="C807" s="7"/>
      <c r="D807" s="7"/>
      <c r="E807" s="7"/>
      <c r="F807" s="7"/>
    </row>
    <row r="808" spans="1:6" x14ac:dyDescent="0.25">
      <c r="A808" s="7"/>
      <c r="B808" s="7"/>
      <c r="C808" s="7"/>
      <c r="D808" s="7"/>
      <c r="E808" s="7"/>
      <c r="F808" s="7"/>
    </row>
    <row r="809" spans="1:6" x14ac:dyDescent="0.25">
      <c r="A809" s="7"/>
      <c r="B809" s="7"/>
      <c r="C809" s="7"/>
      <c r="D809" s="7"/>
      <c r="E809" s="7"/>
      <c r="F809" s="7"/>
    </row>
    <row r="810" spans="1:6" x14ac:dyDescent="0.25">
      <c r="A810" s="7"/>
      <c r="B810" s="7"/>
      <c r="C810" s="7"/>
      <c r="D810" s="7"/>
      <c r="E810" s="7"/>
      <c r="F810" s="7"/>
    </row>
    <row r="811" spans="1:6" x14ac:dyDescent="0.25">
      <c r="A811" s="7"/>
      <c r="B811" s="7"/>
      <c r="C811" s="7"/>
      <c r="D811" s="7"/>
      <c r="E811" s="7"/>
      <c r="F811" s="7"/>
    </row>
    <row r="812" spans="1:6" x14ac:dyDescent="0.25">
      <c r="A812" s="7"/>
      <c r="B812" s="7"/>
      <c r="C812" s="7"/>
      <c r="D812" s="7"/>
      <c r="E812" s="7"/>
      <c r="F812" s="7"/>
    </row>
    <row r="813" spans="1:6" x14ac:dyDescent="0.25">
      <c r="A813" s="7"/>
      <c r="B813" s="7"/>
      <c r="C813" s="7"/>
      <c r="D813" s="7"/>
      <c r="E813" s="7"/>
      <c r="F813" s="7"/>
    </row>
    <row r="814" spans="1:6" x14ac:dyDescent="0.25">
      <c r="A814" s="7"/>
      <c r="B814" s="7"/>
      <c r="C814" s="7"/>
      <c r="D814" s="7"/>
      <c r="E814" s="7"/>
      <c r="F814" s="7"/>
    </row>
    <row r="815" spans="1:6" x14ac:dyDescent="0.25">
      <c r="A815" s="7"/>
      <c r="B815" s="7"/>
      <c r="C815" s="7"/>
      <c r="D815" s="7"/>
      <c r="E815" s="7"/>
      <c r="F815" s="7"/>
    </row>
    <row r="816" spans="1:6" x14ac:dyDescent="0.25">
      <c r="A816" s="7"/>
      <c r="B816" s="7"/>
      <c r="C816" s="7"/>
      <c r="D816" s="7"/>
      <c r="E816" s="7"/>
      <c r="F816" s="7"/>
    </row>
    <row r="817" spans="1:6" x14ac:dyDescent="0.25">
      <c r="A817" s="7"/>
      <c r="B817" s="7"/>
      <c r="C817" s="7"/>
      <c r="D817" s="7"/>
      <c r="E817" s="7"/>
      <c r="F817" s="7"/>
    </row>
    <row r="818" spans="1:6" x14ac:dyDescent="0.25">
      <c r="A818" s="7"/>
      <c r="B818" s="7"/>
      <c r="C818" s="7"/>
      <c r="D818" s="7"/>
      <c r="E818" s="7"/>
      <c r="F818" s="7"/>
    </row>
    <row r="819" spans="1:6" x14ac:dyDescent="0.25">
      <c r="A819" s="7"/>
      <c r="B819" s="7"/>
      <c r="C819" s="7"/>
      <c r="D819" s="7"/>
      <c r="E819" s="7"/>
      <c r="F819" s="7"/>
    </row>
    <row r="820" spans="1:6" x14ac:dyDescent="0.25">
      <c r="A820" s="7"/>
      <c r="B820" s="7"/>
      <c r="C820" s="7"/>
      <c r="D820" s="7"/>
      <c r="E820" s="7"/>
      <c r="F820" s="7"/>
    </row>
    <row r="821" spans="1:6" x14ac:dyDescent="0.25">
      <c r="A821" s="7"/>
      <c r="B821" s="7"/>
      <c r="C821" s="7"/>
      <c r="D821" s="7"/>
      <c r="E821" s="7"/>
      <c r="F821" s="7"/>
    </row>
    <row r="822" spans="1:6" x14ac:dyDescent="0.25">
      <c r="A822" s="7"/>
      <c r="B822" s="7"/>
      <c r="C822" s="7"/>
      <c r="D822" s="7"/>
      <c r="E822" s="7"/>
      <c r="F822" s="7"/>
    </row>
    <row r="823" spans="1:6" x14ac:dyDescent="0.25">
      <c r="A823" s="7"/>
      <c r="B823" s="7"/>
      <c r="C823" s="7"/>
      <c r="D823" s="7"/>
      <c r="E823" s="7"/>
      <c r="F823" s="7"/>
    </row>
    <row r="824" spans="1:6" x14ac:dyDescent="0.25">
      <c r="A824" s="7"/>
      <c r="B824" s="7"/>
      <c r="C824" s="7"/>
      <c r="D824" s="7"/>
      <c r="E824" s="7"/>
      <c r="F824" s="7"/>
    </row>
    <row r="825" spans="1:6" x14ac:dyDescent="0.25">
      <c r="A825" s="7"/>
      <c r="B825" s="7"/>
      <c r="C825" s="7"/>
      <c r="D825" s="7"/>
      <c r="E825" s="7"/>
      <c r="F825" s="7"/>
    </row>
    <row r="826" spans="1:6" x14ac:dyDescent="0.25">
      <c r="A826" s="7"/>
      <c r="B826" s="7"/>
      <c r="C826" s="7"/>
      <c r="D826" s="7"/>
      <c r="E826" s="7"/>
      <c r="F826" s="7"/>
    </row>
    <row r="827" spans="1:6" x14ac:dyDescent="0.25">
      <c r="A827" s="7"/>
      <c r="B827" s="7"/>
      <c r="C827" s="7"/>
      <c r="D827" s="7"/>
      <c r="E827" s="7"/>
      <c r="F827" s="7"/>
    </row>
    <row r="828" spans="1:6" x14ac:dyDescent="0.25">
      <c r="A828" s="7"/>
      <c r="B828" s="7"/>
      <c r="C828" s="7"/>
      <c r="D828" s="7"/>
      <c r="E828" s="7"/>
      <c r="F828" s="7"/>
    </row>
    <row r="829" spans="1:6" x14ac:dyDescent="0.25">
      <c r="A829" s="7"/>
      <c r="B829" s="7"/>
      <c r="C829" s="7"/>
      <c r="D829" s="7"/>
      <c r="E829" s="7"/>
      <c r="F829" s="7"/>
    </row>
    <row r="830" spans="1:6" x14ac:dyDescent="0.25">
      <c r="A830" s="7"/>
      <c r="B830" s="7"/>
      <c r="C830" s="7"/>
      <c r="D830" s="7"/>
      <c r="E830" s="7"/>
      <c r="F830" s="7"/>
    </row>
    <row r="831" spans="1:6" x14ac:dyDescent="0.25">
      <c r="A831" s="7"/>
      <c r="B831" s="7"/>
      <c r="C831" s="7"/>
      <c r="D831" s="7"/>
      <c r="E831" s="7"/>
      <c r="F831" s="7"/>
    </row>
    <row r="832" spans="1:6" x14ac:dyDescent="0.25">
      <c r="A832" s="7"/>
      <c r="B832" s="7"/>
      <c r="C832" s="7"/>
      <c r="D832" s="7"/>
      <c r="E832" s="7"/>
      <c r="F832" s="7"/>
    </row>
    <row r="833" spans="1:6" x14ac:dyDescent="0.25">
      <c r="A833" s="7"/>
      <c r="B833" s="7"/>
      <c r="C833" s="7"/>
      <c r="D833" s="7"/>
      <c r="E833" s="7"/>
      <c r="F833" s="7"/>
    </row>
    <row r="834" spans="1:6" x14ac:dyDescent="0.25">
      <c r="A834" s="7"/>
      <c r="B834" s="7"/>
      <c r="C834" s="7"/>
      <c r="D834" s="7"/>
      <c r="E834" s="7"/>
      <c r="F834" s="7"/>
    </row>
    <row r="835" spans="1:6" x14ac:dyDescent="0.25">
      <c r="A835" s="7"/>
      <c r="B835" s="7"/>
      <c r="C835" s="7"/>
      <c r="D835" s="7"/>
      <c r="E835" s="7"/>
      <c r="F835" s="7"/>
    </row>
    <row r="836" spans="1:6" x14ac:dyDescent="0.25">
      <c r="A836" s="7"/>
      <c r="B836" s="7"/>
      <c r="C836" s="7"/>
      <c r="D836" s="7"/>
      <c r="E836" s="7"/>
      <c r="F836" s="7"/>
    </row>
    <row r="837" spans="1:6" x14ac:dyDescent="0.25">
      <c r="A837" s="7"/>
      <c r="B837" s="7"/>
      <c r="C837" s="7"/>
      <c r="D837" s="7"/>
      <c r="E837" s="7"/>
      <c r="F837" s="7"/>
    </row>
    <row r="838" spans="1:6" x14ac:dyDescent="0.25">
      <c r="A838" s="7"/>
      <c r="B838" s="7"/>
      <c r="C838" s="7"/>
      <c r="D838" s="7"/>
      <c r="E838" s="7"/>
      <c r="F838" s="7"/>
    </row>
    <row r="839" spans="1:6" x14ac:dyDescent="0.25">
      <c r="A839" s="7"/>
      <c r="B839" s="7"/>
      <c r="C839" s="7"/>
      <c r="D839" s="7"/>
      <c r="E839" s="7"/>
      <c r="F839" s="7"/>
    </row>
    <row r="840" spans="1:6" x14ac:dyDescent="0.25">
      <c r="A840" s="7"/>
      <c r="B840" s="7"/>
      <c r="C840" s="7"/>
      <c r="D840" s="7"/>
      <c r="E840" s="7"/>
      <c r="F840" s="7"/>
    </row>
    <row r="841" spans="1:6" x14ac:dyDescent="0.25">
      <c r="A841" s="7"/>
      <c r="B841" s="7"/>
      <c r="C841" s="7"/>
      <c r="D841" s="7"/>
      <c r="E841" s="7"/>
      <c r="F841" s="7"/>
    </row>
    <row r="842" spans="1:6" x14ac:dyDescent="0.25">
      <c r="A842" s="7"/>
      <c r="B842" s="7"/>
      <c r="C842" s="7"/>
      <c r="D842" s="7"/>
      <c r="E842" s="7"/>
      <c r="F842" s="7"/>
    </row>
    <row r="843" spans="1:6" x14ac:dyDescent="0.25">
      <c r="A843" s="7"/>
      <c r="B843" s="7"/>
      <c r="C843" s="7"/>
      <c r="D843" s="7"/>
      <c r="E843" s="7"/>
      <c r="F843" s="7"/>
    </row>
    <row r="844" spans="1:6" x14ac:dyDescent="0.25">
      <c r="A844" s="7"/>
      <c r="B844" s="7"/>
      <c r="C844" s="7"/>
      <c r="D844" s="7"/>
      <c r="E844" s="7"/>
      <c r="F844" s="7"/>
    </row>
    <row r="845" spans="1:6" x14ac:dyDescent="0.25">
      <c r="A845" s="7"/>
      <c r="B845" s="7"/>
      <c r="C845" s="7"/>
      <c r="D845" s="7"/>
      <c r="E845" s="7"/>
      <c r="F845" s="7"/>
    </row>
    <row r="846" spans="1:6" x14ac:dyDescent="0.25">
      <c r="A846" s="7"/>
      <c r="B846" s="7"/>
      <c r="C846" s="7"/>
      <c r="D846" s="7"/>
      <c r="E846" s="7"/>
      <c r="F846" s="7"/>
    </row>
    <row r="847" spans="1:6" x14ac:dyDescent="0.25">
      <c r="A847" s="7"/>
      <c r="B847" s="7"/>
      <c r="C847" s="7"/>
      <c r="D847" s="7"/>
      <c r="E847" s="7"/>
      <c r="F847" s="7"/>
    </row>
    <row r="848" spans="1:6" x14ac:dyDescent="0.25">
      <c r="A848" s="7"/>
      <c r="B848" s="7"/>
      <c r="C848" s="7"/>
      <c r="D848" s="7"/>
      <c r="E848" s="7"/>
      <c r="F848" s="7"/>
    </row>
    <row r="849" spans="1:6" x14ac:dyDescent="0.25">
      <c r="A849" s="7"/>
      <c r="B849" s="7"/>
      <c r="C849" s="7"/>
      <c r="D849" s="7"/>
      <c r="E849" s="7"/>
      <c r="F849" s="7"/>
    </row>
    <row r="850" spans="1:6" x14ac:dyDescent="0.25">
      <c r="A850" s="7"/>
      <c r="B850" s="7"/>
      <c r="C850" s="7"/>
      <c r="D850" s="7"/>
      <c r="E850" s="7"/>
      <c r="F850" s="7"/>
    </row>
    <row r="851" spans="1:6" x14ac:dyDescent="0.25">
      <c r="A851" s="7"/>
      <c r="B851" s="7"/>
      <c r="C851" s="7"/>
      <c r="D851" s="7"/>
      <c r="E851" s="7"/>
      <c r="F851" s="7"/>
    </row>
    <row r="852" spans="1:6" x14ac:dyDescent="0.25">
      <c r="A852" s="7"/>
      <c r="B852" s="7"/>
      <c r="C852" s="7"/>
      <c r="D852" s="7"/>
      <c r="E852" s="7"/>
      <c r="F852" s="7"/>
    </row>
    <row r="853" spans="1:6" x14ac:dyDescent="0.25">
      <c r="A853" s="7"/>
      <c r="B853" s="7"/>
      <c r="C853" s="7"/>
      <c r="D853" s="7"/>
      <c r="E853" s="7"/>
      <c r="F853" s="7"/>
    </row>
    <row r="854" spans="1:6" x14ac:dyDescent="0.25">
      <c r="A854" s="7"/>
      <c r="B854" s="7"/>
      <c r="C854" s="7"/>
      <c r="D854" s="7"/>
      <c r="E854" s="7"/>
      <c r="F854" s="7"/>
    </row>
    <row r="855" spans="1:6" x14ac:dyDescent="0.25">
      <c r="A855" s="7"/>
      <c r="B855" s="7"/>
      <c r="C855" s="7"/>
      <c r="D855" s="7"/>
      <c r="E855" s="7"/>
      <c r="F855" s="7"/>
    </row>
    <row r="856" spans="1:6" x14ac:dyDescent="0.25">
      <c r="A856" s="7"/>
      <c r="B856" s="7"/>
      <c r="C856" s="7"/>
      <c r="D856" s="7"/>
      <c r="E856" s="7"/>
      <c r="F856" s="7"/>
    </row>
    <row r="857" spans="1:6" x14ac:dyDescent="0.25">
      <c r="A857" s="7"/>
      <c r="B857" s="7"/>
      <c r="C857" s="7"/>
      <c r="D857" s="7"/>
      <c r="E857" s="7"/>
      <c r="F857" s="7"/>
    </row>
    <row r="858" spans="1:6" x14ac:dyDescent="0.25">
      <c r="A858" s="7"/>
      <c r="B858" s="7"/>
      <c r="C858" s="7"/>
      <c r="D858" s="7"/>
      <c r="E858" s="7"/>
      <c r="F858" s="7"/>
    </row>
    <row r="859" spans="1:6" x14ac:dyDescent="0.25">
      <c r="A859" s="7"/>
      <c r="B859" s="7"/>
      <c r="C859" s="7"/>
      <c r="D859" s="7"/>
      <c r="E859" s="7"/>
      <c r="F859" s="7"/>
    </row>
    <row r="860" spans="1:6" x14ac:dyDescent="0.25">
      <c r="A860" s="7"/>
      <c r="B860" s="7"/>
      <c r="C860" s="7"/>
      <c r="D860" s="7"/>
      <c r="E860" s="7"/>
      <c r="F860" s="7"/>
    </row>
    <row r="861" spans="1:6" x14ac:dyDescent="0.25">
      <c r="A861" s="7"/>
      <c r="B861" s="7"/>
      <c r="C861" s="7"/>
      <c r="D861" s="7"/>
      <c r="E861" s="7"/>
      <c r="F861" s="7"/>
    </row>
    <row r="862" spans="1:6" x14ac:dyDescent="0.25">
      <c r="A862" s="7"/>
      <c r="B862" s="7"/>
      <c r="C862" s="7"/>
      <c r="D862" s="7"/>
      <c r="E862" s="7"/>
      <c r="F862" s="7"/>
    </row>
    <row r="863" spans="1:6" x14ac:dyDescent="0.25">
      <c r="A863" s="7"/>
      <c r="B863" s="7"/>
      <c r="C863" s="7"/>
      <c r="D863" s="7"/>
      <c r="E863" s="7"/>
      <c r="F863" s="7"/>
    </row>
    <row r="864" spans="1:6" x14ac:dyDescent="0.25">
      <c r="A864" s="7"/>
      <c r="B864" s="7"/>
      <c r="C864" s="7"/>
      <c r="D864" s="7"/>
      <c r="E864" s="7"/>
      <c r="F864" s="7"/>
    </row>
    <row r="865" spans="1:6" x14ac:dyDescent="0.25">
      <c r="A865" s="7"/>
      <c r="B865" s="7"/>
      <c r="C865" s="7"/>
      <c r="D865" s="7"/>
      <c r="E865" s="7"/>
      <c r="F865" s="7"/>
    </row>
    <row r="866" spans="1:6" x14ac:dyDescent="0.25">
      <c r="A866" s="7"/>
      <c r="B866" s="7"/>
      <c r="C866" s="7"/>
      <c r="D866" s="7"/>
      <c r="E866" s="7"/>
      <c r="F866" s="7"/>
    </row>
    <row r="867" spans="1:6" x14ac:dyDescent="0.25">
      <c r="A867" s="7"/>
      <c r="B867" s="7"/>
      <c r="C867" s="7"/>
      <c r="D867" s="7"/>
      <c r="E867" s="7"/>
      <c r="F867" s="7"/>
    </row>
    <row r="868" spans="1:6" x14ac:dyDescent="0.25">
      <c r="A868" s="7"/>
      <c r="B868" s="7"/>
      <c r="C868" s="7"/>
      <c r="D868" s="7"/>
      <c r="E868" s="7"/>
      <c r="F868" s="7"/>
    </row>
    <row r="869" spans="1:6" x14ac:dyDescent="0.25">
      <c r="A869" s="7"/>
      <c r="B869" s="7"/>
      <c r="C869" s="7"/>
      <c r="D869" s="7"/>
      <c r="E869" s="7"/>
      <c r="F869" s="7"/>
    </row>
    <row r="870" spans="1:6" x14ac:dyDescent="0.25">
      <c r="A870" s="7"/>
      <c r="B870" s="7"/>
      <c r="C870" s="7"/>
      <c r="D870" s="7"/>
      <c r="E870" s="7"/>
      <c r="F870" s="7"/>
    </row>
    <row r="871" spans="1:6" x14ac:dyDescent="0.25">
      <c r="A871" s="7"/>
      <c r="B871" s="7"/>
      <c r="C871" s="7"/>
      <c r="D871" s="7"/>
      <c r="E871" s="7"/>
      <c r="F871" s="7"/>
    </row>
    <row r="872" spans="1:6" x14ac:dyDescent="0.25">
      <c r="A872" s="7"/>
      <c r="B872" s="7"/>
      <c r="C872" s="7"/>
      <c r="D872" s="7"/>
      <c r="E872" s="7"/>
      <c r="F872" s="7"/>
    </row>
    <row r="873" spans="1:6" x14ac:dyDescent="0.25">
      <c r="A873" s="7"/>
      <c r="B873" s="7"/>
      <c r="C873" s="7"/>
      <c r="D873" s="7"/>
      <c r="E873" s="7"/>
      <c r="F873" s="7"/>
    </row>
    <row r="874" spans="1:6" x14ac:dyDescent="0.25">
      <c r="A874" s="7"/>
      <c r="B874" s="7"/>
      <c r="C874" s="7"/>
      <c r="D874" s="7"/>
      <c r="E874" s="7"/>
      <c r="F874" s="7"/>
    </row>
    <row r="875" spans="1:6" x14ac:dyDescent="0.25">
      <c r="A875" s="7"/>
      <c r="B875" s="7"/>
      <c r="C875" s="7"/>
      <c r="D875" s="7"/>
      <c r="E875" s="7"/>
      <c r="F875" s="7"/>
    </row>
    <row r="876" spans="1:6" x14ac:dyDescent="0.25">
      <c r="A876" s="7"/>
      <c r="B876" s="7"/>
      <c r="C876" s="7"/>
      <c r="D876" s="7"/>
      <c r="E876" s="7"/>
      <c r="F876" s="7"/>
    </row>
    <row r="877" spans="1:6" x14ac:dyDescent="0.25">
      <c r="A877" s="7"/>
      <c r="B877" s="7"/>
      <c r="C877" s="7"/>
      <c r="D877" s="7"/>
      <c r="E877" s="7"/>
      <c r="F877" s="7"/>
    </row>
    <row r="878" spans="1:6" x14ac:dyDescent="0.25">
      <c r="A878" s="7"/>
      <c r="B878" s="7"/>
      <c r="C878" s="7"/>
      <c r="D878" s="7"/>
      <c r="E878" s="7"/>
      <c r="F878" s="7"/>
    </row>
    <row r="879" spans="1:6" x14ac:dyDescent="0.25">
      <c r="A879" s="7"/>
      <c r="B879" s="7"/>
      <c r="C879" s="7"/>
      <c r="D879" s="7"/>
      <c r="E879" s="7"/>
      <c r="F879" s="7"/>
    </row>
    <row r="880" spans="1:6" x14ac:dyDescent="0.25">
      <c r="A880" s="7"/>
      <c r="B880" s="7"/>
      <c r="C880" s="7"/>
      <c r="D880" s="7"/>
      <c r="E880" s="7"/>
      <c r="F880" s="7"/>
    </row>
    <row r="881" spans="1:6" x14ac:dyDescent="0.25">
      <c r="A881" s="7"/>
      <c r="B881" s="7"/>
      <c r="C881" s="7"/>
      <c r="D881" s="7"/>
      <c r="E881" s="7"/>
      <c r="F881" s="7"/>
    </row>
    <row r="882" spans="1:6" x14ac:dyDescent="0.25">
      <c r="A882" s="7"/>
      <c r="B882" s="7"/>
      <c r="C882" s="7"/>
      <c r="D882" s="7"/>
      <c r="E882" s="7"/>
      <c r="F882" s="7"/>
    </row>
    <row r="883" spans="1:6" x14ac:dyDescent="0.25">
      <c r="A883" s="7"/>
      <c r="B883" s="7"/>
      <c r="C883" s="7"/>
      <c r="D883" s="7"/>
      <c r="E883" s="7"/>
      <c r="F883" s="7"/>
    </row>
    <row r="884" spans="1:6" x14ac:dyDescent="0.25">
      <c r="A884" s="7"/>
      <c r="B884" s="7"/>
      <c r="C884" s="7"/>
      <c r="D884" s="7"/>
      <c r="E884" s="7"/>
      <c r="F884" s="7"/>
    </row>
    <row r="885" spans="1:6" x14ac:dyDescent="0.25">
      <c r="A885" s="7"/>
      <c r="B885" s="7"/>
      <c r="C885" s="7"/>
      <c r="D885" s="7"/>
      <c r="E885" s="7"/>
      <c r="F885" s="7"/>
    </row>
    <row r="886" spans="1:6" x14ac:dyDescent="0.25">
      <c r="A886" s="7"/>
      <c r="B886" s="7"/>
      <c r="C886" s="7"/>
      <c r="D886" s="7"/>
      <c r="E886" s="7"/>
      <c r="F886" s="7"/>
    </row>
    <row r="887" spans="1:6" x14ac:dyDescent="0.25">
      <c r="A887" s="7"/>
      <c r="B887" s="7"/>
      <c r="C887" s="7"/>
      <c r="D887" s="7"/>
      <c r="E887" s="7"/>
      <c r="F887" s="7"/>
    </row>
    <row r="888" spans="1:6" x14ac:dyDescent="0.25">
      <c r="A888" s="7"/>
      <c r="B888" s="7"/>
      <c r="C888" s="7"/>
      <c r="D888" s="7"/>
      <c r="E888" s="7"/>
      <c r="F888" s="7"/>
    </row>
    <row r="889" spans="1:6" x14ac:dyDescent="0.25">
      <c r="A889" s="7"/>
      <c r="B889" s="7"/>
      <c r="C889" s="7"/>
      <c r="D889" s="7"/>
      <c r="E889" s="7"/>
      <c r="F889" s="7"/>
    </row>
    <row r="890" spans="1:6" x14ac:dyDescent="0.25">
      <c r="A890" s="7"/>
      <c r="B890" s="7"/>
      <c r="C890" s="7"/>
      <c r="D890" s="7"/>
      <c r="E890" s="7"/>
      <c r="F890" s="7"/>
    </row>
    <row r="891" spans="1:6" x14ac:dyDescent="0.25">
      <c r="A891" s="7"/>
      <c r="B891" s="7"/>
      <c r="C891" s="7"/>
      <c r="D891" s="7"/>
      <c r="E891" s="7"/>
      <c r="F891" s="7"/>
    </row>
    <row r="892" spans="1:6" x14ac:dyDescent="0.25">
      <c r="A892" s="7"/>
      <c r="B892" s="7"/>
      <c r="C892" s="7"/>
      <c r="D892" s="7"/>
      <c r="E892" s="7"/>
      <c r="F892" s="7"/>
    </row>
    <row r="893" spans="1:6" x14ac:dyDescent="0.25">
      <c r="A893" s="7"/>
      <c r="B893" s="7"/>
      <c r="C893" s="7"/>
      <c r="D893" s="7"/>
      <c r="E893" s="7"/>
      <c r="F893" s="7"/>
    </row>
    <row r="894" spans="1:6" x14ac:dyDescent="0.25">
      <c r="A894" s="7"/>
      <c r="B894" s="7"/>
      <c r="C894" s="7"/>
      <c r="D894" s="7"/>
      <c r="E894" s="7"/>
      <c r="F894" s="7"/>
    </row>
    <row r="895" spans="1:6" x14ac:dyDescent="0.25">
      <c r="A895" s="7"/>
      <c r="B895" s="7"/>
      <c r="C895" s="7"/>
      <c r="D895" s="7"/>
      <c r="E895" s="7"/>
      <c r="F895" s="7"/>
    </row>
    <row r="896" spans="1:6" x14ac:dyDescent="0.25">
      <c r="A896" s="7"/>
      <c r="B896" s="7"/>
      <c r="C896" s="7"/>
      <c r="D896" s="7"/>
      <c r="E896" s="7"/>
      <c r="F896" s="7"/>
    </row>
    <row r="897" spans="1:6" x14ac:dyDescent="0.25">
      <c r="A897" s="7"/>
      <c r="B897" s="7"/>
      <c r="C897" s="7"/>
      <c r="D897" s="7"/>
      <c r="E897" s="7"/>
      <c r="F897" s="7"/>
    </row>
    <row r="898" spans="1:6" x14ac:dyDescent="0.25">
      <c r="A898" s="7"/>
      <c r="B898" s="7"/>
      <c r="C898" s="7"/>
      <c r="D898" s="7"/>
      <c r="E898" s="7"/>
      <c r="F898" s="7"/>
    </row>
    <row r="899" spans="1:6" x14ac:dyDescent="0.25">
      <c r="A899" s="7"/>
      <c r="B899" s="7"/>
      <c r="C899" s="7"/>
      <c r="D899" s="7"/>
      <c r="E899" s="7"/>
      <c r="F899" s="7"/>
    </row>
    <row r="900" spans="1:6" x14ac:dyDescent="0.25">
      <c r="A900" s="7"/>
      <c r="B900" s="7"/>
      <c r="C900" s="7"/>
      <c r="D900" s="7"/>
      <c r="E900" s="7"/>
      <c r="F900" s="7"/>
    </row>
    <row r="901" spans="1:6" x14ac:dyDescent="0.25">
      <c r="A901" s="7"/>
      <c r="B901" s="7"/>
      <c r="C901" s="7"/>
      <c r="D901" s="7"/>
      <c r="E901" s="7"/>
      <c r="F901" s="7"/>
    </row>
    <row r="902" spans="1:6" x14ac:dyDescent="0.25">
      <c r="A902" s="7"/>
      <c r="B902" s="7"/>
      <c r="C902" s="7"/>
      <c r="D902" s="7"/>
      <c r="E902" s="7"/>
      <c r="F902" s="7"/>
    </row>
    <row r="903" spans="1:6" x14ac:dyDescent="0.25">
      <c r="A903" s="7"/>
      <c r="B903" s="7"/>
      <c r="C903" s="7"/>
      <c r="D903" s="7"/>
      <c r="E903" s="7"/>
      <c r="F903" s="7"/>
    </row>
    <row r="904" spans="1:6" x14ac:dyDescent="0.25">
      <c r="A904" s="7"/>
      <c r="B904" s="7"/>
      <c r="C904" s="7"/>
      <c r="D904" s="7"/>
      <c r="E904" s="7"/>
      <c r="F904" s="7"/>
    </row>
    <row r="905" spans="1:6" x14ac:dyDescent="0.25">
      <c r="A905" s="7"/>
      <c r="B905" s="7"/>
      <c r="C905" s="7"/>
      <c r="D905" s="7"/>
      <c r="E905" s="7"/>
      <c r="F905" s="7"/>
    </row>
    <row r="906" spans="1:6" x14ac:dyDescent="0.25">
      <c r="A906" s="7"/>
      <c r="B906" s="7"/>
      <c r="C906" s="7"/>
      <c r="D906" s="7"/>
      <c r="E906" s="7"/>
      <c r="F906" s="7"/>
    </row>
    <row r="907" spans="1:6" x14ac:dyDescent="0.25">
      <c r="A907" s="7"/>
      <c r="B907" s="7"/>
      <c r="C907" s="7"/>
      <c r="D907" s="7"/>
      <c r="E907" s="7"/>
      <c r="F907" s="7"/>
    </row>
    <row r="908" spans="1:6" x14ac:dyDescent="0.25">
      <c r="A908" s="7"/>
      <c r="B908" s="7"/>
      <c r="C908" s="7"/>
      <c r="D908" s="7"/>
      <c r="E908" s="7"/>
      <c r="F908" s="7"/>
    </row>
    <row r="909" spans="1:6" x14ac:dyDescent="0.25">
      <c r="A909" s="7"/>
      <c r="B909" s="7"/>
      <c r="C909" s="7"/>
      <c r="D909" s="7"/>
      <c r="E909" s="7"/>
      <c r="F909" s="7"/>
    </row>
    <row r="910" spans="1:6" x14ac:dyDescent="0.25">
      <c r="A910" s="7"/>
      <c r="B910" s="7"/>
      <c r="C910" s="7"/>
      <c r="D910" s="7"/>
      <c r="E910" s="7"/>
      <c r="F910" s="7"/>
    </row>
    <row r="911" spans="1:6" x14ac:dyDescent="0.25">
      <c r="A911" s="7"/>
      <c r="B911" s="7"/>
      <c r="C911" s="7"/>
      <c r="D911" s="7"/>
      <c r="E911" s="7"/>
      <c r="F911" s="7"/>
    </row>
    <row r="912" spans="1:6" x14ac:dyDescent="0.25">
      <c r="A912" s="7"/>
      <c r="B912" s="7"/>
      <c r="C912" s="7"/>
      <c r="D912" s="7"/>
      <c r="E912" s="7"/>
      <c r="F912" s="7"/>
    </row>
    <row r="913" spans="1:6" x14ac:dyDescent="0.25">
      <c r="A913" s="7"/>
      <c r="B913" s="7"/>
      <c r="C913" s="7"/>
      <c r="D913" s="7"/>
      <c r="E913" s="7"/>
      <c r="F913" s="7"/>
    </row>
    <row r="914" spans="1:6" x14ac:dyDescent="0.25">
      <c r="A914" s="7"/>
      <c r="B914" s="7"/>
      <c r="C914" s="7"/>
      <c r="D914" s="7"/>
      <c r="E914" s="7"/>
      <c r="F914" s="7"/>
    </row>
    <row r="915" spans="1:6" x14ac:dyDescent="0.25">
      <c r="A915" s="7"/>
      <c r="B915" s="7"/>
      <c r="C915" s="7"/>
      <c r="D915" s="7"/>
      <c r="E915" s="7"/>
      <c r="F915" s="7"/>
    </row>
    <row r="916" spans="1:6" x14ac:dyDescent="0.25">
      <c r="A916" s="7"/>
      <c r="B916" s="7"/>
      <c r="C916" s="7"/>
      <c r="D916" s="7"/>
      <c r="E916" s="7"/>
      <c r="F916" s="7"/>
    </row>
    <row r="917" spans="1:6" x14ac:dyDescent="0.25">
      <c r="A917" s="7"/>
      <c r="B917" s="7"/>
      <c r="C917" s="7"/>
      <c r="D917" s="7"/>
      <c r="E917" s="7"/>
      <c r="F917" s="7"/>
    </row>
    <row r="918" spans="1:6" x14ac:dyDescent="0.25">
      <c r="A918" s="7"/>
      <c r="B918" s="7"/>
      <c r="C918" s="7"/>
      <c r="D918" s="7"/>
      <c r="E918" s="7"/>
      <c r="F918" s="7"/>
    </row>
    <row r="919" spans="1:6" x14ac:dyDescent="0.25">
      <c r="A919" s="7"/>
      <c r="B919" s="7"/>
      <c r="C919" s="7"/>
      <c r="D919" s="7"/>
      <c r="E919" s="7"/>
      <c r="F919" s="7"/>
    </row>
    <row r="920" spans="1:6" x14ac:dyDescent="0.25">
      <c r="A920" s="7"/>
      <c r="B920" s="7"/>
      <c r="C920" s="7"/>
      <c r="D920" s="7"/>
      <c r="E920" s="7"/>
      <c r="F920" s="7"/>
    </row>
    <row r="921" spans="1:6" x14ac:dyDescent="0.25">
      <c r="A921" s="7"/>
      <c r="B921" s="7"/>
      <c r="C921" s="7"/>
      <c r="D921" s="7"/>
      <c r="E921" s="7"/>
      <c r="F921" s="7"/>
    </row>
    <row r="922" spans="1:6" x14ac:dyDescent="0.25">
      <c r="A922" s="7"/>
      <c r="B922" s="7"/>
      <c r="C922" s="7"/>
      <c r="D922" s="7"/>
      <c r="E922" s="7"/>
      <c r="F922" s="7"/>
    </row>
    <row r="923" spans="1:6" x14ac:dyDescent="0.25">
      <c r="A923" s="7"/>
      <c r="B923" s="7"/>
      <c r="C923" s="7"/>
      <c r="D923" s="7"/>
      <c r="E923" s="7"/>
      <c r="F923" s="7"/>
    </row>
    <row r="924" spans="1:6" x14ac:dyDescent="0.25">
      <c r="A924" s="7"/>
      <c r="B924" s="7"/>
      <c r="C924" s="7"/>
      <c r="D924" s="7"/>
      <c r="E924" s="7"/>
      <c r="F924" s="7"/>
    </row>
    <row r="925" spans="1:6" x14ac:dyDescent="0.25">
      <c r="A925" s="7"/>
      <c r="B925" s="7"/>
      <c r="C925" s="7"/>
      <c r="D925" s="7"/>
      <c r="E925" s="7"/>
      <c r="F925" s="7"/>
    </row>
    <row r="926" spans="1:6" x14ac:dyDescent="0.25">
      <c r="A926" s="7"/>
      <c r="B926" s="7"/>
      <c r="C926" s="7"/>
      <c r="D926" s="7"/>
      <c r="E926" s="7"/>
      <c r="F926" s="7"/>
    </row>
    <row r="927" spans="1:6" x14ac:dyDescent="0.25">
      <c r="A927" s="7"/>
      <c r="B927" s="7"/>
      <c r="C927" s="7"/>
      <c r="D927" s="7"/>
      <c r="E927" s="7"/>
      <c r="F927" s="7"/>
    </row>
    <row r="928" spans="1:6" x14ac:dyDescent="0.25">
      <c r="A928" s="7"/>
      <c r="B928" s="7"/>
      <c r="C928" s="7"/>
      <c r="D928" s="7"/>
      <c r="E928" s="7"/>
      <c r="F928" s="7"/>
    </row>
    <row r="929" spans="1:6" x14ac:dyDescent="0.25">
      <c r="A929" s="7"/>
      <c r="B929" s="7"/>
      <c r="C929" s="7"/>
      <c r="D929" s="7"/>
      <c r="E929" s="7"/>
      <c r="F929" s="7"/>
    </row>
    <row r="930" spans="1:6" x14ac:dyDescent="0.25">
      <c r="A930" s="7"/>
      <c r="B930" s="7"/>
      <c r="C930" s="7"/>
      <c r="D930" s="7"/>
      <c r="E930" s="7"/>
      <c r="F930" s="7"/>
    </row>
    <row r="931" spans="1:6" x14ac:dyDescent="0.25">
      <c r="A931" s="7"/>
      <c r="B931" s="7"/>
      <c r="C931" s="7"/>
      <c r="D931" s="7"/>
      <c r="E931" s="7"/>
      <c r="F931" s="7"/>
    </row>
    <row r="932" spans="1:6" x14ac:dyDescent="0.25">
      <c r="A932" s="7"/>
      <c r="B932" s="7"/>
      <c r="C932" s="7"/>
      <c r="D932" s="7"/>
      <c r="E932" s="7"/>
      <c r="F932" s="7"/>
    </row>
    <row r="933" spans="1:6" x14ac:dyDescent="0.25">
      <c r="A933" s="7"/>
      <c r="B933" s="7"/>
      <c r="C933" s="7"/>
      <c r="D933" s="7"/>
      <c r="E933" s="7"/>
      <c r="F933" s="7"/>
    </row>
    <row r="934" spans="1:6" x14ac:dyDescent="0.25">
      <c r="A934" s="7"/>
      <c r="B934" s="7"/>
      <c r="C934" s="7"/>
      <c r="D934" s="7"/>
      <c r="E934" s="7"/>
      <c r="F934" s="7"/>
    </row>
    <row r="935" spans="1:6" x14ac:dyDescent="0.25">
      <c r="A935" s="7"/>
      <c r="B935" s="7"/>
      <c r="C935" s="7"/>
      <c r="D935" s="7"/>
      <c r="E935" s="7"/>
      <c r="F935" s="7"/>
    </row>
    <row r="936" spans="1:6" x14ac:dyDescent="0.25">
      <c r="A936" s="7"/>
      <c r="B936" s="7"/>
      <c r="C936" s="7"/>
      <c r="D936" s="7"/>
      <c r="E936" s="7"/>
      <c r="F936" s="7"/>
    </row>
    <row r="937" spans="1:6" x14ac:dyDescent="0.25">
      <c r="A937" s="7"/>
      <c r="B937" s="7"/>
      <c r="C937" s="7"/>
      <c r="D937" s="7"/>
      <c r="E937" s="7"/>
      <c r="F937" s="7"/>
    </row>
    <row r="938" spans="1:6" x14ac:dyDescent="0.25">
      <c r="A938" s="7"/>
      <c r="B938" s="7"/>
      <c r="C938" s="7"/>
      <c r="D938" s="7"/>
      <c r="E938" s="7"/>
      <c r="F938" s="7"/>
    </row>
    <row r="939" spans="1:6" x14ac:dyDescent="0.25">
      <c r="A939" s="7"/>
      <c r="B939" s="7"/>
      <c r="C939" s="7"/>
      <c r="D939" s="7"/>
      <c r="E939" s="7"/>
      <c r="F939" s="7"/>
    </row>
    <row r="940" spans="1:6" x14ac:dyDescent="0.25">
      <c r="A940" s="7"/>
      <c r="B940" s="7"/>
      <c r="C940" s="7"/>
      <c r="D940" s="7"/>
      <c r="E940" s="7"/>
      <c r="F940" s="7"/>
    </row>
    <row r="941" spans="1:6" x14ac:dyDescent="0.25">
      <c r="A941" s="7"/>
      <c r="B941" s="7"/>
      <c r="C941" s="7"/>
      <c r="D941" s="7"/>
      <c r="E941" s="7"/>
      <c r="F941" s="7"/>
    </row>
    <row r="942" spans="1:6" x14ac:dyDescent="0.25">
      <c r="A942" s="7"/>
      <c r="B942" s="7"/>
      <c r="C942" s="7"/>
      <c r="D942" s="7"/>
      <c r="E942" s="7"/>
      <c r="F942" s="7"/>
    </row>
    <row r="943" spans="1:6" x14ac:dyDescent="0.25">
      <c r="A943" s="7"/>
      <c r="B943" s="7"/>
      <c r="C943" s="7"/>
      <c r="D943" s="7"/>
      <c r="E943" s="7"/>
      <c r="F943" s="7"/>
    </row>
    <row r="944" spans="1:6" x14ac:dyDescent="0.25">
      <c r="A944" s="7"/>
      <c r="B944" s="7"/>
      <c r="C944" s="7"/>
      <c r="D944" s="7"/>
      <c r="E944" s="7"/>
      <c r="F944" s="7"/>
    </row>
    <row r="945" spans="1:6" x14ac:dyDescent="0.25">
      <c r="A945" s="7"/>
      <c r="B945" s="7"/>
      <c r="C945" s="7"/>
      <c r="D945" s="7"/>
      <c r="E945" s="7"/>
      <c r="F945" s="7"/>
    </row>
    <row r="946" spans="1:6" x14ac:dyDescent="0.25">
      <c r="A946" s="7"/>
      <c r="B946" s="7"/>
      <c r="C946" s="7"/>
      <c r="D946" s="7"/>
      <c r="E946" s="7"/>
      <c r="F946" s="7"/>
    </row>
    <row r="947" spans="1:6" x14ac:dyDescent="0.25">
      <c r="A947" s="7"/>
      <c r="B947" s="7"/>
      <c r="C947" s="7"/>
      <c r="D947" s="7"/>
      <c r="E947" s="7"/>
      <c r="F947" s="7"/>
    </row>
    <row r="948" spans="1:6" x14ac:dyDescent="0.25">
      <c r="A948" s="7"/>
      <c r="B948" s="7"/>
      <c r="C948" s="7"/>
      <c r="D948" s="7"/>
      <c r="E948" s="7"/>
      <c r="F948" s="7"/>
    </row>
    <row r="949" spans="1:6" x14ac:dyDescent="0.25">
      <c r="A949" s="7"/>
      <c r="B949" s="7"/>
      <c r="C949" s="7"/>
      <c r="D949" s="7"/>
      <c r="E949" s="7"/>
      <c r="F949" s="7"/>
    </row>
    <row r="950" spans="1:6" x14ac:dyDescent="0.25">
      <c r="A950" s="7"/>
      <c r="B950" s="7"/>
      <c r="C950" s="7"/>
      <c r="D950" s="7"/>
      <c r="E950" s="7"/>
      <c r="F950" s="7"/>
    </row>
    <row r="951" spans="1:6" x14ac:dyDescent="0.25">
      <c r="A951" s="7"/>
      <c r="B951" s="7"/>
      <c r="C951" s="7"/>
      <c r="D951" s="7"/>
      <c r="E951" s="7"/>
      <c r="F951" s="7"/>
    </row>
    <row r="952" spans="1:6" x14ac:dyDescent="0.25">
      <c r="A952" s="7"/>
      <c r="B952" s="7"/>
      <c r="C952" s="7"/>
      <c r="D952" s="7"/>
      <c r="E952" s="7"/>
      <c r="F952" s="7"/>
    </row>
    <row r="953" spans="1:6" x14ac:dyDescent="0.25">
      <c r="A953" s="7"/>
      <c r="B953" s="7"/>
      <c r="C953" s="7"/>
      <c r="D953" s="7"/>
      <c r="E953" s="7"/>
      <c r="F953" s="7"/>
    </row>
    <row r="954" spans="1:6" x14ac:dyDescent="0.25">
      <c r="A954" s="7"/>
      <c r="B954" s="7"/>
      <c r="C954" s="7"/>
      <c r="D954" s="7"/>
      <c r="E954" s="7"/>
      <c r="F954" s="7"/>
    </row>
    <row r="955" spans="1:6" x14ac:dyDescent="0.25">
      <c r="A955" s="7"/>
      <c r="B955" s="7"/>
      <c r="C955" s="7"/>
      <c r="D955" s="7"/>
      <c r="E955" s="7"/>
      <c r="F955" s="7"/>
    </row>
    <row r="956" spans="1:6" x14ac:dyDescent="0.25">
      <c r="A956" s="7"/>
      <c r="B956" s="7"/>
      <c r="C956" s="7"/>
      <c r="D956" s="7"/>
      <c r="E956" s="7"/>
      <c r="F956" s="7"/>
    </row>
    <row r="957" spans="1:6" x14ac:dyDescent="0.25">
      <c r="A957" s="7"/>
      <c r="B957" s="7"/>
      <c r="C957" s="7"/>
      <c r="D957" s="7"/>
      <c r="E957" s="7"/>
      <c r="F957" s="7"/>
    </row>
    <row r="958" spans="1:6" x14ac:dyDescent="0.25">
      <c r="A958" s="7"/>
      <c r="B958" s="7"/>
      <c r="C958" s="7"/>
      <c r="D958" s="7"/>
      <c r="E958" s="7"/>
      <c r="F958" s="7"/>
    </row>
    <row r="959" spans="1:6" x14ac:dyDescent="0.25">
      <c r="A959" s="7"/>
      <c r="B959" s="7"/>
      <c r="C959" s="7"/>
      <c r="D959" s="7"/>
      <c r="E959" s="7"/>
      <c r="F959" s="7"/>
    </row>
    <row r="960" spans="1:6" x14ac:dyDescent="0.25">
      <c r="A960" s="7"/>
      <c r="B960" s="7"/>
      <c r="C960" s="7"/>
      <c r="D960" s="7"/>
      <c r="E960" s="7"/>
      <c r="F960" s="7"/>
    </row>
    <row r="961" spans="1:6" x14ac:dyDescent="0.25">
      <c r="A961" s="7"/>
      <c r="B961" s="7"/>
      <c r="C961" s="7"/>
      <c r="D961" s="7"/>
      <c r="E961" s="7"/>
      <c r="F961" s="7"/>
    </row>
    <row r="962" spans="1:6" x14ac:dyDescent="0.25">
      <c r="A962" s="7"/>
      <c r="B962" s="7"/>
      <c r="C962" s="7"/>
      <c r="D962" s="7"/>
      <c r="E962" s="7"/>
      <c r="F962" s="7"/>
    </row>
    <row r="963" spans="1:6" x14ac:dyDescent="0.25">
      <c r="A963" s="7"/>
      <c r="B963" s="7"/>
      <c r="C963" s="7"/>
      <c r="D963" s="7"/>
      <c r="E963" s="7"/>
      <c r="F963" s="7"/>
    </row>
    <row r="964" spans="1:6" x14ac:dyDescent="0.25">
      <c r="A964" s="7"/>
      <c r="B964" s="7"/>
      <c r="C964" s="7"/>
      <c r="D964" s="7"/>
      <c r="E964" s="7"/>
      <c r="F964" s="7"/>
    </row>
    <row r="965" spans="1:6" x14ac:dyDescent="0.25">
      <c r="A965" s="7"/>
      <c r="B965" s="7"/>
      <c r="C965" s="7"/>
      <c r="D965" s="7"/>
      <c r="E965" s="7"/>
      <c r="F965" s="7"/>
    </row>
    <row r="966" spans="1:6" x14ac:dyDescent="0.25">
      <c r="A966" s="7"/>
      <c r="B966" s="7"/>
      <c r="C966" s="7"/>
      <c r="D966" s="7"/>
      <c r="E966" s="7"/>
      <c r="F966" s="7"/>
    </row>
    <row r="967" spans="1:6" x14ac:dyDescent="0.25">
      <c r="A967" s="7"/>
      <c r="B967" s="7"/>
      <c r="C967" s="7"/>
      <c r="D967" s="7"/>
      <c r="E967" s="7"/>
      <c r="F967" s="7"/>
    </row>
    <row r="968" spans="1:6" x14ac:dyDescent="0.25">
      <c r="A968" s="7"/>
      <c r="B968" s="7"/>
      <c r="C968" s="7"/>
      <c r="D968" s="7"/>
      <c r="E968" s="7"/>
      <c r="F968" s="7"/>
    </row>
    <row r="969" spans="1:6" x14ac:dyDescent="0.25">
      <c r="A969" s="7"/>
      <c r="B969" s="7"/>
      <c r="C969" s="7"/>
      <c r="D969" s="7"/>
      <c r="E969" s="7"/>
      <c r="F969" s="7"/>
    </row>
    <row r="970" spans="1:6" x14ac:dyDescent="0.25">
      <c r="A970" s="7"/>
      <c r="B970" s="7"/>
      <c r="C970" s="7"/>
      <c r="D970" s="7"/>
      <c r="E970" s="7"/>
      <c r="F970" s="7"/>
    </row>
    <row r="971" spans="1:6" x14ac:dyDescent="0.25">
      <c r="A971" s="7"/>
      <c r="B971" s="7"/>
      <c r="C971" s="7"/>
      <c r="D971" s="7"/>
      <c r="E971" s="7"/>
      <c r="F971" s="7"/>
    </row>
    <row r="972" spans="1:6" x14ac:dyDescent="0.25">
      <c r="A972" s="7"/>
      <c r="B972" s="7"/>
      <c r="C972" s="7"/>
      <c r="D972" s="7"/>
      <c r="E972" s="7"/>
      <c r="F972" s="7"/>
    </row>
    <row r="973" spans="1:6" x14ac:dyDescent="0.25">
      <c r="A973" s="7"/>
      <c r="B973" s="7"/>
      <c r="C973" s="7"/>
      <c r="D973" s="7"/>
      <c r="E973" s="7"/>
      <c r="F973" s="7"/>
    </row>
    <row r="974" spans="1:6" x14ac:dyDescent="0.25">
      <c r="A974" s="7"/>
      <c r="B974" s="7"/>
      <c r="C974" s="7"/>
      <c r="D974" s="7"/>
      <c r="E974" s="7"/>
      <c r="F974" s="7"/>
    </row>
    <row r="975" spans="1:6" x14ac:dyDescent="0.25">
      <c r="A975" s="7"/>
      <c r="B975" s="7"/>
      <c r="C975" s="7"/>
      <c r="D975" s="7"/>
      <c r="E975" s="7"/>
      <c r="F975" s="7"/>
    </row>
    <row r="976" spans="1:6" x14ac:dyDescent="0.25">
      <c r="A976" s="7"/>
      <c r="B976" s="7"/>
      <c r="C976" s="7"/>
      <c r="D976" s="7"/>
      <c r="E976" s="7"/>
      <c r="F976" s="7"/>
    </row>
    <row r="977" spans="1:6" x14ac:dyDescent="0.25">
      <c r="A977" s="7"/>
      <c r="B977" s="7"/>
      <c r="C977" s="7"/>
      <c r="D977" s="7"/>
      <c r="E977" s="7"/>
      <c r="F977" s="7"/>
    </row>
    <row r="978" spans="1:6" x14ac:dyDescent="0.25">
      <c r="A978" s="7"/>
      <c r="B978" s="7"/>
      <c r="C978" s="7"/>
      <c r="D978" s="7"/>
      <c r="E978" s="7"/>
      <c r="F978" s="7"/>
    </row>
    <row r="979" spans="1:6" x14ac:dyDescent="0.25">
      <c r="A979" s="7"/>
      <c r="B979" s="7"/>
      <c r="C979" s="7"/>
      <c r="D979" s="7"/>
      <c r="E979" s="7"/>
      <c r="F979" s="7"/>
    </row>
    <row r="980" spans="1:6" x14ac:dyDescent="0.25">
      <c r="A980" s="7"/>
      <c r="B980" s="7"/>
      <c r="C980" s="7"/>
      <c r="D980" s="7"/>
      <c r="E980" s="7"/>
      <c r="F980" s="7"/>
    </row>
    <row r="981" spans="1:6" x14ac:dyDescent="0.25">
      <c r="A981" s="7"/>
      <c r="B981" s="7"/>
      <c r="C981" s="7"/>
      <c r="D981" s="7"/>
      <c r="E981" s="7"/>
      <c r="F981" s="7"/>
    </row>
    <row r="982" spans="1:6" x14ac:dyDescent="0.25">
      <c r="A982" s="7"/>
      <c r="B982" s="7"/>
      <c r="C982" s="7"/>
      <c r="D982" s="7"/>
      <c r="E982" s="7"/>
      <c r="F982" s="7"/>
    </row>
    <row r="983" spans="1:6" x14ac:dyDescent="0.25">
      <c r="A983" s="7"/>
      <c r="B983" s="7"/>
      <c r="C983" s="7"/>
      <c r="D983" s="7"/>
      <c r="E983" s="7"/>
      <c r="F983" s="7"/>
    </row>
    <row r="984" spans="1:6" x14ac:dyDescent="0.25">
      <c r="A984" s="7"/>
      <c r="B984" s="7"/>
      <c r="C984" s="7"/>
      <c r="D984" s="7"/>
      <c r="E984" s="7"/>
      <c r="F984" s="7"/>
    </row>
    <row r="985" spans="1:6" x14ac:dyDescent="0.25">
      <c r="A985" s="7"/>
      <c r="B985" s="7"/>
      <c r="C985" s="7"/>
      <c r="D985" s="7"/>
      <c r="E985" s="7"/>
      <c r="F985" s="7"/>
    </row>
    <row r="986" spans="1:6" x14ac:dyDescent="0.25">
      <c r="A986" s="7"/>
      <c r="B986" s="7"/>
      <c r="C986" s="7"/>
      <c r="D986" s="7"/>
      <c r="E986" s="7"/>
      <c r="F986" s="7"/>
    </row>
    <row r="987" spans="1:6" x14ac:dyDescent="0.25">
      <c r="A987" s="7"/>
      <c r="B987" s="7"/>
      <c r="C987" s="7"/>
      <c r="D987" s="7"/>
      <c r="E987" s="7"/>
      <c r="F987" s="7"/>
    </row>
    <row r="988" spans="1:6" x14ac:dyDescent="0.25">
      <c r="A988" s="7"/>
      <c r="B988" s="7"/>
      <c r="C988" s="7"/>
      <c r="D988" s="7"/>
      <c r="E988" s="7"/>
      <c r="F988" s="7"/>
    </row>
    <row r="989" spans="1:6" x14ac:dyDescent="0.25">
      <c r="A989" s="7"/>
      <c r="B989" s="7"/>
      <c r="C989" s="7"/>
      <c r="D989" s="7"/>
      <c r="E989" s="7"/>
      <c r="F989" s="7"/>
    </row>
    <row r="990" spans="1:6" x14ac:dyDescent="0.25">
      <c r="A990" s="7"/>
      <c r="B990" s="7"/>
      <c r="C990" s="7"/>
      <c r="D990" s="7"/>
      <c r="E990" s="7"/>
      <c r="F990" s="7"/>
    </row>
    <row r="991" spans="1:6" x14ac:dyDescent="0.25">
      <c r="A991" s="7"/>
      <c r="B991" s="7"/>
      <c r="C991" s="7"/>
      <c r="D991" s="7"/>
      <c r="E991" s="7"/>
      <c r="F991" s="7"/>
    </row>
    <row r="992" spans="1:6" x14ac:dyDescent="0.25">
      <c r="A992" s="7"/>
      <c r="B992" s="7"/>
      <c r="C992" s="7"/>
      <c r="D992" s="7"/>
      <c r="E992" s="7"/>
      <c r="F992" s="7"/>
    </row>
    <row r="993" spans="1:6" x14ac:dyDescent="0.25">
      <c r="A993" s="7"/>
      <c r="B993" s="7"/>
      <c r="C993" s="7"/>
      <c r="D993" s="7"/>
      <c r="E993" s="7"/>
      <c r="F993" s="7"/>
    </row>
    <row r="994" spans="1:6" x14ac:dyDescent="0.25">
      <c r="A994" s="7"/>
      <c r="B994" s="7"/>
      <c r="C994" s="7"/>
      <c r="D994" s="7"/>
      <c r="E994" s="7"/>
      <c r="F994" s="7"/>
    </row>
    <row r="995" spans="1:6" x14ac:dyDescent="0.25">
      <c r="A995" s="7"/>
      <c r="B995" s="7"/>
      <c r="C995" s="7"/>
      <c r="D995" s="7"/>
      <c r="E995" s="7"/>
      <c r="F995" s="7"/>
    </row>
  </sheetData>
  <mergeCells count="2">
    <mergeCell ref="A1:E1"/>
    <mergeCell ref="A5:E5"/>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pageSetUpPr fitToPage="1"/>
  </sheetPr>
  <dimension ref="A1:W1002"/>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46.33203125" customWidth="1"/>
    <col min="2" max="2" width="7.33203125" customWidth="1"/>
    <col min="3" max="4" width="7.88671875" customWidth="1"/>
    <col min="5" max="5" width="22.21875" customWidth="1"/>
    <col min="6" max="6" width="14.6640625" customWidth="1"/>
  </cols>
  <sheetData>
    <row r="1" spans="1:23" x14ac:dyDescent="0.25">
      <c r="A1" s="141" t="s">
        <v>406</v>
      </c>
      <c r="B1" s="142"/>
      <c r="C1" s="142"/>
      <c r="D1" s="142"/>
      <c r="E1" s="142"/>
      <c r="F1" s="142"/>
      <c r="G1" s="142"/>
      <c r="H1" s="142"/>
      <c r="I1" s="143"/>
    </row>
    <row r="2" spans="1:23" x14ac:dyDescent="0.25">
      <c r="A2" s="144" t="s">
        <v>407</v>
      </c>
      <c r="B2" s="142"/>
      <c r="C2" s="142"/>
      <c r="D2" s="142"/>
      <c r="E2" s="142"/>
      <c r="F2" s="142"/>
      <c r="G2" s="142"/>
      <c r="H2" s="142"/>
      <c r="I2" s="143"/>
    </row>
    <row r="3" spans="1:23" x14ac:dyDescent="0.25">
      <c r="A3" s="43" t="s">
        <v>374</v>
      </c>
      <c r="B3" s="145" t="s">
        <v>408</v>
      </c>
      <c r="C3" s="143"/>
      <c r="D3" s="49" t="s">
        <v>370</v>
      </c>
      <c r="E3" s="50" t="s">
        <v>371</v>
      </c>
      <c r="F3" s="51" t="s">
        <v>372</v>
      </c>
      <c r="G3" s="52" t="s">
        <v>373</v>
      </c>
      <c r="H3" s="53" t="s">
        <v>409</v>
      </c>
      <c r="I3" s="53" t="s">
        <v>410</v>
      </c>
      <c r="J3" s="7"/>
      <c r="K3" s="7"/>
      <c r="L3" s="7"/>
      <c r="M3" s="7"/>
      <c r="N3" s="7"/>
      <c r="O3" s="7"/>
      <c r="P3" s="7"/>
      <c r="Q3" s="7"/>
      <c r="R3" s="7"/>
      <c r="S3" s="7"/>
      <c r="T3" s="7"/>
      <c r="U3" s="7"/>
      <c r="V3" s="7"/>
      <c r="W3" s="7"/>
    </row>
    <row r="4" spans="1:23" x14ac:dyDescent="0.25">
      <c r="A4" s="41" t="s">
        <v>411</v>
      </c>
      <c r="B4" s="54">
        <f>SUM(B5:B8)/3</f>
        <v>1</v>
      </c>
      <c r="C4" s="55">
        <f>D4*B4</f>
        <v>0.7</v>
      </c>
      <c r="D4" s="56">
        <v>0.7</v>
      </c>
      <c r="E4" s="57"/>
      <c r="F4" s="57"/>
      <c r="G4" s="58"/>
      <c r="H4" s="58"/>
      <c r="I4" s="58"/>
    </row>
    <row r="5" spans="1:23" x14ac:dyDescent="0.25">
      <c r="A5" s="42" t="s">
        <v>412</v>
      </c>
      <c r="B5" s="59">
        <v>1</v>
      </c>
      <c r="C5" s="60"/>
      <c r="D5" s="60"/>
      <c r="E5" s="42"/>
      <c r="F5" s="61"/>
      <c r="G5" s="59">
        <v>0.8</v>
      </c>
      <c r="H5" s="59">
        <v>0.8</v>
      </c>
      <c r="I5" s="59">
        <v>1</v>
      </c>
    </row>
    <row r="6" spans="1:23" x14ac:dyDescent="0.25">
      <c r="A6" s="42" t="s">
        <v>413</v>
      </c>
      <c r="B6" s="59">
        <v>1</v>
      </c>
      <c r="C6" s="60"/>
      <c r="D6" s="60"/>
      <c r="E6" s="42"/>
      <c r="F6" s="61"/>
      <c r="G6" s="59">
        <v>0.8</v>
      </c>
      <c r="H6" s="59">
        <v>0.8</v>
      </c>
      <c r="I6" s="59">
        <v>1</v>
      </c>
    </row>
    <row r="7" spans="1:23" x14ac:dyDescent="0.25">
      <c r="A7" s="42" t="s">
        <v>414</v>
      </c>
      <c r="B7" s="59">
        <v>1</v>
      </c>
      <c r="C7" s="60"/>
      <c r="D7" s="60"/>
      <c r="E7" s="42"/>
      <c r="F7" s="61"/>
      <c r="G7" s="59">
        <v>0.8</v>
      </c>
      <c r="H7" s="59">
        <v>0.8</v>
      </c>
      <c r="I7" s="59">
        <v>1</v>
      </c>
    </row>
    <row r="8" spans="1:23" x14ac:dyDescent="0.25">
      <c r="A8" s="42"/>
      <c r="B8" s="62"/>
      <c r="C8" s="60"/>
      <c r="D8" s="60"/>
      <c r="E8" s="42"/>
      <c r="F8" s="42"/>
      <c r="G8" s="60"/>
      <c r="H8" s="60"/>
      <c r="I8" s="60"/>
    </row>
    <row r="9" spans="1:23" x14ac:dyDescent="0.25">
      <c r="A9" s="41" t="s">
        <v>415</v>
      </c>
      <c r="B9" s="54">
        <f>SUM(B10:B11)/1</f>
        <v>1</v>
      </c>
      <c r="C9" s="55">
        <f>D9*B9</f>
        <v>0.2</v>
      </c>
      <c r="D9" s="56">
        <v>0.2</v>
      </c>
      <c r="E9" s="57"/>
      <c r="F9" s="57"/>
      <c r="G9" s="58"/>
      <c r="H9" s="58"/>
      <c r="I9" s="58"/>
    </row>
    <row r="10" spans="1:23" x14ac:dyDescent="0.25">
      <c r="A10" s="42" t="s">
        <v>416</v>
      </c>
      <c r="B10" s="59">
        <v>1</v>
      </c>
      <c r="C10" s="60"/>
      <c r="D10" s="60"/>
      <c r="E10" s="42"/>
      <c r="F10" s="63" t="s">
        <v>417</v>
      </c>
      <c r="G10" s="59">
        <v>1</v>
      </c>
      <c r="H10" s="59">
        <v>0.9</v>
      </c>
      <c r="I10" s="59">
        <v>1.3</v>
      </c>
    </row>
    <row r="11" spans="1:23" x14ac:dyDescent="0.25">
      <c r="A11" s="43"/>
      <c r="B11" s="62"/>
      <c r="C11" s="60"/>
      <c r="D11" s="60"/>
      <c r="E11" s="42"/>
      <c r="F11" s="61"/>
      <c r="G11" s="59"/>
      <c r="H11" s="59"/>
      <c r="I11" s="59"/>
    </row>
    <row r="12" spans="1:23" x14ac:dyDescent="0.25">
      <c r="A12" s="41" t="s">
        <v>385</v>
      </c>
      <c r="B12" s="54">
        <f>SUM(B13:B14)/2</f>
        <v>1</v>
      </c>
      <c r="C12" s="55">
        <f>D12*B12</f>
        <v>0.1</v>
      </c>
      <c r="D12" s="56">
        <v>0.1</v>
      </c>
      <c r="E12" s="57"/>
      <c r="F12" s="57"/>
      <c r="G12" s="58"/>
      <c r="H12" s="58"/>
      <c r="I12" s="58"/>
    </row>
    <row r="13" spans="1:23" x14ac:dyDescent="0.25">
      <c r="A13" s="42" t="s">
        <v>386</v>
      </c>
      <c r="B13" s="59">
        <v>1</v>
      </c>
      <c r="C13" s="60"/>
      <c r="D13" s="53"/>
      <c r="E13" s="42"/>
      <c r="F13" s="42" t="s">
        <v>418</v>
      </c>
      <c r="G13" s="59">
        <v>0.8</v>
      </c>
      <c r="H13" s="59">
        <v>0.8</v>
      </c>
      <c r="I13" s="59">
        <v>1</v>
      </c>
    </row>
    <row r="14" spans="1:23" x14ac:dyDescent="0.25">
      <c r="A14" s="42" t="s">
        <v>387</v>
      </c>
      <c r="B14" s="59">
        <v>1</v>
      </c>
      <c r="C14" s="53"/>
      <c r="D14" s="53"/>
      <c r="E14" s="42"/>
      <c r="F14" s="42" t="s">
        <v>419</v>
      </c>
      <c r="G14" s="59">
        <v>0.8</v>
      </c>
      <c r="H14" s="59">
        <v>0.8</v>
      </c>
      <c r="I14" s="59">
        <v>1</v>
      </c>
    </row>
    <row r="15" spans="1:23" x14ac:dyDescent="0.25">
      <c r="A15" s="42"/>
      <c r="B15" s="60"/>
      <c r="C15" s="64">
        <f t="shared" ref="C15:D15" si="0">SUM(C4+C9+C12)</f>
        <v>0.99999999999999989</v>
      </c>
      <c r="D15" s="64">
        <f t="shared" si="0"/>
        <v>0.99999999999999989</v>
      </c>
      <c r="E15" s="42"/>
      <c r="F15" s="42" t="s">
        <v>420</v>
      </c>
      <c r="G15" s="60"/>
      <c r="H15" s="60"/>
      <c r="I15" s="60"/>
    </row>
    <row r="16" spans="1:23" x14ac:dyDescent="0.25">
      <c r="A16" s="41" t="s">
        <v>421</v>
      </c>
      <c r="B16" s="41"/>
      <c r="C16" s="65"/>
      <c r="D16" s="65">
        <f>C16</f>
        <v>0</v>
      </c>
      <c r="E16" s="41"/>
      <c r="F16" s="41"/>
      <c r="G16" s="41"/>
      <c r="H16" s="41"/>
      <c r="I16" s="41"/>
    </row>
    <row r="17" spans="1:10" x14ac:dyDescent="0.25">
      <c r="A17" s="66" t="s">
        <v>422</v>
      </c>
      <c r="B17" s="67" t="s">
        <v>423</v>
      </c>
      <c r="C17" s="59">
        <v>1</v>
      </c>
      <c r="D17" s="64"/>
      <c r="E17" s="68" t="s">
        <v>424</v>
      </c>
      <c r="F17" s="42" t="s">
        <v>425</v>
      </c>
      <c r="G17" s="42"/>
      <c r="H17" s="60"/>
      <c r="I17" s="60"/>
    </row>
    <row r="18" spans="1:10" x14ac:dyDescent="0.25">
      <c r="A18" s="66" t="s">
        <v>426</v>
      </c>
      <c r="B18" s="67" t="s">
        <v>427</v>
      </c>
      <c r="C18" s="59">
        <v>1</v>
      </c>
      <c r="D18" s="64"/>
      <c r="E18" s="68" t="s">
        <v>428</v>
      </c>
      <c r="F18" s="42" t="s">
        <v>425</v>
      </c>
      <c r="G18" s="69"/>
      <c r="H18" s="60"/>
      <c r="I18" s="60"/>
    </row>
    <row r="19" spans="1:10" x14ac:dyDescent="0.25">
      <c r="A19" s="66" t="s">
        <v>429</v>
      </c>
      <c r="B19" s="67" t="s">
        <v>427</v>
      </c>
      <c r="C19" s="59">
        <v>1</v>
      </c>
      <c r="D19" s="64"/>
      <c r="E19" s="68" t="s">
        <v>430</v>
      </c>
      <c r="F19" s="42" t="s">
        <v>425</v>
      </c>
      <c r="G19" s="42"/>
      <c r="H19" s="60"/>
      <c r="I19" s="60"/>
      <c r="J19" s="19" t="s">
        <v>431</v>
      </c>
    </row>
    <row r="20" spans="1:10" x14ac:dyDescent="0.25">
      <c r="A20" s="7"/>
      <c r="E20" s="7"/>
      <c r="F20" s="7"/>
    </row>
    <row r="21" spans="1:10" x14ac:dyDescent="0.25">
      <c r="A21" s="7"/>
      <c r="E21" s="7"/>
      <c r="F21" s="7"/>
    </row>
    <row r="22" spans="1:10" x14ac:dyDescent="0.25">
      <c r="A22" s="7"/>
      <c r="E22" s="7"/>
      <c r="F22" s="7"/>
    </row>
    <row r="23" spans="1:10" x14ac:dyDescent="0.25">
      <c r="A23" s="7"/>
      <c r="E23" s="7"/>
      <c r="F23" s="7"/>
    </row>
    <row r="24" spans="1:10" x14ac:dyDescent="0.25">
      <c r="A24" s="7"/>
      <c r="E24" s="7"/>
      <c r="F24" s="7"/>
    </row>
    <row r="25" spans="1:10" x14ac:dyDescent="0.25">
      <c r="A25" s="7"/>
      <c r="E25" s="7"/>
      <c r="F25" s="7"/>
    </row>
    <row r="26" spans="1:10" x14ac:dyDescent="0.25">
      <c r="A26" s="7"/>
      <c r="E26" s="7"/>
      <c r="F26" s="7"/>
    </row>
    <row r="27" spans="1:10" x14ac:dyDescent="0.25">
      <c r="A27" s="7"/>
      <c r="E27" s="7"/>
      <c r="F27" s="7"/>
    </row>
    <row r="28" spans="1:10" x14ac:dyDescent="0.25">
      <c r="A28" s="7"/>
      <c r="E28" s="7"/>
      <c r="F28" s="7"/>
    </row>
    <row r="29" spans="1:10" x14ac:dyDescent="0.25">
      <c r="A29" s="7"/>
      <c r="E29" s="7"/>
      <c r="F29" s="7"/>
    </row>
    <row r="30" spans="1:10" x14ac:dyDescent="0.25">
      <c r="A30" s="7"/>
      <c r="E30" s="7"/>
      <c r="F30" s="7"/>
    </row>
    <row r="31" spans="1:10" x14ac:dyDescent="0.25">
      <c r="A31" s="7"/>
      <c r="E31" s="7"/>
      <c r="F31" s="7"/>
    </row>
    <row r="32" spans="1:10" x14ac:dyDescent="0.25">
      <c r="A32" s="7"/>
      <c r="E32" s="7"/>
      <c r="F32" s="7"/>
    </row>
    <row r="33" spans="1:6" x14ac:dyDescent="0.25">
      <c r="A33" s="7"/>
      <c r="E33" s="7"/>
      <c r="F33" s="7"/>
    </row>
    <row r="34" spans="1:6" x14ac:dyDescent="0.25">
      <c r="A34" s="7"/>
      <c r="E34" s="7"/>
      <c r="F34" s="7"/>
    </row>
    <row r="35" spans="1:6" x14ac:dyDescent="0.25">
      <c r="A35" s="7"/>
      <c r="E35" s="7"/>
      <c r="F35" s="7"/>
    </row>
    <row r="36" spans="1:6" x14ac:dyDescent="0.25">
      <c r="A36" s="7"/>
      <c r="E36" s="7"/>
      <c r="F36" s="7"/>
    </row>
    <row r="37" spans="1:6" x14ac:dyDescent="0.25">
      <c r="A37" s="7"/>
      <c r="E37" s="7"/>
      <c r="F37" s="7"/>
    </row>
    <row r="38" spans="1:6" x14ac:dyDescent="0.25">
      <c r="A38" s="7"/>
      <c r="E38" s="7"/>
      <c r="F38" s="7"/>
    </row>
    <row r="39" spans="1:6" x14ac:dyDescent="0.25">
      <c r="A39" s="7"/>
      <c r="E39" s="7"/>
      <c r="F39" s="7"/>
    </row>
    <row r="40" spans="1:6" x14ac:dyDescent="0.25">
      <c r="A40" s="7"/>
      <c r="E40" s="7"/>
      <c r="F40" s="7"/>
    </row>
    <row r="41" spans="1:6" x14ac:dyDescent="0.25">
      <c r="A41" s="7"/>
      <c r="E41" s="7"/>
      <c r="F41" s="7"/>
    </row>
    <row r="42" spans="1:6" x14ac:dyDescent="0.25">
      <c r="A42" s="7"/>
      <c r="E42" s="7"/>
      <c r="F42" s="7"/>
    </row>
    <row r="43" spans="1:6" x14ac:dyDescent="0.25">
      <c r="A43" s="7"/>
      <c r="E43" s="7"/>
      <c r="F43" s="7"/>
    </row>
    <row r="44" spans="1:6" x14ac:dyDescent="0.25">
      <c r="A44" s="7"/>
      <c r="E44" s="7"/>
      <c r="F44" s="7"/>
    </row>
    <row r="45" spans="1:6" x14ac:dyDescent="0.25">
      <c r="A45" s="7"/>
      <c r="E45" s="7"/>
      <c r="F45" s="7"/>
    </row>
    <row r="46" spans="1:6" x14ac:dyDescent="0.25">
      <c r="A46" s="7"/>
      <c r="E46" s="7"/>
      <c r="F46" s="7"/>
    </row>
    <row r="47" spans="1:6" x14ac:dyDescent="0.25">
      <c r="A47" s="7"/>
      <c r="E47" s="7"/>
      <c r="F47" s="7"/>
    </row>
    <row r="48" spans="1:6" x14ac:dyDescent="0.25">
      <c r="A48" s="7"/>
      <c r="E48" s="7"/>
      <c r="F48" s="7"/>
    </row>
    <row r="49" spans="1:6" x14ac:dyDescent="0.25">
      <c r="A49" s="7"/>
      <c r="E49" s="7"/>
      <c r="F49" s="7"/>
    </row>
    <row r="50" spans="1:6" x14ac:dyDescent="0.25">
      <c r="A50" s="7"/>
      <c r="E50" s="7"/>
      <c r="F50" s="7"/>
    </row>
    <row r="51" spans="1:6" x14ac:dyDescent="0.25">
      <c r="A51" s="7"/>
      <c r="E51" s="7"/>
      <c r="F51" s="7"/>
    </row>
    <row r="52" spans="1:6" x14ac:dyDescent="0.25">
      <c r="A52" s="7"/>
      <c r="E52" s="7"/>
      <c r="F52" s="7"/>
    </row>
    <row r="53" spans="1:6" x14ac:dyDescent="0.25">
      <c r="A53" s="7"/>
      <c r="E53" s="7"/>
      <c r="F53" s="7"/>
    </row>
    <row r="54" spans="1:6" x14ac:dyDescent="0.25">
      <c r="A54" s="7"/>
      <c r="E54" s="7"/>
      <c r="F54" s="7"/>
    </row>
    <row r="55" spans="1:6" x14ac:dyDescent="0.25">
      <c r="A55" s="7"/>
      <c r="E55" s="7"/>
      <c r="F55" s="7"/>
    </row>
    <row r="56" spans="1:6" x14ac:dyDescent="0.25">
      <c r="A56" s="7"/>
      <c r="E56" s="7"/>
      <c r="F56" s="7"/>
    </row>
    <row r="57" spans="1:6" x14ac:dyDescent="0.25">
      <c r="A57" s="7"/>
      <c r="E57" s="7"/>
      <c r="F57" s="7"/>
    </row>
    <row r="58" spans="1:6" x14ac:dyDescent="0.25">
      <c r="A58" s="7"/>
      <c r="E58" s="7"/>
      <c r="F58" s="7"/>
    </row>
    <row r="59" spans="1:6" x14ac:dyDescent="0.25">
      <c r="A59" s="7"/>
      <c r="E59" s="7"/>
      <c r="F59" s="7"/>
    </row>
    <row r="60" spans="1:6" x14ac:dyDescent="0.25">
      <c r="A60" s="7"/>
      <c r="E60" s="7"/>
      <c r="F60" s="7"/>
    </row>
    <row r="61" spans="1:6" x14ac:dyDescent="0.25">
      <c r="A61" s="7"/>
      <c r="E61" s="7"/>
      <c r="F61" s="7"/>
    </row>
    <row r="62" spans="1:6" x14ac:dyDescent="0.25">
      <c r="A62" s="7"/>
      <c r="E62" s="7"/>
      <c r="F62" s="7"/>
    </row>
    <row r="63" spans="1:6" x14ac:dyDescent="0.25">
      <c r="A63" s="7"/>
      <c r="E63" s="7"/>
      <c r="F63" s="7"/>
    </row>
    <row r="64" spans="1:6" x14ac:dyDescent="0.25">
      <c r="A64" s="7"/>
      <c r="E64" s="7"/>
      <c r="F64" s="7"/>
    </row>
    <row r="65" spans="1:6" x14ac:dyDescent="0.25">
      <c r="A65" s="7"/>
      <c r="E65" s="7"/>
      <c r="F65" s="7"/>
    </row>
    <row r="66" spans="1:6" x14ac:dyDescent="0.25">
      <c r="A66" s="7"/>
      <c r="E66" s="7"/>
      <c r="F66" s="7"/>
    </row>
    <row r="67" spans="1:6" x14ac:dyDescent="0.25">
      <c r="A67" s="7"/>
      <c r="E67" s="7"/>
      <c r="F67" s="7"/>
    </row>
    <row r="68" spans="1:6" x14ac:dyDescent="0.25">
      <c r="A68" s="7"/>
      <c r="E68" s="7"/>
      <c r="F68" s="7"/>
    </row>
    <row r="69" spans="1:6" x14ac:dyDescent="0.25">
      <c r="A69" s="7"/>
      <c r="E69" s="7"/>
      <c r="F69" s="7"/>
    </row>
    <row r="70" spans="1:6" x14ac:dyDescent="0.25">
      <c r="A70" s="7"/>
      <c r="E70" s="7"/>
      <c r="F70" s="7"/>
    </row>
    <row r="71" spans="1:6" x14ac:dyDescent="0.25">
      <c r="A71" s="7"/>
      <c r="E71" s="7"/>
      <c r="F71" s="7"/>
    </row>
    <row r="72" spans="1:6" x14ac:dyDescent="0.25">
      <c r="A72" s="7"/>
      <c r="E72" s="7"/>
      <c r="F72" s="7"/>
    </row>
    <row r="73" spans="1:6" x14ac:dyDescent="0.25">
      <c r="A73" s="7"/>
      <c r="E73" s="7"/>
      <c r="F73" s="7"/>
    </row>
    <row r="74" spans="1:6" x14ac:dyDescent="0.25">
      <c r="A74" s="7"/>
      <c r="E74" s="7"/>
      <c r="F74" s="7"/>
    </row>
    <row r="75" spans="1:6" x14ac:dyDescent="0.25">
      <c r="A75" s="7"/>
      <c r="E75" s="7"/>
      <c r="F75" s="7"/>
    </row>
    <row r="76" spans="1:6" x14ac:dyDescent="0.25">
      <c r="A76" s="7"/>
      <c r="E76" s="7"/>
      <c r="F76" s="7"/>
    </row>
    <row r="77" spans="1:6" x14ac:dyDescent="0.25">
      <c r="A77" s="7"/>
      <c r="E77" s="7"/>
      <c r="F77" s="7"/>
    </row>
    <row r="78" spans="1:6" x14ac:dyDescent="0.25">
      <c r="A78" s="7"/>
      <c r="E78" s="7"/>
      <c r="F78" s="7"/>
    </row>
    <row r="79" spans="1:6" x14ac:dyDescent="0.25">
      <c r="A79" s="7"/>
      <c r="E79" s="7"/>
      <c r="F79" s="7"/>
    </row>
    <row r="80" spans="1:6" x14ac:dyDescent="0.25">
      <c r="A80" s="7"/>
      <c r="E80" s="7"/>
      <c r="F80" s="7"/>
    </row>
    <row r="81" spans="1:6" x14ac:dyDescent="0.25">
      <c r="A81" s="7"/>
      <c r="E81" s="7"/>
      <c r="F81" s="7"/>
    </row>
    <row r="82" spans="1:6" x14ac:dyDescent="0.25">
      <c r="A82" s="7"/>
      <c r="E82" s="7"/>
      <c r="F82" s="7"/>
    </row>
    <row r="83" spans="1:6" x14ac:dyDescent="0.25">
      <c r="A83" s="7"/>
      <c r="E83" s="7"/>
      <c r="F83" s="7"/>
    </row>
    <row r="84" spans="1:6" x14ac:dyDescent="0.25">
      <c r="A84" s="7"/>
      <c r="E84" s="7"/>
      <c r="F84" s="7"/>
    </row>
    <row r="85" spans="1:6" x14ac:dyDescent="0.25">
      <c r="A85" s="7"/>
      <c r="E85" s="7"/>
      <c r="F85" s="7"/>
    </row>
    <row r="86" spans="1:6" x14ac:dyDescent="0.25">
      <c r="A86" s="7"/>
      <c r="E86" s="7"/>
      <c r="F86" s="7"/>
    </row>
    <row r="87" spans="1:6" x14ac:dyDescent="0.25">
      <c r="A87" s="7"/>
      <c r="E87" s="7"/>
      <c r="F87" s="7"/>
    </row>
    <row r="88" spans="1:6" x14ac:dyDescent="0.25">
      <c r="A88" s="7"/>
      <c r="E88" s="7"/>
      <c r="F88" s="7"/>
    </row>
    <row r="89" spans="1:6" x14ac:dyDescent="0.25">
      <c r="A89" s="7"/>
      <c r="E89" s="7"/>
      <c r="F89" s="7"/>
    </row>
    <row r="90" spans="1:6" x14ac:dyDescent="0.25">
      <c r="A90" s="7"/>
      <c r="E90" s="7"/>
      <c r="F90" s="7"/>
    </row>
    <row r="91" spans="1:6" x14ac:dyDescent="0.25">
      <c r="A91" s="7"/>
      <c r="E91" s="7"/>
      <c r="F91" s="7"/>
    </row>
    <row r="92" spans="1:6" x14ac:dyDescent="0.25">
      <c r="A92" s="7"/>
      <c r="E92" s="7"/>
      <c r="F92" s="7"/>
    </row>
    <row r="93" spans="1:6" x14ac:dyDescent="0.25">
      <c r="A93" s="7"/>
      <c r="E93" s="7"/>
      <c r="F93" s="7"/>
    </row>
    <row r="94" spans="1:6" x14ac:dyDescent="0.25">
      <c r="A94" s="7"/>
      <c r="E94" s="7"/>
      <c r="F94" s="7"/>
    </row>
    <row r="95" spans="1:6" x14ac:dyDescent="0.25">
      <c r="A95" s="7"/>
      <c r="E95" s="7"/>
      <c r="F95" s="7"/>
    </row>
    <row r="96" spans="1:6" x14ac:dyDescent="0.25">
      <c r="A96" s="7"/>
      <c r="E96" s="7"/>
      <c r="F96" s="7"/>
    </row>
    <row r="97" spans="1:6" x14ac:dyDescent="0.25">
      <c r="A97" s="7"/>
      <c r="E97" s="7"/>
      <c r="F97" s="7"/>
    </row>
    <row r="98" spans="1:6" x14ac:dyDescent="0.25">
      <c r="A98" s="7"/>
      <c r="E98" s="7"/>
      <c r="F98" s="7"/>
    </row>
    <row r="99" spans="1:6" x14ac:dyDescent="0.25">
      <c r="A99" s="7"/>
      <c r="E99" s="7"/>
      <c r="F99" s="7"/>
    </row>
    <row r="100" spans="1:6" x14ac:dyDescent="0.25">
      <c r="A100" s="7"/>
      <c r="E100" s="7"/>
      <c r="F100" s="7"/>
    </row>
    <row r="101" spans="1:6" x14ac:dyDescent="0.25">
      <c r="A101" s="7"/>
      <c r="E101" s="7"/>
      <c r="F101" s="7"/>
    </row>
    <row r="102" spans="1:6" x14ac:dyDescent="0.25">
      <c r="A102" s="7"/>
      <c r="E102" s="7"/>
      <c r="F102" s="7"/>
    </row>
    <row r="103" spans="1:6" x14ac:dyDescent="0.25">
      <c r="A103" s="7"/>
      <c r="E103" s="7"/>
      <c r="F103" s="7"/>
    </row>
    <row r="104" spans="1:6" x14ac:dyDescent="0.25">
      <c r="A104" s="7"/>
      <c r="E104" s="7"/>
      <c r="F104" s="7"/>
    </row>
    <row r="105" spans="1:6" x14ac:dyDescent="0.25">
      <c r="A105" s="7"/>
      <c r="E105" s="7"/>
      <c r="F105" s="7"/>
    </row>
    <row r="106" spans="1:6" x14ac:dyDescent="0.25">
      <c r="A106" s="7"/>
      <c r="E106" s="7"/>
      <c r="F106" s="7"/>
    </row>
    <row r="107" spans="1:6" x14ac:dyDescent="0.25">
      <c r="A107" s="7"/>
      <c r="E107" s="7"/>
      <c r="F107" s="7"/>
    </row>
    <row r="108" spans="1:6" x14ac:dyDescent="0.25">
      <c r="A108" s="7"/>
      <c r="E108" s="7"/>
      <c r="F108" s="7"/>
    </row>
    <row r="109" spans="1:6" x14ac:dyDescent="0.25">
      <c r="A109" s="7"/>
      <c r="E109" s="7"/>
      <c r="F109" s="7"/>
    </row>
    <row r="110" spans="1:6" x14ac:dyDescent="0.25">
      <c r="A110" s="7"/>
      <c r="E110" s="7"/>
      <c r="F110" s="7"/>
    </row>
    <row r="111" spans="1:6" x14ac:dyDescent="0.25">
      <c r="A111" s="7"/>
      <c r="E111" s="7"/>
      <c r="F111" s="7"/>
    </row>
    <row r="112" spans="1:6" x14ac:dyDescent="0.25">
      <c r="A112" s="7"/>
      <c r="E112" s="7"/>
      <c r="F112" s="7"/>
    </row>
    <row r="113" spans="1:6" x14ac:dyDescent="0.25">
      <c r="A113" s="7"/>
      <c r="E113" s="7"/>
      <c r="F113" s="7"/>
    </row>
    <row r="114" spans="1:6" x14ac:dyDescent="0.25">
      <c r="A114" s="7"/>
      <c r="E114" s="7"/>
      <c r="F114" s="7"/>
    </row>
    <row r="115" spans="1:6" x14ac:dyDescent="0.25">
      <c r="A115" s="7"/>
      <c r="E115" s="7"/>
      <c r="F115" s="7"/>
    </row>
    <row r="116" spans="1:6" x14ac:dyDescent="0.25">
      <c r="A116" s="7"/>
      <c r="E116" s="7"/>
      <c r="F116" s="7"/>
    </row>
    <row r="117" spans="1:6" x14ac:dyDescent="0.25">
      <c r="A117" s="7"/>
      <c r="E117" s="7"/>
      <c r="F117" s="7"/>
    </row>
    <row r="118" spans="1:6" x14ac:dyDescent="0.25">
      <c r="A118" s="7"/>
      <c r="E118" s="7"/>
      <c r="F118" s="7"/>
    </row>
    <row r="119" spans="1:6" x14ac:dyDescent="0.25">
      <c r="A119" s="7"/>
      <c r="E119" s="7"/>
      <c r="F119" s="7"/>
    </row>
    <row r="120" spans="1:6" x14ac:dyDescent="0.25">
      <c r="A120" s="7"/>
      <c r="E120" s="7"/>
      <c r="F120" s="7"/>
    </row>
    <row r="121" spans="1:6" x14ac:dyDescent="0.25">
      <c r="A121" s="7"/>
      <c r="E121" s="7"/>
      <c r="F121" s="7"/>
    </row>
    <row r="122" spans="1:6" x14ac:dyDescent="0.25">
      <c r="A122" s="7"/>
      <c r="E122" s="7"/>
      <c r="F122" s="7"/>
    </row>
    <row r="123" spans="1:6" x14ac:dyDescent="0.25">
      <c r="A123" s="7"/>
      <c r="E123" s="7"/>
      <c r="F123" s="7"/>
    </row>
    <row r="124" spans="1:6" x14ac:dyDescent="0.25">
      <c r="A124" s="7"/>
      <c r="E124" s="7"/>
      <c r="F124" s="7"/>
    </row>
    <row r="125" spans="1:6" x14ac:dyDescent="0.25">
      <c r="A125" s="7"/>
      <c r="E125" s="7"/>
      <c r="F125" s="7"/>
    </row>
    <row r="126" spans="1:6" x14ac:dyDescent="0.25">
      <c r="A126" s="7"/>
      <c r="E126" s="7"/>
      <c r="F126" s="7"/>
    </row>
    <row r="127" spans="1:6" x14ac:dyDescent="0.25">
      <c r="A127" s="7"/>
      <c r="E127" s="7"/>
      <c r="F127" s="7"/>
    </row>
    <row r="128" spans="1:6" x14ac:dyDescent="0.25">
      <c r="A128" s="7"/>
      <c r="E128" s="7"/>
      <c r="F128" s="7"/>
    </row>
    <row r="129" spans="1:6" x14ac:dyDescent="0.25">
      <c r="A129" s="7"/>
      <c r="E129" s="7"/>
      <c r="F129" s="7"/>
    </row>
    <row r="130" spans="1:6" x14ac:dyDescent="0.25">
      <c r="A130" s="7"/>
      <c r="E130" s="7"/>
      <c r="F130" s="7"/>
    </row>
    <row r="131" spans="1:6" x14ac:dyDescent="0.25">
      <c r="A131" s="7"/>
      <c r="E131" s="7"/>
      <c r="F131" s="7"/>
    </row>
    <row r="132" spans="1:6" x14ac:dyDescent="0.25">
      <c r="A132" s="7"/>
      <c r="E132" s="7"/>
      <c r="F132" s="7"/>
    </row>
    <row r="133" spans="1:6" x14ac:dyDescent="0.25">
      <c r="A133" s="7"/>
      <c r="E133" s="7"/>
      <c r="F133" s="7"/>
    </row>
    <row r="134" spans="1:6" x14ac:dyDescent="0.25">
      <c r="A134" s="7"/>
      <c r="E134" s="7"/>
      <c r="F134" s="7"/>
    </row>
    <row r="135" spans="1:6" x14ac:dyDescent="0.25">
      <c r="A135" s="7"/>
      <c r="E135" s="7"/>
      <c r="F135" s="7"/>
    </row>
    <row r="136" spans="1:6" x14ac:dyDescent="0.25">
      <c r="A136" s="7"/>
      <c r="E136" s="7"/>
      <c r="F136" s="7"/>
    </row>
    <row r="137" spans="1:6" x14ac:dyDescent="0.25">
      <c r="A137" s="7"/>
      <c r="E137" s="7"/>
      <c r="F137" s="7"/>
    </row>
    <row r="138" spans="1:6" x14ac:dyDescent="0.25">
      <c r="A138" s="7"/>
      <c r="E138" s="7"/>
      <c r="F138" s="7"/>
    </row>
    <row r="139" spans="1:6" x14ac:dyDescent="0.25">
      <c r="A139" s="7"/>
      <c r="E139" s="7"/>
      <c r="F139" s="7"/>
    </row>
    <row r="140" spans="1:6" x14ac:dyDescent="0.25">
      <c r="A140" s="7"/>
      <c r="E140" s="7"/>
      <c r="F140" s="7"/>
    </row>
    <row r="141" spans="1:6" x14ac:dyDescent="0.25">
      <c r="A141" s="7"/>
      <c r="E141" s="7"/>
      <c r="F141" s="7"/>
    </row>
    <row r="142" spans="1:6" x14ac:dyDescent="0.25">
      <c r="A142" s="7"/>
      <c r="E142" s="7"/>
      <c r="F142" s="7"/>
    </row>
    <row r="143" spans="1:6" x14ac:dyDescent="0.25">
      <c r="A143" s="7"/>
      <c r="E143" s="7"/>
      <c r="F143" s="7"/>
    </row>
    <row r="144" spans="1:6" x14ac:dyDescent="0.25">
      <c r="A144" s="7"/>
      <c r="E144" s="7"/>
      <c r="F144" s="7"/>
    </row>
    <row r="145" spans="1:6" x14ac:dyDescent="0.25">
      <c r="A145" s="7"/>
      <c r="E145" s="7"/>
      <c r="F145" s="7"/>
    </row>
    <row r="146" spans="1:6" x14ac:dyDescent="0.25">
      <c r="A146" s="7"/>
      <c r="E146" s="7"/>
      <c r="F146" s="7"/>
    </row>
    <row r="147" spans="1:6" x14ac:dyDescent="0.25">
      <c r="A147" s="7"/>
      <c r="E147" s="7"/>
      <c r="F147" s="7"/>
    </row>
    <row r="148" spans="1:6" x14ac:dyDescent="0.25">
      <c r="A148" s="7"/>
      <c r="E148" s="7"/>
      <c r="F148" s="7"/>
    </row>
    <row r="149" spans="1:6" x14ac:dyDescent="0.25">
      <c r="A149" s="7"/>
      <c r="E149" s="7"/>
      <c r="F149" s="7"/>
    </row>
    <row r="150" spans="1:6" x14ac:dyDescent="0.25">
      <c r="A150" s="7"/>
      <c r="E150" s="7"/>
      <c r="F150" s="7"/>
    </row>
    <row r="151" spans="1:6" x14ac:dyDescent="0.25">
      <c r="A151" s="7"/>
      <c r="E151" s="7"/>
      <c r="F151" s="7"/>
    </row>
    <row r="152" spans="1:6" x14ac:dyDescent="0.25">
      <c r="A152" s="7"/>
      <c r="E152" s="7"/>
      <c r="F152" s="7"/>
    </row>
    <row r="153" spans="1:6" x14ac:dyDescent="0.25">
      <c r="A153" s="7"/>
      <c r="E153" s="7"/>
      <c r="F153" s="7"/>
    </row>
    <row r="154" spans="1:6" x14ac:dyDescent="0.25">
      <c r="A154" s="7"/>
      <c r="E154" s="7"/>
      <c r="F154" s="7"/>
    </row>
    <row r="155" spans="1:6" x14ac:dyDescent="0.25">
      <c r="A155" s="7"/>
      <c r="E155" s="7"/>
      <c r="F155" s="7"/>
    </row>
    <row r="156" spans="1:6" x14ac:dyDescent="0.25">
      <c r="A156" s="7"/>
      <c r="E156" s="7"/>
      <c r="F156" s="7"/>
    </row>
    <row r="157" spans="1:6" x14ac:dyDescent="0.25">
      <c r="A157" s="7"/>
      <c r="E157" s="7"/>
      <c r="F157" s="7"/>
    </row>
    <row r="158" spans="1:6" x14ac:dyDescent="0.25">
      <c r="A158" s="7"/>
      <c r="E158" s="7"/>
      <c r="F158" s="7"/>
    </row>
    <row r="159" spans="1:6" x14ac:dyDescent="0.25">
      <c r="A159" s="7"/>
      <c r="E159" s="7"/>
      <c r="F159" s="7"/>
    </row>
    <row r="160" spans="1:6" x14ac:dyDescent="0.25">
      <c r="A160" s="7"/>
      <c r="E160" s="7"/>
      <c r="F160" s="7"/>
    </row>
    <row r="161" spans="1:6" x14ac:dyDescent="0.25">
      <c r="A161" s="7"/>
      <c r="E161" s="7"/>
      <c r="F161" s="7"/>
    </row>
    <row r="162" spans="1:6" x14ac:dyDescent="0.25">
      <c r="A162" s="7"/>
      <c r="E162" s="7"/>
      <c r="F162" s="7"/>
    </row>
    <row r="163" spans="1:6" x14ac:dyDescent="0.25">
      <c r="A163" s="7"/>
      <c r="E163" s="7"/>
      <c r="F163" s="7"/>
    </row>
    <row r="164" spans="1:6" x14ac:dyDescent="0.25">
      <c r="A164" s="7"/>
      <c r="E164" s="7"/>
      <c r="F164" s="7"/>
    </row>
    <row r="165" spans="1:6" x14ac:dyDescent="0.25">
      <c r="A165" s="7"/>
      <c r="E165" s="7"/>
      <c r="F165" s="7"/>
    </row>
    <row r="166" spans="1:6" x14ac:dyDescent="0.25">
      <c r="A166" s="7"/>
      <c r="E166" s="7"/>
      <c r="F166" s="7"/>
    </row>
    <row r="167" spans="1:6" x14ac:dyDescent="0.25">
      <c r="A167" s="7"/>
      <c r="E167" s="7"/>
      <c r="F167" s="7"/>
    </row>
    <row r="168" spans="1:6" x14ac:dyDescent="0.25">
      <c r="A168" s="7"/>
      <c r="E168" s="7"/>
      <c r="F168" s="7"/>
    </row>
    <row r="169" spans="1:6" x14ac:dyDescent="0.25">
      <c r="A169" s="7"/>
      <c r="E169" s="7"/>
      <c r="F169" s="7"/>
    </row>
    <row r="170" spans="1:6" x14ac:dyDescent="0.25">
      <c r="A170" s="7"/>
      <c r="E170" s="7"/>
      <c r="F170" s="7"/>
    </row>
    <row r="171" spans="1:6" x14ac:dyDescent="0.25">
      <c r="A171" s="7"/>
      <c r="E171" s="7"/>
      <c r="F171" s="7"/>
    </row>
    <row r="172" spans="1:6" x14ac:dyDescent="0.25">
      <c r="A172" s="7"/>
      <c r="E172" s="7"/>
      <c r="F172" s="7"/>
    </row>
    <row r="173" spans="1:6" x14ac:dyDescent="0.25">
      <c r="A173" s="7"/>
      <c r="E173" s="7"/>
      <c r="F173" s="7"/>
    </row>
    <row r="174" spans="1:6" x14ac:dyDescent="0.25">
      <c r="A174" s="7"/>
      <c r="E174" s="7"/>
      <c r="F174" s="7"/>
    </row>
    <row r="175" spans="1:6" x14ac:dyDescent="0.25">
      <c r="A175" s="7"/>
      <c r="E175" s="7"/>
      <c r="F175" s="7"/>
    </row>
    <row r="176" spans="1:6" x14ac:dyDescent="0.25">
      <c r="A176" s="7"/>
      <c r="E176" s="7"/>
      <c r="F176" s="7"/>
    </row>
    <row r="177" spans="1:6" x14ac:dyDescent="0.25">
      <c r="A177" s="7"/>
      <c r="E177" s="7"/>
      <c r="F177" s="7"/>
    </row>
    <row r="178" spans="1:6" x14ac:dyDescent="0.25">
      <c r="A178" s="7"/>
      <c r="E178" s="7"/>
      <c r="F178" s="7"/>
    </row>
    <row r="179" spans="1:6" x14ac:dyDescent="0.25">
      <c r="A179" s="7"/>
      <c r="E179" s="7"/>
      <c r="F179" s="7"/>
    </row>
    <row r="180" spans="1:6" x14ac:dyDescent="0.25">
      <c r="A180" s="7"/>
      <c r="E180" s="7"/>
      <c r="F180" s="7"/>
    </row>
    <row r="181" spans="1:6" x14ac:dyDescent="0.25">
      <c r="A181" s="7"/>
      <c r="E181" s="7"/>
      <c r="F181" s="7"/>
    </row>
    <row r="182" spans="1:6" x14ac:dyDescent="0.25">
      <c r="A182" s="7"/>
      <c r="E182" s="7"/>
      <c r="F182" s="7"/>
    </row>
    <row r="183" spans="1:6" x14ac:dyDescent="0.25">
      <c r="A183" s="7"/>
      <c r="E183" s="7"/>
      <c r="F183" s="7"/>
    </row>
    <row r="184" spans="1:6" x14ac:dyDescent="0.25">
      <c r="A184" s="7"/>
      <c r="E184" s="7"/>
      <c r="F184" s="7"/>
    </row>
    <row r="185" spans="1:6" x14ac:dyDescent="0.25">
      <c r="A185" s="7"/>
      <c r="E185" s="7"/>
      <c r="F185" s="7"/>
    </row>
    <row r="186" spans="1:6" x14ac:dyDescent="0.25">
      <c r="A186" s="7"/>
      <c r="E186" s="7"/>
      <c r="F186" s="7"/>
    </row>
    <row r="187" spans="1:6" x14ac:dyDescent="0.25">
      <c r="A187" s="7"/>
      <c r="E187" s="7"/>
      <c r="F187" s="7"/>
    </row>
    <row r="188" spans="1:6" x14ac:dyDescent="0.25">
      <c r="A188" s="7"/>
      <c r="E188" s="7"/>
      <c r="F188" s="7"/>
    </row>
    <row r="189" spans="1:6" x14ac:dyDescent="0.25">
      <c r="A189" s="7"/>
      <c r="E189" s="7"/>
      <c r="F189" s="7"/>
    </row>
    <row r="190" spans="1:6" x14ac:dyDescent="0.25">
      <c r="A190" s="7"/>
      <c r="E190" s="7"/>
      <c r="F190" s="7"/>
    </row>
    <row r="191" spans="1:6" x14ac:dyDescent="0.25">
      <c r="A191" s="7"/>
      <c r="E191" s="7"/>
      <c r="F191" s="7"/>
    </row>
    <row r="192" spans="1:6" x14ac:dyDescent="0.25">
      <c r="A192" s="7"/>
      <c r="E192" s="7"/>
      <c r="F192" s="7"/>
    </row>
    <row r="193" spans="1:6" x14ac:dyDescent="0.25">
      <c r="A193" s="7"/>
      <c r="E193" s="7"/>
      <c r="F193" s="7"/>
    </row>
    <row r="194" spans="1:6" x14ac:dyDescent="0.25">
      <c r="A194" s="7"/>
      <c r="E194" s="7"/>
      <c r="F194" s="7"/>
    </row>
    <row r="195" spans="1:6" x14ac:dyDescent="0.25">
      <c r="A195" s="7"/>
      <c r="E195" s="7"/>
      <c r="F195" s="7"/>
    </row>
    <row r="196" spans="1:6" x14ac:dyDescent="0.25">
      <c r="A196" s="7"/>
      <c r="E196" s="7"/>
      <c r="F196" s="7"/>
    </row>
    <row r="197" spans="1:6" x14ac:dyDescent="0.25">
      <c r="A197" s="7"/>
      <c r="E197" s="7"/>
      <c r="F197" s="7"/>
    </row>
    <row r="198" spans="1:6" x14ac:dyDescent="0.25">
      <c r="A198" s="7"/>
      <c r="E198" s="7"/>
      <c r="F198" s="7"/>
    </row>
    <row r="199" spans="1:6" x14ac:dyDescent="0.25">
      <c r="A199" s="7"/>
      <c r="E199" s="7"/>
      <c r="F199" s="7"/>
    </row>
    <row r="200" spans="1:6" x14ac:dyDescent="0.25">
      <c r="A200" s="7"/>
      <c r="E200" s="7"/>
      <c r="F200" s="7"/>
    </row>
    <row r="201" spans="1:6" x14ac:dyDescent="0.25">
      <c r="A201" s="7"/>
      <c r="E201" s="7"/>
      <c r="F201" s="7"/>
    </row>
    <row r="202" spans="1:6" x14ac:dyDescent="0.25">
      <c r="A202" s="7"/>
      <c r="E202" s="7"/>
      <c r="F202" s="7"/>
    </row>
    <row r="203" spans="1:6" x14ac:dyDescent="0.25">
      <c r="A203" s="7"/>
      <c r="E203" s="7"/>
      <c r="F203" s="7"/>
    </row>
    <row r="204" spans="1:6" x14ac:dyDescent="0.25">
      <c r="A204" s="7"/>
      <c r="E204" s="7"/>
      <c r="F204" s="7"/>
    </row>
    <row r="205" spans="1:6" x14ac:dyDescent="0.25">
      <c r="A205" s="7"/>
      <c r="E205" s="7"/>
      <c r="F205" s="7"/>
    </row>
    <row r="206" spans="1:6" x14ac:dyDescent="0.25">
      <c r="A206" s="7"/>
      <c r="E206" s="7"/>
      <c r="F206" s="7"/>
    </row>
    <row r="207" spans="1:6" x14ac:dyDescent="0.25">
      <c r="A207" s="7"/>
      <c r="E207" s="7"/>
      <c r="F207" s="7"/>
    </row>
    <row r="208" spans="1:6" x14ac:dyDescent="0.25">
      <c r="A208" s="7"/>
      <c r="E208" s="7"/>
      <c r="F208" s="7"/>
    </row>
    <row r="209" spans="1:6" x14ac:dyDescent="0.25">
      <c r="A209" s="7"/>
      <c r="E209" s="7"/>
      <c r="F209" s="7"/>
    </row>
    <row r="210" spans="1:6" x14ac:dyDescent="0.25">
      <c r="A210" s="7"/>
      <c r="E210" s="7"/>
      <c r="F210" s="7"/>
    </row>
    <row r="211" spans="1:6" x14ac:dyDescent="0.25">
      <c r="A211" s="7"/>
      <c r="E211" s="7"/>
      <c r="F211" s="7"/>
    </row>
    <row r="212" spans="1:6" x14ac:dyDescent="0.25">
      <c r="A212" s="7"/>
      <c r="E212" s="7"/>
      <c r="F212" s="7"/>
    </row>
    <row r="213" spans="1:6" x14ac:dyDescent="0.25">
      <c r="A213" s="7"/>
      <c r="E213" s="7"/>
      <c r="F213" s="7"/>
    </row>
    <row r="214" spans="1:6" x14ac:dyDescent="0.25">
      <c r="A214" s="7"/>
      <c r="E214" s="7"/>
      <c r="F214" s="7"/>
    </row>
    <row r="215" spans="1:6" x14ac:dyDescent="0.25">
      <c r="A215" s="7"/>
      <c r="E215" s="7"/>
      <c r="F215" s="7"/>
    </row>
    <row r="216" spans="1:6" x14ac:dyDescent="0.25">
      <c r="A216" s="7"/>
      <c r="E216" s="7"/>
      <c r="F216" s="7"/>
    </row>
    <row r="217" spans="1:6" x14ac:dyDescent="0.25">
      <c r="A217" s="7"/>
      <c r="E217" s="7"/>
      <c r="F217" s="7"/>
    </row>
    <row r="218" spans="1:6" x14ac:dyDescent="0.25">
      <c r="A218" s="7"/>
      <c r="E218" s="7"/>
      <c r="F218" s="7"/>
    </row>
    <row r="219" spans="1:6" x14ac:dyDescent="0.25">
      <c r="A219" s="7"/>
      <c r="E219" s="7"/>
      <c r="F219" s="7"/>
    </row>
    <row r="220" spans="1:6" x14ac:dyDescent="0.25">
      <c r="A220" s="7"/>
      <c r="E220" s="7"/>
      <c r="F220" s="7"/>
    </row>
    <row r="221" spans="1:6" x14ac:dyDescent="0.25">
      <c r="A221" s="7"/>
      <c r="E221" s="7"/>
      <c r="F221" s="7"/>
    </row>
    <row r="222" spans="1:6" x14ac:dyDescent="0.25">
      <c r="A222" s="7"/>
      <c r="E222" s="7"/>
      <c r="F222" s="7"/>
    </row>
    <row r="223" spans="1:6" x14ac:dyDescent="0.25">
      <c r="A223" s="7"/>
      <c r="E223" s="7"/>
      <c r="F223" s="7"/>
    </row>
    <row r="224" spans="1:6" x14ac:dyDescent="0.25">
      <c r="A224" s="7"/>
      <c r="E224" s="7"/>
      <c r="F224" s="7"/>
    </row>
    <row r="225" spans="1:6" x14ac:dyDescent="0.25">
      <c r="A225" s="7"/>
      <c r="E225" s="7"/>
      <c r="F225" s="7"/>
    </row>
    <row r="226" spans="1:6" x14ac:dyDescent="0.25">
      <c r="A226" s="7"/>
      <c r="E226" s="7"/>
      <c r="F226" s="7"/>
    </row>
    <row r="227" spans="1:6" x14ac:dyDescent="0.25">
      <c r="A227" s="7"/>
      <c r="E227" s="7"/>
      <c r="F227" s="7"/>
    </row>
    <row r="228" spans="1:6" x14ac:dyDescent="0.25">
      <c r="A228" s="7"/>
      <c r="E228" s="7"/>
      <c r="F228" s="7"/>
    </row>
    <row r="229" spans="1:6" x14ac:dyDescent="0.25">
      <c r="A229" s="7"/>
      <c r="E229" s="7"/>
      <c r="F229" s="7"/>
    </row>
    <row r="230" spans="1:6" x14ac:dyDescent="0.25">
      <c r="A230" s="7"/>
      <c r="E230" s="7"/>
      <c r="F230" s="7"/>
    </row>
    <row r="231" spans="1:6" x14ac:dyDescent="0.25">
      <c r="A231" s="7"/>
      <c r="E231" s="7"/>
      <c r="F231" s="7"/>
    </row>
    <row r="232" spans="1:6" x14ac:dyDescent="0.25">
      <c r="A232" s="7"/>
      <c r="E232" s="7"/>
      <c r="F232" s="7"/>
    </row>
    <row r="233" spans="1:6" x14ac:dyDescent="0.25">
      <c r="A233" s="7"/>
      <c r="E233" s="7"/>
      <c r="F233" s="7"/>
    </row>
    <row r="234" spans="1:6" x14ac:dyDescent="0.25">
      <c r="A234" s="7"/>
      <c r="E234" s="7"/>
      <c r="F234" s="7"/>
    </row>
    <row r="235" spans="1:6" x14ac:dyDescent="0.25">
      <c r="A235" s="7"/>
      <c r="E235" s="7"/>
      <c r="F235" s="7"/>
    </row>
    <row r="236" spans="1:6" x14ac:dyDescent="0.25">
      <c r="A236" s="7"/>
      <c r="E236" s="7"/>
      <c r="F236" s="7"/>
    </row>
    <row r="237" spans="1:6" x14ac:dyDescent="0.25">
      <c r="A237" s="7"/>
      <c r="E237" s="7"/>
      <c r="F237" s="7"/>
    </row>
    <row r="238" spans="1:6" x14ac:dyDescent="0.25">
      <c r="A238" s="7"/>
      <c r="E238" s="7"/>
      <c r="F238" s="7"/>
    </row>
    <row r="239" spans="1:6" x14ac:dyDescent="0.25">
      <c r="A239" s="7"/>
      <c r="E239" s="7"/>
      <c r="F239" s="7"/>
    </row>
    <row r="240" spans="1:6" x14ac:dyDescent="0.25">
      <c r="A240" s="7"/>
      <c r="E240" s="7"/>
      <c r="F240" s="7"/>
    </row>
    <row r="241" spans="1:6" x14ac:dyDescent="0.25">
      <c r="A241" s="7"/>
      <c r="E241" s="7"/>
      <c r="F241" s="7"/>
    </row>
    <row r="242" spans="1:6" x14ac:dyDescent="0.25">
      <c r="A242" s="7"/>
      <c r="E242" s="7"/>
      <c r="F242" s="7"/>
    </row>
    <row r="243" spans="1:6" x14ac:dyDescent="0.25">
      <c r="A243" s="7"/>
      <c r="E243" s="7"/>
      <c r="F243" s="7"/>
    </row>
    <row r="244" spans="1:6" x14ac:dyDescent="0.25">
      <c r="A244" s="7"/>
      <c r="E244" s="7"/>
      <c r="F244" s="7"/>
    </row>
    <row r="245" spans="1:6" x14ac:dyDescent="0.25">
      <c r="A245" s="7"/>
      <c r="E245" s="7"/>
      <c r="F245" s="7"/>
    </row>
    <row r="246" spans="1:6" x14ac:dyDescent="0.25">
      <c r="A246" s="7"/>
      <c r="E246" s="7"/>
      <c r="F246" s="7"/>
    </row>
    <row r="247" spans="1:6" x14ac:dyDescent="0.25">
      <c r="A247" s="7"/>
      <c r="E247" s="7"/>
      <c r="F247" s="7"/>
    </row>
    <row r="248" spans="1:6" x14ac:dyDescent="0.25">
      <c r="A248" s="7"/>
      <c r="E248" s="7"/>
      <c r="F248" s="7"/>
    </row>
    <row r="249" spans="1:6" x14ac:dyDescent="0.25">
      <c r="A249" s="7"/>
      <c r="E249" s="7"/>
      <c r="F249" s="7"/>
    </row>
    <row r="250" spans="1:6" x14ac:dyDescent="0.25">
      <c r="A250" s="7"/>
      <c r="E250" s="7"/>
      <c r="F250" s="7"/>
    </row>
    <row r="251" spans="1:6" x14ac:dyDescent="0.25">
      <c r="A251" s="7"/>
      <c r="E251" s="7"/>
      <c r="F251" s="7"/>
    </row>
    <row r="252" spans="1:6" x14ac:dyDescent="0.25">
      <c r="A252" s="7"/>
      <c r="E252" s="7"/>
      <c r="F252" s="7"/>
    </row>
    <row r="253" spans="1:6" x14ac:dyDescent="0.25">
      <c r="A253" s="7"/>
      <c r="E253" s="7"/>
      <c r="F253" s="7"/>
    </row>
    <row r="254" spans="1:6" x14ac:dyDescent="0.25">
      <c r="A254" s="7"/>
      <c r="E254" s="7"/>
      <c r="F254" s="7"/>
    </row>
    <row r="255" spans="1:6" x14ac:dyDescent="0.25">
      <c r="A255" s="7"/>
      <c r="E255" s="7"/>
      <c r="F255" s="7"/>
    </row>
    <row r="256" spans="1:6" x14ac:dyDescent="0.25">
      <c r="A256" s="7"/>
      <c r="E256" s="7"/>
      <c r="F256" s="7"/>
    </row>
    <row r="257" spans="1:6" x14ac:dyDescent="0.25">
      <c r="A257" s="7"/>
      <c r="E257" s="7"/>
      <c r="F257" s="7"/>
    </row>
    <row r="258" spans="1:6" x14ac:dyDescent="0.25">
      <c r="A258" s="7"/>
      <c r="E258" s="7"/>
      <c r="F258" s="7"/>
    </row>
    <row r="259" spans="1:6" x14ac:dyDescent="0.25">
      <c r="A259" s="7"/>
      <c r="E259" s="7"/>
      <c r="F259" s="7"/>
    </row>
    <row r="260" spans="1:6" x14ac:dyDescent="0.25">
      <c r="A260" s="7"/>
      <c r="E260" s="7"/>
      <c r="F260" s="7"/>
    </row>
    <row r="261" spans="1:6" x14ac:dyDescent="0.25">
      <c r="A261" s="7"/>
      <c r="E261" s="7"/>
      <c r="F261" s="7"/>
    </row>
    <row r="262" spans="1:6" x14ac:dyDescent="0.25">
      <c r="A262" s="7"/>
      <c r="E262" s="7"/>
      <c r="F262" s="7"/>
    </row>
    <row r="263" spans="1:6" x14ac:dyDescent="0.25">
      <c r="A263" s="7"/>
      <c r="E263" s="7"/>
      <c r="F263" s="7"/>
    </row>
    <row r="264" spans="1:6" x14ac:dyDescent="0.25">
      <c r="A264" s="7"/>
      <c r="E264" s="7"/>
      <c r="F264" s="7"/>
    </row>
    <row r="265" spans="1:6" x14ac:dyDescent="0.25">
      <c r="A265" s="7"/>
      <c r="E265" s="7"/>
      <c r="F265" s="7"/>
    </row>
    <row r="266" spans="1:6" x14ac:dyDescent="0.25">
      <c r="A266" s="7"/>
      <c r="E266" s="7"/>
      <c r="F266" s="7"/>
    </row>
    <row r="267" spans="1:6" x14ac:dyDescent="0.25">
      <c r="A267" s="7"/>
      <c r="E267" s="7"/>
      <c r="F267" s="7"/>
    </row>
    <row r="268" spans="1:6" x14ac:dyDescent="0.25">
      <c r="A268" s="7"/>
      <c r="E268" s="7"/>
      <c r="F268" s="7"/>
    </row>
    <row r="269" spans="1:6" x14ac:dyDescent="0.25">
      <c r="A269" s="7"/>
      <c r="E269" s="7"/>
      <c r="F269" s="7"/>
    </row>
    <row r="270" spans="1:6" x14ac:dyDescent="0.25">
      <c r="A270" s="7"/>
      <c r="E270" s="7"/>
      <c r="F270" s="7"/>
    </row>
    <row r="271" spans="1:6" x14ac:dyDescent="0.25">
      <c r="A271" s="7"/>
      <c r="E271" s="7"/>
      <c r="F271" s="7"/>
    </row>
    <row r="272" spans="1:6" x14ac:dyDescent="0.25">
      <c r="A272" s="7"/>
      <c r="E272" s="7"/>
      <c r="F272" s="7"/>
    </row>
    <row r="273" spans="1:6" x14ac:dyDescent="0.25">
      <c r="A273" s="7"/>
      <c r="E273" s="7"/>
      <c r="F273" s="7"/>
    </row>
    <row r="274" spans="1:6" x14ac:dyDescent="0.25">
      <c r="A274" s="7"/>
      <c r="E274" s="7"/>
      <c r="F274" s="7"/>
    </row>
    <row r="275" spans="1:6" x14ac:dyDescent="0.25">
      <c r="A275" s="7"/>
      <c r="E275" s="7"/>
      <c r="F275" s="7"/>
    </row>
    <row r="276" spans="1:6" x14ac:dyDescent="0.25">
      <c r="A276" s="7"/>
      <c r="E276" s="7"/>
      <c r="F276" s="7"/>
    </row>
    <row r="277" spans="1:6" x14ac:dyDescent="0.25">
      <c r="A277" s="7"/>
      <c r="E277" s="7"/>
      <c r="F277" s="7"/>
    </row>
    <row r="278" spans="1:6" x14ac:dyDescent="0.25">
      <c r="A278" s="7"/>
      <c r="E278" s="7"/>
      <c r="F278" s="7"/>
    </row>
    <row r="279" spans="1:6" x14ac:dyDescent="0.25">
      <c r="A279" s="7"/>
      <c r="E279" s="7"/>
      <c r="F279" s="7"/>
    </row>
    <row r="280" spans="1:6" x14ac:dyDescent="0.25">
      <c r="A280" s="7"/>
      <c r="E280" s="7"/>
      <c r="F280" s="7"/>
    </row>
    <row r="281" spans="1:6" x14ac:dyDescent="0.25">
      <c r="A281" s="7"/>
      <c r="E281" s="7"/>
      <c r="F281" s="7"/>
    </row>
    <row r="282" spans="1:6" x14ac:dyDescent="0.25">
      <c r="A282" s="7"/>
      <c r="E282" s="7"/>
      <c r="F282" s="7"/>
    </row>
    <row r="283" spans="1:6" x14ac:dyDescent="0.25">
      <c r="A283" s="7"/>
      <c r="E283" s="7"/>
      <c r="F283" s="7"/>
    </row>
    <row r="284" spans="1:6" x14ac:dyDescent="0.25">
      <c r="A284" s="7"/>
      <c r="E284" s="7"/>
      <c r="F284" s="7"/>
    </row>
    <row r="285" spans="1:6" x14ac:dyDescent="0.25">
      <c r="A285" s="7"/>
      <c r="E285" s="7"/>
      <c r="F285" s="7"/>
    </row>
    <row r="286" spans="1:6" x14ac:dyDescent="0.25">
      <c r="A286" s="7"/>
      <c r="E286" s="7"/>
      <c r="F286" s="7"/>
    </row>
    <row r="287" spans="1:6" x14ac:dyDescent="0.25">
      <c r="A287" s="7"/>
      <c r="E287" s="7"/>
      <c r="F287" s="7"/>
    </row>
    <row r="288" spans="1:6" x14ac:dyDescent="0.25">
      <c r="A288" s="7"/>
      <c r="E288" s="7"/>
      <c r="F288" s="7"/>
    </row>
    <row r="289" spans="1:6" x14ac:dyDescent="0.25">
      <c r="A289" s="7"/>
      <c r="E289" s="7"/>
      <c r="F289" s="7"/>
    </row>
    <row r="290" spans="1:6" x14ac:dyDescent="0.25">
      <c r="A290" s="7"/>
      <c r="E290" s="7"/>
      <c r="F290" s="7"/>
    </row>
    <row r="291" spans="1:6" x14ac:dyDescent="0.25">
      <c r="A291" s="7"/>
      <c r="E291" s="7"/>
      <c r="F291" s="7"/>
    </row>
    <row r="292" spans="1:6" x14ac:dyDescent="0.25">
      <c r="A292" s="7"/>
      <c r="E292" s="7"/>
      <c r="F292" s="7"/>
    </row>
    <row r="293" spans="1:6" x14ac:dyDescent="0.25">
      <c r="A293" s="7"/>
      <c r="E293" s="7"/>
      <c r="F293" s="7"/>
    </row>
    <row r="294" spans="1:6" x14ac:dyDescent="0.25">
      <c r="A294" s="7"/>
      <c r="E294" s="7"/>
      <c r="F294" s="7"/>
    </row>
    <row r="295" spans="1:6" x14ac:dyDescent="0.25">
      <c r="A295" s="7"/>
      <c r="E295" s="7"/>
      <c r="F295" s="7"/>
    </row>
    <row r="296" spans="1:6" x14ac:dyDescent="0.25">
      <c r="A296" s="7"/>
      <c r="E296" s="7"/>
      <c r="F296" s="7"/>
    </row>
    <row r="297" spans="1:6" x14ac:dyDescent="0.25">
      <c r="A297" s="7"/>
      <c r="E297" s="7"/>
      <c r="F297" s="7"/>
    </row>
    <row r="298" spans="1:6" x14ac:dyDescent="0.25">
      <c r="A298" s="7"/>
      <c r="E298" s="7"/>
      <c r="F298" s="7"/>
    </row>
    <row r="299" spans="1:6" x14ac:dyDescent="0.25">
      <c r="A299" s="7"/>
      <c r="E299" s="7"/>
      <c r="F299" s="7"/>
    </row>
    <row r="300" spans="1:6" x14ac:dyDescent="0.25">
      <c r="A300" s="7"/>
      <c r="E300" s="7"/>
      <c r="F300" s="7"/>
    </row>
    <row r="301" spans="1:6" x14ac:dyDescent="0.25">
      <c r="A301" s="7"/>
      <c r="E301" s="7"/>
      <c r="F301" s="7"/>
    </row>
    <row r="302" spans="1:6" x14ac:dyDescent="0.25">
      <c r="A302" s="7"/>
      <c r="E302" s="7"/>
      <c r="F302" s="7"/>
    </row>
    <row r="303" spans="1:6" x14ac:dyDescent="0.25">
      <c r="A303" s="7"/>
      <c r="E303" s="7"/>
      <c r="F303" s="7"/>
    </row>
    <row r="304" spans="1:6" x14ac:dyDescent="0.25">
      <c r="A304" s="7"/>
      <c r="E304" s="7"/>
      <c r="F304" s="7"/>
    </row>
    <row r="305" spans="1:6" x14ac:dyDescent="0.25">
      <c r="A305" s="7"/>
      <c r="E305" s="7"/>
      <c r="F305" s="7"/>
    </row>
    <row r="306" spans="1:6" x14ac:dyDescent="0.25">
      <c r="A306" s="7"/>
      <c r="E306" s="7"/>
      <c r="F306" s="7"/>
    </row>
    <row r="307" spans="1:6" x14ac:dyDescent="0.25">
      <c r="A307" s="7"/>
      <c r="E307" s="7"/>
      <c r="F307" s="7"/>
    </row>
    <row r="308" spans="1:6" x14ac:dyDescent="0.25">
      <c r="A308" s="7"/>
      <c r="E308" s="7"/>
      <c r="F308" s="7"/>
    </row>
    <row r="309" spans="1:6" x14ac:dyDescent="0.25">
      <c r="A309" s="7"/>
      <c r="E309" s="7"/>
      <c r="F309" s="7"/>
    </row>
    <row r="310" spans="1:6" x14ac:dyDescent="0.25">
      <c r="A310" s="7"/>
      <c r="E310" s="7"/>
      <c r="F310" s="7"/>
    </row>
    <row r="311" spans="1:6" x14ac:dyDescent="0.25">
      <c r="A311" s="7"/>
      <c r="E311" s="7"/>
      <c r="F311" s="7"/>
    </row>
    <row r="312" spans="1:6" x14ac:dyDescent="0.25">
      <c r="A312" s="7"/>
      <c r="E312" s="7"/>
      <c r="F312" s="7"/>
    </row>
    <row r="313" spans="1:6" x14ac:dyDescent="0.25">
      <c r="A313" s="7"/>
      <c r="E313" s="7"/>
      <c r="F313" s="7"/>
    </row>
    <row r="314" spans="1:6" x14ac:dyDescent="0.25">
      <c r="A314" s="7"/>
      <c r="E314" s="7"/>
      <c r="F314" s="7"/>
    </row>
    <row r="315" spans="1:6" x14ac:dyDescent="0.25">
      <c r="A315" s="7"/>
      <c r="E315" s="7"/>
      <c r="F315" s="7"/>
    </row>
    <row r="316" spans="1:6" x14ac:dyDescent="0.25">
      <c r="A316" s="7"/>
      <c r="E316" s="7"/>
      <c r="F316" s="7"/>
    </row>
    <row r="317" spans="1:6" x14ac:dyDescent="0.25">
      <c r="A317" s="7"/>
      <c r="E317" s="7"/>
      <c r="F317" s="7"/>
    </row>
    <row r="318" spans="1:6" x14ac:dyDescent="0.25">
      <c r="A318" s="7"/>
      <c r="E318" s="7"/>
      <c r="F318" s="7"/>
    </row>
    <row r="319" spans="1:6" x14ac:dyDescent="0.25">
      <c r="A319" s="7"/>
      <c r="E319" s="7"/>
      <c r="F319" s="7"/>
    </row>
    <row r="320" spans="1:6" x14ac:dyDescent="0.25">
      <c r="A320" s="7"/>
      <c r="E320" s="7"/>
      <c r="F320" s="7"/>
    </row>
    <row r="321" spans="1:6" x14ac:dyDescent="0.25">
      <c r="A321" s="7"/>
      <c r="E321" s="7"/>
      <c r="F321" s="7"/>
    </row>
    <row r="322" spans="1:6" x14ac:dyDescent="0.25">
      <c r="A322" s="7"/>
      <c r="E322" s="7"/>
      <c r="F322" s="7"/>
    </row>
    <row r="323" spans="1:6" x14ac:dyDescent="0.25">
      <c r="A323" s="7"/>
      <c r="E323" s="7"/>
      <c r="F323" s="7"/>
    </row>
    <row r="324" spans="1:6" x14ac:dyDescent="0.25">
      <c r="A324" s="7"/>
      <c r="E324" s="7"/>
      <c r="F324" s="7"/>
    </row>
    <row r="325" spans="1:6" x14ac:dyDescent="0.25">
      <c r="A325" s="7"/>
      <c r="E325" s="7"/>
      <c r="F325" s="7"/>
    </row>
    <row r="326" spans="1:6" x14ac:dyDescent="0.25">
      <c r="A326" s="7"/>
      <c r="E326" s="7"/>
      <c r="F326" s="7"/>
    </row>
    <row r="327" spans="1:6" x14ac:dyDescent="0.25">
      <c r="A327" s="7"/>
      <c r="E327" s="7"/>
      <c r="F327" s="7"/>
    </row>
    <row r="328" spans="1:6" x14ac:dyDescent="0.25">
      <c r="A328" s="7"/>
      <c r="E328" s="7"/>
      <c r="F328" s="7"/>
    </row>
    <row r="329" spans="1:6" x14ac:dyDescent="0.25">
      <c r="A329" s="7"/>
      <c r="E329" s="7"/>
      <c r="F329" s="7"/>
    </row>
    <row r="330" spans="1:6" x14ac:dyDescent="0.25">
      <c r="A330" s="7"/>
      <c r="E330" s="7"/>
      <c r="F330" s="7"/>
    </row>
    <row r="331" spans="1:6" x14ac:dyDescent="0.25">
      <c r="A331" s="7"/>
      <c r="E331" s="7"/>
      <c r="F331" s="7"/>
    </row>
    <row r="332" spans="1:6" x14ac:dyDescent="0.25">
      <c r="A332" s="7"/>
      <c r="E332" s="7"/>
      <c r="F332" s="7"/>
    </row>
    <row r="333" spans="1:6" x14ac:dyDescent="0.25">
      <c r="A333" s="7"/>
      <c r="E333" s="7"/>
      <c r="F333" s="7"/>
    </row>
    <row r="334" spans="1:6" x14ac:dyDescent="0.25">
      <c r="A334" s="7"/>
      <c r="E334" s="7"/>
      <c r="F334" s="7"/>
    </row>
    <row r="335" spans="1:6" x14ac:dyDescent="0.25">
      <c r="A335" s="7"/>
      <c r="E335" s="7"/>
      <c r="F335" s="7"/>
    </row>
    <row r="336" spans="1:6" x14ac:dyDescent="0.25">
      <c r="A336" s="7"/>
      <c r="E336" s="7"/>
      <c r="F336" s="7"/>
    </row>
    <row r="337" spans="1:6" x14ac:dyDescent="0.25">
      <c r="A337" s="7"/>
      <c r="E337" s="7"/>
      <c r="F337" s="7"/>
    </row>
    <row r="338" spans="1:6" x14ac:dyDescent="0.25">
      <c r="A338" s="7"/>
      <c r="E338" s="7"/>
      <c r="F338" s="7"/>
    </row>
    <row r="339" spans="1:6" x14ac:dyDescent="0.25">
      <c r="A339" s="7"/>
      <c r="E339" s="7"/>
      <c r="F339" s="7"/>
    </row>
    <row r="340" spans="1:6" x14ac:dyDescent="0.25">
      <c r="A340" s="7"/>
      <c r="E340" s="7"/>
      <c r="F340" s="7"/>
    </row>
    <row r="341" spans="1:6" x14ac:dyDescent="0.25">
      <c r="A341" s="7"/>
      <c r="E341" s="7"/>
      <c r="F341" s="7"/>
    </row>
    <row r="342" spans="1:6" x14ac:dyDescent="0.25">
      <c r="A342" s="7"/>
      <c r="E342" s="7"/>
      <c r="F342" s="7"/>
    </row>
    <row r="343" spans="1:6" x14ac:dyDescent="0.25">
      <c r="A343" s="7"/>
      <c r="E343" s="7"/>
      <c r="F343" s="7"/>
    </row>
    <row r="344" spans="1:6" x14ac:dyDescent="0.25">
      <c r="A344" s="7"/>
      <c r="E344" s="7"/>
      <c r="F344" s="7"/>
    </row>
    <row r="345" spans="1:6" x14ac:dyDescent="0.25">
      <c r="A345" s="7"/>
      <c r="E345" s="7"/>
      <c r="F345" s="7"/>
    </row>
    <row r="346" spans="1:6" x14ac:dyDescent="0.25">
      <c r="A346" s="7"/>
      <c r="E346" s="7"/>
      <c r="F346" s="7"/>
    </row>
    <row r="347" spans="1:6" x14ac:dyDescent="0.25">
      <c r="A347" s="7"/>
      <c r="E347" s="7"/>
      <c r="F347" s="7"/>
    </row>
    <row r="348" spans="1:6" x14ac:dyDescent="0.25">
      <c r="A348" s="7"/>
      <c r="E348" s="7"/>
      <c r="F348" s="7"/>
    </row>
    <row r="349" spans="1:6" x14ac:dyDescent="0.25">
      <c r="A349" s="7"/>
      <c r="E349" s="7"/>
      <c r="F349" s="7"/>
    </row>
    <row r="350" spans="1:6" x14ac:dyDescent="0.25">
      <c r="A350" s="7"/>
      <c r="E350" s="7"/>
      <c r="F350" s="7"/>
    </row>
    <row r="351" spans="1:6" x14ac:dyDescent="0.25">
      <c r="A351" s="7"/>
      <c r="E351" s="7"/>
      <c r="F351" s="7"/>
    </row>
    <row r="352" spans="1:6" x14ac:dyDescent="0.25">
      <c r="A352" s="7"/>
      <c r="E352" s="7"/>
      <c r="F352" s="7"/>
    </row>
    <row r="353" spans="1:6" x14ac:dyDescent="0.25">
      <c r="A353" s="7"/>
      <c r="E353" s="7"/>
      <c r="F353" s="7"/>
    </row>
    <row r="354" spans="1:6" x14ac:dyDescent="0.25">
      <c r="A354" s="7"/>
      <c r="E354" s="7"/>
      <c r="F354" s="7"/>
    </row>
    <row r="355" spans="1:6" x14ac:dyDescent="0.25">
      <c r="A355" s="7"/>
      <c r="E355" s="7"/>
      <c r="F355" s="7"/>
    </row>
    <row r="356" spans="1:6" x14ac:dyDescent="0.25">
      <c r="A356" s="7"/>
      <c r="E356" s="7"/>
      <c r="F356" s="7"/>
    </row>
    <row r="357" spans="1:6" x14ac:dyDescent="0.25">
      <c r="A357" s="7"/>
      <c r="E357" s="7"/>
      <c r="F357" s="7"/>
    </row>
    <row r="358" spans="1:6" x14ac:dyDescent="0.25">
      <c r="A358" s="7"/>
      <c r="E358" s="7"/>
      <c r="F358" s="7"/>
    </row>
    <row r="359" spans="1:6" x14ac:dyDescent="0.25">
      <c r="A359" s="7"/>
      <c r="E359" s="7"/>
      <c r="F359" s="7"/>
    </row>
    <row r="360" spans="1:6" x14ac:dyDescent="0.25">
      <c r="A360" s="7"/>
      <c r="E360" s="7"/>
      <c r="F360" s="7"/>
    </row>
    <row r="361" spans="1:6" x14ac:dyDescent="0.25">
      <c r="A361" s="7"/>
      <c r="E361" s="7"/>
      <c r="F361" s="7"/>
    </row>
    <row r="362" spans="1:6" x14ac:dyDescent="0.25">
      <c r="A362" s="7"/>
      <c r="E362" s="7"/>
      <c r="F362" s="7"/>
    </row>
    <row r="363" spans="1:6" x14ac:dyDescent="0.25">
      <c r="A363" s="7"/>
      <c r="E363" s="7"/>
      <c r="F363" s="7"/>
    </row>
    <row r="364" spans="1:6" x14ac:dyDescent="0.25">
      <c r="A364" s="7"/>
      <c r="E364" s="7"/>
      <c r="F364" s="7"/>
    </row>
    <row r="365" spans="1:6" x14ac:dyDescent="0.25">
      <c r="A365" s="7"/>
      <c r="E365" s="7"/>
      <c r="F365" s="7"/>
    </row>
    <row r="366" spans="1:6" x14ac:dyDescent="0.25">
      <c r="A366" s="7"/>
      <c r="E366" s="7"/>
      <c r="F366" s="7"/>
    </row>
    <row r="367" spans="1:6" x14ac:dyDescent="0.25">
      <c r="A367" s="7"/>
      <c r="E367" s="7"/>
      <c r="F367" s="7"/>
    </row>
    <row r="368" spans="1:6" x14ac:dyDescent="0.25">
      <c r="A368" s="7"/>
      <c r="E368" s="7"/>
      <c r="F368" s="7"/>
    </row>
    <row r="369" spans="1:6" x14ac:dyDescent="0.25">
      <c r="A369" s="7"/>
      <c r="E369" s="7"/>
      <c r="F369" s="7"/>
    </row>
    <row r="370" spans="1:6" x14ac:dyDescent="0.25">
      <c r="A370" s="7"/>
      <c r="E370" s="7"/>
      <c r="F370" s="7"/>
    </row>
    <row r="371" spans="1:6" x14ac:dyDescent="0.25">
      <c r="A371" s="7"/>
      <c r="E371" s="7"/>
      <c r="F371" s="7"/>
    </row>
    <row r="372" spans="1:6" x14ac:dyDescent="0.25">
      <c r="A372" s="7"/>
      <c r="E372" s="7"/>
      <c r="F372" s="7"/>
    </row>
    <row r="373" spans="1:6" x14ac:dyDescent="0.25">
      <c r="A373" s="7"/>
      <c r="E373" s="7"/>
      <c r="F373" s="7"/>
    </row>
    <row r="374" spans="1:6" x14ac:dyDescent="0.25">
      <c r="A374" s="7"/>
      <c r="E374" s="7"/>
      <c r="F374" s="7"/>
    </row>
    <row r="375" spans="1:6" x14ac:dyDescent="0.25">
      <c r="A375" s="7"/>
      <c r="E375" s="7"/>
      <c r="F375" s="7"/>
    </row>
    <row r="376" spans="1:6" x14ac:dyDescent="0.25">
      <c r="A376" s="7"/>
      <c r="E376" s="7"/>
      <c r="F376" s="7"/>
    </row>
    <row r="377" spans="1:6" x14ac:dyDescent="0.25">
      <c r="A377" s="7"/>
      <c r="E377" s="7"/>
      <c r="F377" s="7"/>
    </row>
    <row r="378" spans="1:6" x14ac:dyDescent="0.25">
      <c r="A378" s="7"/>
      <c r="E378" s="7"/>
      <c r="F378" s="7"/>
    </row>
    <row r="379" spans="1:6" x14ac:dyDescent="0.25">
      <c r="A379" s="7"/>
      <c r="E379" s="7"/>
      <c r="F379" s="7"/>
    </row>
    <row r="380" spans="1:6" x14ac:dyDescent="0.25">
      <c r="A380" s="7"/>
      <c r="E380" s="7"/>
      <c r="F380" s="7"/>
    </row>
    <row r="381" spans="1:6" x14ac:dyDescent="0.25">
      <c r="A381" s="7"/>
      <c r="E381" s="7"/>
      <c r="F381" s="7"/>
    </row>
    <row r="382" spans="1:6" x14ac:dyDescent="0.25">
      <c r="A382" s="7"/>
      <c r="E382" s="7"/>
      <c r="F382" s="7"/>
    </row>
    <row r="383" spans="1:6" x14ac:dyDescent="0.25">
      <c r="A383" s="7"/>
      <c r="E383" s="7"/>
      <c r="F383" s="7"/>
    </row>
    <row r="384" spans="1:6" x14ac:dyDescent="0.25">
      <c r="A384" s="7"/>
      <c r="E384" s="7"/>
      <c r="F384" s="7"/>
    </row>
    <row r="385" spans="1:6" x14ac:dyDescent="0.25">
      <c r="A385" s="7"/>
      <c r="E385" s="7"/>
      <c r="F385" s="7"/>
    </row>
    <row r="386" spans="1:6" x14ac:dyDescent="0.25">
      <c r="A386" s="7"/>
      <c r="E386" s="7"/>
      <c r="F386" s="7"/>
    </row>
    <row r="387" spans="1:6" x14ac:dyDescent="0.25">
      <c r="A387" s="7"/>
      <c r="E387" s="7"/>
      <c r="F387" s="7"/>
    </row>
    <row r="388" spans="1:6" x14ac:dyDescent="0.25">
      <c r="A388" s="7"/>
      <c r="E388" s="7"/>
      <c r="F388" s="7"/>
    </row>
    <row r="389" spans="1:6" x14ac:dyDescent="0.25">
      <c r="A389" s="7"/>
      <c r="E389" s="7"/>
      <c r="F389" s="7"/>
    </row>
    <row r="390" spans="1:6" x14ac:dyDescent="0.25">
      <c r="A390" s="7"/>
      <c r="E390" s="7"/>
      <c r="F390" s="7"/>
    </row>
    <row r="391" spans="1:6" x14ac:dyDescent="0.25">
      <c r="A391" s="7"/>
      <c r="E391" s="7"/>
      <c r="F391" s="7"/>
    </row>
    <row r="392" spans="1:6" x14ac:dyDescent="0.25">
      <c r="A392" s="7"/>
      <c r="E392" s="7"/>
      <c r="F392" s="7"/>
    </row>
    <row r="393" spans="1:6" x14ac:dyDescent="0.25">
      <c r="A393" s="7"/>
      <c r="E393" s="7"/>
      <c r="F393" s="7"/>
    </row>
    <row r="394" spans="1:6" x14ac:dyDescent="0.25">
      <c r="A394" s="7"/>
      <c r="E394" s="7"/>
      <c r="F394" s="7"/>
    </row>
    <row r="395" spans="1:6" x14ac:dyDescent="0.25">
      <c r="A395" s="7"/>
      <c r="E395" s="7"/>
      <c r="F395" s="7"/>
    </row>
    <row r="396" spans="1:6" x14ac:dyDescent="0.25">
      <c r="A396" s="7"/>
      <c r="E396" s="7"/>
      <c r="F396" s="7"/>
    </row>
    <row r="397" spans="1:6" x14ac:dyDescent="0.25">
      <c r="A397" s="7"/>
      <c r="E397" s="7"/>
      <c r="F397" s="7"/>
    </row>
    <row r="398" spans="1:6" x14ac:dyDescent="0.25">
      <c r="A398" s="7"/>
      <c r="E398" s="7"/>
      <c r="F398" s="7"/>
    </row>
    <row r="399" spans="1:6" x14ac:dyDescent="0.25">
      <c r="A399" s="7"/>
      <c r="E399" s="7"/>
      <c r="F399" s="7"/>
    </row>
    <row r="400" spans="1:6" x14ac:dyDescent="0.25">
      <c r="A400" s="7"/>
      <c r="E400" s="7"/>
      <c r="F400" s="7"/>
    </row>
    <row r="401" spans="1:6" x14ac:dyDescent="0.25">
      <c r="A401" s="7"/>
      <c r="E401" s="7"/>
      <c r="F401" s="7"/>
    </row>
    <row r="402" spans="1:6" x14ac:dyDescent="0.25">
      <c r="A402" s="7"/>
      <c r="E402" s="7"/>
      <c r="F402" s="7"/>
    </row>
    <row r="403" spans="1:6" x14ac:dyDescent="0.25">
      <c r="A403" s="7"/>
      <c r="E403" s="7"/>
      <c r="F403" s="7"/>
    </row>
    <row r="404" spans="1:6" x14ac:dyDescent="0.25">
      <c r="A404" s="7"/>
      <c r="E404" s="7"/>
      <c r="F404" s="7"/>
    </row>
    <row r="405" spans="1:6" x14ac:dyDescent="0.25">
      <c r="A405" s="7"/>
      <c r="E405" s="7"/>
      <c r="F405" s="7"/>
    </row>
    <row r="406" spans="1:6" x14ac:dyDescent="0.25">
      <c r="A406" s="7"/>
      <c r="E406" s="7"/>
      <c r="F406" s="7"/>
    </row>
    <row r="407" spans="1:6" x14ac:dyDescent="0.25">
      <c r="A407" s="7"/>
      <c r="E407" s="7"/>
      <c r="F407" s="7"/>
    </row>
    <row r="408" spans="1:6" x14ac:dyDescent="0.25">
      <c r="A408" s="7"/>
      <c r="E408" s="7"/>
      <c r="F408" s="7"/>
    </row>
    <row r="409" spans="1:6" x14ac:dyDescent="0.25">
      <c r="A409" s="7"/>
      <c r="E409" s="7"/>
      <c r="F409" s="7"/>
    </row>
    <row r="410" spans="1:6" x14ac:dyDescent="0.25">
      <c r="A410" s="7"/>
      <c r="E410" s="7"/>
      <c r="F410" s="7"/>
    </row>
    <row r="411" spans="1:6" x14ac:dyDescent="0.25">
      <c r="A411" s="7"/>
      <c r="E411" s="7"/>
      <c r="F411" s="7"/>
    </row>
    <row r="412" spans="1:6" x14ac:dyDescent="0.25">
      <c r="A412" s="7"/>
      <c r="E412" s="7"/>
      <c r="F412" s="7"/>
    </row>
    <row r="413" spans="1:6" x14ac:dyDescent="0.25">
      <c r="A413" s="7"/>
      <c r="E413" s="7"/>
      <c r="F413" s="7"/>
    </row>
    <row r="414" spans="1:6" x14ac:dyDescent="0.25">
      <c r="A414" s="7"/>
      <c r="E414" s="7"/>
      <c r="F414" s="7"/>
    </row>
    <row r="415" spans="1:6" x14ac:dyDescent="0.25">
      <c r="A415" s="7"/>
      <c r="E415" s="7"/>
      <c r="F415" s="7"/>
    </row>
    <row r="416" spans="1:6" x14ac:dyDescent="0.25">
      <c r="A416" s="7"/>
      <c r="E416" s="7"/>
      <c r="F416" s="7"/>
    </row>
    <row r="417" spans="1:6" x14ac:dyDescent="0.25">
      <c r="A417" s="7"/>
      <c r="E417" s="7"/>
      <c r="F417" s="7"/>
    </row>
    <row r="418" spans="1:6" x14ac:dyDescent="0.25">
      <c r="A418" s="7"/>
      <c r="E418" s="7"/>
      <c r="F418" s="7"/>
    </row>
    <row r="419" spans="1:6" x14ac:dyDescent="0.25">
      <c r="A419" s="7"/>
      <c r="E419" s="7"/>
      <c r="F419" s="7"/>
    </row>
    <row r="420" spans="1:6" x14ac:dyDescent="0.25">
      <c r="A420" s="7"/>
      <c r="E420" s="7"/>
      <c r="F420" s="7"/>
    </row>
    <row r="421" spans="1:6" x14ac:dyDescent="0.25">
      <c r="A421" s="7"/>
      <c r="E421" s="7"/>
      <c r="F421" s="7"/>
    </row>
    <row r="422" spans="1:6" x14ac:dyDescent="0.25">
      <c r="A422" s="7"/>
      <c r="E422" s="7"/>
      <c r="F422" s="7"/>
    </row>
    <row r="423" spans="1:6" x14ac:dyDescent="0.25">
      <c r="A423" s="7"/>
      <c r="E423" s="7"/>
      <c r="F423" s="7"/>
    </row>
    <row r="424" spans="1:6" x14ac:dyDescent="0.25">
      <c r="A424" s="7"/>
      <c r="E424" s="7"/>
      <c r="F424" s="7"/>
    </row>
    <row r="425" spans="1:6" x14ac:dyDescent="0.25">
      <c r="A425" s="7"/>
      <c r="E425" s="7"/>
      <c r="F425" s="7"/>
    </row>
    <row r="426" spans="1:6" x14ac:dyDescent="0.25">
      <c r="A426" s="7"/>
      <c r="E426" s="7"/>
      <c r="F426" s="7"/>
    </row>
    <row r="427" spans="1:6" x14ac:dyDescent="0.25">
      <c r="A427" s="7"/>
      <c r="E427" s="7"/>
      <c r="F427" s="7"/>
    </row>
    <row r="428" spans="1:6" x14ac:dyDescent="0.25">
      <c r="A428" s="7"/>
      <c r="E428" s="7"/>
      <c r="F428" s="7"/>
    </row>
    <row r="429" spans="1:6" x14ac:dyDescent="0.25">
      <c r="A429" s="7"/>
      <c r="E429" s="7"/>
      <c r="F429" s="7"/>
    </row>
    <row r="430" spans="1:6" x14ac:dyDescent="0.25">
      <c r="A430" s="7"/>
      <c r="E430" s="7"/>
      <c r="F430" s="7"/>
    </row>
    <row r="431" spans="1:6" x14ac:dyDescent="0.25">
      <c r="A431" s="7"/>
      <c r="E431" s="7"/>
      <c r="F431" s="7"/>
    </row>
    <row r="432" spans="1:6" x14ac:dyDescent="0.25">
      <c r="A432" s="7"/>
      <c r="E432" s="7"/>
      <c r="F432" s="7"/>
    </row>
    <row r="433" spans="1:6" x14ac:dyDescent="0.25">
      <c r="A433" s="7"/>
      <c r="E433" s="7"/>
      <c r="F433" s="7"/>
    </row>
    <row r="434" spans="1:6" x14ac:dyDescent="0.25">
      <c r="A434" s="7"/>
      <c r="E434" s="7"/>
      <c r="F434" s="7"/>
    </row>
    <row r="435" spans="1:6" x14ac:dyDescent="0.25">
      <c r="A435" s="7"/>
      <c r="E435" s="7"/>
      <c r="F435" s="7"/>
    </row>
    <row r="436" spans="1:6" x14ac:dyDescent="0.25">
      <c r="A436" s="7"/>
      <c r="E436" s="7"/>
      <c r="F436" s="7"/>
    </row>
    <row r="437" spans="1:6" x14ac:dyDescent="0.25">
      <c r="A437" s="7"/>
      <c r="E437" s="7"/>
      <c r="F437" s="7"/>
    </row>
    <row r="438" spans="1:6" x14ac:dyDescent="0.25">
      <c r="A438" s="7"/>
      <c r="E438" s="7"/>
      <c r="F438" s="7"/>
    </row>
    <row r="439" spans="1:6" x14ac:dyDescent="0.25">
      <c r="A439" s="7"/>
      <c r="E439" s="7"/>
      <c r="F439" s="7"/>
    </row>
    <row r="440" spans="1:6" x14ac:dyDescent="0.25">
      <c r="A440" s="7"/>
      <c r="E440" s="7"/>
      <c r="F440" s="7"/>
    </row>
    <row r="441" spans="1:6" x14ac:dyDescent="0.25">
      <c r="A441" s="7"/>
      <c r="E441" s="7"/>
      <c r="F441" s="7"/>
    </row>
    <row r="442" spans="1:6" x14ac:dyDescent="0.25">
      <c r="A442" s="7"/>
      <c r="E442" s="7"/>
      <c r="F442" s="7"/>
    </row>
    <row r="443" spans="1:6" x14ac:dyDescent="0.25">
      <c r="A443" s="7"/>
      <c r="E443" s="7"/>
      <c r="F443" s="7"/>
    </row>
    <row r="444" spans="1:6" x14ac:dyDescent="0.25">
      <c r="A444" s="7"/>
      <c r="E444" s="7"/>
      <c r="F444" s="7"/>
    </row>
    <row r="445" spans="1:6" x14ac:dyDescent="0.25">
      <c r="A445" s="7"/>
      <c r="E445" s="7"/>
      <c r="F445" s="7"/>
    </row>
    <row r="446" spans="1:6" x14ac:dyDescent="0.25">
      <c r="A446" s="7"/>
      <c r="E446" s="7"/>
      <c r="F446" s="7"/>
    </row>
    <row r="447" spans="1:6" x14ac:dyDescent="0.25">
      <c r="A447" s="7"/>
      <c r="E447" s="7"/>
      <c r="F447" s="7"/>
    </row>
    <row r="448" spans="1:6" x14ac:dyDescent="0.25">
      <c r="A448" s="7"/>
      <c r="E448" s="7"/>
      <c r="F448" s="7"/>
    </row>
    <row r="449" spans="1:6" x14ac:dyDescent="0.25">
      <c r="A449" s="7"/>
      <c r="E449" s="7"/>
      <c r="F449" s="7"/>
    </row>
    <row r="450" spans="1:6" x14ac:dyDescent="0.25">
      <c r="A450" s="7"/>
      <c r="E450" s="7"/>
      <c r="F450" s="7"/>
    </row>
    <row r="451" spans="1:6" x14ac:dyDescent="0.25">
      <c r="A451" s="7"/>
      <c r="E451" s="7"/>
      <c r="F451" s="7"/>
    </row>
    <row r="452" spans="1:6" x14ac:dyDescent="0.25">
      <c r="A452" s="7"/>
      <c r="E452" s="7"/>
      <c r="F452" s="7"/>
    </row>
    <row r="453" spans="1:6" x14ac:dyDescent="0.25">
      <c r="A453" s="7"/>
      <c r="E453" s="7"/>
      <c r="F453" s="7"/>
    </row>
    <row r="454" spans="1:6" x14ac:dyDescent="0.25">
      <c r="A454" s="7"/>
      <c r="E454" s="7"/>
      <c r="F454" s="7"/>
    </row>
    <row r="455" spans="1:6" x14ac:dyDescent="0.25">
      <c r="A455" s="7"/>
      <c r="E455" s="7"/>
      <c r="F455" s="7"/>
    </row>
    <row r="456" spans="1:6" x14ac:dyDescent="0.25">
      <c r="A456" s="7"/>
      <c r="E456" s="7"/>
      <c r="F456" s="7"/>
    </row>
    <row r="457" spans="1:6" x14ac:dyDescent="0.25">
      <c r="A457" s="7"/>
      <c r="E457" s="7"/>
      <c r="F457" s="7"/>
    </row>
    <row r="458" spans="1:6" x14ac:dyDescent="0.25">
      <c r="A458" s="7"/>
      <c r="E458" s="7"/>
      <c r="F458" s="7"/>
    </row>
    <row r="459" spans="1:6" x14ac:dyDescent="0.25">
      <c r="A459" s="7"/>
      <c r="E459" s="7"/>
      <c r="F459" s="7"/>
    </row>
    <row r="460" spans="1:6" x14ac:dyDescent="0.25">
      <c r="A460" s="7"/>
      <c r="E460" s="7"/>
      <c r="F460" s="7"/>
    </row>
    <row r="461" spans="1:6" x14ac:dyDescent="0.25">
      <c r="A461" s="7"/>
      <c r="E461" s="7"/>
      <c r="F461" s="7"/>
    </row>
    <row r="462" spans="1:6" x14ac:dyDescent="0.25">
      <c r="A462" s="7"/>
      <c r="E462" s="7"/>
      <c r="F462" s="7"/>
    </row>
    <row r="463" spans="1:6" x14ac:dyDescent="0.25">
      <c r="A463" s="7"/>
      <c r="E463" s="7"/>
      <c r="F463" s="7"/>
    </row>
    <row r="464" spans="1:6" x14ac:dyDescent="0.25">
      <c r="A464" s="7"/>
      <c r="E464" s="7"/>
      <c r="F464" s="7"/>
    </row>
    <row r="465" spans="1:6" x14ac:dyDescent="0.25">
      <c r="A465" s="7"/>
      <c r="E465" s="7"/>
      <c r="F465" s="7"/>
    </row>
    <row r="466" spans="1:6" x14ac:dyDescent="0.25">
      <c r="A466" s="7"/>
      <c r="E466" s="7"/>
      <c r="F466" s="7"/>
    </row>
    <row r="467" spans="1:6" x14ac:dyDescent="0.25">
      <c r="A467" s="7"/>
      <c r="E467" s="7"/>
      <c r="F467" s="7"/>
    </row>
    <row r="468" spans="1:6" x14ac:dyDescent="0.25">
      <c r="A468" s="7"/>
      <c r="E468" s="7"/>
      <c r="F468" s="7"/>
    </row>
    <row r="469" spans="1:6" x14ac:dyDescent="0.25">
      <c r="A469" s="7"/>
      <c r="E469" s="7"/>
      <c r="F469" s="7"/>
    </row>
    <row r="470" spans="1:6" x14ac:dyDescent="0.25">
      <c r="A470" s="7"/>
      <c r="E470" s="7"/>
      <c r="F470" s="7"/>
    </row>
    <row r="471" spans="1:6" x14ac:dyDescent="0.25">
      <c r="A471" s="7"/>
      <c r="E471" s="7"/>
      <c r="F471" s="7"/>
    </row>
    <row r="472" spans="1:6" x14ac:dyDescent="0.25">
      <c r="A472" s="7"/>
      <c r="E472" s="7"/>
      <c r="F472" s="7"/>
    </row>
    <row r="473" spans="1:6" x14ac:dyDescent="0.25">
      <c r="A473" s="7"/>
      <c r="E473" s="7"/>
      <c r="F473" s="7"/>
    </row>
    <row r="474" spans="1:6" x14ac:dyDescent="0.25">
      <c r="A474" s="7"/>
      <c r="E474" s="7"/>
      <c r="F474" s="7"/>
    </row>
    <row r="475" spans="1:6" x14ac:dyDescent="0.25">
      <c r="A475" s="7"/>
      <c r="E475" s="7"/>
      <c r="F475" s="7"/>
    </row>
    <row r="476" spans="1:6" x14ac:dyDescent="0.25">
      <c r="A476" s="7"/>
      <c r="E476" s="7"/>
      <c r="F476" s="7"/>
    </row>
    <row r="477" spans="1:6" x14ac:dyDescent="0.25">
      <c r="A477" s="7"/>
      <c r="E477" s="7"/>
      <c r="F477" s="7"/>
    </row>
    <row r="478" spans="1:6" x14ac:dyDescent="0.25">
      <c r="A478" s="7"/>
      <c r="E478" s="7"/>
      <c r="F478" s="7"/>
    </row>
    <row r="479" spans="1:6" x14ac:dyDescent="0.25">
      <c r="A479" s="7"/>
      <c r="E479" s="7"/>
      <c r="F479" s="7"/>
    </row>
    <row r="480" spans="1:6" x14ac:dyDescent="0.25">
      <c r="A480" s="7"/>
      <c r="E480" s="7"/>
      <c r="F480" s="7"/>
    </row>
    <row r="481" spans="1:6" x14ac:dyDescent="0.25">
      <c r="A481" s="7"/>
      <c r="E481" s="7"/>
      <c r="F481" s="7"/>
    </row>
    <row r="482" spans="1:6" x14ac:dyDescent="0.25">
      <c r="A482" s="7"/>
      <c r="E482" s="7"/>
      <c r="F482" s="7"/>
    </row>
    <row r="483" spans="1:6" x14ac:dyDescent="0.25">
      <c r="A483" s="7"/>
      <c r="E483" s="7"/>
      <c r="F483" s="7"/>
    </row>
    <row r="484" spans="1:6" x14ac:dyDescent="0.25">
      <c r="A484" s="7"/>
      <c r="E484" s="7"/>
      <c r="F484" s="7"/>
    </row>
    <row r="485" spans="1:6" x14ac:dyDescent="0.25">
      <c r="A485" s="7"/>
      <c r="E485" s="7"/>
      <c r="F485" s="7"/>
    </row>
    <row r="486" spans="1:6" x14ac:dyDescent="0.25">
      <c r="A486" s="7"/>
      <c r="E486" s="7"/>
      <c r="F486" s="7"/>
    </row>
    <row r="487" spans="1:6" x14ac:dyDescent="0.25">
      <c r="A487" s="7"/>
      <c r="E487" s="7"/>
      <c r="F487" s="7"/>
    </row>
    <row r="488" spans="1:6" x14ac:dyDescent="0.25">
      <c r="A488" s="7"/>
      <c r="E488" s="7"/>
      <c r="F488" s="7"/>
    </row>
    <row r="489" spans="1:6" x14ac:dyDescent="0.25">
      <c r="A489" s="7"/>
      <c r="E489" s="7"/>
      <c r="F489" s="7"/>
    </row>
    <row r="490" spans="1:6" x14ac:dyDescent="0.25">
      <c r="A490" s="7"/>
      <c r="E490" s="7"/>
      <c r="F490" s="7"/>
    </row>
    <row r="491" spans="1:6" x14ac:dyDescent="0.25">
      <c r="A491" s="7"/>
      <c r="E491" s="7"/>
      <c r="F491" s="7"/>
    </row>
    <row r="492" spans="1:6" x14ac:dyDescent="0.25">
      <c r="A492" s="7"/>
      <c r="E492" s="7"/>
      <c r="F492" s="7"/>
    </row>
    <row r="493" spans="1:6" x14ac:dyDescent="0.25">
      <c r="A493" s="7"/>
      <c r="E493" s="7"/>
      <c r="F493" s="7"/>
    </row>
    <row r="494" spans="1:6" x14ac:dyDescent="0.25">
      <c r="A494" s="7"/>
      <c r="E494" s="7"/>
      <c r="F494" s="7"/>
    </row>
    <row r="495" spans="1:6" x14ac:dyDescent="0.25">
      <c r="A495" s="7"/>
      <c r="E495" s="7"/>
      <c r="F495" s="7"/>
    </row>
    <row r="496" spans="1:6" x14ac:dyDescent="0.25">
      <c r="A496" s="7"/>
      <c r="E496" s="7"/>
      <c r="F496" s="7"/>
    </row>
    <row r="497" spans="1:6" x14ac:dyDescent="0.25">
      <c r="A497" s="7"/>
      <c r="E497" s="7"/>
      <c r="F497" s="7"/>
    </row>
    <row r="498" spans="1:6" x14ac:dyDescent="0.25">
      <c r="A498" s="7"/>
      <c r="E498" s="7"/>
      <c r="F498" s="7"/>
    </row>
    <row r="499" spans="1:6" x14ac:dyDescent="0.25">
      <c r="A499" s="7"/>
      <c r="E499" s="7"/>
      <c r="F499" s="7"/>
    </row>
    <row r="500" spans="1:6" x14ac:dyDescent="0.25">
      <c r="A500" s="7"/>
      <c r="E500" s="7"/>
      <c r="F500" s="7"/>
    </row>
    <row r="501" spans="1:6" x14ac:dyDescent="0.25">
      <c r="A501" s="7"/>
      <c r="E501" s="7"/>
      <c r="F501" s="7"/>
    </row>
    <row r="502" spans="1:6" x14ac:dyDescent="0.25">
      <c r="A502" s="7"/>
      <c r="E502" s="7"/>
      <c r="F502" s="7"/>
    </row>
    <row r="503" spans="1:6" x14ac:dyDescent="0.25">
      <c r="A503" s="7"/>
      <c r="E503" s="7"/>
      <c r="F503" s="7"/>
    </row>
    <row r="504" spans="1:6" x14ac:dyDescent="0.25">
      <c r="A504" s="7"/>
      <c r="E504" s="7"/>
      <c r="F504" s="7"/>
    </row>
    <row r="505" spans="1:6" x14ac:dyDescent="0.25">
      <c r="A505" s="7"/>
      <c r="E505" s="7"/>
      <c r="F505" s="7"/>
    </row>
    <row r="506" spans="1:6" x14ac:dyDescent="0.25">
      <c r="A506" s="7"/>
      <c r="E506" s="7"/>
      <c r="F506" s="7"/>
    </row>
    <row r="507" spans="1:6" x14ac:dyDescent="0.25">
      <c r="A507" s="7"/>
      <c r="E507" s="7"/>
      <c r="F507" s="7"/>
    </row>
    <row r="508" spans="1:6" x14ac:dyDescent="0.25">
      <c r="A508" s="7"/>
      <c r="E508" s="7"/>
      <c r="F508" s="7"/>
    </row>
    <row r="509" spans="1:6" x14ac:dyDescent="0.25">
      <c r="A509" s="7"/>
      <c r="E509" s="7"/>
      <c r="F509" s="7"/>
    </row>
    <row r="510" spans="1:6" x14ac:dyDescent="0.25">
      <c r="A510" s="7"/>
      <c r="E510" s="7"/>
      <c r="F510" s="7"/>
    </row>
    <row r="511" spans="1:6" x14ac:dyDescent="0.25">
      <c r="A511" s="7"/>
      <c r="E511" s="7"/>
      <c r="F511" s="7"/>
    </row>
    <row r="512" spans="1:6" x14ac:dyDescent="0.25">
      <c r="A512" s="7"/>
      <c r="E512" s="7"/>
      <c r="F512" s="7"/>
    </row>
    <row r="513" spans="1:6" x14ac:dyDescent="0.25">
      <c r="A513" s="7"/>
      <c r="E513" s="7"/>
      <c r="F513" s="7"/>
    </row>
    <row r="514" spans="1:6" x14ac:dyDescent="0.25">
      <c r="A514" s="7"/>
      <c r="E514" s="7"/>
      <c r="F514" s="7"/>
    </row>
    <row r="515" spans="1:6" x14ac:dyDescent="0.25">
      <c r="A515" s="7"/>
      <c r="E515" s="7"/>
      <c r="F515" s="7"/>
    </row>
    <row r="516" spans="1:6" x14ac:dyDescent="0.25">
      <c r="A516" s="7"/>
      <c r="E516" s="7"/>
      <c r="F516" s="7"/>
    </row>
    <row r="517" spans="1:6" x14ac:dyDescent="0.25">
      <c r="A517" s="7"/>
      <c r="E517" s="7"/>
      <c r="F517" s="7"/>
    </row>
    <row r="518" spans="1:6" x14ac:dyDescent="0.25">
      <c r="A518" s="7"/>
      <c r="E518" s="7"/>
      <c r="F518" s="7"/>
    </row>
    <row r="519" spans="1:6" x14ac:dyDescent="0.25">
      <c r="A519" s="7"/>
      <c r="E519" s="7"/>
      <c r="F519" s="7"/>
    </row>
    <row r="520" spans="1:6" x14ac:dyDescent="0.25">
      <c r="A520" s="7"/>
      <c r="E520" s="7"/>
      <c r="F520" s="7"/>
    </row>
    <row r="521" spans="1:6" x14ac:dyDescent="0.25">
      <c r="A521" s="7"/>
      <c r="E521" s="7"/>
      <c r="F521" s="7"/>
    </row>
    <row r="522" spans="1:6" x14ac:dyDescent="0.25">
      <c r="A522" s="7"/>
      <c r="E522" s="7"/>
      <c r="F522" s="7"/>
    </row>
    <row r="523" spans="1:6" x14ac:dyDescent="0.25">
      <c r="A523" s="7"/>
      <c r="E523" s="7"/>
      <c r="F523" s="7"/>
    </row>
    <row r="524" spans="1:6" x14ac:dyDescent="0.25">
      <c r="A524" s="7"/>
      <c r="E524" s="7"/>
      <c r="F524" s="7"/>
    </row>
    <row r="525" spans="1:6" x14ac:dyDescent="0.25">
      <c r="A525" s="7"/>
      <c r="E525" s="7"/>
      <c r="F525" s="7"/>
    </row>
    <row r="526" spans="1:6" x14ac:dyDescent="0.25">
      <c r="A526" s="7"/>
      <c r="E526" s="7"/>
      <c r="F526" s="7"/>
    </row>
    <row r="527" spans="1:6" x14ac:dyDescent="0.25">
      <c r="A527" s="7"/>
      <c r="E527" s="7"/>
      <c r="F527" s="7"/>
    </row>
    <row r="528" spans="1:6" x14ac:dyDescent="0.25">
      <c r="A528" s="7"/>
      <c r="E528" s="7"/>
      <c r="F528" s="7"/>
    </row>
    <row r="529" spans="1:6" x14ac:dyDescent="0.25">
      <c r="A529" s="7"/>
      <c r="E529" s="7"/>
      <c r="F529" s="7"/>
    </row>
    <row r="530" spans="1:6" x14ac:dyDescent="0.25">
      <c r="A530" s="7"/>
      <c r="E530" s="7"/>
      <c r="F530" s="7"/>
    </row>
    <row r="531" spans="1:6" x14ac:dyDescent="0.25">
      <c r="A531" s="7"/>
      <c r="E531" s="7"/>
      <c r="F531" s="7"/>
    </row>
    <row r="532" spans="1:6" x14ac:dyDescent="0.25">
      <c r="A532" s="7"/>
      <c r="E532" s="7"/>
      <c r="F532" s="7"/>
    </row>
    <row r="533" spans="1:6" x14ac:dyDescent="0.25">
      <c r="A533" s="7"/>
      <c r="E533" s="7"/>
      <c r="F533" s="7"/>
    </row>
    <row r="534" spans="1:6" x14ac:dyDescent="0.25">
      <c r="A534" s="7"/>
      <c r="E534" s="7"/>
      <c r="F534" s="7"/>
    </row>
    <row r="535" spans="1:6" x14ac:dyDescent="0.25">
      <c r="A535" s="7"/>
      <c r="E535" s="7"/>
      <c r="F535" s="7"/>
    </row>
    <row r="536" spans="1:6" x14ac:dyDescent="0.25">
      <c r="A536" s="7"/>
      <c r="E536" s="7"/>
      <c r="F536" s="7"/>
    </row>
    <row r="537" spans="1:6" x14ac:dyDescent="0.25">
      <c r="A537" s="7"/>
      <c r="E537" s="7"/>
      <c r="F537" s="7"/>
    </row>
    <row r="538" spans="1:6" x14ac:dyDescent="0.25">
      <c r="A538" s="7"/>
      <c r="E538" s="7"/>
      <c r="F538" s="7"/>
    </row>
    <row r="539" spans="1:6" x14ac:dyDescent="0.25">
      <c r="A539" s="7"/>
      <c r="E539" s="7"/>
      <c r="F539" s="7"/>
    </row>
    <row r="540" spans="1:6" x14ac:dyDescent="0.25">
      <c r="A540" s="7"/>
      <c r="E540" s="7"/>
      <c r="F540" s="7"/>
    </row>
    <row r="541" spans="1:6" x14ac:dyDescent="0.25">
      <c r="A541" s="7"/>
      <c r="E541" s="7"/>
      <c r="F541" s="7"/>
    </row>
    <row r="542" spans="1:6" x14ac:dyDescent="0.25">
      <c r="A542" s="7"/>
      <c r="E542" s="7"/>
      <c r="F542" s="7"/>
    </row>
    <row r="543" spans="1:6" x14ac:dyDescent="0.25">
      <c r="A543" s="7"/>
      <c r="E543" s="7"/>
      <c r="F543" s="7"/>
    </row>
    <row r="544" spans="1:6" x14ac:dyDescent="0.25">
      <c r="A544" s="7"/>
      <c r="E544" s="7"/>
      <c r="F544" s="7"/>
    </row>
    <row r="545" spans="1:6" x14ac:dyDescent="0.25">
      <c r="A545" s="7"/>
      <c r="E545" s="7"/>
      <c r="F545" s="7"/>
    </row>
    <row r="546" spans="1:6" x14ac:dyDescent="0.25">
      <c r="A546" s="7"/>
      <c r="E546" s="7"/>
      <c r="F546" s="7"/>
    </row>
    <row r="547" spans="1:6" x14ac:dyDescent="0.25">
      <c r="A547" s="7"/>
      <c r="E547" s="7"/>
      <c r="F547" s="7"/>
    </row>
    <row r="548" spans="1:6" x14ac:dyDescent="0.25">
      <c r="A548" s="7"/>
      <c r="E548" s="7"/>
      <c r="F548" s="7"/>
    </row>
    <row r="549" spans="1:6" x14ac:dyDescent="0.25">
      <c r="A549" s="7"/>
      <c r="E549" s="7"/>
      <c r="F549" s="7"/>
    </row>
    <row r="550" spans="1:6" x14ac:dyDescent="0.25">
      <c r="A550" s="7"/>
      <c r="E550" s="7"/>
      <c r="F550" s="7"/>
    </row>
    <row r="551" spans="1:6" x14ac:dyDescent="0.25">
      <c r="A551" s="7"/>
      <c r="E551" s="7"/>
      <c r="F551" s="7"/>
    </row>
    <row r="552" spans="1:6" x14ac:dyDescent="0.25">
      <c r="A552" s="7"/>
      <c r="E552" s="7"/>
      <c r="F552" s="7"/>
    </row>
    <row r="553" spans="1:6" x14ac:dyDescent="0.25">
      <c r="A553" s="7"/>
      <c r="E553" s="7"/>
      <c r="F553" s="7"/>
    </row>
    <row r="554" spans="1:6" x14ac:dyDescent="0.25">
      <c r="A554" s="7"/>
      <c r="E554" s="7"/>
      <c r="F554" s="7"/>
    </row>
    <row r="555" spans="1:6" x14ac:dyDescent="0.25">
      <c r="A555" s="7"/>
      <c r="E555" s="7"/>
      <c r="F555" s="7"/>
    </row>
    <row r="556" spans="1:6" x14ac:dyDescent="0.25">
      <c r="A556" s="7"/>
      <c r="E556" s="7"/>
      <c r="F556" s="7"/>
    </row>
    <row r="557" spans="1:6" x14ac:dyDescent="0.25">
      <c r="A557" s="7"/>
      <c r="E557" s="7"/>
      <c r="F557" s="7"/>
    </row>
    <row r="558" spans="1:6" x14ac:dyDescent="0.25">
      <c r="A558" s="7"/>
      <c r="E558" s="7"/>
      <c r="F558" s="7"/>
    </row>
    <row r="559" spans="1:6" x14ac:dyDescent="0.25">
      <c r="A559" s="7"/>
      <c r="E559" s="7"/>
      <c r="F559" s="7"/>
    </row>
    <row r="560" spans="1:6" x14ac:dyDescent="0.25">
      <c r="A560" s="7"/>
      <c r="E560" s="7"/>
      <c r="F560" s="7"/>
    </row>
    <row r="561" spans="1:6" x14ac:dyDescent="0.25">
      <c r="A561" s="7"/>
      <c r="E561" s="7"/>
      <c r="F561" s="7"/>
    </row>
    <row r="562" spans="1:6" x14ac:dyDescent="0.25">
      <c r="A562" s="7"/>
      <c r="E562" s="7"/>
      <c r="F562" s="7"/>
    </row>
    <row r="563" spans="1:6" x14ac:dyDescent="0.25">
      <c r="A563" s="7"/>
      <c r="E563" s="7"/>
      <c r="F563" s="7"/>
    </row>
    <row r="564" spans="1:6" x14ac:dyDescent="0.25">
      <c r="A564" s="7"/>
      <c r="E564" s="7"/>
      <c r="F564" s="7"/>
    </row>
    <row r="565" spans="1:6" x14ac:dyDescent="0.25">
      <c r="A565" s="7"/>
      <c r="E565" s="7"/>
      <c r="F565" s="7"/>
    </row>
    <row r="566" spans="1:6" x14ac:dyDescent="0.25">
      <c r="A566" s="7"/>
      <c r="E566" s="7"/>
      <c r="F566" s="7"/>
    </row>
    <row r="567" spans="1:6" x14ac:dyDescent="0.25">
      <c r="A567" s="7"/>
      <c r="E567" s="7"/>
      <c r="F567" s="7"/>
    </row>
    <row r="568" spans="1:6" x14ac:dyDescent="0.25">
      <c r="A568" s="7"/>
      <c r="E568" s="7"/>
      <c r="F568" s="7"/>
    </row>
    <row r="569" spans="1:6" x14ac:dyDescent="0.25">
      <c r="A569" s="7"/>
      <c r="E569" s="7"/>
      <c r="F569" s="7"/>
    </row>
    <row r="570" spans="1:6" x14ac:dyDescent="0.25">
      <c r="A570" s="7"/>
      <c r="E570" s="7"/>
      <c r="F570" s="7"/>
    </row>
    <row r="571" spans="1:6" x14ac:dyDescent="0.25">
      <c r="A571" s="7"/>
      <c r="E571" s="7"/>
      <c r="F571" s="7"/>
    </row>
    <row r="572" spans="1:6" x14ac:dyDescent="0.25">
      <c r="A572" s="7"/>
      <c r="E572" s="7"/>
      <c r="F572" s="7"/>
    </row>
    <row r="573" spans="1:6" x14ac:dyDescent="0.25">
      <c r="A573" s="7"/>
      <c r="E573" s="7"/>
      <c r="F573" s="7"/>
    </row>
    <row r="574" spans="1:6" x14ac:dyDescent="0.25">
      <c r="A574" s="7"/>
      <c r="E574" s="7"/>
      <c r="F574" s="7"/>
    </row>
    <row r="575" spans="1:6" x14ac:dyDescent="0.25">
      <c r="A575" s="7"/>
      <c r="E575" s="7"/>
      <c r="F575" s="7"/>
    </row>
    <row r="576" spans="1:6" x14ac:dyDescent="0.25">
      <c r="A576" s="7"/>
      <c r="E576" s="7"/>
      <c r="F576" s="7"/>
    </row>
    <row r="577" spans="1:6" x14ac:dyDescent="0.25">
      <c r="A577" s="7"/>
      <c r="E577" s="7"/>
      <c r="F577" s="7"/>
    </row>
    <row r="578" spans="1:6" x14ac:dyDescent="0.25">
      <c r="A578" s="7"/>
      <c r="E578" s="7"/>
      <c r="F578" s="7"/>
    </row>
    <row r="579" spans="1:6" x14ac:dyDescent="0.25">
      <c r="A579" s="7"/>
      <c r="E579" s="7"/>
      <c r="F579" s="7"/>
    </row>
    <row r="580" spans="1:6" x14ac:dyDescent="0.25">
      <c r="A580" s="7"/>
      <c r="E580" s="7"/>
      <c r="F580" s="7"/>
    </row>
    <row r="581" spans="1:6" x14ac:dyDescent="0.25">
      <c r="A581" s="7"/>
      <c r="E581" s="7"/>
      <c r="F581" s="7"/>
    </row>
    <row r="582" spans="1:6" x14ac:dyDescent="0.25">
      <c r="A582" s="7"/>
      <c r="E582" s="7"/>
      <c r="F582" s="7"/>
    </row>
    <row r="583" spans="1:6" x14ac:dyDescent="0.25">
      <c r="A583" s="7"/>
      <c r="E583" s="7"/>
      <c r="F583" s="7"/>
    </row>
    <row r="584" spans="1:6" x14ac:dyDescent="0.25">
      <c r="A584" s="7"/>
      <c r="E584" s="7"/>
      <c r="F584" s="7"/>
    </row>
    <row r="585" spans="1:6" x14ac:dyDescent="0.25">
      <c r="A585" s="7"/>
      <c r="E585" s="7"/>
      <c r="F585" s="7"/>
    </row>
    <row r="586" spans="1:6" x14ac:dyDescent="0.25">
      <c r="A586" s="7"/>
      <c r="E586" s="7"/>
      <c r="F586" s="7"/>
    </row>
    <row r="587" spans="1:6" x14ac:dyDescent="0.25">
      <c r="A587" s="7"/>
      <c r="E587" s="7"/>
      <c r="F587" s="7"/>
    </row>
    <row r="588" spans="1:6" x14ac:dyDescent="0.25">
      <c r="A588" s="7"/>
      <c r="E588" s="7"/>
      <c r="F588" s="7"/>
    </row>
    <row r="589" spans="1:6" x14ac:dyDescent="0.25">
      <c r="A589" s="7"/>
      <c r="E589" s="7"/>
      <c r="F589" s="7"/>
    </row>
    <row r="590" spans="1:6" x14ac:dyDescent="0.25">
      <c r="A590" s="7"/>
      <c r="E590" s="7"/>
      <c r="F590" s="7"/>
    </row>
    <row r="591" spans="1:6" x14ac:dyDescent="0.25">
      <c r="A591" s="7"/>
      <c r="E591" s="7"/>
      <c r="F591" s="7"/>
    </row>
    <row r="592" spans="1:6" x14ac:dyDescent="0.25">
      <c r="A592" s="7"/>
      <c r="E592" s="7"/>
      <c r="F592" s="7"/>
    </row>
    <row r="593" spans="1:6" x14ac:dyDescent="0.25">
      <c r="A593" s="7"/>
      <c r="E593" s="7"/>
      <c r="F593" s="7"/>
    </row>
    <row r="594" spans="1:6" x14ac:dyDescent="0.25">
      <c r="A594" s="7"/>
      <c r="E594" s="7"/>
      <c r="F594" s="7"/>
    </row>
    <row r="595" spans="1:6" x14ac:dyDescent="0.25">
      <c r="A595" s="7"/>
      <c r="E595" s="7"/>
      <c r="F595" s="7"/>
    </row>
    <row r="596" spans="1:6" x14ac:dyDescent="0.25">
      <c r="A596" s="7"/>
      <c r="E596" s="7"/>
      <c r="F596" s="7"/>
    </row>
    <row r="597" spans="1:6" x14ac:dyDescent="0.25">
      <c r="A597" s="7"/>
      <c r="E597" s="7"/>
      <c r="F597" s="7"/>
    </row>
    <row r="598" spans="1:6" x14ac:dyDescent="0.25">
      <c r="A598" s="7"/>
      <c r="E598" s="7"/>
      <c r="F598" s="7"/>
    </row>
    <row r="599" spans="1:6" x14ac:dyDescent="0.25">
      <c r="A599" s="7"/>
      <c r="E599" s="7"/>
      <c r="F599" s="7"/>
    </row>
    <row r="600" spans="1:6" x14ac:dyDescent="0.25">
      <c r="A600" s="7"/>
      <c r="E600" s="7"/>
      <c r="F600" s="7"/>
    </row>
    <row r="601" spans="1:6" x14ac:dyDescent="0.25">
      <c r="A601" s="7"/>
      <c r="E601" s="7"/>
      <c r="F601" s="7"/>
    </row>
    <row r="602" spans="1:6" x14ac:dyDescent="0.25">
      <c r="A602" s="7"/>
      <c r="E602" s="7"/>
      <c r="F602" s="7"/>
    </row>
    <row r="603" spans="1:6" x14ac:dyDescent="0.25">
      <c r="A603" s="7"/>
      <c r="E603" s="7"/>
      <c r="F603" s="7"/>
    </row>
    <row r="604" spans="1:6" x14ac:dyDescent="0.25">
      <c r="A604" s="7"/>
      <c r="E604" s="7"/>
      <c r="F604" s="7"/>
    </row>
    <row r="605" spans="1:6" x14ac:dyDescent="0.25">
      <c r="A605" s="7"/>
      <c r="E605" s="7"/>
      <c r="F605" s="7"/>
    </row>
    <row r="606" spans="1:6" x14ac:dyDescent="0.25">
      <c r="A606" s="7"/>
      <c r="E606" s="7"/>
      <c r="F606" s="7"/>
    </row>
    <row r="607" spans="1:6" x14ac:dyDescent="0.25">
      <c r="A607" s="7"/>
      <c r="E607" s="7"/>
      <c r="F607" s="7"/>
    </row>
    <row r="608" spans="1:6" x14ac:dyDescent="0.25">
      <c r="A608" s="7"/>
      <c r="E608" s="7"/>
      <c r="F608" s="7"/>
    </row>
    <row r="609" spans="1:6" x14ac:dyDescent="0.25">
      <c r="A609" s="7"/>
      <c r="E609" s="7"/>
      <c r="F609" s="7"/>
    </row>
    <row r="610" spans="1:6" x14ac:dyDescent="0.25">
      <c r="A610" s="7"/>
      <c r="E610" s="7"/>
      <c r="F610" s="7"/>
    </row>
    <row r="611" spans="1:6" x14ac:dyDescent="0.25">
      <c r="A611" s="7"/>
      <c r="E611" s="7"/>
      <c r="F611" s="7"/>
    </row>
    <row r="612" spans="1:6" x14ac:dyDescent="0.25">
      <c r="A612" s="7"/>
      <c r="E612" s="7"/>
      <c r="F612" s="7"/>
    </row>
    <row r="613" spans="1:6" x14ac:dyDescent="0.25">
      <c r="A613" s="7"/>
      <c r="E613" s="7"/>
      <c r="F613" s="7"/>
    </row>
    <row r="614" spans="1:6" x14ac:dyDescent="0.25">
      <c r="A614" s="7"/>
      <c r="E614" s="7"/>
      <c r="F614" s="7"/>
    </row>
    <row r="615" spans="1:6" x14ac:dyDescent="0.25">
      <c r="A615" s="7"/>
      <c r="E615" s="7"/>
      <c r="F615" s="7"/>
    </row>
    <row r="616" spans="1:6" x14ac:dyDescent="0.25">
      <c r="A616" s="7"/>
      <c r="E616" s="7"/>
      <c r="F616" s="7"/>
    </row>
    <row r="617" spans="1:6" x14ac:dyDescent="0.25">
      <c r="A617" s="7"/>
      <c r="E617" s="7"/>
      <c r="F617" s="7"/>
    </row>
    <row r="618" spans="1:6" x14ac:dyDescent="0.25">
      <c r="A618" s="7"/>
      <c r="E618" s="7"/>
      <c r="F618" s="7"/>
    </row>
    <row r="619" spans="1:6" x14ac:dyDescent="0.25">
      <c r="A619" s="7"/>
      <c r="E619" s="7"/>
      <c r="F619" s="7"/>
    </row>
    <row r="620" spans="1:6" x14ac:dyDescent="0.25">
      <c r="A620" s="7"/>
      <c r="E620" s="7"/>
      <c r="F620" s="7"/>
    </row>
    <row r="621" spans="1:6" x14ac:dyDescent="0.25">
      <c r="A621" s="7"/>
      <c r="E621" s="7"/>
      <c r="F621" s="7"/>
    </row>
    <row r="622" spans="1:6" x14ac:dyDescent="0.25">
      <c r="A622" s="7"/>
      <c r="E622" s="7"/>
      <c r="F622" s="7"/>
    </row>
    <row r="623" spans="1:6" x14ac:dyDescent="0.25">
      <c r="A623" s="7"/>
      <c r="E623" s="7"/>
      <c r="F623" s="7"/>
    </row>
    <row r="624" spans="1:6" x14ac:dyDescent="0.25">
      <c r="A624" s="7"/>
      <c r="E624" s="7"/>
      <c r="F624" s="7"/>
    </row>
    <row r="625" spans="1:6" x14ac:dyDescent="0.25">
      <c r="A625" s="7"/>
      <c r="E625" s="7"/>
      <c r="F625" s="7"/>
    </row>
    <row r="626" spans="1:6" x14ac:dyDescent="0.25">
      <c r="A626" s="7"/>
      <c r="E626" s="7"/>
      <c r="F626" s="7"/>
    </row>
    <row r="627" spans="1:6" x14ac:dyDescent="0.25">
      <c r="A627" s="7"/>
      <c r="E627" s="7"/>
      <c r="F627" s="7"/>
    </row>
    <row r="628" spans="1:6" x14ac:dyDescent="0.25">
      <c r="A628" s="7"/>
      <c r="E628" s="7"/>
      <c r="F628" s="7"/>
    </row>
    <row r="629" spans="1:6" x14ac:dyDescent="0.25">
      <c r="A629" s="7"/>
      <c r="E629" s="7"/>
      <c r="F629" s="7"/>
    </row>
    <row r="630" spans="1:6" x14ac:dyDescent="0.25">
      <c r="A630" s="7"/>
      <c r="E630" s="7"/>
      <c r="F630" s="7"/>
    </row>
    <row r="631" spans="1:6" x14ac:dyDescent="0.25">
      <c r="A631" s="7"/>
      <c r="E631" s="7"/>
      <c r="F631" s="7"/>
    </row>
    <row r="632" spans="1:6" x14ac:dyDescent="0.25">
      <c r="A632" s="7"/>
      <c r="E632" s="7"/>
      <c r="F632" s="7"/>
    </row>
    <row r="633" spans="1:6" x14ac:dyDescent="0.25">
      <c r="A633" s="7"/>
      <c r="E633" s="7"/>
      <c r="F633" s="7"/>
    </row>
    <row r="634" spans="1:6" x14ac:dyDescent="0.25">
      <c r="A634" s="7"/>
      <c r="E634" s="7"/>
      <c r="F634" s="7"/>
    </row>
    <row r="635" spans="1:6" x14ac:dyDescent="0.25">
      <c r="A635" s="7"/>
      <c r="E635" s="7"/>
      <c r="F635" s="7"/>
    </row>
    <row r="636" spans="1:6" x14ac:dyDescent="0.25">
      <c r="A636" s="7"/>
      <c r="E636" s="7"/>
      <c r="F636" s="7"/>
    </row>
    <row r="637" spans="1:6" x14ac:dyDescent="0.25">
      <c r="A637" s="7"/>
      <c r="E637" s="7"/>
      <c r="F637" s="7"/>
    </row>
    <row r="638" spans="1:6" x14ac:dyDescent="0.25">
      <c r="A638" s="7"/>
      <c r="E638" s="7"/>
      <c r="F638" s="7"/>
    </row>
    <row r="639" spans="1:6" x14ac:dyDescent="0.25">
      <c r="A639" s="7"/>
      <c r="E639" s="7"/>
      <c r="F639" s="7"/>
    </row>
    <row r="640" spans="1:6" x14ac:dyDescent="0.25">
      <c r="A640" s="7"/>
      <c r="E640" s="7"/>
      <c r="F640" s="7"/>
    </row>
    <row r="641" spans="1:6" x14ac:dyDescent="0.25">
      <c r="A641" s="7"/>
      <c r="E641" s="7"/>
      <c r="F641" s="7"/>
    </row>
    <row r="642" spans="1:6" x14ac:dyDescent="0.25">
      <c r="A642" s="7"/>
      <c r="E642" s="7"/>
      <c r="F642" s="7"/>
    </row>
    <row r="643" spans="1:6" x14ac:dyDescent="0.25">
      <c r="A643" s="7"/>
      <c r="E643" s="7"/>
      <c r="F643" s="7"/>
    </row>
    <row r="644" spans="1:6" x14ac:dyDescent="0.25">
      <c r="A644" s="7"/>
      <c r="E644" s="7"/>
      <c r="F644" s="7"/>
    </row>
    <row r="645" spans="1:6" x14ac:dyDescent="0.25">
      <c r="A645" s="7"/>
      <c r="E645" s="7"/>
      <c r="F645" s="7"/>
    </row>
    <row r="646" spans="1:6" x14ac:dyDescent="0.25">
      <c r="A646" s="7"/>
      <c r="E646" s="7"/>
      <c r="F646" s="7"/>
    </row>
    <row r="647" spans="1:6" x14ac:dyDescent="0.25">
      <c r="A647" s="7"/>
      <c r="E647" s="7"/>
      <c r="F647" s="7"/>
    </row>
    <row r="648" spans="1:6" x14ac:dyDescent="0.25">
      <c r="A648" s="7"/>
      <c r="E648" s="7"/>
      <c r="F648" s="7"/>
    </row>
    <row r="649" spans="1:6" x14ac:dyDescent="0.25">
      <c r="A649" s="7"/>
      <c r="E649" s="7"/>
      <c r="F649" s="7"/>
    </row>
    <row r="650" spans="1:6" x14ac:dyDescent="0.25">
      <c r="A650" s="7"/>
      <c r="E650" s="7"/>
      <c r="F650" s="7"/>
    </row>
    <row r="651" spans="1:6" x14ac:dyDescent="0.25">
      <c r="A651" s="7"/>
      <c r="E651" s="7"/>
      <c r="F651" s="7"/>
    </row>
    <row r="652" spans="1:6" x14ac:dyDescent="0.25">
      <c r="A652" s="7"/>
      <c r="E652" s="7"/>
      <c r="F652" s="7"/>
    </row>
    <row r="653" spans="1:6" x14ac:dyDescent="0.25">
      <c r="A653" s="7"/>
      <c r="E653" s="7"/>
      <c r="F653" s="7"/>
    </row>
    <row r="654" spans="1:6" x14ac:dyDescent="0.25">
      <c r="A654" s="7"/>
      <c r="E654" s="7"/>
      <c r="F654" s="7"/>
    </row>
    <row r="655" spans="1:6" x14ac:dyDescent="0.25">
      <c r="A655" s="7"/>
      <c r="E655" s="7"/>
      <c r="F655" s="7"/>
    </row>
    <row r="656" spans="1:6" x14ac:dyDescent="0.25">
      <c r="A656" s="7"/>
      <c r="E656" s="7"/>
      <c r="F656" s="7"/>
    </row>
    <row r="657" spans="1:6" x14ac:dyDescent="0.25">
      <c r="A657" s="7"/>
      <c r="E657" s="7"/>
      <c r="F657" s="7"/>
    </row>
    <row r="658" spans="1:6" x14ac:dyDescent="0.25">
      <c r="A658" s="7"/>
      <c r="E658" s="7"/>
      <c r="F658" s="7"/>
    </row>
    <row r="659" spans="1:6" x14ac:dyDescent="0.25">
      <c r="A659" s="7"/>
      <c r="E659" s="7"/>
      <c r="F659" s="7"/>
    </row>
    <row r="660" spans="1:6" x14ac:dyDescent="0.25">
      <c r="A660" s="7"/>
      <c r="E660" s="7"/>
      <c r="F660" s="7"/>
    </row>
    <row r="661" spans="1:6" x14ac:dyDescent="0.25">
      <c r="A661" s="7"/>
      <c r="E661" s="7"/>
      <c r="F661" s="7"/>
    </row>
    <row r="662" spans="1:6" x14ac:dyDescent="0.25">
      <c r="A662" s="7"/>
      <c r="E662" s="7"/>
      <c r="F662" s="7"/>
    </row>
    <row r="663" spans="1:6" x14ac:dyDescent="0.25">
      <c r="A663" s="7"/>
      <c r="E663" s="7"/>
      <c r="F663" s="7"/>
    </row>
    <row r="664" spans="1:6" x14ac:dyDescent="0.25">
      <c r="A664" s="7"/>
      <c r="E664" s="7"/>
      <c r="F664" s="7"/>
    </row>
    <row r="665" spans="1:6" x14ac:dyDescent="0.25">
      <c r="A665" s="7"/>
      <c r="E665" s="7"/>
      <c r="F665" s="7"/>
    </row>
    <row r="666" spans="1:6" x14ac:dyDescent="0.25">
      <c r="A666" s="7"/>
      <c r="E666" s="7"/>
      <c r="F666" s="7"/>
    </row>
    <row r="667" spans="1:6" x14ac:dyDescent="0.25">
      <c r="A667" s="7"/>
      <c r="E667" s="7"/>
      <c r="F667" s="7"/>
    </row>
    <row r="668" spans="1:6" x14ac:dyDescent="0.25">
      <c r="A668" s="7"/>
      <c r="E668" s="7"/>
      <c r="F668" s="7"/>
    </row>
    <row r="669" spans="1:6" x14ac:dyDescent="0.25">
      <c r="A669" s="7"/>
      <c r="E669" s="7"/>
      <c r="F669" s="7"/>
    </row>
    <row r="670" spans="1:6" x14ac:dyDescent="0.25">
      <c r="A670" s="7"/>
      <c r="E670" s="7"/>
      <c r="F670" s="7"/>
    </row>
    <row r="671" spans="1:6" x14ac:dyDescent="0.25">
      <c r="A671" s="7"/>
      <c r="E671" s="7"/>
      <c r="F671" s="7"/>
    </row>
    <row r="672" spans="1:6" x14ac:dyDescent="0.25">
      <c r="A672" s="7"/>
      <c r="E672" s="7"/>
      <c r="F672" s="7"/>
    </row>
    <row r="673" spans="1:6" x14ac:dyDescent="0.25">
      <c r="A673" s="7"/>
      <c r="E673" s="7"/>
      <c r="F673" s="7"/>
    </row>
    <row r="674" spans="1:6" x14ac:dyDescent="0.25">
      <c r="A674" s="7"/>
      <c r="E674" s="7"/>
      <c r="F674" s="7"/>
    </row>
    <row r="675" spans="1:6" x14ac:dyDescent="0.25">
      <c r="A675" s="7"/>
      <c r="E675" s="7"/>
      <c r="F675" s="7"/>
    </row>
    <row r="676" spans="1:6" x14ac:dyDescent="0.25">
      <c r="A676" s="7"/>
      <c r="E676" s="7"/>
      <c r="F676" s="7"/>
    </row>
    <row r="677" spans="1:6" x14ac:dyDescent="0.25">
      <c r="A677" s="7"/>
      <c r="E677" s="7"/>
      <c r="F677" s="7"/>
    </row>
    <row r="678" spans="1:6" x14ac:dyDescent="0.25">
      <c r="A678" s="7"/>
      <c r="E678" s="7"/>
      <c r="F678" s="7"/>
    </row>
    <row r="679" spans="1:6" x14ac:dyDescent="0.25">
      <c r="A679" s="7"/>
      <c r="E679" s="7"/>
      <c r="F679" s="7"/>
    </row>
    <row r="680" spans="1:6" x14ac:dyDescent="0.25">
      <c r="A680" s="7"/>
      <c r="E680" s="7"/>
      <c r="F680" s="7"/>
    </row>
    <row r="681" spans="1:6" x14ac:dyDescent="0.25">
      <c r="A681" s="7"/>
      <c r="E681" s="7"/>
      <c r="F681" s="7"/>
    </row>
    <row r="682" spans="1:6" x14ac:dyDescent="0.25">
      <c r="A682" s="7"/>
      <c r="E682" s="7"/>
      <c r="F682" s="7"/>
    </row>
    <row r="683" spans="1:6" x14ac:dyDescent="0.25">
      <c r="A683" s="7"/>
      <c r="E683" s="7"/>
      <c r="F683" s="7"/>
    </row>
    <row r="684" spans="1:6" x14ac:dyDescent="0.25">
      <c r="A684" s="7"/>
      <c r="E684" s="7"/>
      <c r="F684" s="7"/>
    </row>
    <row r="685" spans="1:6" x14ac:dyDescent="0.25">
      <c r="A685" s="7"/>
      <c r="E685" s="7"/>
      <c r="F685" s="7"/>
    </row>
    <row r="686" spans="1:6" x14ac:dyDescent="0.25">
      <c r="A686" s="7"/>
      <c r="E686" s="7"/>
      <c r="F686" s="7"/>
    </row>
    <row r="687" spans="1:6" x14ac:dyDescent="0.25">
      <c r="A687" s="7"/>
      <c r="E687" s="7"/>
      <c r="F687" s="7"/>
    </row>
    <row r="688" spans="1:6" x14ac:dyDescent="0.25">
      <c r="A688" s="7"/>
      <c r="E688" s="7"/>
      <c r="F688" s="7"/>
    </row>
    <row r="689" spans="1:6" x14ac:dyDescent="0.25">
      <c r="A689" s="7"/>
      <c r="E689" s="7"/>
      <c r="F689" s="7"/>
    </row>
    <row r="690" spans="1:6" x14ac:dyDescent="0.25">
      <c r="A690" s="7"/>
      <c r="E690" s="7"/>
      <c r="F690" s="7"/>
    </row>
    <row r="691" spans="1:6" x14ac:dyDescent="0.25">
      <c r="A691" s="7"/>
      <c r="E691" s="7"/>
      <c r="F691" s="7"/>
    </row>
    <row r="692" spans="1:6" x14ac:dyDescent="0.25">
      <c r="A692" s="7"/>
      <c r="E692" s="7"/>
      <c r="F692" s="7"/>
    </row>
    <row r="693" spans="1:6" x14ac:dyDescent="0.25">
      <c r="A693" s="7"/>
      <c r="E693" s="7"/>
      <c r="F693" s="7"/>
    </row>
    <row r="694" spans="1:6" x14ac:dyDescent="0.25">
      <c r="A694" s="7"/>
      <c r="E694" s="7"/>
      <c r="F694" s="7"/>
    </row>
    <row r="695" spans="1:6" x14ac:dyDescent="0.25">
      <c r="A695" s="7"/>
      <c r="E695" s="7"/>
      <c r="F695" s="7"/>
    </row>
    <row r="696" spans="1:6" x14ac:dyDescent="0.25">
      <c r="A696" s="7"/>
      <c r="E696" s="7"/>
      <c r="F696" s="7"/>
    </row>
    <row r="697" spans="1:6" x14ac:dyDescent="0.25">
      <c r="A697" s="7"/>
      <c r="E697" s="7"/>
      <c r="F697" s="7"/>
    </row>
    <row r="698" spans="1:6" x14ac:dyDescent="0.25">
      <c r="A698" s="7"/>
      <c r="E698" s="7"/>
      <c r="F698" s="7"/>
    </row>
    <row r="699" spans="1:6" x14ac:dyDescent="0.25">
      <c r="A699" s="7"/>
      <c r="E699" s="7"/>
      <c r="F699" s="7"/>
    </row>
    <row r="700" spans="1:6" x14ac:dyDescent="0.25">
      <c r="A700" s="7"/>
      <c r="E700" s="7"/>
      <c r="F700" s="7"/>
    </row>
    <row r="701" spans="1:6" x14ac:dyDescent="0.25">
      <c r="A701" s="7"/>
      <c r="E701" s="7"/>
      <c r="F701" s="7"/>
    </row>
    <row r="702" spans="1:6" x14ac:dyDescent="0.25">
      <c r="A702" s="7"/>
      <c r="E702" s="7"/>
      <c r="F702" s="7"/>
    </row>
    <row r="703" spans="1:6" x14ac:dyDescent="0.25">
      <c r="A703" s="7"/>
      <c r="E703" s="7"/>
      <c r="F703" s="7"/>
    </row>
    <row r="704" spans="1:6" x14ac:dyDescent="0.25">
      <c r="A704" s="7"/>
      <c r="E704" s="7"/>
      <c r="F704" s="7"/>
    </row>
    <row r="705" spans="1:6" x14ac:dyDescent="0.25">
      <c r="A705" s="7"/>
      <c r="E705" s="7"/>
      <c r="F705" s="7"/>
    </row>
    <row r="706" spans="1:6" x14ac:dyDescent="0.25">
      <c r="A706" s="7"/>
      <c r="E706" s="7"/>
      <c r="F706" s="7"/>
    </row>
    <row r="707" spans="1:6" x14ac:dyDescent="0.25">
      <c r="A707" s="7"/>
      <c r="E707" s="7"/>
      <c r="F707" s="7"/>
    </row>
    <row r="708" spans="1:6" x14ac:dyDescent="0.25">
      <c r="A708" s="7"/>
      <c r="E708" s="7"/>
      <c r="F708" s="7"/>
    </row>
    <row r="709" spans="1:6" x14ac:dyDescent="0.25">
      <c r="A709" s="7"/>
      <c r="E709" s="7"/>
      <c r="F709" s="7"/>
    </row>
    <row r="710" spans="1:6" x14ac:dyDescent="0.25">
      <c r="A710" s="7"/>
      <c r="E710" s="7"/>
      <c r="F710" s="7"/>
    </row>
    <row r="711" spans="1:6" x14ac:dyDescent="0.25">
      <c r="A711" s="7"/>
      <c r="E711" s="7"/>
      <c r="F711" s="7"/>
    </row>
    <row r="712" spans="1:6" x14ac:dyDescent="0.25">
      <c r="A712" s="7"/>
      <c r="E712" s="7"/>
      <c r="F712" s="7"/>
    </row>
    <row r="713" spans="1:6" x14ac:dyDescent="0.25">
      <c r="A713" s="7"/>
      <c r="E713" s="7"/>
      <c r="F713" s="7"/>
    </row>
    <row r="714" spans="1:6" x14ac:dyDescent="0.25">
      <c r="A714" s="7"/>
      <c r="E714" s="7"/>
      <c r="F714" s="7"/>
    </row>
    <row r="715" spans="1:6" x14ac:dyDescent="0.25">
      <c r="A715" s="7"/>
      <c r="E715" s="7"/>
      <c r="F715" s="7"/>
    </row>
    <row r="716" spans="1:6" x14ac:dyDescent="0.25">
      <c r="A716" s="7"/>
      <c r="E716" s="7"/>
      <c r="F716" s="7"/>
    </row>
    <row r="717" spans="1:6" x14ac:dyDescent="0.25">
      <c r="A717" s="7"/>
      <c r="E717" s="7"/>
      <c r="F717" s="7"/>
    </row>
    <row r="718" spans="1:6" x14ac:dyDescent="0.25">
      <c r="A718" s="7"/>
      <c r="E718" s="7"/>
      <c r="F718" s="7"/>
    </row>
    <row r="719" spans="1:6" x14ac:dyDescent="0.25">
      <c r="A719" s="7"/>
      <c r="E719" s="7"/>
      <c r="F719" s="7"/>
    </row>
    <row r="720" spans="1:6" x14ac:dyDescent="0.25">
      <c r="A720" s="7"/>
      <c r="E720" s="7"/>
      <c r="F720" s="7"/>
    </row>
    <row r="721" spans="1:6" x14ac:dyDescent="0.25">
      <c r="A721" s="7"/>
      <c r="E721" s="7"/>
      <c r="F721" s="7"/>
    </row>
    <row r="722" spans="1:6" x14ac:dyDescent="0.25">
      <c r="A722" s="7"/>
      <c r="E722" s="7"/>
      <c r="F722" s="7"/>
    </row>
    <row r="723" spans="1:6" x14ac:dyDescent="0.25">
      <c r="A723" s="7"/>
      <c r="E723" s="7"/>
      <c r="F723" s="7"/>
    </row>
    <row r="724" spans="1:6" x14ac:dyDescent="0.25">
      <c r="A724" s="7"/>
      <c r="E724" s="7"/>
      <c r="F724" s="7"/>
    </row>
    <row r="725" spans="1:6" x14ac:dyDescent="0.25">
      <c r="A725" s="7"/>
      <c r="E725" s="7"/>
      <c r="F725" s="7"/>
    </row>
    <row r="726" spans="1:6" x14ac:dyDescent="0.25">
      <c r="A726" s="7"/>
      <c r="E726" s="7"/>
      <c r="F726" s="7"/>
    </row>
    <row r="727" spans="1:6" x14ac:dyDescent="0.25">
      <c r="A727" s="7"/>
      <c r="E727" s="7"/>
      <c r="F727" s="7"/>
    </row>
    <row r="728" spans="1:6" x14ac:dyDescent="0.25">
      <c r="A728" s="7"/>
      <c r="E728" s="7"/>
      <c r="F728" s="7"/>
    </row>
    <row r="729" spans="1:6" x14ac:dyDescent="0.25">
      <c r="A729" s="7"/>
      <c r="E729" s="7"/>
      <c r="F729" s="7"/>
    </row>
    <row r="730" spans="1:6" x14ac:dyDescent="0.25">
      <c r="A730" s="7"/>
      <c r="E730" s="7"/>
      <c r="F730" s="7"/>
    </row>
    <row r="731" spans="1:6" x14ac:dyDescent="0.25">
      <c r="A731" s="7"/>
      <c r="E731" s="7"/>
      <c r="F731" s="7"/>
    </row>
    <row r="732" spans="1:6" x14ac:dyDescent="0.25">
      <c r="A732" s="7"/>
      <c r="E732" s="7"/>
      <c r="F732" s="7"/>
    </row>
    <row r="733" spans="1:6" x14ac:dyDescent="0.25">
      <c r="A733" s="7"/>
      <c r="E733" s="7"/>
      <c r="F733" s="7"/>
    </row>
    <row r="734" spans="1:6" x14ac:dyDescent="0.25">
      <c r="A734" s="7"/>
      <c r="E734" s="7"/>
      <c r="F734" s="7"/>
    </row>
    <row r="735" spans="1:6" x14ac:dyDescent="0.25">
      <c r="A735" s="7"/>
      <c r="E735" s="7"/>
      <c r="F735" s="7"/>
    </row>
    <row r="736" spans="1:6" x14ac:dyDescent="0.25">
      <c r="A736" s="7"/>
      <c r="E736" s="7"/>
      <c r="F736" s="7"/>
    </row>
    <row r="737" spans="1:6" x14ac:dyDescent="0.25">
      <c r="A737" s="7"/>
      <c r="E737" s="7"/>
      <c r="F737" s="7"/>
    </row>
    <row r="738" spans="1:6" x14ac:dyDescent="0.25">
      <c r="A738" s="7"/>
      <c r="E738" s="7"/>
      <c r="F738" s="7"/>
    </row>
    <row r="739" spans="1:6" x14ac:dyDescent="0.25">
      <c r="A739" s="7"/>
      <c r="E739" s="7"/>
      <c r="F739" s="7"/>
    </row>
    <row r="740" spans="1:6" x14ac:dyDescent="0.25">
      <c r="A740" s="7"/>
      <c r="E740" s="7"/>
      <c r="F740" s="7"/>
    </row>
    <row r="741" spans="1:6" x14ac:dyDescent="0.25">
      <c r="A741" s="7"/>
      <c r="E741" s="7"/>
      <c r="F741" s="7"/>
    </row>
    <row r="742" spans="1:6" x14ac:dyDescent="0.25">
      <c r="A742" s="7"/>
      <c r="E742" s="7"/>
      <c r="F742" s="7"/>
    </row>
    <row r="743" spans="1:6" x14ac:dyDescent="0.25">
      <c r="A743" s="7"/>
      <c r="E743" s="7"/>
      <c r="F743" s="7"/>
    </row>
    <row r="744" spans="1:6" x14ac:dyDescent="0.25">
      <c r="A744" s="7"/>
      <c r="E744" s="7"/>
      <c r="F744" s="7"/>
    </row>
    <row r="745" spans="1:6" x14ac:dyDescent="0.25">
      <c r="A745" s="7"/>
      <c r="E745" s="7"/>
      <c r="F745" s="7"/>
    </row>
    <row r="746" spans="1:6" x14ac:dyDescent="0.25">
      <c r="A746" s="7"/>
      <c r="E746" s="7"/>
      <c r="F746" s="7"/>
    </row>
    <row r="747" spans="1:6" x14ac:dyDescent="0.25">
      <c r="A747" s="7"/>
      <c r="E747" s="7"/>
      <c r="F747" s="7"/>
    </row>
    <row r="748" spans="1:6" x14ac:dyDescent="0.25">
      <c r="A748" s="7"/>
      <c r="E748" s="7"/>
      <c r="F748" s="7"/>
    </row>
    <row r="749" spans="1:6" x14ac:dyDescent="0.25">
      <c r="A749" s="7"/>
      <c r="E749" s="7"/>
      <c r="F749" s="7"/>
    </row>
    <row r="750" spans="1:6" x14ac:dyDescent="0.25">
      <c r="A750" s="7"/>
      <c r="E750" s="7"/>
      <c r="F750" s="7"/>
    </row>
    <row r="751" spans="1:6" x14ac:dyDescent="0.25">
      <c r="A751" s="7"/>
      <c r="E751" s="7"/>
      <c r="F751" s="7"/>
    </row>
    <row r="752" spans="1:6" x14ac:dyDescent="0.25">
      <c r="A752" s="7"/>
      <c r="E752" s="7"/>
      <c r="F752" s="7"/>
    </row>
    <row r="753" spans="1:6" x14ac:dyDescent="0.25">
      <c r="A753" s="7"/>
      <c r="E753" s="7"/>
      <c r="F753" s="7"/>
    </row>
    <row r="754" spans="1:6" x14ac:dyDescent="0.25">
      <c r="A754" s="7"/>
      <c r="E754" s="7"/>
      <c r="F754" s="7"/>
    </row>
    <row r="755" spans="1:6" x14ac:dyDescent="0.25">
      <c r="A755" s="7"/>
      <c r="E755" s="7"/>
      <c r="F755" s="7"/>
    </row>
    <row r="756" spans="1:6" x14ac:dyDescent="0.25">
      <c r="A756" s="7"/>
      <c r="E756" s="7"/>
      <c r="F756" s="7"/>
    </row>
    <row r="757" spans="1:6" x14ac:dyDescent="0.25">
      <c r="A757" s="7"/>
      <c r="E757" s="7"/>
      <c r="F757" s="7"/>
    </row>
    <row r="758" spans="1:6" x14ac:dyDescent="0.25">
      <c r="A758" s="7"/>
      <c r="E758" s="7"/>
      <c r="F758" s="7"/>
    </row>
    <row r="759" spans="1:6" x14ac:dyDescent="0.25">
      <c r="A759" s="7"/>
      <c r="E759" s="7"/>
      <c r="F759" s="7"/>
    </row>
    <row r="760" spans="1:6" x14ac:dyDescent="0.25">
      <c r="A760" s="7"/>
      <c r="E760" s="7"/>
      <c r="F760" s="7"/>
    </row>
    <row r="761" spans="1:6" x14ac:dyDescent="0.25">
      <c r="A761" s="7"/>
      <c r="E761" s="7"/>
      <c r="F761" s="7"/>
    </row>
    <row r="762" spans="1:6" x14ac:dyDescent="0.25">
      <c r="A762" s="7"/>
      <c r="E762" s="7"/>
      <c r="F762" s="7"/>
    </row>
    <row r="763" spans="1:6" x14ac:dyDescent="0.25">
      <c r="A763" s="7"/>
      <c r="E763" s="7"/>
      <c r="F763" s="7"/>
    </row>
    <row r="764" spans="1:6" x14ac:dyDescent="0.25">
      <c r="A764" s="7"/>
      <c r="E764" s="7"/>
      <c r="F764" s="7"/>
    </row>
    <row r="765" spans="1:6" x14ac:dyDescent="0.25">
      <c r="A765" s="7"/>
      <c r="E765" s="7"/>
      <c r="F765" s="7"/>
    </row>
    <row r="766" spans="1:6" x14ac:dyDescent="0.25">
      <c r="A766" s="7"/>
      <c r="E766" s="7"/>
      <c r="F766" s="7"/>
    </row>
    <row r="767" spans="1:6" x14ac:dyDescent="0.25">
      <c r="A767" s="7"/>
      <c r="E767" s="7"/>
      <c r="F767" s="7"/>
    </row>
    <row r="768" spans="1:6" x14ac:dyDescent="0.25">
      <c r="A768" s="7"/>
      <c r="E768" s="7"/>
      <c r="F768" s="7"/>
    </row>
    <row r="769" spans="1:6" x14ac:dyDescent="0.25">
      <c r="A769" s="7"/>
      <c r="E769" s="7"/>
      <c r="F769" s="7"/>
    </row>
    <row r="770" spans="1:6" x14ac:dyDescent="0.25">
      <c r="A770" s="7"/>
      <c r="E770" s="7"/>
      <c r="F770" s="7"/>
    </row>
    <row r="771" spans="1:6" x14ac:dyDescent="0.25">
      <c r="A771" s="7"/>
      <c r="E771" s="7"/>
      <c r="F771" s="7"/>
    </row>
    <row r="772" spans="1:6" x14ac:dyDescent="0.25">
      <c r="A772" s="7"/>
      <c r="E772" s="7"/>
      <c r="F772" s="7"/>
    </row>
    <row r="773" spans="1:6" x14ac:dyDescent="0.25">
      <c r="A773" s="7"/>
      <c r="E773" s="7"/>
      <c r="F773" s="7"/>
    </row>
    <row r="774" spans="1:6" x14ac:dyDescent="0.25">
      <c r="A774" s="7"/>
      <c r="E774" s="7"/>
      <c r="F774" s="7"/>
    </row>
    <row r="775" spans="1:6" x14ac:dyDescent="0.25">
      <c r="A775" s="7"/>
      <c r="E775" s="7"/>
      <c r="F775" s="7"/>
    </row>
    <row r="776" spans="1:6" x14ac:dyDescent="0.25">
      <c r="A776" s="7"/>
      <c r="E776" s="7"/>
      <c r="F776" s="7"/>
    </row>
    <row r="777" spans="1:6" x14ac:dyDescent="0.25">
      <c r="A777" s="7"/>
      <c r="E777" s="7"/>
      <c r="F777" s="7"/>
    </row>
    <row r="778" spans="1:6" x14ac:dyDescent="0.25">
      <c r="A778" s="7"/>
      <c r="E778" s="7"/>
      <c r="F778" s="7"/>
    </row>
    <row r="779" spans="1:6" x14ac:dyDescent="0.25">
      <c r="A779" s="7"/>
      <c r="E779" s="7"/>
      <c r="F779" s="7"/>
    </row>
    <row r="780" spans="1:6" x14ac:dyDescent="0.25">
      <c r="A780" s="7"/>
      <c r="E780" s="7"/>
      <c r="F780" s="7"/>
    </row>
    <row r="781" spans="1:6" x14ac:dyDescent="0.25">
      <c r="A781" s="7"/>
      <c r="E781" s="7"/>
      <c r="F781" s="7"/>
    </row>
    <row r="782" spans="1:6" x14ac:dyDescent="0.25">
      <c r="A782" s="7"/>
      <c r="E782" s="7"/>
      <c r="F782" s="7"/>
    </row>
    <row r="783" spans="1:6" x14ac:dyDescent="0.25">
      <c r="A783" s="7"/>
      <c r="E783" s="7"/>
      <c r="F783" s="7"/>
    </row>
    <row r="784" spans="1:6" x14ac:dyDescent="0.25">
      <c r="A784" s="7"/>
      <c r="E784" s="7"/>
      <c r="F784" s="7"/>
    </row>
    <row r="785" spans="1:6" x14ac:dyDescent="0.25">
      <c r="A785" s="7"/>
      <c r="E785" s="7"/>
      <c r="F785" s="7"/>
    </row>
    <row r="786" spans="1:6" x14ac:dyDescent="0.25">
      <c r="A786" s="7"/>
      <c r="E786" s="7"/>
      <c r="F786" s="7"/>
    </row>
    <row r="787" spans="1:6" x14ac:dyDescent="0.25">
      <c r="A787" s="7"/>
      <c r="E787" s="7"/>
      <c r="F787" s="7"/>
    </row>
    <row r="788" spans="1:6" x14ac:dyDescent="0.25">
      <c r="A788" s="7"/>
      <c r="E788" s="7"/>
      <c r="F788" s="7"/>
    </row>
    <row r="789" spans="1:6" x14ac:dyDescent="0.25">
      <c r="A789" s="7"/>
      <c r="E789" s="7"/>
      <c r="F789" s="7"/>
    </row>
    <row r="790" spans="1:6" x14ac:dyDescent="0.25">
      <c r="A790" s="7"/>
      <c r="E790" s="7"/>
      <c r="F790" s="7"/>
    </row>
    <row r="791" spans="1:6" x14ac:dyDescent="0.25">
      <c r="A791" s="7"/>
      <c r="E791" s="7"/>
      <c r="F791" s="7"/>
    </row>
    <row r="792" spans="1:6" x14ac:dyDescent="0.25">
      <c r="A792" s="7"/>
      <c r="E792" s="7"/>
      <c r="F792" s="7"/>
    </row>
    <row r="793" spans="1:6" x14ac:dyDescent="0.25">
      <c r="A793" s="7"/>
      <c r="E793" s="7"/>
      <c r="F793" s="7"/>
    </row>
    <row r="794" spans="1:6" x14ac:dyDescent="0.25">
      <c r="A794" s="7"/>
      <c r="E794" s="7"/>
      <c r="F794" s="7"/>
    </row>
    <row r="795" spans="1:6" x14ac:dyDescent="0.25">
      <c r="A795" s="7"/>
      <c r="E795" s="7"/>
      <c r="F795" s="7"/>
    </row>
    <row r="796" spans="1:6" x14ac:dyDescent="0.25">
      <c r="A796" s="7"/>
      <c r="E796" s="7"/>
      <c r="F796" s="7"/>
    </row>
    <row r="797" spans="1:6" x14ac:dyDescent="0.25">
      <c r="A797" s="7"/>
      <c r="E797" s="7"/>
      <c r="F797" s="7"/>
    </row>
    <row r="798" spans="1:6" x14ac:dyDescent="0.25">
      <c r="A798" s="7"/>
      <c r="E798" s="7"/>
      <c r="F798" s="7"/>
    </row>
    <row r="799" spans="1:6" x14ac:dyDescent="0.25">
      <c r="A799" s="7"/>
      <c r="E799" s="7"/>
      <c r="F799" s="7"/>
    </row>
    <row r="800" spans="1:6" x14ac:dyDescent="0.25">
      <c r="A800" s="7"/>
      <c r="E800" s="7"/>
      <c r="F800" s="7"/>
    </row>
    <row r="801" spans="1:6" x14ac:dyDescent="0.25">
      <c r="A801" s="7"/>
      <c r="E801" s="7"/>
      <c r="F801" s="7"/>
    </row>
    <row r="802" spans="1:6" x14ac:dyDescent="0.25">
      <c r="A802" s="7"/>
      <c r="E802" s="7"/>
      <c r="F802" s="7"/>
    </row>
    <row r="803" spans="1:6" x14ac:dyDescent="0.25">
      <c r="A803" s="7"/>
      <c r="E803" s="7"/>
      <c r="F803" s="7"/>
    </row>
    <row r="804" spans="1:6" x14ac:dyDescent="0.25">
      <c r="A804" s="7"/>
      <c r="E804" s="7"/>
      <c r="F804" s="7"/>
    </row>
    <row r="805" spans="1:6" x14ac:dyDescent="0.25">
      <c r="A805" s="7"/>
      <c r="E805" s="7"/>
      <c r="F805" s="7"/>
    </row>
    <row r="806" spans="1:6" x14ac:dyDescent="0.25">
      <c r="A806" s="7"/>
      <c r="E806" s="7"/>
      <c r="F806" s="7"/>
    </row>
    <row r="807" spans="1:6" x14ac:dyDescent="0.25">
      <c r="A807" s="7"/>
      <c r="E807" s="7"/>
      <c r="F807" s="7"/>
    </row>
    <row r="808" spans="1:6" x14ac:dyDescent="0.25">
      <c r="A808" s="7"/>
      <c r="E808" s="7"/>
      <c r="F808" s="7"/>
    </row>
    <row r="809" spans="1:6" x14ac:dyDescent="0.25">
      <c r="A809" s="7"/>
      <c r="E809" s="7"/>
      <c r="F809" s="7"/>
    </row>
    <row r="810" spans="1:6" x14ac:dyDescent="0.25">
      <c r="A810" s="7"/>
      <c r="E810" s="7"/>
      <c r="F810" s="7"/>
    </row>
    <row r="811" spans="1:6" x14ac:dyDescent="0.25">
      <c r="A811" s="7"/>
      <c r="E811" s="7"/>
      <c r="F811" s="7"/>
    </row>
    <row r="812" spans="1:6" x14ac:dyDescent="0.25">
      <c r="A812" s="7"/>
      <c r="E812" s="7"/>
      <c r="F812" s="7"/>
    </row>
    <row r="813" spans="1:6" x14ac:dyDescent="0.25">
      <c r="A813" s="7"/>
      <c r="E813" s="7"/>
      <c r="F813" s="7"/>
    </row>
    <row r="814" spans="1:6" x14ac:dyDescent="0.25">
      <c r="A814" s="7"/>
      <c r="E814" s="7"/>
      <c r="F814" s="7"/>
    </row>
    <row r="815" spans="1:6" x14ac:dyDescent="0.25">
      <c r="A815" s="7"/>
      <c r="E815" s="7"/>
      <c r="F815" s="7"/>
    </row>
    <row r="816" spans="1:6" x14ac:dyDescent="0.25">
      <c r="A816" s="7"/>
      <c r="E816" s="7"/>
      <c r="F816" s="7"/>
    </row>
    <row r="817" spans="1:6" x14ac:dyDescent="0.25">
      <c r="A817" s="7"/>
      <c r="E817" s="7"/>
      <c r="F817" s="7"/>
    </row>
    <row r="818" spans="1:6" x14ac:dyDescent="0.25">
      <c r="A818" s="7"/>
      <c r="E818" s="7"/>
      <c r="F818" s="7"/>
    </row>
    <row r="819" spans="1:6" x14ac:dyDescent="0.25">
      <c r="A819" s="7"/>
      <c r="E819" s="7"/>
      <c r="F819" s="7"/>
    </row>
    <row r="820" spans="1:6" x14ac:dyDescent="0.25">
      <c r="A820" s="7"/>
      <c r="E820" s="7"/>
      <c r="F820" s="7"/>
    </row>
    <row r="821" spans="1:6" x14ac:dyDescent="0.25">
      <c r="A821" s="7"/>
      <c r="E821" s="7"/>
      <c r="F821" s="7"/>
    </row>
    <row r="822" spans="1:6" x14ac:dyDescent="0.25">
      <c r="A822" s="7"/>
      <c r="E822" s="7"/>
      <c r="F822" s="7"/>
    </row>
    <row r="823" spans="1:6" x14ac:dyDescent="0.25">
      <c r="A823" s="7"/>
      <c r="E823" s="7"/>
      <c r="F823" s="7"/>
    </row>
    <row r="824" spans="1:6" x14ac:dyDescent="0.25">
      <c r="A824" s="7"/>
      <c r="E824" s="7"/>
      <c r="F824" s="7"/>
    </row>
    <row r="825" spans="1:6" x14ac:dyDescent="0.25">
      <c r="A825" s="7"/>
      <c r="E825" s="7"/>
      <c r="F825" s="7"/>
    </row>
    <row r="826" spans="1:6" x14ac:dyDescent="0.25">
      <c r="A826" s="7"/>
      <c r="E826" s="7"/>
      <c r="F826" s="7"/>
    </row>
    <row r="827" spans="1:6" x14ac:dyDescent="0.25">
      <c r="A827" s="7"/>
      <c r="E827" s="7"/>
      <c r="F827" s="7"/>
    </row>
    <row r="828" spans="1:6" x14ac:dyDescent="0.25">
      <c r="A828" s="7"/>
      <c r="E828" s="7"/>
      <c r="F828" s="7"/>
    </row>
    <row r="829" spans="1:6" x14ac:dyDescent="0.25">
      <c r="A829" s="7"/>
      <c r="E829" s="7"/>
      <c r="F829" s="7"/>
    </row>
    <row r="830" spans="1:6" x14ac:dyDescent="0.25">
      <c r="A830" s="7"/>
      <c r="E830" s="7"/>
      <c r="F830" s="7"/>
    </row>
    <row r="831" spans="1:6" x14ac:dyDescent="0.25">
      <c r="A831" s="7"/>
      <c r="E831" s="7"/>
      <c r="F831" s="7"/>
    </row>
    <row r="832" spans="1:6" x14ac:dyDescent="0.25">
      <c r="A832" s="7"/>
      <c r="E832" s="7"/>
      <c r="F832" s="7"/>
    </row>
    <row r="833" spans="1:6" x14ac:dyDescent="0.25">
      <c r="A833" s="7"/>
      <c r="E833" s="7"/>
      <c r="F833" s="7"/>
    </row>
    <row r="834" spans="1:6" x14ac:dyDescent="0.25">
      <c r="A834" s="7"/>
      <c r="E834" s="7"/>
      <c r="F834" s="7"/>
    </row>
    <row r="835" spans="1:6" x14ac:dyDescent="0.25">
      <c r="A835" s="7"/>
      <c r="E835" s="7"/>
      <c r="F835" s="7"/>
    </row>
    <row r="836" spans="1:6" x14ac:dyDescent="0.25">
      <c r="A836" s="7"/>
      <c r="E836" s="7"/>
      <c r="F836" s="7"/>
    </row>
    <row r="837" spans="1:6" x14ac:dyDescent="0.25">
      <c r="A837" s="7"/>
      <c r="E837" s="7"/>
      <c r="F837" s="7"/>
    </row>
    <row r="838" spans="1:6" x14ac:dyDescent="0.25">
      <c r="A838" s="7"/>
      <c r="E838" s="7"/>
      <c r="F838" s="7"/>
    </row>
    <row r="839" spans="1:6" x14ac:dyDescent="0.25">
      <c r="A839" s="7"/>
      <c r="E839" s="7"/>
      <c r="F839" s="7"/>
    </row>
    <row r="840" spans="1:6" x14ac:dyDescent="0.25">
      <c r="A840" s="7"/>
      <c r="E840" s="7"/>
      <c r="F840" s="7"/>
    </row>
    <row r="841" spans="1:6" x14ac:dyDescent="0.25">
      <c r="A841" s="7"/>
      <c r="E841" s="7"/>
      <c r="F841" s="7"/>
    </row>
    <row r="842" spans="1:6" x14ac:dyDescent="0.25">
      <c r="A842" s="7"/>
      <c r="E842" s="7"/>
      <c r="F842" s="7"/>
    </row>
    <row r="843" spans="1:6" x14ac:dyDescent="0.25">
      <c r="A843" s="7"/>
      <c r="E843" s="7"/>
      <c r="F843" s="7"/>
    </row>
    <row r="844" spans="1:6" x14ac:dyDescent="0.25">
      <c r="A844" s="7"/>
      <c r="E844" s="7"/>
      <c r="F844" s="7"/>
    </row>
    <row r="845" spans="1:6" x14ac:dyDescent="0.25">
      <c r="A845" s="7"/>
      <c r="E845" s="7"/>
      <c r="F845" s="7"/>
    </row>
    <row r="846" spans="1:6" x14ac:dyDescent="0.25">
      <c r="A846" s="7"/>
      <c r="E846" s="7"/>
      <c r="F846" s="7"/>
    </row>
    <row r="847" spans="1:6" x14ac:dyDescent="0.25">
      <c r="A847" s="7"/>
      <c r="E847" s="7"/>
      <c r="F847" s="7"/>
    </row>
    <row r="848" spans="1:6" x14ac:dyDescent="0.25">
      <c r="A848" s="7"/>
      <c r="E848" s="7"/>
      <c r="F848" s="7"/>
    </row>
    <row r="849" spans="1:6" x14ac:dyDescent="0.25">
      <c r="A849" s="7"/>
      <c r="E849" s="7"/>
      <c r="F849" s="7"/>
    </row>
    <row r="850" spans="1:6" x14ac:dyDescent="0.25">
      <c r="A850" s="7"/>
      <c r="E850" s="7"/>
      <c r="F850" s="7"/>
    </row>
    <row r="851" spans="1:6" x14ac:dyDescent="0.25">
      <c r="A851" s="7"/>
      <c r="E851" s="7"/>
      <c r="F851" s="7"/>
    </row>
    <row r="852" spans="1:6" x14ac:dyDescent="0.25">
      <c r="A852" s="7"/>
      <c r="E852" s="7"/>
      <c r="F852" s="7"/>
    </row>
    <row r="853" spans="1:6" x14ac:dyDescent="0.25">
      <c r="A853" s="7"/>
      <c r="E853" s="7"/>
      <c r="F853" s="7"/>
    </row>
    <row r="854" spans="1:6" x14ac:dyDescent="0.25">
      <c r="A854" s="7"/>
      <c r="E854" s="7"/>
      <c r="F854" s="7"/>
    </row>
    <row r="855" spans="1:6" x14ac:dyDescent="0.25">
      <c r="A855" s="7"/>
      <c r="E855" s="7"/>
      <c r="F855" s="7"/>
    </row>
    <row r="856" spans="1:6" x14ac:dyDescent="0.25">
      <c r="A856" s="7"/>
      <c r="E856" s="7"/>
      <c r="F856" s="7"/>
    </row>
    <row r="857" spans="1:6" x14ac:dyDescent="0.25">
      <c r="A857" s="7"/>
      <c r="E857" s="7"/>
      <c r="F857" s="7"/>
    </row>
    <row r="858" spans="1:6" x14ac:dyDescent="0.25">
      <c r="A858" s="7"/>
      <c r="E858" s="7"/>
      <c r="F858" s="7"/>
    </row>
    <row r="859" spans="1:6" x14ac:dyDescent="0.25">
      <c r="A859" s="7"/>
      <c r="E859" s="7"/>
      <c r="F859" s="7"/>
    </row>
    <row r="860" spans="1:6" x14ac:dyDescent="0.25">
      <c r="A860" s="7"/>
      <c r="E860" s="7"/>
      <c r="F860" s="7"/>
    </row>
    <row r="861" spans="1:6" x14ac:dyDescent="0.25">
      <c r="A861" s="7"/>
      <c r="E861" s="7"/>
      <c r="F861" s="7"/>
    </row>
    <row r="862" spans="1:6" x14ac:dyDescent="0.25">
      <c r="A862" s="7"/>
      <c r="E862" s="7"/>
      <c r="F862" s="7"/>
    </row>
    <row r="863" spans="1:6" x14ac:dyDescent="0.25">
      <c r="A863" s="7"/>
      <c r="E863" s="7"/>
      <c r="F863" s="7"/>
    </row>
    <row r="864" spans="1:6" x14ac:dyDescent="0.25">
      <c r="A864" s="7"/>
      <c r="E864" s="7"/>
      <c r="F864" s="7"/>
    </row>
    <row r="865" spans="1:6" x14ac:dyDescent="0.25">
      <c r="A865" s="7"/>
      <c r="E865" s="7"/>
      <c r="F865" s="7"/>
    </row>
    <row r="866" spans="1:6" x14ac:dyDescent="0.25">
      <c r="A866" s="7"/>
      <c r="E866" s="7"/>
      <c r="F866" s="7"/>
    </row>
    <row r="867" spans="1:6" x14ac:dyDescent="0.25">
      <c r="A867" s="7"/>
      <c r="E867" s="7"/>
      <c r="F867" s="7"/>
    </row>
    <row r="868" spans="1:6" x14ac:dyDescent="0.25">
      <c r="A868" s="7"/>
      <c r="E868" s="7"/>
      <c r="F868" s="7"/>
    </row>
    <row r="869" spans="1:6" x14ac:dyDescent="0.25">
      <c r="A869" s="7"/>
      <c r="E869" s="7"/>
      <c r="F869" s="7"/>
    </row>
    <row r="870" spans="1:6" x14ac:dyDescent="0.25">
      <c r="A870" s="7"/>
      <c r="E870" s="7"/>
      <c r="F870" s="7"/>
    </row>
    <row r="871" spans="1:6" x14ac:dyDescent="0.25">
      <c r="A871" s="7"/>
      <c r="E871" s="7"/>
      <c r="F871" s="7"/>
    </row>
    <row r="872" spans="1:6" x14ac:dyDescent="0.25">
      <c r="A872" s="7"/>
      <c r="E872" s="7"/>
      <c r="F872" s="7"/>
    </row>
    <row r="873" spans="1:6" x14ac:dyDescent="0.25">
      <c r="A873" s="7"/>
      <c r="E873" s="7"/>
      <c r="F873" s="7"/>
    </row>
    <row r="874" spans="1:6" x14ac:dyDescent="0.25">
      <c r="A874" s="7"/>
      <c r="E874" s="7"/>
      <c r="F874" s="7"/>
    </row>
    <row r="875" spans="1:6" x14ac:dyDescent="0.25">
      <c r="A875" s="7"/>
      <c r="E875" s="7"/>
      <c r="F875" s="7"/>
    </row>
    <row r="876" spans="1:6" x14ac:dyDescent="0.25">
      <c r="A876" s="7"/>
      <c r="E876" s="7"/>
      <c r="F876" s="7"/>
    </row>
    <row r="877" spans="1:6" x14ac:dyDescent="0.25">
      <c r="A877" s="7"/>
      <c r="E877" s="7"/>
      <c r="F877" s="7"/>
    </row>
    <row r="878" spans="1:6" x14ac:dyDescent="0.25">
      <c r="A878" s="7"/>
      <c r="E878" s="7"/>
      <c r="F878" s="7"/>
    </row>
    <row r="879" spans="1:6" x14ac:dyDescent="0.25">
      <c r="A879" s="7"/>
      <c r="E879" s="7"/>
      <c r="F879" s="7"/>
    </row>
    <row r="880" spans="1:6" x14ac:dyDescent="0.25">
      <c r="A880" s="7"/>
      <c r="E880" s="7"/>
      <c r="F880" s="7"/>
    </row>
    <row r="881" spans="1:6" x14ac:dyDescent="0.25">
      <c r="A881" s="7"/>
      <c r="E881" s="7"/>
      <c r="F881" s="7"/>
    </row>
    <row r="882" spans="1:6" x14ac:dyDescent="0.25">
      <c r="A882" s="7"/>
      <c r="E882" s="7"/>
      <c r="F882" s="7"/>
    </row>
    <row r="883" spans="1:6" x14ac:dyDescent="0.25">
      <c r="A883" s="7"/>
      <c r="E883" s="7"/>
      <c r="F883" s="7"/>
    </row>
    <row r="884" spans="1:6" x14ac:dyDescent="0.25">
      <c r="A884" s="7"/>
      <c r="E884" s="7"/>
      <c r="F884" s="7"/>
    </row>
    <row r="885" spans="1:6" x14ac:dyDescent="0.25">
      <c r="A885" s="7"/>
      <c r="E885" s="7"/>
      <c r="F885" s="7"/>
    </row>
    <row r="886" spans="1:6" x14ac:dyDescent="0.25">
      <c r="A886" s="7"/>
      <c r="E886" s="7"/>
      <c r="F886" s="7"/>
    </row>
    <row r="887" spans="1:6" x14ac:dyDescent="0.25">
      <c r="A887" s="7"/>
      <c r="E887" s="7"/>
      <c r="F887" s="7"/>
    </row>
    <row r="888" spans="1:6" x14ac:dyDescent="0.25">
      <c r="A888" s="7"/>
      <c r="E888" s="7"/>
      <c r="F888" s="7"/>
    </row>
    <row r="889" spans="1:6" x14ac:dyDescent="0.25">
      <c r="A889" s="7"/>
      <c r="E889" s="7"/>
      <c r="F889" s="7"/>
    </row>
    <row r="890" spans="1:6" x14ac:dyDescent="0.25">
      <c r="A890" s="7"/>
      <c r="E890" s="7"/>
      <c r="F890" s="7"/>
    </row>
    <row r="891" spans="1:6" x14ac:dyDescent="0.25">
      <c r="A891" s="7"/>
      <c r="E891" s="7"/>
      <c r="F891" s="7"/>
    </row>
    <row r="892" spans="1:6" x14ac:dyDescent="0.25">
      <c r="A892" s="7"/>
      <c r="E892" s="7"/>
      <c r="F892" s="7"/>
    </row>
    <row r="893" spans="1:6" x14ac:dyDescent="0.25">
      <c r="A893" s="7"/>
      <c r="E893" s="7"/>
      <c r="F893" s="7"/>
    </row>
    <row r="894" spans="1:6" x14ac:dyDescent="0.25">
      <c r="A894" s="7"/>
      <c r="E894" s="7"/>
      <c r="F894" s="7"/>
    </row>
    <row r="895" spans="1:6" x14ac:dyDescent="0.25">
      <c r="A895" s="7"/>
      <c r="E895" s="7"/>
      <c r="F895" s="7"/>
    </row>
    <row r="896" spans="1:6" x14ac:dyDescent="0.25">
      <c r="A896" s="7"/>
      <c r="E896" s="7"/>
      <c r="F896" s="7"/>
    </row>
    <row r="897" spans="1:6" x14ac:dyDescent="0.25">
      <c r="A897" s="7"/>
      <c r="E897" s="7"/>
      <c r="F897" s="7"/>
    </row>
    <row r="898" spans="1:6" x14ac:dyDescent="0.25">
      <c r="A898" s="7"/>
      <c r="E898" s="7"/>
      <c r="F898" s="7"/>
    </row>
    <row r="899" spans="1:6" x14ac:dyDescent="0.25">
      <c r="A899" s="7"/>
      <c r="E899" s="7"/>
      <c r="F899" s="7"/>
    </row>
    <row r="900" spans="1:6" x14ac:dyDescent="0.25">
      <c r="A900" s="7"/>
      <c r="E900" s="7"/>
      <c r="F900" s="7"/>
    </row>
    <row r="901" spans="1:6" x14ac:dyDescent="0.25">
      <c r="A901" s="7"/>
      <c r="E901" s="7"/>
      <c r="F901" s="7"/>
    </row>
    <row r="902" spans="1:6" x14ac:dyDescent="0.25">
      <c r="A902" s="7"/>
      <c r="E902" s="7"/>
      <c r="F902" s="7"/>
    </row>
    <row r="903" spans="1:6" x14ac:dyDescent="0.25">
      <c r="A903" s="7"/>
      <c r="E903" s="7"/>
      <c r="F903" s="7"/>
    </row>
    <row r="904" spans="1:6" x14ac:dyDescent="0.25">
      <c r="A904" s="7"/>
      <c r="E904" s="7"/>
      <c r="F904" s="7"/>
    </row>
    <row r="905" spans="1:6" x14ac:dyDescent="0.25">
      <c r="A905" s="7"/>
      <c r="E905" s="7"/>
      <c r="F905" s="7"/>
    </row>
    <row r="906" spans="1:6" x14ac:dyDescent="0.25">
      <c r="A906" s="7"/>
      <c r="E906" s="7"/>
      <c r="F906" s="7"/>
    </row>
    <row r="907" spans="1:6" x14ac:dyDescent="0.25">
      <c r="A907" s="7"/>
      <c r="E907" s="7"/>
      <c r="F907" s="7"/>
    </row>
    <row r="908" spans="1:6" x14ac:dyDescent="0.25">
      <c r="A908" s="7"/>
      <c r="E908" s="7"/>
      <c r="F908" s="7"/>
    </row>
    <row r="909" spans="1:6" x14ac:dyDescent="0.25">
      <c r="A909" s="7"/>
      <c r="E909" s="7"/>
      <c r="F909" s="7"/>
    </row>
    <row r="910" spans="1:6" x14ac:dyDescent="0.25">
      <c r="A910" s="7"/>
      <c r="E910" s="7"/>
      <c r="F910" s="7"/>
    </row>
    <row r="911" spans="1:6" x14ac:dyDescent="0.25">
      <c r="A911" s="7"/>
      <c r="E911" s="7"/>
      <c r="F911" s="7"/>
    </row>
    <row r="912" spans="1:6" x14ac:dyDescent="0.25">
      <c r="A912" s="7"/>
      <c r="E912" s="7"/>
      <c r="F912" s="7"/>
    </row>
    <row r="913" spans="1:6" x14ac:dyDescent="0.25">
      <c r="A913" s="7"/>
      <c r="E913" s="7"/>
      <c r="F913" s="7"/>
    </row>
    <row r="914" spans="1:6" x14ac:dyDescent="0.25">
      <c r="A914" s="7"/>
      <c r="E914" s="7"/>
      <c r="F914" s="7"/>
    </row>
    <row r="915" spans="1:6" x14ac:dyDescent="0.25">
      <c r="A915" s="7"/>
      <c r="E915" s="7"/>
      <c r="F915" s="7"/>
    </row>
    <row r="916" spans="1:6" x14ac:dyDescent="0.25">
      <c r="A916" s="7"/>
      <c r="E916" s="7"/>
      <c r="F916" s="7"/>
    </row>
    <row r="917" spans="1:6" x14ac:dyDescent="0.25">
      <c r="A917" s="7"/>
      <c r="E917" s="7"/>
      <c r="F917" s="7"/>
    </row>
    <row r="918" spans="1:6" x14ac:dyDescent="0.25">
      <c r="A918" s="7"/>
      <c r="E918" s="7"/>
      <c r="F918" s="7"/>
    </row>
    <row r="919" spans="1:6" x14ac:dyDescent="0.25">
      <c r="A919" s="7"/>
      <c r="E919" s="7"/>
      <c r="F919" s="7"/>
    </row>
    <row r="920" spans="1:6" x14ac:dyDescent="0.25">
      <c r="A920" s="7"/>
      <c r="E920" s="7"/>
      <c r="F920" s="7"/>
    </row>
    <row r="921" spans="1:6" x14ac:dyDescent="0.25">
      <c r="A921" s="7"/>
      <c r="E921" s="7"/>
      <c r="F921" s="7"/>
    </row>
    <row r="922" spans="1:6" x14ac:dyDescent="0.25">
      <c r="A922" s="7"/>
      <c r="E922" s="7"/>
      <c r="F922" s="7"/>
    </row>
    <row r="923" spans="1:6" x14ac:dyDescent="0.25">
      <c r="A923" s="7"/>
      <c r="E923" s="7"/>
      <c r="F923" s="7"/>
    </row>
    <row r="924" spans="1:6" x14ac:dyDescent="0.25">
      <c r="A924" s="7"/>
      <c r="E924" s="7"/>
      <c r="F924" s="7"/>
    </row>
    <row r="925" spans="1:6" x14ac:dyDescent="0.25">
      <c r="A925" s="7"/>
      <c r="E925" s="7"/>
      <c r="F925" s="7"/>
    </row>
    <row r="926" spans="1:6" x14ac:dyDescent="0.25">
      <c r="A926" s="7"/>
      <c r="E926" s="7"/>
      <c r="F926" s="7"/>
    </row>
    <row r="927" spans="1:6" x14ac:dyDescent="0.25">
      <c r="A927" s="7"/>
      <c r="E927" s="7"/>
      <c r="F927" s="7"/>
    </row>
    <row r="928" spans="1:6" x14ac:dyDescent="0.25">
      <c r="A928" s="7"/>
      <c r="E928" s="7"/>
      <c r="F928" s="7"/>
    </row>
    <row r="929" spans="1:6" x14ac:dyDescent="0.25">
      <c r="A929" s="7"/>
      <c r="E929" s="7"/>
      <c r="F929" s="7"/>
    </row>
    <row r="930" spans="1:6" x14ac:dyDescent="0.25">
      <c r="A930" s="7"/>
      <c r="E930" s="7"/>
      <c r="F930" s="7"/>
    </row>
    <row r="931" spans="1:6" x14ac:dyDescent="0.25">
      <c r="A931" s="7"/>
      <c r="E931" s="7"/>
      <c r="F931" s="7"/>
    </row>
    <row r="932" spans="1:6" x14ac:dyDescent="0.25">
      <c r="A932" s="7"/>
      <c r="E932" s="7"/>
      <c r="F932" s="7"/>
    </row>
    <row r="933" spans="1:6" x14ac:dyDescent="0.25">
      <c r="A933" s="7"/>
      <c r="E933" s="7"/>
      <c r="F933" s="7"/>
    </row>
    <row r="934" spans="1:6" x14ac:dyDescent="0.25">
      <c r="A934" s="7"/>
      <c r="E934" s="7"/>
      <c r="F934" s="7"/>
    </row>
    <row r="935" spans="1:6" x14ac:dyDescent="0.25">
      <c r="A935" s="7"/>
      <c r="E935" s="7"/>
      <c r="F935" s="7"/>
    </row>
    <row r="936" spans="1:6" x14ac:dyDescent="0.25">
      <c r="A936" s="7"/>
      <c r="E936" s="7"/>
      <c r="F936" s="7"/>
    </row>
    <row r="937" spans="1:6" x14ac:dyDescent="0.25">
      <c r="A937" s="7"/>
      <c r="E937" s="7"/>
      <c r="F937" s="7"/>
    </row>
    <row r="938" spans="1:6" x14ac:dyDescent="0.25">
      <c r="A938" s="7"/>
      <c r="E938" s="7"/>
      <c r="F938" s="7"/>
    </row>
    <row r="939" spans="1:6" x14ac:dyDescent="0.25">
      <c r="A939" s="7"/>
      <c r="E939" s="7"/>
      <c r="F939" s="7"/>
    </row>
    <row r="940" spans="1:6" x14ac:dyDescent="0.25">
      <c r="A940" s="7"/>
      <c r="E940" s="7"/>
      <c r="F940" s="7"/>
    </row>
    <row r="941" spans="1:6" x14ac:dyDescent="0.25">
      <c r="A941" s="7"/>
      <c r="E941" s="7"/>
      <c r="F941" s="7"/>
    </row>
    <row r="942" spans="1:6" x14ac:dyDescent="0.25">
      <c r="A942" s="7"/>
      <c r="E942" s="7"/>
      <c r="F942" s="7"/>
    </row>
    <row r="943" spans="1:6" x14ac:dyDescent="0.25">
      <c r="A943" s="7"/>
      <c r="E943" s="7"/>
      <c r="F943" s="7"/>
    </row>
    <row r="944" spans="1:6" x14ac:dyDescent="0.25">
      <c r="A944" s="7"/>
      <c r="E944" s="7"/>
      <c r="F944" s="7"/>
    </row>
    <row r="945" spans="1:6" x14ac:dyDescent="0.25">
      <c r="A945" s="7"/>
      <c r="E945" s="7"/>
      <c r="F945" s="7"/>
    </row>
    <row r="946" spans="1:6" x14ac:dyDescent="0.25">
      <c r="A946" s="7"/>
      <c r="E946" s="7"/>
      <c r="F946" s="7"/>
    </row>
    <row r="947" spans="1:6" x14ac:dyDescent="0.25">
      <c r="A947" s="7"/>
      <c r="E947" s="7"/>
      <c r="F947" s="7"/>
    </row>
    <row r="948" spans="1:6" x14ac:dyDescent="0.25">
      <c r="A948" s="7"/>
      <c r="E948" s="7"/>
      <c r="F948" s="7"/>
    </row>
    <row r="949" spans="1:6" x14ac:dyDescent="0.25">
      <c r="A949" s="7"/>
      <c r="E949" s="7"/>
      <c r="F949" s="7"/>
    </row>
    <row r="950" spans="1:6" x14ac:dyDescent="0.25">
      <c r="A950" s="7"/>
      <c r="E950" s="7"/>
      <c r="F950" s="7"/>
    </row>
    <row r="951" spans="1:6" x14ac:dyDescent="0.25">
      <c r="A951" s="7"/>
      <c r="E951" s="7"/>
      <c r="F951" s="7"/>
    </row>
    <row r="952" spans="1:6" x14ac:dyDescent="0.25">
      <c r="A952" s="7"/>
      <c r="E952" s="7"/>
      <c r="F952" s="7"/>
    </row>
    <row r="953" spans="1:6" x14ac:dyDescent="0.25">
      <c r="A953" s="7"/>
      <c r="E953" s="7"/>
      <c r="F953" s="7"/>
    </row>
    <row r="954" spans="1:6" x14ac:dyDescent="0.25">
      <c r="A954" s="7"/>
      <c r="E954" s="7"/>
      <c r="F954" s="7"/>
    </row>
    <row r="955" spans="1:6" x14ac:dyDescent="0.25">
      <c r="A955" s="7"/>
      <c r="E955" s="7"/>
      <c r="F955" s="7"/>
    </row>
    <row r="956" spans="1:6" x14ac:dyDescent="0.25">
      <c r="A956" s="7"/>
      <c r="E956" s="7"/>
      <c r="F956" s="7"/>
    </row>
    <row r="957" spans="1:6" x14ac:dyDescent="0.25">
      <c r="A957" s="7"/>
      <c r="E957" s="7"/>
      <c r="F957" s="7"/>
    </row>
    <row r="958" spans="1:6" x14ac:dyDescent="0.25">
      <c r="A958" s="7"/>
      <c r="E958" s="7"/>
      <c r="F958" s="7"/>
    </row>
    <row r="959" spans="1:6" x14ac:dyDescent="0.25">
      <c r="A959" s="7"/>
      <c r="E959" s="7"/>
      <c r="F959" s="7"/>
    </row>
    <row r="960" spans="1:6" x14ac:dyDescent="0.25">
      <c r="A960" s="7"/>
      <c r="E960" s="7"/>
      <c r="F960" s="7"/>
    </row>
    <row r="961" spans="1:6" x14ac:dyDescent="0.25">
      <c r="A961" s="7"/>
      <c r="E961" s="7"/>
      <c r="F961" s="7"/>
    </row>
    <row r="962" spans="1:6" x14ac:dyDescent="0.25">
      <c r="A962" s="7"/>
      <c r="E962" s="7"/>
      <c r="F962" s="7"/>
    </row>
    <row r="963" spans="1:6" x14ac:dyDescent="0.25">
      <c r="A963" s="7"/>
      <c r="E963" s="7"/>
      <c r="F963" s="7"/>
    </row>
    <row r="964" spans="1:6" x14ac:dyDescent="0.25">
      <c r="A964" s="7"/>
      <c r="E964" s="7"/>
      <c r="F964" s="7"/>
    </row>
    <row r="965" spans="1:6" x14ac:dyDescent="0.25">
      <c r="A965" s="7"/>
      <c r="E965" s="7"/>
      <c r="F965" s="7"/>
    </row>
    <row r="966" spans="1:6" x14ac:dyDescent="0.25">
      <c r="A966" s="7"/>
      <c r="E966" s="7"/>
      <c r="F966" s="7"/>
    </row>
    <row r="967" spans="1:6" x14ac:dyDescent="0.25">
      <c r="A967" s="7"/>
      <c r="E967" s="7"/>
      <c r="F967" s="7"/>
    </row>
    <row r="968" spans="1:6" x14ac:dyDescent="0.25">
      <c r="A968" s="7"/>
      <c r="E968" s="7"/>
      <c r="F968" s="7"/>
    </row>
    <row r="969" spans="1:6" x14ac:dyDescent="0.25">
      <c r="A969" s="7"/>
      <c r="E969" s="7"/>
      <c r="F969" s="7"/>
    </row>
    <row r="970" spans="1:6" x14ac:dyDescent="0.25">
      <c r="A970" s="7"/>
      <c r="E970" s="7"/>
      <c r="F970" s="7"/>
    </row>
    <row r="971" spans="1:6" x14ac:dyDescent="0.25">
      <c r="A971" s="7"/>
      <c r="E971" s="7"/>
      <c r="F971" s="7"/>
    </row>
    <row r="972" spans="1:6" x14ac:dyDescent="0.25">
      <c r="A972" s="7"/>
      <c r="E972" s="7"/>
      <c r="F972" s="7"/>
    </row>
    <row r="973" spans="1:6" x14ac:dyDescent="0.25">
      <c r="A973" s="7"/>
      <c r="E973" s="7"/>
      <c r="F973" s="7"/>
    </row>
    <row r="974" spans="1:6" x14ac:dyDescent="0.25">
      <c r="A974" s="7"/>
      <c r="E974" s="7"/>
      <c r="F974" s="7"/>
    </row>
    <row r="975" spans="1:6" x14ac:dyDescent="0.25">
      <c r="A975" s="7"/>
      <c r="E975" s="7"/>
      <c r="F975" s="7"/>
    </row>
    <row r="976" spans="1:6" x14ac:dyDescent="0.25">
      <c r="A976" s="7"/>
      <c r="E976" s="7"/>
      <c r="F976" s="7"/>
    </row>
    <row r="977" spans="1:6" x14ac:dyDescent="0.25">
      <c r="A977" s="7"/>
      <c r="E977" s="7"/>
      <c r="F977" s="7"/>
    </row>
    <row r="978" spans="1:6" x14ac:dyDescent="0.25">
      <c r="A978" s="7"/>
      <c r="E978" s="7"/>
      <c r="F978" s="7"/>
    </row>
    <row r="979" spans="1:6" x14ac:dyDescent="0.25">
      <c r="A979" s="7"/>
      <c r="E979" s="7"/>
      <c r="F979" s="7"/>
    </row>
    <row r="980" spans="1:6" x14ac:dyDescent="0.25">
      <c r="A980" s="7"/>
      <c r="E980" s="7"/>
      <c r="F980" s="7"/>
    </row>
    <row r="981" spans="1:6" x14ac:dyDescent="0.25">
      <c r="A981" s="7"/>
      <c r="E981" s="7"/>
      <c r="F981" s="7"/>
    </row>
    <row r="982" spans="1:6" x14ac:dyDescent="0.25">
      <c r="A982" s="7"/>
      <c r="E982" s="7"/>
      <c r="F982" s="7"/>
    </row>
    <row r="983" spans="1:6" x14ac:dyDescent="0.25">
      <c r="A983" s="7"/>
      <c r="E983" s="7"/>
      <c r="F983" s="7"/>
    </row>
    <row r="984" spans="1:6" x14ac:dyDescent="0.25">
      <c r="A984" s="7"/>
      <c r="E984" s="7"/>
      <c r="F984" s="7"/>
    </row>
    <row r="985" spans="1:6" x14ac:dyDescent="0.25">
      <c r="A985" s="7"/>
      <c r="E985" s="7"/>
      <c r="F985" s="7"/>
    </row>
    <row r="986" spans="1:6" x14ac:dyDescent="0.25">
      <c r="A986" s="7"/>
      <c r="E986" s="7"/>
      <c r="F986" s="7"/>
    </row>
    <row r="987" spans="1:6" x14ac:dyDescent="0.25">
      <c r="A987" s="7"/>
      <c r="E987" s="7"/>
      <c r="F987" s="7"/>
    </row>
    <row r="988" spans="1:6" x14ac:dyDescent="0.25">
      <c r="A988" s="7"/>
      <c r="E988" s="7"/>
      <c r="F988" s="7"/>
    </row>
    <row r="989" spans="1:6" x14ac:dyDescent="0.25">
      <c r="A989" s="7"/>
      <c r="E989" s="7"/>
      <c r="F989" s="7"/>
    </row>
    <row r="990" spans="1:6" x14ac:dyDescent="0.25">
      <c r="A990" s="7"/>
      <c r="E990" s="7"/>
      <c r="F990" s="7"/>
    </row>
    <row r="991" spans="1:6" x14ac:dyDescent="0.25">
      <c r="A991" s="7"/>
      <c r="E991" s="7"/>
      <c r="F991" s="7"/>
    </row>
    <row r="992" spans="1:6" x14ac:dyDescent="0.25">
      <c r="A992" s="7"/>
      <c r="E992" s="7"/>
      <c r="F992" s="7"/>
    </row>
    <row r="993" spans="1:6" x14ac:dyDescent="0.25">
      <c r="A993" s="7"/>
      <c r="E993" s="7"/>
      <c r="F993" s="7"/>
    </row>
    <row r="994" spans="1:6" x14ac:dyDescent="0.25">
      <c r="A994" s="7"/>
      <c r="E994" s="7"/>
      <c r="F994" s="7"/>
    </row>
    <row r="995" spans="1:6" x14ac:dyDescent="0.25">
      <c r="A995" s="7"/>
      <c r="E995" s="7"/>
      <c r="F995" s="7"/>
    </row>
    <row r="996" spans="1:6" x14ac:dyDescent="0.25">
      <c r="A996" s="7"/>
      <c r="E996" s="7"/>
      <c r="F996" s="7"/>
    </row>
    <row r="997" spans="1:6" x14ac:dyDescent="0.25">
      <c r="A997" s="7"/>
      <c r="E997" s="7"/>
      <c r="F997" s="7"/>
    </row>
    <row r="998" spans="1:6" x14ac:dyDescent="0.25">
      <c r="A998" s="7"/>
      <c r="E998" s="7"/>
      <c r="F998" s="7"/>
    </row>
    <row r="999" spans="1:6" x14ac:dyDescent="0.25">
      <c r="A999" s="7"/>
      <c r="E999" s="7"/>
      <c r="F999" s="7"/>
    </row>
    <row r="1000" spans="1:6" x14ac:dyDescent="0.25">
      <c r="A1000" s="7"/>
      <c r="E1000" s="7"/>
      <c r="F1000" s="7"/>
    </row>
    <row r="1001" spans="1:6" x14ac:dyDescent="0.25">
      <c r="A1001" s="7"/>
      <c r="E1001" s="7"/>
      <c r="F1001" s="7"/>
    </row>
    <row r="1002" spans="1:6" x14ac:dyDescent="0.25">
      <c r="A1002" s="7"/>
      <c r="E1002" s="7"/>
      <c r="F1002" s="7"/>
    </row>
  </sheetData>
  <mergeCells count="3">
    <mergeCell ref="A1:I1"/>
    <mergeCell ref="A2:I2"/>
    <mergeCell ref="B3:C3"/>
  </mergeCells>
  <printOptions horizontalCentered="1" verticalCentered="1" gridLines="1"/>
  <pageMargins left="0.25" right="0.25" top="0.75" bottom="0.75" header="0" footer="0"/>
  <pageSetup fitToHeight="0" pageOrder="overThenDown" orientation="landscape" cellComments="atEnd"/>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pageSetUpPr fitToPage="1"/>
  </sheetPr>
  <dimension ref="A1:W1007"/>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46.33203125" customWidth="1"/>
    <col min="2" max="2" width="7.33203125" customWidth="1"/>
    <col min="3" max="4" width="7.88671875" customWidth="1"/>
    <col min="5" max="5" width="22.21875" customWidth="1"/>
    <col min="6" max="6" width="14.6640625" customWidth="1"/>
  </cols>
  <sheetData>
    <row r="1" spans="1:23" x14ac:dyDescent="0.25">
      <c r="A1" s="141" t="s">
        <v>432</v>
      </c>
      <c r="B1" s="142"/>
      <c r="C1" s="142"/>
      <c r="D1" s="142"/>
      <c r="E1" s="142"/>
      <c r="F1" s="142"/>
      <c r="G1" s="142"/>
      <c r="H1" s="142"/>
      <c r="I1" s="143"/>
    </row>
    <row r="2" spans="1:23" x14ac:dyDescent="0.25">
      <c r="A2" s="144" t="s">
        <v>433</v>
      </c>
      <c r="B2" s="142"/>
      <c r="C2" s="142"/>
      <c r="D2" s="142"/>
      <c r="E2" s="142"/>
      <c r="F2" s="142"/>
      <c r="G2" s="142"/>
      <c r="H2" s="142"/>
      <c r="I2" s="143"/>
    </row>
    <row r="3" spans="1:23" x14ac:dyDescent="0.25">
      <c r="A3" s="43" t="s">
        <v>374</v>
      </c>
      <c r="B3" s="145" t="s">
        <v>408</v>
      </c>
      <c r="C3" s="143"/>
      <c r="D3" s="49" t="s">
        <v>370</v>
      </c>
      <c r="E3" s="50" t="s">
        <v>371</v>
      </c>
      <c r="F3" s="51" t="s">
        <v>372</v>
      </c>
      <c r="G3" s="52" t="s">
        <v>373</v>
      </c>
      <c r="H3" s="53" t="s">
        <v>409</v>
      </c>
      <c r="I3" s="53" t="s">
        <v>410</v>
      </c>
      <c r="J3" s="7"/>
      <c r="K3" s="7"/>
      <c r="L3" s="7"/>
      <c r="M3" s="7"/>
      <c r="N3" s="7"/>
      <c r="O3" s="7"/>
      <c r="P3" s="7"/>
      <c r="Q3" s="7"/>
      <c r="R3" s="7"/>
      <c r="S3" s="7"/>
      <c r="T3" s="7"/>
      <c r="U3" s="7"/>
      <c r="V3" s="7"/>
      <c r="W3" s="7"/>
    </row>
    <row r="4" spans="1:23" x14ac:dyDescent="0.25">
      <c r="A4" s="41" t="s">
        <v>411</v>
      </c>
      <c r="B4" s="54">
        <f>SUM(B5:B12)/4</f>
        <v>1</v>
      </c>
      <c r="C4" s="55">
        <f>D4*B4</f>
        <v>0.7</v>
      </c>
      <c r="D4" s="56">
        <v>0.7</v>
      </c>
      <c r="E4" s="57"/>
      <c r="F4" s="57"/>
      <c r="G4" s="58"/>
      <c r="H4" s="58"/>
      <c r="I4" s="58"/>
    </row>
    <row r="5" spans="1:23" x14ac:dyDescent="0.25">
      <c r="A5" s="146" t="s">
        <v>434</v>
      </c>
      <c r="B5" s="148">
        <v>1</v>
      </c>
      <c r="C5" s="149"/>
      <c r="D5" s="149"/>
      <c r="E5" s="70" t="s">
        <v>435</v>
      </c>
      <c r="F5" s="70"/>
      <c r="G5" s="71">
        <v>0.8</v>
      </c>
      <c r="H5" s="71">
        <v>0.8</v>
      </c>
      <c r="I5" s="71">
        <v>1</v>
      </c>
      <c r="J5" s="72"/>
      <c r="K5" s="72"/>
      <c r="L5" s="72"/>
      <c r="M5" s="72"/>
      <c r="N5" s="72"/>
      <c r="O5" s="72"/>
      <c r="P5" s="72"/>
      <c r="Q5" s="72"/>
      <c r="R5" s="72"/>
      <c r="S5" s="72"/>
      <c r="T5" s="72"/>
      <c r="U5" s="72"/>
      <c r="V5" s="72"/>
      <c r="W5" s="72"/>
    </row>
    <row r="6" spans="1:23" x14ac:dyDescent="0.25">
      <c r="A6" s="150"/>
      <c r="B6" s="150"/>
      <c r="C6" s="150"/>
      <c r="D6" s="150"/>
      <c r="E6" s="70" t="s">
        <v>436</v>
      </c>
      <c r="F6" s="73"/>
      <c r="G6" s="71"/>
      <c r="H6" s="71"/>
      <c r="I6" s="71"/>
      <c r="J6" s="72"/>
      <c r="K6" s="72"/>
      <c r="L6" s="72"/>
      <c r="M6" s="72"/>
      <c r="N6" s="72"/>
      <c r="O6" s="72"/>
      <c r="P6" s="72"/>
      <c r="Q6" s="72"/>
      <c r="R6" s="72"/>
      <c r="S6" s="72"/>
      <c r="T6" s="72"/>
      <c r="U6" s="72"/>
      <c r="V6" s="72"/>
      <c r="W6" s="72"/>
    </row>
    <row r="7" spans="1:23" x14ac:dyDescent="0.25">
      <c r="A7" s="147"/>
      <c r="B7" s="147"/>
      <c r="C7" s="147"/>
      <c r="D7" s="147"/>
      <c r="E7" s="70" t="s">
        <v>437</v>
      </c>
      <c r="F7" s="73"/>
      <c r="G7" s="71"/>
      <c r="H7" s="71"/>
      <c r="I7" s="71"/>
      <c r="J7" s="72"/>
      <c r="K7" s="72"/>
      <c r="L7" s="72"/>
      <c r="M7" s="72"/>
      <c r="N7" s="72"/>
      <c r="O7" s="72"/>
      <c r="P7" s="72"/>
      <c r="Q7" s="72"/>
      <c r="R7" s="72"/>
      <c r="S7" s="72"/>
      <c r="T7" s="72"/>
      <c r="U7" s="72"/>
      <c r="V7" s="72"/>
      <c r="W7" s="72"/>
    </row>
    <row r="8" spans="1:23" x14ac:dyDescent="0.25">
      <c r="A8" s="146" t="s">
        <v>438</v>
      </c>
      <c r="B8" s="148">
        <v>1</v>
      </c>
      <c r="C8" s="149"/>
      <c r="D8" s="149"/>
      <c r="E8" s="70" t="s">
        <v>439</v>
      </c>
      <c r="F8" s="70"/>
      <c r="G8" s="71">
        <v>0.8</v>
      </c>
      <c r="H8" s="71">
        <v>0.8</v>
      </c>
      <c r="I8" s="71">
        <v>1</v>
      </c>
      <c r="J8" s="72"/>
      <c r="K8" s="72"/>
      <c r="L8" s="72"/>
      <c r="M8" s="72"/>
      <c r="N8" s="72"/>
      <c r="O8" s="72"/>
      <c r="P8" s="72"/>
      <c r="Q8" s="72"/>
      <c r="R8" s="72"/>
      <c r="S8" s="72"/>
      <c r="T8" s="72"/>
      <c r="U8" s="72"/>
      <c r="V8" s="72"/>
      <c r="W8" s="72"/>
    </row>
    <row r="9" spans="1:23" x14ac:dyDescent="0.25">
      <c r="A9" s="147"/>
      <c r="B9" s="147"/>
      <c r="C9" s="147"/>
      <c r="D9" s="147"/>
      <c r="E9" s="70" t="s">
        <v>440</v>
      </c>
      <c r="F9" s="73"/>
      <c r="G9" s="71"/>
      <c r="H9" s="71"/>
      <c r="I9" s="71"/>
      <c r="J9" s="72"/>
      <c r="K9" s="72"/>
      <c r="L9" s="72"/>
      <c r="M9" s="72"/>
      <c r="N9" s="72"/>
      <c r="O9" s="72"/>
      <c r="P9" s="72"/>
      <c r="Q9" s="72"/>
      <c r="R9" s="72"/>
      <c r="S9" s="72"/>
      <c r="T9" s="72"/>
      <c r="U9" s="72"/>
      <c r="V9" s="72"/>
      <c r="W9" s="72"/>
    </row>
    <row r="10" spans="1:23" x14ac:dyDescent="0.25">
      <c r="A10" s="146" t="s">
        <v>441</v>
      </c>
      <c r="B10" s="148">
        <v>1</v>
      </c>
      <c r="C10" s="149"/>
      <c r="D10" s="149"/>
      <c r="E10" s="70" t="s">
        <v>442</v>
      </c>
      <c r="F10" s="70" t="s">
        <v>443</v>
      </c>
      <c r="G10" s="71">
        <v>0.8</v>
      </c>
      <c r="H10" s="71">
        <v>0.8</v>
      </c>
      <c r="I10" s="71">
        <v>1</v>
      </c>
      <c r="J10" s="72"/>
      <c r="K10" s="72"/>
      <c r="L10" s="72"/>
      <c r="M10" s="72"/>
      <c r="N10" s="72"/>
      <c r="O10" s="72"/>
      <c r="P10" s="72"/>
      <c r="Q10" s="72"/>
      <c r="R10" s="72"/>
      <c r="S10" s="72"/>
      <c r="T10" s="72"/>
      <c r="U10" s="72"/>
      <c r="V10" s="72"/>
      <c r="W10" s="72"/>
    </row>
    <row r="11" spans="1:23" x14ac:dyDescent="0.25">
      <c r="A11" s="147"/>
      <c r="B11" s="147"/>
      <c r="C11" s="147"/>
      <c r="D11" s="147"/>
      <c r="E11" s="70" t="s">
        <v>444</v>
      </c>
      <c r="F11" s="70"/>
      <c r="G11" s="71"/>
      <c r="H11" s="71"/>
      <c r="I11" s="71"/>
      <c r="J11" s="72"/>
      <c r="K11" s="72"/>
      <c r="L11" s="72"/>
      <c r="M11" s="72"/>
      <c r="N11" s="72"/>
      <c r="O11" s="72"/>
      <c r="P11" s="72"/>
      <c r="Q11" s="72"/>
      <c r="R11" s="72"/>
      <c r="S11" s="72"/>
      <c r="T11" s="72"/>
      <c r="U11" s="72"/>
      <c r="V11" s="72"/>
      <c r="W11" s="72"/>
    </row>
    <row r="12" spans="1:23" x14ac:dyDescent="0.25">
      <c r="A12" s="70" t="s">
        <v>445</v>
      </c>
      <c r="B12" s="71">
        <v>1</v>
      </c>
      <c r="C12" s="74"/>
      <c r="D12" s="74"/>
      <c r="E12" s="70" t="s">
        <v>446</v>
      </c>
      <c r="F12" s="70"/>
      <c r="G12" s="71">
        <v>0.8</v>
      </c>
      <c r="H12" s="71">
        <v>0.8</v>
      </c>
      <c r="I12" s="71">
        <v>1</v>
      </c>
      <c r="J12" s="72"/>
      <c r="K12" s="72"/>
      <c r="L12" s="72"/>
      <c r="M12" s="72"/>
      <c r="N12" s="72"/>
      <c r="O12" s="72"/>
      <c r="P12" s="72"/>
      <c r="Q12" s="72"/>
      <c r="R12" s="72"/>
      <c r="S12" s="72"/>
      <c r="T12" s="72"/>
      <c r="U12" s="72"/>
      <c r="V12" s="72"/>
      <c r="W12" s="72"/>
    </row>
    <row r="13" spans="1:23" x14ac:dyDescent="0.25">
      <c r="A13" s="66"/>
      <c r="B13" s="75"/>
      <c r="C13" s="74"/>
      <c r="D13" s="76"/>
      <c r="E13" s="70" t="s">
        <v>447</v>
      </c>
      <c r="F13" s="70"/>
      <c r="G13" s="74"/>
      <c r="H13" s="74"/>
      <c r="I13" s="74"/>
      <c r="J13" s="72"/>
      <c r="K13" s="72"/>
      <c r="L13" s="72"/>
      <c r="M13" s="72"/>
      <c r="N13" s="72"/>
      <c r="O13" s="72"/>
      <c r="P13" s="72"/>
      <c r="Q13" s="72"/>
      <c r="R13" s="72"/>
      <c r="S13" s="72"/>
      <c r="T13" s="72"/>
      <c r="U13" s="72"/>
      <c r="V13" s="72"/>
      <c r="W13" s="72"/>
    </row>
    <row r="14" spans="1:23" x14ac:dyDescent="0.25">
      <c r="A14" s="41" t="s">
        <v>415</v>
      </c>
      <c r="B14" s="54">
        <f>SUM(B15:B16)/2</f>
        <v>1</v>
      </c>
      <c r="C14" s="55">
        <f>D14*B14</f>
        <v>0.2</v>
      </c>
      <c r="D14" s="56">
        <v>0.2</v>
      </c>
      <c r="E14" s="57"/>
      <c r="F14" s="57"/>
      <c r="G14" s="58"/>
      <c r="H14" s="58"/>
      <c r="I14" s="58"/>
    </row>
    <row r="15" spans="1:23" x14ac:dyDescent="0.25">
      <c r="A15" s="70" t="s">
        <v>448</v>
      </c>
      <c r="B15" s="71">
        <v>1</v>
      </c>
      <c r="C15" s="74"/>
      <c r="D15" s="74"/>
      <c r="E15" s="70" t="s">
        <v>449</v>
      </c>
      <c r="F15" s="69" t="s">
        <v>450</v>
      </c>
      <c r="G15" s="71">
        <v>1</v>
      </c>
      <c r="H15" s="71"/>
      <c r="I15" s="71"/>
      <c r="J15" s="72"/>
      <c r="K15" s="72"/>
      <c r="L15" s="72"/>
      <c r="M15" s="72"/>
      <c r="N15" s="72"/>
      <c r="O15" s="72"/>
      <c r="P15" s="72"/>
      <c r="Q15" s="72"/>
      <c r="R15" s="72"/>
      <c r="S15" s="72"/>
      <c r="T15" s="72"/>
      <c r="U15" s="72"/>
      <c r="V15" s="72"/>
      <c r="W15" s="72"/>
    </row>
    <row r="16" spans="1:23" x14ac:dyDescent="0.25">
      <c r="A16" s="70" t="s">
        <v>451</v>
      </c>
      <c r="B16" s="71">
        <v>1</v>
      </c>
      <c r="C16" s="74"/>
      <c r="D16" s="74"/>
      <c r="E16" s="70" t="s">
        <v>452</v>
      </c>
      <c r="F16" s="69" t="s">
        <v>453</v>
      </c>
      <c r="G16" s="71">
        <v>1</v>
      </c>
      <c r="H16" s="71"/>
      <c r="I16" s="71"/>
      <c r="J16" s="72"/>
      <c r="K16" s="72"/>
      <c r="L16" s="72"/>
      <c r="M16" s="72"/>
      <c r="N16" s="72"/>
      <c r="O16" s="72"/>
      <c r="P16" s="72"/>
      <c r="Q16" s="72"/>
      <c r="R16" s="72"/>
      <c r="S16" s="72"/>
      <c r="T16" s="72"/>
      <c r="U16" s="72"/>
      <c r="V16" s="72"/>
      <c r="W16" s="72"/>
    </row>
    <row r="17" spans="1:23" x14ac:dyDescent="0.25">
      <c r="A17" s="41" t="s">
        <v>385</v>
      </c>
      <c r="B17" s="54">
        <v>1</v>
      </c>
      <c r="C17" s="55">
        <f>D17*B17</f>
        <v>0.1</v>
      </c>
      <c r="D17" s="56">
        <v>0.1</v>
      </c>
      <c r="E17" s="57"/>
      <c r="F17" s="57"/>
      <c r="G17" s="58"/>
      <c r="H17" s="58"/>
      <c r="I17" s="58"/>
    </row>
    <row r="18" spans="1:23" x14ac:dyDescent="0.25">
      <c r="A18" s="70" t="s">
        <v>386</v>
      </c>
      <c r="B18" s="71">
        <v>1</v>
      </c>
      <c r="C18" s="74"/>
      <c r="D18" s="77"/>
      <c r="E18" s="70" t="s">
        <v>454</v>
      </c>
      <c r="F18" s="70" t="s">
        <v>418</v>
      </c>
      <c r="G18" s="71">
        <v>0.8</v>
      </c>
      <c r="H18" s="71">
        <v>0.8</v>
      </c>
      <c r="I18" s="71">
        <v>1</v>
      </c>
      <c r="J18" s="72"/>
      <c r="K18" s="72"/>
      <c r="L18" s="72"/>
      <c r="M18" s="72"/>
      <c r="N18" s="72"/>
      <c r="O18" s="72"/>
      <c r="P18" s="72"/>
      <c r="Q18" s="72"/>
      <c r="R18" s="72"/>
      <c r="S18" s="72"/>
      <c r="T18" s="72"/>
      <c r="U18" s="72"/>
      <c r="V18" s="72"/>
      <c r="W18" s="72"/>
    </row>
    <row r="19" spans="1:23" x14ac:dyDescent="0.25">
      <c r="A19" s="70" t="s">
        <v>387</v>
      </c>
      <c r="B19" s="71">
        <v>1</v>
      </c>
      <c r="C19" s="77"/>
      <c r="D19" s="77"/>
      <c r="E19" s="70"/>
      <c r="F19" s="70" t="s">
        <v>419</v>
      </c>
      <c r="G19" s="71">
        <v>0.8</v>
      </c>
      <c r="H19" s="71">
        <v>0.8</v>
      </c>
      <c r="I19" s="71">
        <v>1</v>
      </c>
      <c r="J19" s="72"/>
      <c r="K19" s="72"/>
      <c r="L19" s="72"/>
      <c r="M19" s="72"/>
      <c r="N19" s="72"/>
      <c r="O19" s="72"/>
      <c r="P19" s="72"/>
      <c r="Q19" s="72"/>
      <c r="R19" s="72"/>
      <c r="S19" s="72"/>
      <c r="T19" s="72"/>
      <c r="U19" s="72"/>
      <c r="V19" s="72"/>
      <c r="W19" s="72"/>
    </row>
    <row r="20" spans="1:23" x14ac:dyDescent="0.25">
      <c r="A20" s="42"/>
      <c r="B20" s="60"/>
      <c r="C20" s="64">
        <f t="shared" ref="C20:D20" si="0">SUM(C4+C14+C17)</f>
        <v>0.99999999999999989</v>
      </c>
      <c r="D20" s="64">
        <f t="shared" si="0"/>
        <v>0.99999999999999989</v>
      </c>
      <c r="E20" s="42"/>
      <c r="F20" s="42"/>
      <c r="G20" s="60"/>
      <c r="H20" s="60"/>
      <c r="I20" s="60"/>
    </row>
    <row r="21" spans="1:23" x14ac:dyDescent="0.25">
      <c r="A21" s="41" t="s">
        <v>455</v>
      </c>
      <c r="B21" s="41"/>
      <c r="C21" s="78"/>
      <c r="D21" s="78">
        <f>C21</f>
        <v>0</v>
      </c>
      <c r="E21" s="41"/>
      <c r="F21" s="41"/>
      <c r="G21" s="41"/>
      <c r="H21" s="41"/>
      <c r="I21" s="41"/>
    </row>
    <row r="22" spans="1:23" x14ac:dyDescent="0.25">
      <c r="A22" s="66" t="s">
        <v>456</v>
      </c>
      <c r="B22" s="67" t="s">
        <v>423</v>
      </c>
      <c r="C22" s="71">
        <v>1</v>
      </c>
      <c r="D22" s="64"/>
      <c r="E22" s="68" t="s">
        <v>457</v>
      </c>
      <c r="F22" s="69">
        <v>10</v>
      </c>
      <c r="G22" s="42"/>
      <c r="H22" s="60"/>
      <c r="I22" s="60"/>
    </row>
    <row r="23" spans="1:23" x14ac:dyDescent="0.25">
      <c r="A23" s="66" t="s">
        <v>458</v>
      </c>
      <c r="B23" s="67" t="s">
        <v>423</v>
      </c>
      <c r="C23" s="71">
        <v>1</v>
      </c>
      <c r="D23" s="64"/>
      <c r="E23" s="68" t="s">
        <v>459</v>
      </c>
      <c r="F23" s="69">
        <v>33</v>
      </c>
      <c r="G23" s="69"/>
      <c r="H23" s="60"/>
      <c r="I23" s="60"/>
    </row>
    <row r="24" spans="1:23" x14ac:dyDescent="0.25">
      <c r="A24" s="66" t="s">
        <v>460</v>
      </c>
      <c r="B24" s="67" t="s">
        <v>423</v>
      </c>
      <c r="C24" s="71">
        <v>1</v>
      </c>
      <c r="D24" s="64"/>
      <c r="E24" s="68" t="s">
        <v>461</v>
      </c>
      <c r="F24" s="69" t="s">
        <v>462</v>
      </c>
      <c r="G24" s="42"/>
      <c r="H24" s="60"/>
      <c r="I24" s="60"/>
    </row>
    <row r="25" spans="1:23" x14ac:dyDescent="0.25">
      <c r="A25" s="66" t="s">
        <v>463</v>
      </c>
      <c r="B25" s="67" t="s">
        <v>423</v>
      </c>
      <c r="C25" s="71">
        <v>1</v>
      </c>
      <c r="D25" s="64"/>
      <c r="E25" s="68" t="s">
        <v>464</v>
      </c>
      <c r="F25" s="69" t="s">
        <v>462</v>
      </c>
      <c r="G25" s="42"/>
      <c r="H25" s="60"/>
      <c r="I25" s="60"/>
    </row>
    <row r="26" spans="1:23" x14ac:dyDescent="0.25">
      <c r="A26" s="66" t="s">
        <v>465</v>
      </c>
      <c r="B26" s="67" t="s">
        <v>423</v>
      </c>
      <c r="C26" s="71">
        <v>1</v>
      </c>
      <c r="D26" s="64"/>
      <c r="E26" s="68" t="s">
        <v>466</v>
      </c>
      <c r="F26" s="69">
        <v>6</v>
      </c>
      <c r="G26" s="42"/>
      <c r="H26" s="60"/>
      <c r="I26" s="60"/>
    </row>
    <row r="27" spans="1:23" x14ac:dyDescent="0.25">
      <c r="A27" s="42"/>
      <c r="B27" s="60"/>
      <c r="C27" s="60"/>
      <c r="D27" s="60"/>
      <c r="E27" s="42"/>
      <c r="F27" s="42"/>
      <c r="G27" s="60"/>
      <c r="H27" s="60"/>
      <c r="I27" s="60"/>
    </row>
    <row r="28" spans="1:23" x14ac:dyDescent="0.25">
      <c r="A28" s="7"/>
      <c r="E28" s="7"/>
      <c r="F28" s="7"/>
    </row>
    <row r="29" spans="1:23" x14ac:dyDescent="0.25">
      <c r="A29" s="7"/>
      <c r="E29" s="7"/>
      <c r="F29" s="7"/>
    </row>
    <row r="30" spans="1:23" x14ac:dyDescent="0.25">
      <c r="A30" s="7"/>
      <c r="E30" s="7"/>
      <c r="F30" s="7"/>
    </row>
    <row r="31" spans="1:23" x14ac:dyDescent="0.25">
      <c r="A31" s="7"/>
      <c r="E31" s="7"/>
      <c r="F31" s="16"/>
    </row>
    <row r="32" spans="1:23" x14ac:dyDescent="0.25">
      <c r="A32" s="7"/>
      <c r="E32" s="7"/>
      <c r="F32" s="7"/>
    </row>
    <row r="33" spans="1:6" x14ac:dyDescent="0.25">
      <c r="A33" s="7"/>
      <c r="E33" s="7"/>
      <c r="F33" s="7"/>
    </row>
    <row r="34" spans="1:6" x14ac:dyDescent="0.25">
      <c r="A34" s="7"/>
      <c r="E34" s="7"/>
      <c r="F34" s="7"/>
    </row>
    <row r="35" spans="1:6" x14ac:dyDescent="0.25">
      <c r="A35" s="7"/>
      <c r="E35" s="7"/>
      <c r="F35" s="7"/>
    </row>
    <row r="36" spans="1:6" x14ac:dyDescent="0.25">
      <c r="A36" s="7"/>
      <c r="E36" s="7"/>
      <c r="F36" s="7"/>
    </row>
    <row r="37" spans="1:6" x14ac:dyDescent="0.25">
      <c r="A37" s="7"/>
      <c r="E37" s="7"/>
      <c r="F37" s="7"/>
    </row>
    <row r="38" spans="1:6" x14ac:dyDescent="0.25">
      <c r="A38" s="7"/>
      <c r="E38" s="7"/>
      <c r="F38" s="7"/>
    </row>
    <row r="39" spans="1:6" x14ac:dyDescent="0.25">
      <c r="A39" s="7"/>
      <c r="E39" s="7"/>
      <c r="F39" s="7"/>
    </row>
    <row r="40" spans="1:6" x14ac:dyDescent="0.25">
      <c r="A40" s="7"/>
      <c r="E40" s="7"/>
      <c r="F40" s="7"/>
    </row>
    <row r="41" spans="1:6" x14ac:dyDescent="0.25">
      <c r="A41" s="7"/>
      <c r="E41" s="7"/>
      <c r="F41" s="7"/>
    </row>
    <row r="42" spans="1:6" x14ac:dyDescent="0.25">
      <c r="A42" s="7"/>
      <c r="E42" s="7"/>
      <c r="F42" s="7"/>
    </row>
    <row r="43" spans="1:6" x14ac:dyDescent="0.25">
      <c r="A43" s="7"/>
      <c r="E43" s="7"/>
      <c r="F43" s="7"/>
    </row>
    <row r="44" spans="1:6" x14ac:dyDescent="0.25">
      <c r="A44" s="7"/>
      <c r="E44" s="7"/>
      <c r="F44" s="7"/>
    </row>
    <row r="45" spans="1:6" x14ac:dyDescent="0.25">
      <c r="A45" s="7"/>
      <c r="E45" s="7"/>
      <c r="F45" s="7"/>
    </row>
    <row r="46" spans="1:6" x14ac:dyDescent="0.25">
      <c r="A46" s="7"/>
      <c r="E46" s="7"/>
      <c r="F46" s="7"/>
    </row>
    <row r="47" spans="1:6" x14ac:dyDescent="0.25">
      <c r="A47" s="7"/>
      <c r="E47" s="7"/>
      <c r="F47" s="7"/>
    </row>
    <row r="48" spans="1:6" x14ac:dyDescent="0.25">
      <c r="A48" s="7"/>
      <c r="E48" s="7"/>
      <c r="F48" s="7"/>
    </row>
    <row r="49" spans="1:6" x14ac:dyDescent="0.25">
      <c r="A49" s="7"/>
      <c r="E49" s="7"/>
      <c r="F49" s="7"/>
    </row>
    <row r="50" spans="1:6" x14ac:dyDescent="0.25">
      <c r="A50" s="7"/>
      <c r="E50" s="7"/>
      <c r="F50" s="7"/>
    </row>
    <row r="51" spans="1:6" x14ac:dyDescent="0.25">
      <c r="A51" s="7"/>
      <c r="E51" s="7"/>
      <c r="F51" s="7"/>
    </row>
    <row r="52" spans="1:6" x14ac:dyDescent="0.25">
      <c r="A52" s="7"/>
      <c r="E52" s="7"/>
      <c r="F52" s="7"/>
    </row>
    <row r="53" spans="1:6" x14ac:dyDescent="0.25">
      <c r="A53" s="7"/>
      <c r="E53" s="7"/>
      <c r="F53" s="7"/>
    </row>
    <row r="54" spans="1:6" x14ac:dyDescent="0.25">
      <c r="A54" s="7"/>
      <c r="E54" s="7"/>
      <c r="F54" s="7"/>
    </row>
    <row r="55" spans="1:6" x14ac:dyDescent="0.25">
      <c r="A55" s="7"/>
      <c r="E55" s="7"/>
      <c r="F55" s="7"/>
    </row>
    <row r="56" spans="1:6" x14ac:dyDescent="0.25">
      <c r="A56" s="7"/>
      <c r="E56" s="7"/>
      <c r="F56" s="7"/>
    </row>
    <row r="57" spans="1:6" x14ac:dyDescent="0.25">
      <c r="A57" s="7"/>
      <c r="E57" s="7"/>
      <c r="F57" s="7"/>
    </row>
    <row r="58" spans="1:6" x14ac:dyDescent="0.25">
      <c r="A58" s="7"/>
      <c r="E58" s="7"/>
      <c r="F58" s="7"/>
    </row>
    <row r="59" spans="1:6" x14ac:dyDescent="0.25">
      <c r="A59" s="7"/>
      <c r="E59" s="7"/>
      <c r="F59" s="7"/>
    </row>
    <row r="60" spans="1:6" x14ac:dyDescent="0.25">
      <c r="A60" s="7"/>
      <c r="E60" s="7"/>
      <c r="F60" s="7"/>
    </row>
    <row r="61" spans="1:6" x14ac:dyDescent="0.25">
      <c r="A61" s="7"/>
      <c r="E61" s="7"/>
      <c r="F61" s="7"/>
    </row>
    <row r="62" spans="1:6" x14ac:dyDescent="0.25">
      <c r="A62" s="7"/>
      <c r="E62" s="7"/>
      <c r="F62" s="7"/>
    </row>
    <row r="63" spans="1:6" x14ac:dyDescent="0.25">
      <c r="A63" s="7"/>
      <c r="E63" s="7"/>
      <c r="F63" s="7"/>
    </row>
    <row r="64" spans="1:6" x14ac:dyDescent="0.25">
      <c r="A64" s="7"/>
      <c r="E64" s="7"/>
      <c r="F64" s="7"/>
    </row>
    <row r="65" spans="1:6" x14ac:dyDescent="0.25">
      <c r="A65" s="7"/>
      <c r="E65" s="7"/>
      <c r="F65" s="7"/>
    </row>
    <row r="66" spans="1:6" x14ac:dyDescent="0.25">
      <c r="A66" s="7"/>
      <c r="E66" s="7"/>
      <c r="F66" s="7"/>
    </row>
    <row r="67" spans="1:6" x14ac:dyDescent="0.25">
      <c r="A67" s="7"/>
      <c r="E67" s="7"/>
      <c r="F67" s="7"/>
    </row>
    <row r="68" spans="1:6" x14ac:dyDescent="0.25">
      <c r="A68" s="7"/>
      <c r="E68" s="7"/>
      <c r="F68" s="7"/>
    </row>
    <row r="69" spans="1:6" x14ac:dyDescent="0.25">
      <c r="A69" s="7"/>
      <c r="E69" s="7"/>
      <c r="F69" s="7"/>
    </row>
    <row r="70" spans="1:6" x14ac:dyDescent="0.25">
      <c r="A70" s="7"/>
      <c r="E70" s="7"/>
      <c r="F70" s="7"/>
    </row>
    <row r="71" spans="1:6" x14ac:dyDescent="0.25">
      <c r="A71" s="7"/>
      <c r="E71" s="7"/>
      <c r="F71" s="7"/>
    </row>
    <row r="72" spans="1:6" x14ac:dyDescent="0.25">
      <c r="A72" s="7"/>
      <c r="E72" s="7"/>
      <c r="F72" s="7"/>
    </row>
    <row r="73" spans="1:6" x14ac:dyDescent="0.25">
      <c r="A73" s="7"/>
      <c r="E73" s="7"/>
      <c r="F73" s="7"/>
    </row>
    <row r="74" spans="1:6" x14ac:dyDescent="0.25">
      <c r="A74" s="7"/>
      <c r="E74" s="7"/>
      <c r="F74" s="7"/>
    </row>
    <row r="75" spans="1:6" x14ac:dyDescent="0.25">
      <c r="A75" s="7"/>
      <c r="E75" s="7"/>
      <c r="F75" s="7"/>
    </row>
    <row r="76" spans="1:6" x14ac:dyDescent="0.25">
      <c r="A76" s="7"/>
      <c r="E76" s="7"/>
      <c r="F76" s="7"/>
    </row>
    <row r="77" spans="1:6" x14ac:dyDescent="0.25">
      <c r="A77" s="7"/>
      <c r="E77" s="7"/>
      <c r="F77" s="7"/>
    </row>
    <row r="78" spans="1:6" x14ac:dyDescent="0.25">
      <c r="A78" s="7"/>
      <c r="E78" s="7"/>
      <c r="F78" s="7"/>
    </row>
    <row r="79" spans="1:6" x14ac:dyDescent="0.25">
      <c r="A79" s="7"/>
      <c r="E79" s="7"/>
      <c r="F79" s="7"/>
    </row>
    <row r="80" spans="1:6" x14ac:dyDescent="0.25">
      <c r="A80" s="7"/>
      <c r="E80" s="7"/>
      <c r="F80" s="7"/>
    </row>
    <row r="81" spans="1:6" x14ac:dyDescent="0.25">
      <c r="A81" s="7"/>
      <c r="E81" s="7"/>
      <c r="F81" s="7"/>
    </row>
    <row r="82" spans="1:6" x14ac:dyDescent="0.25">
      <c r="A82" s="7"/>
      <c r="E82" s="7"/>
      <c r="F82" s="7"/>
    </row>
    <row r="83" spans="1:6" x14ac:dyDescent="0.25">
      <c r="A83" s="7"/>
      <c r="E83" s="7"/>
      <c r="F83" s="7"/>
    </row>
    <row r="84" spans="1:6" x14ac:dyDescent="0.25">
      <c r="A84" s="7"/>
      <c r="E84" s="7"/>
      <c r="F84" s="7"/>
    </row>
    <row r="85" spans="1:6" x14ac:dyDescent="0.25">
      <c r="A85" s="7"/>
      <c r="E85" s="7"/>
      <c r="F85" s="7"/>
    </row>
    <row r="86" spans="1:6" x14ac:dyDescent="0.25">
      <c r="A86" s="7"/>
      <c r="E86" s="7"/>
      <c r="F86" s="7"/>
    </row>
    <row r="87" spans="1:6" x14ac:dyDescent="0.25">
      <c r="A87" s="7"/>
      <c r="E87" s="7"/>
      <c r="F87" s="7"/>
    </row>
    <row r="88" spans="1:6" x14ac:dyDescent="0.25">
      <c r="A88" s="7"/>
      <c r="E88" s="7"/>
      <c r="F88" s="7"/>
    </row>
    <row r="89" spans="1:6" x14ac:dyDescent="0.25">
      <c r="A89" s="7"/>
      <c r="E89" s="7"/>
      <c r="F89" s="7"/>
    </row>
    <row r="90" spans="1:6" x14ac:dyDescent="0.25">
      <c r="A90" s="7"/>
      <c r="E90" s="7"/>
      <c r="F90" s="7"/>
    </row>
    <row r="91" spans="1:6" x14ac:dyDescent="0.25">
      <c r="A91" s="7"/>
      <c r="E91" s="7"/>
      <c r="F91" s="7"/>
    </row>
    <row r="92" spans="1:6" x14ac:dyDescent="0.25">
      <c r="A92" s="7"/>
      <c r="E92" s="7"/>
      <c r="F92" s="7"/>
    </row>
    <row r="93" spans="1:6" x14ac:dyDescent="0.25">
      <c r="A93" s="7"/>
      <c r="E93" s="7"/>
      <c r="F93" s="7"/>
    </row>
    <row r="94" spans="1:6" x14ac:dyDescent="0.25">
      <c r="A94" s="7"/>
      <c r="E94" s="7"/>
      <c r="F94" s="7"/>
    </row>
    <row r="95" spans="1:6" x14ac:dyDescent="0.25">
      <c r="A95" s="7"/>
      <c r="E95" s="7"/>
      <c r="F95" s="7"/>
    </row>
    <row r="96" spans="1:6" x14ac:dyDescent="0.25">
      <c r="A96" s="7"/>
      <c r="E96" s="7"/>
      <c r="F96" s="7"/>
    </row>
    <row r="97" spans="1:6" x14ac:dyDescent="0.25">
      <c r="A97" s="7"/>
      <c r="E97" s="7"/>
      <c r="F97" s="7"/>
    </row>
    <row r="98" spans="1:6" x14ac:dyDescent="0.25">
      <c r="A98" s="7"/>
      <c r="E98" s="7"/>
      <c r="F98" s="7"/>
    </row>
    <row r="99" spans="1:6" x14ac:dyDescent="0.25">
      <c r="A99" s="7"/>
      <c r="E99" s="7"/>
      <c r="F99" s="7"/>
    </row>
    <row r="100" spans="1:6" x14ac:dyDescent="0.25">
      <c r="A100" s="7"/>
      <c r="E100" s="7"/>
      <c r="F100" s="7"/>
    </row>
    <row r="101" spans="1:6" x14ac:dyDescent="0.25">
      <c r="A101" s="7"/>
      <c r="E101" s="7"/>
      <c r="F101" s="7"/>
    </row>
    <row r="102" spans="1:6" x14ac:dyDescent="0.25">
      <c r="A102" s="7"/>
      <c r="E102" s="7"/>
      <c r="F102" s="7"/>
    </row>
    <row r="103" spans="1:6" x14ac:dyDescent="0.25">
      <c r="A103" s="7"/>
      <c r="E103" s="7"/>
      <c r="F103" s="7"/>
    </row>
    <row r="104" spans="1:6" x14ac:dyDescent="0.25">
      <c r="A104" s="7"/>
      <c r="E104" s="7"/>
      <c r="F104" s="7"/>
    </row>
    <row r="105" spans="1:6" x14ac:dyDescent="0.25">
      <c r="A105" s="7"/>
      <c r="E105" s="7"/>
      <c r="F105" s="7"/>
    </row>
    <row r="106" spans="1:6" x14ac:dyDescent="0.25">
      <c r="A106" s="7"/>
      <c r="E106" s="7"/>
      <c r="F106" s="7"/>
    </row>
    <row r="107" spans="1:6" x14ac:dyDescent="0.25">
      <c r="A107" s="7"/>
      <c r="E107" s="7"/>
      <c r="F107" s="7"/>
    </row>
    <row r="108" spans="1:6" x14ac:dyDescent="0.25">
      <c r="A108" s="7"/>
      <c r="E108" s="7"/>
      <c r="F108" s="7"/>
    </row>
    <row r="109" spans="1:6" x14ac:dyDescent="0.25">
      <c r="A109" s="7"/>
      <c r="E109" s="7"/>
      <c r="F109" s="7"/>
    </row>
    <row r="110" spans="1:6" x14ac:dyDescent="0.25">
      <c r="A110" s="7"/>
      <c r="E110" s="7"/>
      <c r="F110" s="7"/>
    </row>
    <row r="111" spans="1:6" x14ac:dyDescent="0.25">
      <c r="A111" s="7"/>
      <c r="E111" s="7"/>
      <c r="F111" s="7"/>
    </row>
    <row r="112" spans="1:6" x14ac:dyDescent="0.25">
      <c r="A112" s="7"/>
      <c r="E112" s="7"/>
      <c r="F112" s="7"/>
    </row>
    <row r="113" spans="1:6" x14ac:dyDescent="0.25">
      <c r="A113" s="7"/>
      <c r="E113" s="7"/>
      <c r="F113" s="7"/>
    </row>
    <row r="114" spans="1:6" x14ac:dyDescent="0.25">
      <c r="A114" s="7"/>
      <c r="E114" s="7"/>
      <c r="F114" s="7"/>
    </row>
    <row r="115" spans="1:6" x14ac:dyDescent="0.25">
      <c r="A115" s="7"/>
      <c r="E115" s="7"/>
      <c r="F115" s="7"/>
    </row>
    <row r="116" spans="1:6" x14ac:dyDescent="0.25">
      <c r="A116" s="7"/>
      <c r="E116" s="7"/>
      <c r="F116" s="7"/>
    </row>
    <row r="117" spans="1:6" x14ac:dyDescent="0.25">
      <c r="A117" s="7"/>
      <c r="E117" s="7"/>
      <c r="F117" s="7"/>
    </row>
    <row r="118" spans="1:6" x14ac:dyDescent="0.25">
      <c r="A118" s="7"/>
      <c r="E118" s="7"/>
      <c r="F118" s="7"/>
    </row>
    <row r="119" spans="1:6" x14ac:dyDescent="0.25">
      <c r="A119" s="7"/>
      <c r="E119" s="7"/>
      <c r="F119" s="7"/>
    </row>
    <row r="120" spans="1:6" x14ac:dyDescent="0.25">
      <c r="A120" s="7"/>
      <c r="E120" s="7"/>
      <c r="F120" s="7"/>
    </row>
    <row r="121" spans="1:6" x14ac:dyDescent="0.25">
      <c r="A121" s="7"/>
      <c r="E121" s="7"/>
      <c r="F121" s="7"/>
    </row>
    <row r="122" spans="1:6" x14ac:dyDescent="0.25">
      <c r="A122" s="7"/>
      <c r="E122" s="7"/>
      <c r="F122" s="7"/>
    </row>
    <row r="123" spans="1:6" x14ac:dyDescent="0.25">
      <c r="A123" s="7"/>
      <c r="E123" s="7"/>
      <c r="F123" s="7"/>
    </row>
    <row r="124" spans="1:6" x14ac:dyDescent="0.25">
      <c r="A124" s="7"/>
      <c r="E124" s="7"/>
      <c r="F124" s="7"/>
    </row>
    <row r="125" spans="1:6" x14ac:dyDescent="0.25">
      <c r="A125" s="7"/>
      <c r="E125" s="7"/>
      <c r="F125" s="7"/>
    </row>
    <row r="126" spans="1:6" x14ac:dyDescent="0.25">
      <c r="A126" s="7"/>
      <c r="E126" s="7"/>
      <c r="F126" s="7"/>
    </row>
    <row r="127" spans="1:6" x14ac:dyDescent="0.25">
      <c r="A127" s="7"/>
      <c r="E127" s="7"/>
      <c r="F127" s="7"/>
    </row>
    <row r="128" spans="1:6" x14ac:dyDescent="0.25">
      <c r="A128" s="7"/>
      <c r="E128" s="7"/>
      <c r="F128" s="7"/>
    </row>
    <row r="129" spans="1:6" x14ac:dyDescent="0.25">
      <c r="A129" s="7"/>
      <c r="E129" s="7"/>
      <c r="F129" s="7"/>
    </row>
    <row r="130" spans="1:6" x14ac:dyDescent="0.25">
      <c r="A130" s="7"/>
      <c r="E130" s="7"/>
      <c r="F130" s="7"/>
    </row>
    <row r="131" spans="1:6" x14ac:dyDescent="0.25">
      <c r="A131" s="7"/>
      <c r="E131" s="7"/>
      <c r="F131" s="7"/>
    </row>
    <row r="132" spans="1:6" x14ac:dyDescent="0.25">
      <c r="A132" s="7"/>
      <c r="E132" s="7"/>
      <c r="F132" s="7"/>
    </row>
    <row r="133" spans="1:6" x14ac:dyDescent="0.25">
      <c r="A133" s="7"/>
      <c r="E133" s="7"/>
      <c r="F133" s="7"/>
    </row>
    <row r="134" spans="1:6" x14ac:dyDescent="0.25">
      <c r="A134" s="7"/>
      <c r="E134" s="7"/>
      <c r="F134" s="7"/>
    </row>
    <row r="135" spans="1:6" x14ac:dyDescent="0.25">
      <c r="A135" s="7"/>
      <c r="E135" s="7"/>
      <c r="F135" s="7"/>
    </row>
    <row r="136" spans="1:6" x14ac:dyDescent="0.25">
      <c r="A136" s="7"/>
      <c r="E136" s="7"/>
      <c r="F136" s="7"/>
    </row>
    <row r="137" spans="1:6" x14ac:dyDescent="0.25">
      <c r="A137" s="7"/>
      <c r="E137" s="7"/>
      <c r="F137" s="7"/>
    </row>
    <row r="138" spans="1:6" x14ac:dyDescent="0.25">
      <c r="A138" s="7"/>
      <c r="E138" s="7"/>
      <c r="F138" s="7"/>
    </row>
    <row r="139" spans="1:6" x14ac:dyDescent="0.25">
      <c r="A139" s="7"/>
      <c r="E139" s="7"/>
      <c r="F139" s="7"/>
    </row>
    <row r="140" spans="1:6" x14ac:dyDescent="0.25">
      <c r="A140" s="7"/>
      <c r="E140" s="7"/>
      <c r="F140" s="7"/>
    </row>
    <row r="141" spans="1:6" x14ac:dyDescent="0.25">
      <c r="A141" s="7"/>
      <c r="E141" s="7"/>
      <c r="F141" s="7"/>
    </row>
    <row r="142" spans="1:6" x14ac:dyDescent="0.25">
      <c r="A142" s="7"/>
      <c r="E142" s="7"/>
      <c r="F142" s="7"/>
    </row>
    <row r="143" spans="1:6" x14ac:dyDescent="0.25">
      <c r="A143" s="7"/>
      <c r="E143" s="7"/>
      <c r="F143" s="7"/>
    </row>
    <row r="144" spans="1:6" x14ac:dyDescent="0.25">
      <c r="A144" s="7"/>
      <c r="E144" s="7"/>
      <c r="F144" s="7"/>
    </row>
    <row r="145" spans="1:6" x14ac:dyDescent="0.25">
      <c r="A145" s="7"/>
      <c r="E145" s="7"/>
      <c r="F145" s="7"/>
    </row>
    <row r="146" spans="1:6" x14ac:dyDescent="0.25">
      <c r="A146" s="7"/>
      <c r="E146" s="7"/>
      <c r="F146" s="7"/>
    </row>
    <row r="147" spans="1:6" x14ac:dyDescent="0.25">
      <c r="A147" s="7"/>
      <c r="E147" s="7"/>
      <c r="F147" s="7"/>
    </row>
    <row r="148" spans="1:6" x14ac:dyDescent="0.25">
      <c r="A148" s="7"/>
      <c r="E148" s="7"/>
      <c r="F148" s="7"/>
    </row>
    <row r="149" spans="1:6" x14ac:dyDescent="0.25">
      <c r="A149" s="7"/>
      <c r="E149" s="7"/>
      <c r="F149" s="7"/>
    </row>
    <row r="150" spans="1:6" x14ac:dyDescent="0.25">
      <c r="A150" s="7"/>
      <c r="E150" s="7"/>
      <c r="F150" s="7"/>
    </row>
    <row r="151" spans="1:6" x14ac:dyDescent="0.25">
      <c r="A151" s="7"/>
      <c r="E151" s="7"/>
      <c r="F151" s="7"/>
    </row>
    <row r="152" spans="1:6" x14ac:dyDescent="0.25">
      <c r="A152" s="7"/>
      <c r="E152" s="7"/>
      <c r="F152" s="7"/>
    </row>
    <row r="153" spans="1:6" x14ac:dyDescent="0.25">
      <c r="A153" s="7"/>
      <c r="E153" s="7"/>
      <c r="F153" s="7"/>
    </row>
    <row r="154" spans="1:6" x14ac:dyDescent="0.25">
      <c r="A154" s="7"/>
      <c r="E154" s="7"/>
      <c r="F154" s="7"/>
    </row>
    <row r="155" spans="1:6" x14ac:dyDescent="0.25">
      <c r="A155" s="7"/>
      <c r="E155" s="7"/>
      <c r="F155" s="7"/>
    </row>
    <row r="156" spans="1:6" x14ac:dyDescent="0.25">
      <c r="A156" s="7"/>
      <c r="E156" s="7"/>
      <c r="F156" s="7"/>
    </row>
    <row r="157" spans="1:6" x14ac:dyDescent="0.25">
      <c r="A157" s="7"/>
      <c r="E157" s="7"/>
      <c r="F157" s="7"/>
    </row>
    <row r="158" spans="1:6" x14ac:dyDescent="0.25">
      <c r="A158" s="7"/>
      <c r="E158" s="7"/>
      <c r="F158" s="7"/>
    </row>
    <row r="159" spans="1:6" x14ac:dyDescent="0.25">
      <c r="A159" s="7"/>
      <c r="E159" s="7"/>
      <c r="F159" s="7"/>
    </row>
    <row r="160" spans="1:6" x14ac:dyDescent="0.25">
      <c r="A160" s="7"/>
      <c r="E160" s="7"/>
      <c r="F160" s="7"/>
    </row>
    <row r="161" spans="1:6" x14ac:dyDescent="0.25">
      <c r="A161" s="7"/>
      <c r="E161" s="7"/>
      <c r="F161" s="7"/>
    </row>
    <row r="162" spans="1:6" x14ac:dyDescent="0.25">
      <c r="A162" s="7"/>
      <c r="E162" s="7"/>
      <c r="F162" s="7"/>
    </row>
    <row r="163" spans="1:6" x14ac:dyDescent="0.25">
      <c r="A163" s="7"/>
      <c r="E163" s="7"/>
      <c r="F163" s="7"/>
    </row>
    <row r="164" spans="1:6" x14ac:dyDescent="0.25">
      <c r="A164" s="7"/>
      <c r="E164" s="7"/>
      <c r="F164" s="7"/>
    </row>
    <row r="165" spans="1:6" x14ac:dyDescent="0.25">
      <c r="A165" s="7"/>
      <c r="E165" s="7"/>
      <c r="F165" s="7"/>
    </row>
    <row r="166" spans="1:6" x14ac:dyDescent="0.25">
      <c r="A166" s="7"/>
      <c r="E166" s="7"/>
      <c r="F166" s="7"/>
    </row>
    <row r="167" spans="1:6" x14ac:dyDescent="0.25">
      <c r="A167" s="7"/>
      <c r="E167" s="7"/>
      <c r="F167" s="7"/>
    </row>
    <row r="168" spans="1:6" x14ac:dyDescent="0.25">
      <c r="A168" s="7"/>
      <c r="E168" s="7"/>
      <c r="F168" s="7"/>
    </row>
    <row r="169" spans="1:6" x14ac:dyDescent="0.25">
      <c r="A169" s="7"/>
      <c r="E169" s="7"/>
      <c r="F169" s="7"/>
    </row>
    <row r="170" spans="1:6" x14ac:dyDescent="0.25">
      <c r="A170" s="7"/>
      <c r="E170" s="7"/>
      <c r="F170" s="7"/>
    </row>
    <row r="171" spans="1:6" x14ac:dyDescent="0.25">
      <c r="A171" s="7"/>
      <c r="E171" s="7"/>
      <c r="F171" s="7"/>
    </row>
    <row r="172" spans="1:6" x14ac:dyDescent="0.25">
      <c r="A172" s="7"/>
      <c r="E172" s="7"/>
      <c r="F172" s="7"/>
    </row>
    <row r="173" spans="1:6" x14ac:dyDescent="0.25">
      <c r="A173" s="7"/>
      <c r="E173" s="7"/>
      <c r="F173" s="7"/>
    </row>
    <row r="174" spans="1:6" x14ac:dyDescent="0.25">
      <c r="A174" s="7"/>
      <c r="E174" s="7"/>
      <c r="F174" s="7"/>
    </row>
    <row r="175" spans="1:6" x14ac:dyDescent="0.25">
      <c r="A175" s="7"/>
      <c r="E175" s="7"/>
      <c r="F175" s="7"/>
    </row>
    <row r="176" spans="1:6" x14ac:dyDescent="0.25">
      <c r="A176" s="7"/>
      <c r="E176" s="7"/>
      <c r="F176" s="7"/>
    </row>
    <row r="177" spans="1:6" x14ac:dyDescent="0.25">
      <c r="A177" s="7"/>
      <c r="E177" s="7"/>
      <c r="F177" s="7"/>
    </row>
    <row r="178" spans="1:6" x14ac:dyDescent="0.25">
      <c r="A178" s="7"/>
      <c r="E178" s="7"/>
      <c r="F178" s="7"/>
    </row>
    <row r="179" spans="1:6" x14ac:dyDescent="0.25">
      <c r="A179" s="7"/>
      <c r="E179" s="7"/>
      <c r="F179" s="7"/>
    </row>
    <row r="180" spans="1:6" x14ac:dyDescent="0.25">
      <c r="A180" s="7"/>
      <c r="E180" s="7"/>
      <c r="F180" s="7"/>
    </row>
    <row r="181" spans="1:6" x14ac:dyDescent="0.25">
      <c r="A181" s="7"/>
      <c r="E181" s="7"/>
      <c r="F181" s="7"/>
    </row>
    <row r="182" spans="1:6" x14ac:dyDescent="0.25">
      <c r="A182" s="7"/>
      <c r="E182" s="7"/>
      <c r="F182" s="7"/>
    </row>
    <row r="183" spans="1:6" x14ac:dyDescent="0.25">
      <c r="A183" s="7"/>
      <c r="E183" s="7"/>
      <c r="F183" s="7"/>
    </row>
    <row r="184" spans="1:6" x14ac:dyDescent="0.25">
      <c r="A184" s="7"/>
      <c r="E184" s="7"/>
      <c r="F184" s="7"/>
    </row>
    <row r="185" spans="1:6" x14ac:dyDescent="0.25">
      <c r="A185" s="7"/>
      <c r="E185" s="7"/>
      <c r="F185" s="7"/>
    </row>
    <row r="186" spans="1:6" x14ac:dyDescent="0.25">
      <c r="A186" s="7"/>
      <c r="E186" s="7"/>
      <c r="F186" s="7"/>
    </row>
    <row r="187" spans="1:6" x14ac:dyDescent="0.25">
      <c r="A187" s="7"/>
      <c r="E187" s="7"/>
      <c r="F187" s="7"/>
    </row>
    <row r="188" spans="1:6" x14ac:dyDescent="0.25">
      <c r="A188" s="7"/>
      <c r="E188" s="7"/>
      <c r="F188" s="7"/>
    </row>
    <row r="189" spans="1:6" x14ac:dyDescent="0.25">
      <c r="A189" s="7"/>
      <c r="E189" s="7"/>
      <c r="F189" s="7"/>
    </row>
    <row r="190" spans="1:6" x14ac:dyDescent="0.25">
      <c r="A190" s="7"/>
      <c r="E190" s="7"/>
      <c r="F190" s="7"/>
    </row>
    <row r="191" spans="1:6" x14ac:dyDescent="0.25">
      <c r="A191" s="7"/>
      <c r="E191" s="7"/>
      <c r="F191" s="7"/>
    </row>
    <row r="192" spans="1:6" x14ac:dyDescent="0.25">
      <c r="A192" s="7"/>
      <c r="E192" s="7"/>
      <c r="F192" s="7"/>
    </row>
    <row r="193" spans="1:6" x14ac:dyDescent="0.25">
      <c r="A193" s="7"/>
      <c r="E193" s="7"/>
      <c r="F193" s="7"/>
    </row>
    <row r="194" spans="1:6" x14ac:dyDescent="0.25">
      <c r="A194" s="7"/>
      <c r="E194" s="7"/>
      <c r="F194" s="7"/>
    </row>
    <row r="195" spans="1:6" x14ac:dyDescent="0.25">
      <c r="A195" s="7"/>
      <c r="E195" s="7"/>
      <c r="F195" s="7"/>
    </row>
    <row r="196" spans="1:6" x14ac:dyDescent="0.25">
      <c r="A196" s="7"/>
      <c r="E196" s="7"/>
      <c r="F196" s="7"/>
    </row>
    <row r="197" spans="1:6" x14ac:dyDescent="0.25">
      <c r="A197" s="7"/>
      <c r="E197" s="7"/>
      <c r="F197" s="7"/>
    </row>
    <row r="198" spans="1:6" x14ac:dyDescent="0.25">
      <c r="A198" s="7"/>
      <c r="E198" s="7"/>
      <c r="F198" s="7"/>
    </row>
    <row r="199" spans="1:6" x14ac:dyDescent="0.25">
      <c r="A199" s="7"/>
      <c r="E199" s="7"/>
      <c r="F199" s="7"/>
    </row>
    <row r="200" spans="1:6" x14ac:dyDescent="0.25">
      <c r="A200" s="7"/>
      <c r="E200" s="7"/>
      <c r="F200" s="7"/>
    </row>
    <row r="201" spans="1:6" x14ac:dyDescent="0.25">
      <c r="A201" s="7"/>
      <c r="E201" s="7"/>
      <c r="F201" s="7"/>
    </row>
    <row r="202" spans="1:6" x14ac:dyDescent="0.25">
      <c r="A202" s="7"/>
      <c r="E202" s="7"/>
      <c r="F202" s="7"/>
    </row>
    <row r="203" spans="1:6" x14ac:dyDescent="0.25">
      <c r="A203" s="7"/>
      <c r="E203" s="7"/>
      <c r="F203" s="7"/>
    </row>
    <row r="204" spans="1:6" x14ac:dyDescent="0.25">
      <c r="A204" s="7"/>
      <c r="E204" s="7"/>
      <c r="F204" s="7"/>
    </row>
    <row r="205" spans="1:6" x14ac:dyDescent="0.25">
      <c r="A205" s="7"/>
      <c r="E205" s="7"/>
      <c r="F205" s="7"/>
    </row>
    <row r="206" spans="1:6" x14ac:dyDescent="0.25">
      <c r="A206" s="7"/>
      <c r="E206" s="7"/>
      <c r="F206" s="7"/>
    </row>
    <row r="207" spans="1:6" x14ac:dyDescent="0.25">
      <c r="A207" s="7"/>
      <c r="E207" s="7"/>
      <c r="F207" s="7"/>
    </row>
    <row r="208" spans="1:6" x14ac:dyDescent="0.25">
      <c r="A208" s="7"/>
      <c r="E208" s="7"/>
      <c r="F208" s="7"/>
    </row>
    <row r="209" spans="1:6" x14ac:dyDescent="0.25">
      <c r="A209" s="7"/>
      <c r="E209" s="7"/>
      <c r="F209" s="7"/>
    </row>
    <row r="210" spans="1:6" x14ac:dyDescent="0.25">
      <c r="A210" s="7"/>
      <c r="E210" s="7"/>
      <c r="F210" s="7"/>
    </row>
    <row r="211" spans="1:6" x14ac:dyDescent="0.25">
      <c r="A211" s="7"/>
      <c r="E211" s="7"/>
      <c r="F211" s="7"/>
    </row>
    <row r="212" spans="1:6" x14ac:dyDescent="0.25">
      <c r="A212" s="7"/>
      <c r="E212" s="7"/>
      <c r="F212" s="7"/>
    </row>
    <row r="213" spans="1:6" x14ac:dyDescent="0.25">
      <c r="A213" s="7"/>
      <c r="E213" s="7"/>
      <c r="F213" s="7"/>
    </row>
    <row r="214" spans="1:6" x14ac:dyDescent="0.25">
      <c r="A214" s="7"/>
      <c r="E214" s="7"/>
      <c r="F214" s="7"/>
    </row>
    <row r="215" spans="1:6" x14ac:dyDescent="0.25">
      <c r="A215" s="7"/>
      <c r="E215" s="7"/>
      <c r="F215" s="7"/>
    </row>
    <row r="216" spans="1:6" x14ac:dyDescent="0.25">
      <c r="A216" s="7"/>
      <c r="E216" s="7"/>
      <c r="F216" s="7"/>
    </row>
    <row r="217" spans="1:6" x14ac:dyDescent="0.25">
      <c r="A217" s="7"/>
      <c r="E217" s="7"/>
      <c r="F217" s="7"/>
    </row>
    <row r="218" spans="1:6" x14ac:dyDescent="0.25">
      <c r="A218" s="7"/>
      <c r="E218" s="7"/>
      <c r="F218" s="7"/>
    </row>
    <row r="219" spans="1:6" x14ac:dyDescent="0.25">
      <c r="A219" s="7"/>
      <c r="E219" s="7"/>
      <c r="F219" s="7"/>
    </row>
    <row r="220" spans="1:6" x14ac:dyDescent="0.25">
      <c r="A220" s="7"/>
      <c r="E220" s="7"/>
      <c r="F220" s="7"/>
    </row>
    <row r="221" spans="1:6" x14ac:dyDescent="0.25">
      <c r="A221" s="7"/>
      <c r="E221" s="7"/>
      <c r="F221" s="7"/>
    </row>
    <row r="222" spans="1:6" x14ac:dyDescent="0.25">
      <c r="A222" s="7"/>
      <c r="E222" s="7"/>
      <c r="F222" s="7"/>
    </row>
    <row r="223" spans="1:6" x14ac:dyDescent="0.25">
      <c r="A223" s="7"/>
      <c r="E223" s="7"/>
      <c r="F223" s="7"/>
    </row>
    <row r="224" spans="1:6" x14ac:dyDescent="0.25">
      <c r="A224" s="7"/>
      <c r="E224" s="7"/>
      <c r="F224" s="7"/>
    </row>
    <row r="225" spans="1:6" x14ac:dyDescent="0.25">
      <c r="A225" s="7"/>
      <c r="E225" s="7"/>
      <c r="F225" s="7"/>
    </row>
    <row r="226" spans="1:6" x14ac:dyDescent="0.25">
      <c r="A226" s="7"/>
      <c r="E226" s="7"/>
      <c r="F226" s="7"/>
    </row>
    <row r="227" spans="1:6" x14ac:dyDescent="0.25">
      <c r="A227" s="7"/>
      <c r="E227" s="7"/>
      <c r="F227" s="7"/>
    </row>
    <row r="228" spans="1:6" x14ac:dyDescent="0.25">
      <c r="A228" s="7"/>
      <c r="E228" s="7"/>
      <c r="F228" s="7"/>
    </row>
    <row r="229" spans="1:6" x14ac:dyDescent="0.25">
      <c r="A229" s="7"/>
      <c r="E229" s="7"/>
      <c r="F229" s="7"/>
    </row>
    <row r="230" spans="1:6" x14ac:dyDescent="0.25">
      <c r="A230" s="7"/>
      <c r="E230" s="7"/>
      <c r="F230" s="7"/>
    </row>
    <row r="231" spans="1:6" x14ac:dyDescent="0.25">
      <c r="A231" s="7"/>
      <c r="E231" s="7"/>
      <c r="F231" s="7"/>
    </row>
    <row r="232" spans="1:6" x14ac:dyDescent="0.25">
      <c r="A232" s="7"/>
      <c r="E232" s="7"/>
      <c r="F232" s="7"/>
    </row>
    <row r="233" spans="1:6" x14ac:dyDescent="0.25">
      <c r="A233" s="7"/>
      <c r="E233" s="7"/>
      <c r="F233" s="7"/>
    </row>
    <row r="234" spans="1:6" x14ac:dyDescent="0.25">
      <c r="A234" s="7"/>
      <c r="E234" s="7"/>
      <c r="F234" s="7"/>
    </row>
    <row r="235" spans="1:6" x14ac:dyDescent="0.25">
      <c r="A235" s="7"/>
      <c r="E235" s="7"/>
      <c r="F235" s="7"/>
    </row>
    <row r="236" spans="1:6" x14ac:dyDescent="0.25">
      <c r="A236" s="7"/>
      <c r="E236" s="7"/>
      <c r="F236" s="7"/>
    </row>
    <row r="237" spans="1:6" x14ac:dyDescent="0.25">
      <c r="A237" s="7"/>
      <c r="E237" s="7"/>
      <c r="F237" s="7"/>
    </row>
    <row r="238" spans="1:6" x14ac:dyDescent="0.25">
      <c r="A238" s="7"/>
      <c r="E238" s="7"/>
      <c r="F238" s="7"/>
    </row>
    <row r="239" spans="1:6" x14ac:dyDescent="0.25">
      <c r="A239" s="7"/>
      <c r="E239" s="7"/>
      <c r="F239" s="7"/>
    </row>
    <row r="240" spans="1:6" x14ac:dyDescent="0.25">
      <c r="A240" s="7"/>
      <c r="E240" s="7"/>
      <c r="F240" s="7"/>
    </row>
    <row r="241" spans="1:6" x14ac:dyDescent="0.25">
      <c r="A241" s="7"/>
      <c r="E241" s="7"/>
      <c r="F241" s="7"/>
    </row>
    <row r="242" spans="1:6" x14ac:dyDescent="0.25">
      <c r="A242" s="7"/>
      <c r="E242" s="7"/>
      <c r="F242" s="7"/>
    </row>
    <row r="243" spans="1:6" x14ac:dyDescent="0.25">
      <c r="A243" s="7"/>
      <c r="E243" s="7"/>
      <c r="F243" s="7"/>
    </row>
    <row r="244" spans="1:6" x14ac:dyDescent="0.25">
      <c r="A244" s="7"/>
      <c r="E244" s="7"/>
      <c r="F244" s="7"/>
    </row>
    <row r="245" spans="1:6" x14ac:dyDescent="0.25">
      <c r="A245" s="7"/>
      <c r="E245" s="7"/>
      <c r="F245" s="7"/>
    </row>
    <row r="246" spans="1:6" x14ac:dyDescent="0.25">
      <c r="A246" s="7"/>
      <c r="E246" s="7"/>
      <c r="F246" s="7"/>
    </row>
    <row r="247" spans="1:6" x14ac:dyDescent="0.25">
      <c r="A247" s="7"/>
      <c r="E247" s="7"/>
      <c r="F247" s="7"/>
    </row>
    <row r="248" spans="1:6" x14ac:dyDescent="0.25">
      <c r="A248" s="7"/>
      <c r="E248" s="7"/>
      <c r="F248" s="7"/>
    </row>
    <row r="249" spans="1:6" x14ac:dyDescent="0.25">
      <c r="A249" s="7"/>
      <c r="E249" s="7"/>
      <c r="F249" s="7"/>
    </row>
    <row r="250" spans="1:6" x14ac:dyDescent="0.25">
      <c r="A250" s="7"/>
      <c r="E250" s="7"/>
      <c r="F250" s="7"/>
    </row>
    <row r="251" spans="1:6" x14ac:dyDescent="0.25">
      <c r="A251" s="7"/>
      <c r="E251" s="7"/>
      <c r="F251" s="7"/>
    </row>
    <row r="252" spans="1:6" x14ac:dyDescent="0.25">
      <c r="A252" s="7"/>
      <c r="E252" s="7"/>
      <c r="F252" s="7"/>
    </row>
    <row r="253" spans="1:6" x14ac:dyDescent="0.25">
      <c r="A253" s="7"/>
      <c r="E253" s="7"/>
      <c r="F253" s="7"/>
    </row>
    <row r="254" spans="1:6" x14ac:dyDescent="0.25">
      <c r="A254" s="7"/>
      <c r="E254" s="7"/>
      <c r="F254" s="7"/>
    </row>
    <row r="255" spans="1:6" x14ac:dyDescent="0.25">
      <c r="A255" s="7"/>
      <c r="E255" s="7"/>
      <c r="F255" s="7"/>
    </row>
    <row r="256" spans="1:6" x14ac:dyDescent="0.25">
      <c r="A256" s="7"/>
      <c r="E256" s="7"/>
      <c r="F256" s="7"/>
    </row>
    <row r="257" spans="1:6" x14ac:dyDescent="0.25">
      <c r="A257" s="7"/>
      <c r="E257" s="7"/>
      <c r="F257" s="7"/>
    </row>
    <row r="258" spans="1:6" x14ac:dyDescent="0.25">
      <c r="A258" s="7"/>
      <c r="E258" s="7"/>
      <c r="F258" s="7"/>
    </row>
    <row r="259" spans="1:6" x14ac:dyDescent="0.25">
      <c r="A259" s="7"/>
      <c r="E259" s="7"/>
      <c r="F259" s="7"/>
    </row>
    <row r="260" spans="1:6" x14ac:dyDescent="0.25">
      <c r="A260" s="7"/>
      <c r="E260" s="7"/>
      <c r="F260" s="7"/>
    </row>
    <row r="261" spans="1:6" x14ac:dyDescent="0.25">
      <c r="A261" s="7"/>
      <c r="E261" s="7"/>
      <c r="F261" s="7"/>
    </row>
    <row r="262" spans="1:6" x14ac:dyDescent="0.25">
      <c r="A262" s="7"/>
      <c r="E262" s="7"/>
      <c r="F262" s="7"/>
    </row>
    <row r="263" spans="1:6" x14ac:dyDescent="0.25">
      <c r="A263" s="7"/>
      <c r="E263" s="7"/>
      <c r="F263" s="7"/>
    </row>
    <row r="264" spans="1:6" x14ac:dyDescent="0.25">
      <c r="A264" s="7"/>
      <c r="E264" s="7"/>
      <c r="F264" s="7"/>
    </row>
    <row r="265" spans="1:6" x14ac:dyDescent="0.25">
      <c r="A265" s="7"/>
      <c r="E265" s="7"/>
      <c r="F265" s="7"/>
    </row>
    <row r="266" spans="1:6" x14ac:dyDescent="0.25">
      <c r="A266" s="7"/>
      <c r="E266" s="7"/>
      <c r="F266" s="7"/>
    </row>
    <row r="267" spans="1:6" x14ac:dyDescent="0.25">
      <c r="A267" s="7"/>
      <c r="E267" s="7"/>
      <c r="F267" s="7"/>
    </row>
    <row r="268" spans="1:6" x14ac:dyDescent="0.25">
      <c r="A268" s="7"/>
      <c r="E268" s="7"/>
      <c r="F268" s="7"/>
    </row>
    <row r="269" spans="1:6" x14ac:dyDescent="0.25">
      <c r="A269" s="7"/>
      <c r="E269" s="7"/>
      <c r="F269" s="7"/>
    </row>
    <row r="270" spans="1:6" x14ac:dyDescent="0.25">
      <c r="A270" s="7"/>
      <c r="E270" s="7"/>
      <c r="F270" s="7"/>
    </row>
    <row r="271" spans="1:6" x14ac:dyDescent="0.25">
      <c r="A271" s="7"/>
      <c r="E271" s="7"/>
      <c r="F271" s="7"/>
    </row>
    <row r="272" spans="1:6" x14ac:dyDescent="0.25">
      <c r="A272" s="7"/>
      <c r="E272" s="7"/>
      <c r="F272" s="7"/>
    </row>
    <row r="273" spans="1:6" x14ac:dyDescent="0.25">
      <c r="A273" s="7"/>
      <c r="E273" s="7"/>
      <c r="F273" s="7"/>
    </row>
    <row r="274" spans="1:6" x14ac:dyDescent="0.25">
      <c r="A274" s="7"/>
      <c r="E274" s="7"/>
      <c r="F274" s="7"/>
    </row>
    <row r="275" spans="1:6" x14ac:dyDescent="0.25">
      <c r="A275" s="7"/>
      <c r="E275" s="7"/>
      <c r="F275" s="7"/>
    </row>
    <row r="276" spans="1:6" x14ac:dyDescent="0.25">
      <c r="A276" s="7"/>
      <c r="E276" s="7"/>
      <c r="F276" s="7"/>
    </row>
    <row r="277" spans="1:6" x14ac:dyDescent="0.25">
      <c r="A277" s="7"/>
      <c r="E277" s="7"/>
      <c r="F277" s="7"/>
    </row>
    <row r="278" spans="1:6" x14ac:dyDescent="0.25">
      <c r="A278" s="7"/>
      <c r="E278" s="7"/>
      <c r="F278" s="7"/>
    </row>
    <row r="279" spans="1:6" x14ac:dyDescent="0.25">
      <c r="A279" s="7"/>
      <c r="E279" s="7"/>
      <c r="F279" s="7"/>
    </row>
    <row r="280" spans="1:6" x14ac:dyDescent="0.25">
      <c r="A280" s="7"/>
      <c r="E280" s="7"/>
      <c r="F280" s="7"/>
    </row>
    <row r="281" spans="1:6" x14ac:dyDescent="0.25">
      <c r="A281" s="7"/>
      <c r="E281" s="7"/>
      <c r="F281" s="7"/>
    </row>
    <row r="282" spans="1:6" x14ac:dyDescent="0.25">
      <c r="A282" s="7"/>
      <c r="E282" s="7"/>
      <c r="F282" s="7"/>
    </row>
    <row r="283" spans="1:6" x14ac:dyDescent="0.25">
      <c r="A283" s="7"/>
      <c r="E283" s="7"/>
      <c r="F283" s="7"/>
    </row>
    <row r="284" spans="1:6" x14ac:dyDescent="0.25">
      <c r="A284" s="7"/>
      <c r="E284" s="7"/>
      <c r="F284" s="7"/>
    </row>
    <row r="285" spans="1:6" x14ac:dyDescent="0.25">
      <c r="A285" s="7"/>
      <c r="E285" s="7"/>
      <c r="F285" s="7"/>
    </row>
    <row r="286" spans="1:6" x14ac:dyDescent="0.25">
      <c r="A286" s="7"/>
      <c r="E286" s="7"/>
      <c r="F286" s="7"/>
    </row>
    <row r="287" spans="1:6" x14ac:dyDescent="0.25">
      <c r="A287" s="7"/>
      <c r="E287" s="7"/>
      <c r="F287" s="7"/>
    </row>
    <row r="288" spans="1:6" x14ac:dyDescent="0.25">
      <c r="A288" s="7"/>
      <c r="E288" s="7"/>
      <c r="F288" s="7"/>
    </row>
    <row r="289" spans="1:6" x14ac:dyDescent="0.25">
      <c r="A289" s="7"/>
      <c r="E289" s="7"/>
      <c r="F289" s="7"/>
    </row>
    <row r="290" spans="1:6" x14ac:dyDescent="0.25">
      <c r="A290" s="7"/>
      <c r="E290" s="7"/>
      <c r="F290" s="7"/>
    </row>
    <row r="291" spans="1:6" x14ac:dyDescent="0.25">
      <c r="A291" s="7"/>
      <c r="E291" s="7"/>
      <c r="F291" s="7"/>
    </row>
    <row r="292" spans="1:6" x14ac:dyDescent="0.25">
      <c r="A292" s="7"/>
      <c r="E292" s="7"/>
      <c r="F292" s="7"/>
    </row>
    <row r="293" spans="1:6" x14ac:dyDescent="0.25">
      <c r="A293" s="7"/>
      <c r="E293" s="7"/>
      <c r="F293" s="7"/>
    </row>
    <row r="294" spans="1:6" x14ac:dyDescent="0.25">
      <c r="A294" s="7"/>
      <c r="E294" s="7"/>
      <c r="F294" s="7"/>
    </row>
    <row r="295" spans="1:6" x14ac:dyDescent="0.25">
      <c r="A295" s="7"/>
      <c r="E295" s="7"/>
      <c r="F295" s="7"/>
    </row>
    <row r="296" spans="1:6" x14ac:dyDescent="0.25">
      <c r="A296" s="7"/>
      <c r="E296" s="7"/>
      <c r="F296" s="7"/>
    </row>
    <row r="297" spans="1:6" x14ac:dyDescent="0.25">
      <c r="A297" s="7"/>
      <c r="E297" s="7"/>
      <c r="F297" s="7"/>
    </row>
    <row r="298" spans="1:6" x14ac:dyDescent="0.25">
      <c r="A298" s="7"/>
      <c r="E298" s="7"/>
      <c r="F298" s="7"/>
    </row>
    <row r="299" spans="1:6" x14ac:dyDescent="0.25">
      <c r="A299" s="7"/>
      <c r="E299" s="7"/>
      <c r="F299" s="7"/>
    </row>
    <row r="300" spans="1:6" x14ac:dyDescent="0.25">
      <c r="A300" s="7"/>
      <c r="E300" s="7"/>
      <c r="F300" s="7"/>
    </row>
    <row r="301" spans="1:6" x14ac:dyDescent="0.25">
      <c r="A301" s="7"/>
      <c r="E301" s="7"/>
      <c r="F301" s="7"/>
    </row>
    <row r="302" spans="1:6" x14ac:dyDescent="0.25">
      <c r="A302" s="7"/>
      <c r="E302" s="7"/>
      <c r="F302" s="7"/>
    </row>
    <row r="303" spans="1:6" x14ac:dyDescent="0.25">
      <c r="A303" s="7"/>
      <c r="E303" s="7"/>
      <c r="F303" s="7"/>
    </row>
    <row r="304" spans="1:6" x14ac:dyDescent="0.25">
      <c r="A304" s="7"/>
      <c r="E304" s="7"/>
      <c r="F304" s="7"/>
    </row>
    <row r="305" spans="1:6" x14ac:dyDescent="0.25">
      <c r="A305" s="7"/>
      <c r="E305" s="7"/>
      <c r="F305" s="7"/>
    </row>
    <row r="306" spans="1:6" x14ac:dyDescent="0.25">
      <c r="A306" s="7"/>
      <c r="E306" s="7"/>
      <c r="F306" s="7"/>
    </row>
    <row r="307" spans="1:6" x14ac:dyDescent="0.25">
      <c r="A307" s="7"/>
      <c r="E307" s="7"/>
      <c r="F307" s="7"/>
    </row>
    <row r="308" spans="1:6" x14ac:dyDescent="0.25">
      <c r="A308" s="7"/>
      <c r="E308" s="7"/>
      <c r="F308" s="7"/>
    </row>
    <row r="309" spans="1:6" x14ac:dyDescent="0.25">
      <c r="A309" s="7"/>
      <c r="E309" s="7"/>
      <c r="F309" s="7"/>
    </row>
    <row r="310" spans="1:6" x14ac:dyDescent="0.25">
      <c r="A310" s="7"/>
      <c r="E310" s="7"/>
      <c r="F310" s="7"/>
    </row>
    <row r="311" spans="1:6" x14ac:dyDescent="0.25">
      <c r="A311" s="7"/>
      <c r="E311" s="7"/>
      <c r="F311" s="7"/>
    </row>
    <row r="312" spans="1:6" x14ac:dyDescent="0.25">
      <c r="A312" s="7"/>
      <c r="E312" s="7"/>
      <c r="F312" s="7"/>
    </row>
    <row r="313" spans="1:6" x14ac:dyDescent="0.25">
      <c r="A313" s="7"/>
      <c r="E313" s="7"/>
      <c r="F313" s="7"/>
    </row>
    <row r="314" spans="1:6" x14ac:dyDescent="0.25">
      <c r="A314" s="7"/>
      <c r="E314" s="7"/>
      <c r="F314" s="7"/>
    </row>
    <row r="315" spans="1:6" x14ac:dyDescent="0.25">
      <c r="A315" s="7"/>
      <c r="E315" s="7"/>
      <c r="F315" s="7"/>
    </row>
    <row r="316" spans="1:6" x14ac:dyDescent="0.25">
      <c r="A316" s="7"/>
      <c r="E316" s="7"/>
      <c r="F316" s="7"/>
    </row>
    <row r="317" spans="1:6" x14ac:dyDescent="0.25">
      <c r="A317" s="7"/>
      <c r="E317" s="7"/>
      <c r="F317" s="7"/>
    </row>
    <row r="318" spans="1:6" x14ac:dyDescent="0.25">
      <c r="A318" s="7"/>
      <c r="E318" s="7"/>
      <c r="F318" s="7"/>
    </row>
    <row r="319" spans="1:6" x14ac:dyDescent="0.25">
      <c r="A319" s="7"/>
      <c r="E319" s="7"/>
      <c r="F319" s="7"/>
    </row>
    <row r="320" spans="1:6" x14ac:dyDescent="0.25">
      <c r="A320" s="7"/>
      <c r="E320" s="7"/>
      <c r="F320" s="7"/>
    </row>
    <row r="321" spans="1:6" x14ac:dyDescent="0.25">
      <c r="A321" s="7"/>
      <c r="E321" s="7"/>
      <c r="F321" s="7"/>
    </row>
    <row r="322" spans="1:6" x14ac:dyDescent="0.25">
      <c r="A322" s="7"/>
      <c r="E322" s="7"/>
      <c r="F322" s="7"/>
    </row>
    <row r="323" spans="1:6" x14ac:dyDescent="0.25">
      <c r="A323" s="7"/>
      <c r="E323" s="7"/>
      <c r="F323" s="7"/>
    </row>
    <row r="324" spans="1:6" x14ac:dyDescent="0.25">
      <c r="A324" s="7"/>
      <c r="E324" s="7"/>
      <c r="F324" s="7"/>
    </row>
    <row r="325" spans="1:6" x14ac:dyDescent="0.25">
      <c r="A325" s="7"/>
      <c r="E325" s="7"/>
      <c r="F325" s="7"/>
    </row>
    <row r="326" spans="1:6" x14ac:dyDescent="0.25">
      <c r="A326" s="7"/>
      <c r="E326" s="7"/>
      <c r="F326" s="7"/>
    </row>
    <row r="327" spans="1:6" x14ac:dyDescent="0.25">
      <c r="A327" s="7"/>
      <c r="E327" s="7"/>
      <c r="F327" s="7"/>
    </row>
    <row r="328" spans="1:6" x14ac:dyDescent="0.25">
      <c r="A328" s="7"/>
      <c r="E328" s="7"/>
      <c r="F328" s="7"/>
    </row>
    <row r="329" spans="1:6" x14ac:dyDescent="0.25">
      <c r="A329" s="7"/>
      <c r="E329" s="7"/>
      <c r="F329" s="7"/>
    </row>
    <row r="330" spans="1:6" x14ac:dyDescent="0.25">
      <c r="A330" s="7"/>
      <c r="E330" s="7"/>
      <c r="F330" s="7"/>
    </row>
    <row r="331" spans="1:6" x14ac:dyDescent="0.25">
      <c r="A331" s="7"/>
      <c r="E331" s="7"/>
      <c r="F331" s="7"/>
    </row>
    <row r="332" spans="1:6" x14ac:dyDescent="0.25">
      <c r="A332" s="7"/>
      <c r="E332" s="7"/>
      <c r="F332" s="7"/>
    </row>
    <row r="333" spans="1:6" x14ac:dyDescent="0.25">
      <c r="A333" s="7"/>
      <c r="E333" s="7"/>
      <c r="F333" s="7"/>
    </row>
    <row r="334" spans="1:6" x14ac:dyDescent="0.25">
      <c r="A334" s="7"/>
      <c r="E334" s="7"/>
      <c r="F334" s="7"/>
    </row>
    <row r="335" spans="1:6" x14ac:dyDescent="0.25">
      <c r="A335" s="7"/>
      <c r="E335" s="7"/>
      <c r="F335" s="7"/>
    </row>
    <row r="336" spans="1:6" x14ac:dyDescent="0.25">
      <c r="A336" s="7"/>
      <c r="E336" s="7"/>
      <c r="F336" s="7"/>
    </row>
    <row r="337" spans="1:6" x14ac:dyDescent="0.25">
      <c r="A337" s="7"/>
      <c r="E337" s="7"/>
      <c r="F337" s="7"/>
    </row>
    <row r="338" spans="1:6" x14ac:dyDescent="0.25">
      <c r="A338" s="7"/>
      <c r="E338" s="7"/>
      <c r="F338" s="7"/>
    </row>
    <row r="339" spans="1:6" x14ac:dyDescent="0.25">
      <c r="A339" s="7"/>
      <c r="E339" s="7"/>
      <c r="F339" s="7"/>
    </row>
    <row r="340" spans="1:6" x14ac:dyDescent="0.25">
      <c r="A340" s="7"/>
      <c r="E340" s="7"/>
      <c r="F340" s="7"/>
    </row>
    <row r="341" spans="1:6" x14ac:dyDescent="0.25">
      <c r="A341" s="7"/>
      <c r="E341" s="7"/>
      <c r="F341" s="7"/>
    </row>
    <row r="342" spans="1:6" x14ac:dyDescent="0.25">
      <c r="A342" s="7"/>
      <c r="E342" s="7"/>
      <c r="F342" s="7"/>
    </row>
    <row r="343" spans="1:6" x14ac:dyDescent="0.25">
      <c r="A343" s="7"/>
      <c r="E343" s="7"/>
      <c r="F343" s="7"/>
    </row>
    <row r="344" spans="1:6" x14ac:dyDescent="0.25">
      <c r="A344" s="7"/>
      <c r="E344" s="7"/>
      <c r="F344" s="7"/>
    </row>
    <row r="345" spans="1:6" x14ac:dyDescent="0.25">
      <c r="A345" s="7"/>
      <c r="E345" s="7"/>
      <c r="F345" s="7"/>
    </row>
    <row r="346" spans="1:6" x14ac:dyDescent="0.25">
      <c r="A346" s="7"/>
      <c r="E346" s="7"/>
      <c r="F346" s="7"/>
    </row>
    <row r="347" spans="1:6" x14ac:dyDescent="0.25">
      <c r="A347" s="7"/>
      <c r="E347" s="7"/>
      <c r="F347" s="7"/>
    </row>
    <row r="348" spans="1:6" x14ac:dyDescent="0.25">
      <c r="A348" s="7"/>
      <c r="E348" s="7"/>
      <c r="F348" s="7"/>
    </row>
    <row r="349" spans="1:6" x14ac:dyDescent="0.25">
      <c r="A349" s="7"/>
      <c r="E349" s="7"/>
      <c r="F349" s="7"/>
    </row>
    <row r="350" spans="1:6" x14ac:dyDescent="0.25">
      <c r="A350" s="7"/>
      <c r="E350" s="7"/>
      <c r="F350" s="7"/>
    </row>
    <row r="351" spans="1:6" x14ac:dyDescent="0.25">
      <c r="A351" s="7"/>
      <c r="E351" s="7"/>
      <c r="F351" s="7"/>
    </row>
    <row r="352" spans="1:6" x14ac:dyDescent="0.25">
      <c r="A352" s="7"/>
      <c r="E352" s="7"/>
      <c r="F352" s="7"/>
    </row>
    <row r="353" spans="1:6" x14ac:dyDescent="0.25">
      <c r="A353" s="7"/>
      <c r="E353" s="7"/>
      <c r="F353" s="7"/>
    </row>
    <row r="354" spans="1:6" x14ac:dyDescent="0.25">
      <c r="A354" s="7"/>
      <c r="E354" s="7"/>
      <c r="F354" s="7"/>
    </row>
    <row r="355" spans="1:6" x14ac:dyDescent="0.25">
      <c r="A355" s="7"/>
      <c r="E355" s="7"/>
      <c r="F355" s="7"/>
    </row>
    <row r="356" spans="1:6" x14ac:dyDescent="0.25">
      <c r="A356" s="7"/>
      <c r="E356" s="7"/>
      <c r="F356" s="7"/>
    </row>
    <row r="357" spans="1:6" x14ac:dyDescent="0.25">
      <c r="A357" s="7"/>
      <c r="E357" s="7"/>
      <c r="F357" s="7"/>
    </row>
    <row r="358" spans="1:6" x14ac:dyDescent="0.25">
      <c r="A358" s="7"/>
      <c r="E358" s="7"/>
      <c r="F358" s="7"/>
    </row>
    <row r="359" spans="1:6" x14ac:dyDescent="0.25">
      <c r="A359" s="7"/>
      <c r="E359" s="7"/>
      <c r="F359" s="7"/>
    </row>
    <row r="360" spans="1:6" x14ac:dyDescent="0.25">
      <c r="A360" s="7"/>
      <c r="E360" s="7"/>
      <c r="F360" s="7"/>
    </row>
    <row r="361" spans="1:6" x14ac:dyDescent="0.25">
      <c r="A361" s="7"/>
      <c r="E361" s="7"/>
      <c r="F361" s="7"/>
    </row>
    <row r="362" spans="1:6" x14ac:dyDescent="0.25">
      <c r="A362" s="7"/>
      <c r="E362" s="7"/>
      <c r="F362" s="7"/>
    </row>
    <row r="363" spans="1:6" x14ac:dyDescent="0.25">
      <c r="A363" s="7"/>
      <c r="E363" s="7"/>
      <c r="F363" s="7"/>
    </row>
    <row r="364" spans="1:6" x14ac:dyDescent="0.25">
      <c r="A364" s="7"/>
      <c r="E364" s="7"/>
      <c r="F364" s="7"/>
    </row>
    <row r="365" spans="1:6" x14ac:dyDescent="0.25">
      <c r="A365" s="7"/>
      <c r="E365" s="7"/>
      <c r="F365" s="7"/>
    </row>
    <row r="366" spans="1:6" x14ac:dyDescent="0.25">
      <c r="A366" s="7"/>
      <c r="E366" s="7"/>
      <c r="F366" s="7"/>
    </row>
    <row r="367" spans="1:6" x14ac:dyDescent="0.25">
      <c r="A367" s="7"/>
      <c r="E367" s="7"/>
      <c r="F367" s="7"/>
    </row>
    <row r="368" spans="1:6" x14ac:dyDescent="0.25">
      <c r="A368" s="7"/>
      <c r="E368" s="7"/>
      <c r="F368" s="7"/>
    </row>
    <row r="369" spans="1:6" x14ac:dyDescent="0.25">
      <c r="A369" s="7"/>
      <c r="E369" s="7"/>
      <c r="F369" s="7"/>
    </row>
    <row r="370" spans="1:6" x14ac:dyDescent="0.25">
      <c r="A370" s="7"/>
      <c r="E370" s="7"/>
      <c r="F370" s="7"/>
    </row>
    <row r="371" spans="1:6" x14ac:dyDescent="0.25">
      <c r="A371" s="7"/>
      <c r="E371" s="7"/>
      <c r="F371" s="7"/>
    </row>
    <row r="372" spans="1:6" x14ac:dyDescent="0.25">
      <c r="A372" s="7"/>
      <c r="E372" s="7"/>
      <c r="F372" s="7"/>
    </row>
    <row r="373" spans="1:6" x14ac:dyDescent="0.25">
      <c r="A373" s="7"/>
      <c r="E373" s="7"/>
      <c r="F373" s="7"/>
    </row>
    <row r="374" spans="1:6" x14ac:dyDescent="0.25">
      <c r="A374" s="7"/>
      <c r="E374" s="7"/>
      <c r="F374" s="7"/>
    </row>
    <row r="375" spans="1:6" x14ac:dyDescent="0.25">
      <c r="A375" s="7"/>
      <c r="E375" s="7"/>
      <c r="F375" s="7"/>
    </row>
    <row r="376" spans="1:6" x14ac:dyDescent="0.25">
      <c r="A376" s="7"/>
      <c r="E376" s="7"/>
      <c r="F376" s="7"/>
    </row>
    <row r="377" spans="1:6" x14ac:dyDescent="0.25">
      <c r="A377" s="7"/>
      <c r="E377" s="7"/>
      <c r="F377" s="7"/>
    </row>
    <row r="378" spans="1:6" x14ac:dyDescent="0.25">
      <c r="A378" s="7"/>
      <c r="E378" s="7"/>
      <c r="F378" s="7"/>
    </row>
    <row r="379" spans="1:6" x14ac:dyDescent="0.25">
      <c r="A379" s="7"/>
      <c r="E379" s="7"/>
      <c r="F379" s="7"/>
    </row>
    <row r="380" spans="1:6" x14ac:dyDescent="0.25">
      <c r="A380" s="7"/>
      <c r="E380" s="7"/>
      <c r="F380" s="7"/>
    </row>
    <row r="381" spans="1:6" x14ac:dyDescent="0.25">
      <c r="A381" s="7"/>
      <c r="E381" s="7"/>
      <c r="F381" s="7"/>
    </row>
    <row r="382" spans="1:6" x14ac:dyDescent="0.25">
      <c r="A382" s="7"/>
      <c r="E382" s="7"/>
      <c r="F382" s="7"/>
    </row>
    <row r="383" spans="1:6" x14ac:dyDescent="0.25">
      <c r="A383" s="7"/>
      <c r="E383" s="7"/>
      <c r="F383" s="7"/>
    </row>
    <row r="384" spans="1:6" x14ac:dyDescent="0.25">
      <c r="A384" s="7"/>
      <c r="E384" s="7"/>
      <c r="F384" s="7"/>
    </row>
    <row r="385" spans="1:6" x14ac:dyDescent="0.25">
      <c r="A385" s="7"/>
      <c r="E385" s="7"/>
      <c r="F385" s="7"/>
    </row>
    <row r="386" spans="1:6" x14ac:dyDescent="0.25">
      <c r="A386" s="7"/>
      <c r="E386" s="7"/>
      <c r="F386" s="7"/>
    </row>
    <row r="387" spans="1:6" x14ac:dyDescent="0.25">
      <c r="A387" s="7"/>
      <c r="E387" s="7"/>
      <c r="F387" s="7"/>
    </row>
    <row r="388" spans="1:6" x14ac:dyDescent="0.25">
      <c r="A388" s="7"/>
      <c r="E388" s="7"/>
      <c r="F388" s="7"/>
    </row>
    <row r="389" spans="1:6" x14ac:dyDescent="0.25">
      <c r="A389" s="7"/>
      <c r="E389" s="7"/>
      <c r="F389" s="7"/>
    </row>
    <row r="390" spans="1:6" x14ac:dyDescent="0.25">
      <c r="A390" s="7"/>
      <c r="E390" s="7"/>
      <c r="F390" s="7"/>
    </row>
    <row r="391" spans="1:6" x14ac:dyDescent="0.25">
      <c r="A391" s="7"/>
      <c r="E391" s="7"/>
      <c r="F391" s="7"/>
    </row>
    <row r="392" spans="1:6" x14ac:dyDescent="0.25">
      <c r="A392" s="7"/>
      <c r="E392" s="7"/>
      <c r="F392" s="7"/>
    </row>
    <row r="393" spans="1:6" x14ac:dyDescent="0.25">
      <c r="A393" s="7"/>
      <c r="E393" s="7"/>
      <c r="F393" s="7"/>
    </row>
    <row r="394" spans="1:6" x14ac:dyDescent="0.25">
      <c r="A394" s="7"/>
      <c r="E394" s="7"/>
      <c r="F394" s="7"/>
    </row>
    <row r="395" spans="1:6" x14ac:dyDescent="0.25">
      <c r="A395" s="7"/>
      <c r="E395" s="7"/>
      <c r="F395" s="7"/>
    </row>
    <row r="396" spans="1:6" x14ac:dyDescent="0.25">
      <c r="A396" s="7"/>
      <c r="E396" s="7"/>
      <c r="F396" s="7"/>
    </row>
    <row r="397" spans="1:6" x14ac:dyDescent="0.25">
      <c r="A397" s="7"/>
      <c r="E397" s="7"/>
      <c r="F397" s="7"/>
    </row>
    <row r="398" spans="1:6" x14ac:dyDescent="0.25">
      <c r="A398" s="7"/>
      <c r="E398" s="7"/>
      <c r="F398" s="7"/>
    </row>
    <row r="399" spans="1:6" x14ac:dyDescent="0.25">
      <c r="A399" s="7"/>
      <c r="E399" s="7"/>
      <c r="F399" s="7"/>
    </row>
    <row r="400" spans="1:6" x14ac:dyDescent="0.25">
      <c r="A400" s="7"/>
      <c r="E400" s="7"/>
      <c r="F400" s="7"/>
    </row>
    <row r="401" spans="1:6" x14ac:dyDescent="0.25">
      <c r="A401" s="7"/>
      <c r="E401" s="7"/>
      <c r="F401" s="7"/>
    </row>
    <row r="402" spans="1:6" x14ac:dyDescent="0.25">
      <c r="A402" s="7"/>
      <c r="E402" s="7"/>
      <c r="F402" s="7"/>
    </row>
    <row r="403" spans="1:6" x14ac:dyDescent="0.25">
      <c r="A403" s="7"/>
      <c r="E403" s="7"/>
      <c r="F403" s="7"/>
    </row>
    <row r="404" spans="1:6" x14ac:dyDescent="0.25">
      <c r="A404" s="7"/>
      <c r="E404" s="7"/>
      <c r="F404" s="7"/>
    </row>
    <row r="405" spans="1:6" x14ac:dyDescent="0.25">
      <c r="A405" s="7"/>
      <c r="E405" s="7"/>
      <c r="F405" s="7"/>
    </row>
    <row r="406" spans="1:6" x14ac:dyDescent="0.25">
      <c r="A406" s="7"/>
      <c r="E406" s="7"/>
      <c r="F406" s="7"/>
    </row>
    <row r="407" spans="1:6" x14ac:dyDescent="0.25">
      <c r="A407" s="7"/>
      <c r="E407" s="7"/>
      <c r="F407" s="7"/>
    </row>
    <row r="408" spans="1:6" x14ac:dyDescent="0.25">
      <c r="A408" s="7"/>
      <c r="E408" s="7"/>
      <c r="F408" s="7"/>
    </row>
    <row r="409" spans="1:6" x14ac:dyDescent="0.25">
      <c r="A409" s="7"/>
      <c r="E409" s="7"/>
      <c r="F409" s="7"/>
    </row>
    <row r="410" spans="1:6" x14ac:dyDescent="0.25">
      <c r="A410" s="7"/>
      <c r="E410" s="7"/>
      <c r="F410" s="7"/>
    </row>
    <row r="411" spans="1:6" x14ac:dyDescent="0.25">
      <c r="A411" s="7"/>
      <c r="E411" s="7"/>
      <c r="F411" s="7"/>
    </row>
    <row r="412" spans="1:6" x14ac:dyDescent="0.25">
      <c r="A412" s="7"/>
      <c r="E412" s="7"/>
      <c r="F412" s="7"/>
    </row>
    <row r="413" spans="1:6" x14ac:dyDescent="0.25">
      <c r="A413" s="7"/>
      <c r="E413" s="7"/>
      <c r="F413" s="7"/>
    </row>
    <row r="414" spans="1:6" x14ac:dyDescent="0.25">
      <c r="A414" s="7"/>
      <c r="E414" s="7"/>
      <c r="F414" s="7"/>
    </row>
    <row r="415" spans="1:6" x14ac:dyDescent="0.25">
      <c r="A415" s="7"/>
      <c r="E415" s="7"/>
      <c r="F415" s="7"/>
    </row>
    <row r="416" spans="1:6" x14ac:dyDescent="0.25">
      <c r="A416" s="7"/>
      <c r="E416" s="7"/>
      <c r="F416" s="7"/>
    </row>
    <row r="417" spans="1:6" x14ac:dyDescent="0.25">
      <c r="A417" s="7"/>
      <c r="E417" s="7"/>
      <c r="F417" s="7"/>
    </row>
    <row r="418" spans="1:6" x14ac:dyDescent="0.25">
      <c r="A418" s="7"/>
      <c r="E418" s="7"/>
      <c r="F418" s="7"/>
    </row>
    <row r="419" spans="1:6" x14ac:dyDescent="0.25">
      <c r="A419" s="7"/>
      <c r="E419" s="7"/>
      <c r="F419" s="7"/>
    </row>
    <row r="420" spans="1:6" x14ac:dyDescent="0.25">
      <c r="A420" s="7"/>
      <c r="E420" s="7"/>
      <c r="F420" s="7"/>
    </row>
    <row r="421" spans="1:6" x14ac:dyDescent="0.25">
      <c r="A421" s="7"/>
      <c r="E421" s="7"/>
      <c r="F421" s="7"/>
    </row>
    <row r="422" spans="1:6" x14ac:dyDescent="0.25">
      <c r="A422" s="7"/>
      <c r="E422" s="7"/>
      <c r="F422" s="7"/>
    </row>
    <row r="423" spans="1:6" x14ac:dyDescent="0.25">
      <c r="A423" s="7"/>
      <c r="E423" s="7"/>
      <c r="F423" s="7"/>
    </row>
    <row r="424" spans="1:6" x14ac:dyDescent="0.25">
      <c r="A424" s="7"/>
      <c r="E424" s="7"/>
      <c r="F424" s="7"/>
    </row>
    <row r="425" spans="1:6" x14ac:dyDescent="0.25">
      <c r="A425" s="7"/>
      <c r="E425" s="7"/>
      <c r="F425" s="7"/>
    </row>
    <row r="426" spans="1:6" x14ac:dyDescent="0.25">
      <c r="A426" s="7"/>
      <c r="E426" s="7"/>
      <c r="F426" s="7"/>
    </row>
    <row r="427" spans="1:6" x14ac:dyDescent="0.25">
      <c r="A427" s="7"/>
      <c r="E427" s="7"/>
      <c r="F427" s="7"/>
    </row>
    <row r="428" spans="1:6" x14ac:dyDescent="0.25">
      <c r="A428" s="7"/>
      <c r="E428" s="7"/>
      <c r="F428" s="7"/>
    </row>
    <row r="429" spans="1:6" x14ac:dyDescent="0.25">
      <c r="A429" s="7"/>
      <c r="E429" s="7"/>
      <c r="F429" s="7"/>
    </row>
    <row r="430" spans="1:6" x14ac:dyDescent="0.25">
      <c r="A430" s="7"/>
      <c r="E430" s="7"/>
      <c r="F430" s="7"/>
    </row>
    <row r="431" spans="1:6" x14ac:dyDescent="0.25">
      <c r="A431" s="7"/>
      <c r="E431" s="7"/>
      <c r="F431" s="7"/>
    </row>
    <row r="432" spans="1:6" x14ac:dyDescent="0.25">
      <c r="A432" s="7"/>
      <c r="E432" s="7"/>
      <c r="F432" s="7"/>
    </row>
    <row r="433" spans="1:6" x14ac:dyDescent="0.25">
      <c r="A433" s="7"/>
      <c r="E433" s="7"/>
      <c r="F433" s="7"/>
    </row>
    <row r="434" spans="1:6" x14ac:dyDescent="0.25">
      <c r="A434" s="7"/>
      <c r="E434" s="7"/>
      <c r="F434" s="7"/>
    </row>
    <row r="435" spans="1:6" x14ac:dyDescent="0.25">
      <c r="A435" s="7"/>
      <c r="E435" s="7"/>
      <c r="F435" s="7"/>
    </row>
    <row r="436" spans="1:6" x14ac:dyDescent="0.25">
      <c r="A436" s="7"/>
      <c r="E436" s="7"/>
      <c r="F436" s="7"/>
    </row>
    <row r="437" spans="1:6" x14ac:dyDescent="0.25">
      <c r="A437" s="7"/>
      <c r="E437" s="7"/>
      <c r="F437" s="7"/>
    </row>
    <row r="438" spans="1:6" x14ac:dyDescent="0.25">
      <c r="A438" s="7"/>
      <c r="E438" s="7"/>
      <c r="F438" s="7"/>
    </row>
    <row r="439" spans="1:6" x14ac:dyDescent="0.25">
      <c r="A439" s="7"/>
      <c r="E439" s="7"/>
      <c r="F439" s="7"/>
    </row>
    <row r="440" spans="1:6" x14ac:dyDescent="0.25">
      <c r="A440" s="7"/>
      <c r="E440" s="7"/>
      <c r="F440" s="7"/>
    </row>
    <row r="441" spans="1:6" x14ac:dyDescent="0.25">
      <c r="A441" s="7"/>
      <c r="E441" s="7"/>
      <c r="F441" s="7"/>
    </row>
    <row r="442" spans="1:6" x14ac:dyDescent="0.25">
      <c r="A442" s="7"/>
      <c r="E442" s="7"/>
      <c r="F442" s="7"/>
    </row>
    <row r="443" spans="1:6" x14ac:dyDescent="0.25">
      <c r="A443" s="7"/>
      <c r="E443" s="7"/>
      <c r="F443" s="7"/>
    </row>
    <row r="444" spans="1:6" x14ac:dyDescent="0.25">
      <c r="A444" s="7"/>
      <c r="E444" s="7"/>
      <c r="F444" s="7"/>
    </row>
    <row r="445" spans="1:6" x14ac:dyDescent="0.25">
      <c r="A445" s="7"/>
      <c r="E445" s="7"/>
      <c r="F445" s="7"/>
    </row>
    <row r="446" spans="1:6" x14ac:dyDescent="0.25">
      <c r="A446" s="7"/>
      <c r="E446" s="7"/>
      <c r="F446" s="7"/>
    </row>
    <row r="447" spans="1:6" x14ac:dyDescent="0.25">
      <c r="A447" s="7"/>
      <c r="E447" s="7"/>
      <c r="F447" s="7"/>
    </row>
    <row r="448" spans="1:6" x14ac:dyDescent="0.25">
      <c r="A448" s="7"/>
      <c r="E448" s="7"/>
      <c r="F448" s="7"/>
    </row>
    <row r="449" spans="1:6" x14ac:dyDescent="0.25">
      <c r="A449" s="7"/>
      <c r="E449" s="7"/>
      <c r="F449" s="7"/>
    </row>
    <row r="450" spans="1:6" x14ac:dyDescent="0.25">
      <c r="A450" s="7"/>
      <c r="E450" s="7"/>
      <c r="F450" s="7"/>
    </row>
    <row r="451" spans="1:6" x14ac:dyDescent="0.25">
      <c r="A451" s="7"/>
      <c r="E451" s="7"/>
      <c r="F451" s="7"/>
    </row>
    <row r="452" spans="1:6" x14ac:dyDescent="0.25">
      <c r="A452" s="7"/>
      <c r="E452" s="7"/>
      <c r="F452" s="7"/>
    </row>
    <row r="453" spans="1:6" x14ac:dyDescent="0.25">
      <c r="A453" s="7"/>
      <c r="E453" s="7"/>
      <c r="F453" s="7"/>
    </row>
    <row r="454" spans="1:6" x14ac:dyDescent="0.25">
      <c r="A454" s="7"/>
      <c r="E454" s="7"/>
      <c r="F454" s="7"/>
    </row>
    <row r="455" spans="1:6" x14ac:dyDescent="0.25">
      <c r="A455" s="7"/>
      <c r="E455" s="7"/>
      <c r="F455" s="7"/>
    </row>
    <row r="456" spans="1:6" x14ac:dyDescent="0.25">
      <c r="A456" s="7"/>
      <c r="E456" s="7"/>
      <c r="F456" s="7"/>
    </row>
    <row r="457" spans="1:6" x14ac:dyDescent="0.25">
      <c r="A457" s="7"/>
      <c r="E457" s="7"/>
      <c r="F457" s="7"/>
    </row>
    <row r="458" spans="1:6" x14ac:dyDescent="0.25">
      <c r="A458" s="7"/>
      <c r="E458" s="7"/>
      <c r="F458" s="7"/>
    </row>
    <row r="459" spans="1:6" x14ac:dyDescent="0.25">
      <c r="A459" s="7"/>
      <c r="E459" s="7"/>
      <c r="F459" s="7"/>
    </row>
    <row r="460" spans="1:6" x14ac:dyDescent="0.25">
      <c r="A460" s="7"/>
      <c r="E460" s="7"/>
      <c r="F460" s="7"/>
    </row>
    <row r="461" spans="1:6" x14ac:dyDescent="0.25">
      <c r="A461" s="7"/>
      <c r="E461" s="7"/>
      <c r="F461" s="7"/>
    </row>
    <row r="462" spans="1:6" x14ac:dyDescent="0.25">
      <c r="A462" s="7"/>
      <c r="E462" s="7"/>
      <c r="F462" s="7"/>
    </row>
    <row r="463" spans="1:6" x14ac:dyDescent="0.25">
      <c r="A463" s="7"/>
      <c r="E463" s="7"/>
      <c r="F463" s="7"/>
    </row>
    <row r="464" spans="1:6" x14ac:dyDescent="0.25">
      <c r="A464" s="7"/>
      <c r="E464" s="7"/>
      <c r="F464" s="7"/>
    </row>
    <row r="465" spans="1:6" x14ac:dyDescent="0.25">
      <c r="A465" s="7"/>
      <c r="E465" s="7"/>
      <c r="F465" s="7"/>
    </row>
    <row r="466" spans="1:6" x14ac:dyDescent="0.25">
      <c r="A466" s="7"/>
      <c r="E466" s="7"/>
      <c r="F466" s="7"/>
    </row>
    <row r="467" spans="1:6" x14ac:dyDescent="0.25">
      <c r="A467" s="7"/>
      <c r="E467" s="7"/>
      <c r="F467" s="7"/>
    </row>
    <row r="468" spans="1:6" x14ac:dyDescent="0.25">
      <c r="A468" s="7"/>
      <c r="E468" s="7"/>
      <c r="F468" s="7"/>
    </row>
    <row r="469" spans="1:6" x14ac:dyDescent="0.25">
      <c r="A469" s="7"/>
      <c r="E469" s="7"/>
      <c r="F469" s="7"/>
    </row>
    <row r="470" spans="1:6" x14ac:dyDescent="0.25">
      <c r="A470" s="7"/>
      <c r="E470" s="7"/>
      <c r="F470" s="7"/>
    </row>
    <row r="471" spans="1:6" x14ac:dyDescent="0.25">
      <c r="A471" s="7"/>
      <c r="E471" s="7"/>
      <c r="F471" s="7"/>
    </row>
    <row r="472" spans="1:6" x14ac:dyDescent="0.25">
      <c r="A472" s="7"/>
      <c r="E472" s="7"/>
      <c r="F472" s="7"/>
    </row>
    <row r="473" spans="1:6" x14ac:dyDescent="0.25">
      <c r="A473" s="7"/>
      <c r="E473" s="7"/>
      <c r="F473" s="7"/>
    </row>
    <row r="474" spans="1:6" x14ac:dyDescent="0.25">
      <c r="A474" s="7"/>
      <c r="E474" s="7"/>
      <c r="F474" s="7"/>
    </row>
    <row r="475" spans="1:6" x14ac:dyDescent="0.25">
      <c r="A475" s="7"/>
      <c r="E475" s="7"/>
      <c r="F475" s="7"/>
    </row>
    <row r="476" spans="1:6" x14ac:dyDescent="0.25">
      <c r="A476" s="7"/>
      <c r="E476" s="7"/>
      <c r="F476" s="7"/>
    </row>
    <row r="477" spans="1:6" x14ac:dyDescent="0.25">
      <c r="A477" s="7"/>
      <c r="E477" s="7"/>
      <c r="F477" s="7"/>
    </row>
    <row r="478" spans="1:6" x14ac:dyDescent="0.25">
      <c r="A478" s="7"/>
      <c r="E478" s="7"/>
      <c r="F478" s="7"/>
    </row>
    <row r="479" spans="1:6" x14ac:dyDescent="0.25">
      <c r="A479" s="7"/>
      <c r="E479" s="7"/>
      <c r="F479" s="7"/>
    </row>
    <row r="480" spans="1:6" x14ac:dyDescent="0.25">
      <c r="A480" s="7"/>
      <c r="E480" s="7"/>
      <c r="F480" s="7"/>
    </row>
    <row r="481" spans="1:6" x14ac:dyDescent="0.25">
      <c r="A481" s="7"/>
      <c r="E481" s="7"/>
      <c r="F481" s="7"/>
    </row>
    <row r="482" spans="1:6" x14ac:dyDescent="0.25">
      <c r="A482" s="7"/>
      <c r="E482" s="7"/>
      <c r="F482" s="7"/>
    </row>
    <row r="483" spans="1:6" x14ac:dyDescent="0.25">
      <c r="A483" s="7"/>
      <c r="E483" s="7"/>
      <c r="F483" s="7"/>
    </row>
    <row r="484" spans="1:6" x14ac:dyDescent="0.25">
      <c r="A484" s="7"/>
      <c r="E484" s="7"/>
      <c r="F484" s="7"/>
    </row>
    <row r="485" spans="1:6" x14ac:dyDescent="0.25">
      <c r="A485" s="7"/>
      <c r="E485" s="7"/>
      <c r="F485" s="7"/>
    </row>
    <row r="486" spans="1:6" x14ac:dyDescent="0.25">
      <c r="A486" s="7"/>
      <c r="E486" s="7"/>
      <c r="F486" s="7"/>
    </row>
    <row r="487" spans="1:6" x14ac:dyDescent="0.25">
      <c r="A487" s="7"/>
      <c r="E487" s="7"/>
      <c r="F487" s="7"/>
    </row>
    <row r="488" spans="1:6" x14ac:dyDescent="0.25">
      <c r="A488" s="7"/>
      <c r="E488" s="7"/>
      <c r="F488" s="7"/>
    </row>
    <row r="489" spans="1:6" x14ac:dyDescent="0.25">
      <c r="A489" s="7"/>
      <c r="E489" s="7"/>
      <c r="F489" s="7"/>
    </row>
    <row r="490" spans="1:6" x14ac:dyDescent="0.25">
      <c r="A490" s="7"/>
      <c r="E490" s="7"/>
      <c r="F490" s="7"/>
    </row>
    <row r="491" spans="1:6" x14ac:dyDescent="0.25">
      <c r="A491" s="7"/>
      <c r="E491" s="7"/>
      <c r="F491" s="7"/>
    </row>
    <row r="492" spans="1:6" x14ac:dyDescent="0.25">
      <c r="A492" s="7"/>
      <c r="E492" s="7"/>
      <c r="F492" s="7"/>
    </row>
    <row r="493" spans="1:6" x14ac:dyDescent="0.25">
      <c r="A493" s="7"/>
      <c r="E493" s="7"/>
      <c r="F493" s="7"/>
    </row>
    <row r="494" spans="1:6" x14ac:dyDescent="0.25">
      <c r="A494" s="7"/>
      <c r="E494" s="7"/>
      <c r="F494" s="7"/>
    </row>
    <row r="495" spans="1:6" x14ac:dyDescent="0.25">
      <c r="A495" s="7"/>
      <c r="E495" s="7"/>
      <c r="F495" s="7"/>
    </row>
    <row r="496" spans="1:6" x14ac:dyDescent="0.25">
      <c r="A496" s="7"/>
      <c r="E496" s="7"/>
      <c r="F496" s="7"/>
    </row>
    <row r="497" spans="1:6" x14ac:dyDescent="0.25">
      <c r="A497" s="7"/>
      <c r="E497" s="7"/>
      <c r="F497" s="7"/>
    </row>
    <row r="498" spans="1:6" x14ac:dyDescent="0.25">
      <c r="A498" s="7"/>
      <c r="E498" s="7"/>
      <c r="F498" s="7"/>
    </row>
    <row r="499" spans="1:6" x14ac:dyDescent="0.25">
      <c r="A499" s="7"/>
      <c r="E499" s="7"/>
      <c r="F499" s="7"/>
    </row>
    <row r="500" spans="1:6" x14ac:dyDescent="0.25">
      <c r="A500" s="7"/>
      <c r="E500" s="7"/>
      <c r="F500" s="7"/>
    </row>
    <row r="501" spans="1:6" x14ac:dyDescent="0.25">
      <c r="A501" s="7"/>
      <c r="E501" s="7"/>
      <c r="F501" s="7"/>
    </row>
    <row r="502" spans="1:6" x14ac:dyDescent="0.25">
      <c r="A502" s="7"/>
      <c r="E502" s="7"/>
      <c r="F502" s="7"/>
    </row>
    <row r="503" spans="1:6" x14ac:dyDescent="0.25">
      <c r="A503" s="7"/>
      <c r="E503" s="7"/>
      <c r="F503" s="7"/>
    </row>
    <row r="504" spans="1:6" x14ac:dyDescent="0.25">
      <c r="A504" s="7"/>
      <c r="E504" s="7"/>
      <c r="F504" s="7"/>
    </row>
    <row r="505" spans="1:6" x14ac:dyDescent="0.25">
      <c r="A505" s="7"/>
      <c r="E505" s="7"/>
      <c r="F505" s="7"/>
    </row>
    <row r="506" spans="1:6" x14ac:dyDescent="0.25">
      <c r="A506" s="7"/>
      <c r="E506" s="7"/>
      <c r="F506" s="7"/>
    </row>
    <row r="507" spans="1:6" x14ac:dyDescent="0.25">
      <c r="A507" s="7"/>
      <c r="E507" s="7"/>
      <c r="F507" s="7"/>
    </row>
    <row r="508" spans="1:6" x14ac:dyDescent="0.25">
      <c r="A508" s="7"/>
      <c r="E508" s="7"/>
      <c r="F508" s="7"/>
    </row>
    <row r="509" spans="1:6" x14ac:dyDescent="0.25">
      <c r="A509" s="7"/>
      <c r="E509" s="7"/>
      <c r="F509" s="7"/>
    </row>
    <row r="510" spans="1:6" x14ac:dyDescent="0.25">
      <c r="A510" s="7"/>
      <c r="E510" s="7"/>
      <c r="F510" s="7"/>
    </row>
    <row r="511" spans="1:6" x14ac:dyDescent="0.25">
      <c r="A511" s="7"/>
      <c r="E511" s="7"/>
      <c r="F511" s="7"/>
    </row>
    <row r="512" spans="1:6" x14ac:dyDescent="0.25">
      <c r="A512" s="7"/>
      <c r="E512" s="7"/>
      <c r="F512" s="7"/>
    </row>
    <row r="513" spans="1:6" x14ac:dyDescent="0.25">
      <c r="A513" s="7"/>
      <c r="E513" s="7"/>
      <c r="F513" s="7"/>
    </row>
    <row r="514" spans="1:6" x14ac:dyDescent="0.25">
      <c r="A514" s="7"/>
      <c r="E514" s="7"/>
      <c r="F514" s="7"/>
    </row>
    <row r="515" spans="1:6" x14ac:dyDescent="0.25">
      <c r="A515" s="7"/>
      <c r="E515" s="7"/>
      <c r="F515" s="7"/>
    </row>
    <row r="516" spans="1:6" x14ac:dyDescent="0.25">
      <c r="A516" s="7"/>
      <c r="E516" s="7"/>
      <c r="F516" s="7"/>
    </row>
    <row r="517" spans="1:6" x14ac:dyDescent="0.25">
      <c r="A517" s="7"/>
      <c r="E517" s="7"/>
      <c r="F517" s="7"/>
    </row>
    <row r="518" spans="1:6" x14ac:dyDescent="0.25">
      <c r="A518" s="7"/>
      <c r="E518" s="7"/>
      <c r="F518" s="7"/>
    </row>
    <row r="519" spans="1:6" x14ac:dyDescent="0.25">
      <c r="A519" s="7"/>
      <c r="E519" s="7"/>
      <c r="F519" s="7"/>
    </row>
    <row r="520" spans="1:6" x14ac:dyDescent="0.25">
      <c r="A520" s="7"/>
      <c r="E520" s="7"/>
      <c r="F520" s="7"/>
    </row>
    <row r="521" spans="1:6" x14ac:dyDescent="0.25">
      <c r="A521" s="7"/>
      <c r="E521" s="7"/>
      <c r="F521" s="7"/>
    </row>
    <row r="522" spans="1:6" x14ac:dyDescent="0.25">
      <c r="A522" s="7"/>
      <c r="E522" s="7"/>
      <c r="F522" s="7"/>
    </row>
    <row r="523" spans="1:6" x14ac:dyDescent="0.25">
      <c r="A523" s="7"/>
      <c r="E523" s="7"/>
      <c r="F523" s="7"/>
    </row>
    <row r="524" spans="1:6" x14ac:dyDescent="0.25">
      <c r="A524" s="7"/>
      <c r="E524" s="7"/>
      <c r="F524" s="7"/>
    </row>
    <row r="525" spans="1:6" x14ac:dyDescent="0.25">
      <c r="A525" s="7"/>
      <c r="E525" s="7"/>
      <c r="F525" s="7"/>
    </row>
    <row r="526" spans="1:6" x14ac:dyDescent="0.25">
      <c r="A526" s="7"/>
      <c r="E526" s="7"/>
      <c r="F526" s="7"/>
    </row>
    <row r="527" spans="1:6" x14ac:dyDescent="0.25">
      <c r="A527" s="7"/>
      <c r="E527" s="7"/>
      <c r="F527" s="7"/>
    </row>
    <row r="528" spans="1:6" x14ac:dyDescent="0.25">
      <c r="A528" s="7"/>
      <c r="E528" s="7"/>
      <c r="F528" s="7"/>
    </row>
    <row r="529" spans="1:6" x14ac:dyDescent="0.25">
      <c r="A529" s="7"/>
      <c r="E529" s="7"/>
      <c r="F529" s="7"/>
    </row>
    <row r="530" spans="1:6" x14ac:dyDescent="0.25">
      <c r="A530" s="7"/>
      <c r="E530" s="7"/>
      <c r="F530" s="7"/>
    </row>
    <row r="531" spans="1:6" x14ac:dyDescent="0.25">
      <c r="A531" s="7"/>
      <c r="E531" s="7"/>
      <c r="F531" s="7"/>
    </row>
    <row r="532" spans="1:6" x14ac:dyDescent="0.25">
      <c r="A532" s="7"/>
      <c r="E532" s="7"/>
      <c r="F532" s="7"/>
    </row>
    <row r="533" spans="1:6" x14ac:dyDescent="0.25">
      <c r="A533" s="7"/>
      <c r="E533" s="7"/>
      <c r="F533" s="7"/>
    </row>
    <row r="534" spans="1:6" x14ac:dyDescent="0.25">
      <c r="A534" s="7"/>
      <c r="E534" s="7"/>
      <c r="F534" s="7"/>
    </row>
    <row r="535" spans="1:6" x14ac:dyDescent="0.25">
      <c r="A535" s="7"/>
      <c r="E535" s="7"/>
      <c r="F535" s="7"/>
    </row>
    <row r="536" spans="1:6" x14ac:dyDescent="0.25">
      <c r="A536" s="7"/>
      <c r="E536" s="7"/>
      <c r="F536" s="7"/>
    </row>
    <row r="537" spans="1:6" x14ac:dyDescent="0.25">
      <c r="A537" s="7"/>
      <c r="E537" s="7"/>
      <c r="F537" s="7"/>
    </row>
    <row r="538" spans="1:6" x14ac:dyDescent="0.25">
      <c r="A538" s="7"/>
      <c r="E538" s="7"/>
      <c r="F538" s="7"/>
    </row>
    <row r="539" spans="1:6" x14ac:dyDescent="0.25">
      <c r="A539" s="7"/>
      <c r="E539" s="7"/>
      <c r="F539" s="7"/>
    </row>
    <row r="540" spans="1:6" x14ac:dyDescent="0.25">
      <c r="A540" s="7"/>
      <c r="E540" s="7"/>
      <c r="F540" s="7"/>
    </row>
    <row r="541" spans="1:6" x14ac:dyDescent="0.25">
      <c r="A541" s="7"/>
      <c r="E541" s="7"/>
      <c r="F541" s="7"/>
    </row>
    <row r="542" spans="1:6" x14ac:dyDescent="0.25">
      <c r="A542" s="7"/>
      <c r="E542" s="7"/>
      <c r="F542" s="7"/>
    </row>
    <row r="543" spans="1:6" x14ac:dyDescent="0.25">
      <c r="A543" s="7"/>
      <c r="E543" s="7"/>
      <c r="F543" s="7"/>
    </row>
    <row r="544" spans="1:6" x14ac:dyDescent="0.25">
      <c r="A544" s="7"/>
      <c r="E544" s="7"/>
      <c r="F544" s="7"/>
    </row>
    <row r="545" spans="1:6" x14ac:dyDescent="0.25">
      <c r="A545" s="7"/>
      <c r="E545" s="7"/>
      <c r="F545" s="7"/>
    </row>
    <row r="546" spans="1:6" x14ac:dyDescent="0.25">
      <c r="A546" s="7"/>
      <c r="E546" s="7"/>
      <c r="F546" s="7"/>
    </row>
    <row r="547" spans="1:6" x14ac:dyDescent="0.25">
      <c r="A547" s="7"/>
      <c r="E547" s="7"/>
      <c r="F547" s="7"/>
    </row>
    <row r="548" spans="1:6" x14ac:dyDescent="0.25">
      <c r="A548" s="7"/>
      <c r="E548" s="7"/>
      <c r="F548" s="7"/>
    </row>
    <row r="549" spans="1:6" x14ac:dyDescent="0.25">
      <c r="A549" s="7"/>
      <c r="E549" s="7"/>
      <c r="F549" s="7"/>
    </row>
    <row r="550" spans="1:6" x14ac:dyDescent="0.25">
      <c r="A550" s="7"/>
      <c r="E550" s="7"/>
      <c r="F550" s="7"/>
    </row>
    <row r="551" spans="1:6" x14ac:dyDescent="0.25">
      <c r="A551" s="7"/>
      <c r="E551" s="7"/>
      <c r="F551" s="7"/>
    </row>
    <row r="552" spans="1:6" x14ac:dyDescent="0.25">
      <c r="A552" s="7"/>
      <c r="E552" s="7"/>
      <c r="F552" s="7"/>
    </row>
    <row r="553" spans="1:6" x14ac:dyDescent="0.25">
      <c r="A553" s="7"/>
      <c r="E553" s="7"/>
      <c r="F553" s="7"/>
    </row>
    <row r="554" spans="1:6" x14ac:dyDescent="0.25">
      <c r="A554" s="7"/>
      <c r="E554" s="7"/>
      <c r="F554" s="7"/>
    </row>
    <row r="555" spans="1:6" x14ac:dyDescent="0.25">
      <c r="A555" s="7"/>
      <c r="E555" s="7"/>
      <c r="F555" s="7"/>
    </row>
    <row r="556" spans="1:6" x14ac:dyDescent="0.25">
      <c r="A556" s="7"/>
      <c r="E556" s="7"/>
      <c r="F556" s="7"/>
    </row>
    <row r="557" spans="1:6" x14ac:dyDescent="0.25">
      <c r="A557" s="7"/>
      <c r="E557" s="7"/>
      <c r="F557" s="7"/>
    </row>
    <row r="558" spans="1:6" x14ac:dyDescent="0.25">
      <c r="A558" s="7"/>
      <c r="E558" s="7"/>
      <c r="F558" s="7"/>
    </row>
    <row r="559" spans="1:6" x14ac:dyDescent="0.25">
      <c r="A559" s="7"/>
      <c r="E559" s="7"/>
      <c r="F559" s="7"/>
    </row>
    <row r="560" spans="1:6" x14ac:dyDescent="0.25">
      <c r="A560" s="7"/>
      <c r="E560" s="7"/>
      <c r="F560" s="7"/>
    </row>
    <row r="561" spans="1:6" x14ac:dyDescent="0.25">
      <c r="A561" s="7"/>
      <c r="E561" s="7"/>
      <c r="F561" s="7"/>
    </row>
    <row r="562" spans="1:6" x14ac:dyDescent="0.25">
      <c r="A562" s="7"/>
      <c r="E562" s="7"/>
      <c r="F562" s="7"/>
    </row>
    <row r="563" spans="1:6" x14ac:dyDescent="0.25">
      <c r="A563" s="7"/>
      <c r="E563" s="7"/>
      <c r="F563" s="7"/>
    </row>
    <row r="564" spans="1:6" x14ac:dyDescent="0.25">
      <c r="A564" s="7"/>
      <c r="E564" s="7"/>
      <c r="F564" s="7"/>
    </row>
    <row r="565" spans="1:6" x14ac:dyDescent="0.25">
      <c r="A565" s="7"/>
      <c r="E565" s="7"/>
      <c r="F565" s="7"/>
    </row>
    <row r="566" spans="1:6" x14ac:dyDescent="0.25">
      <c r="A566" s="7"/>
      <c r="E566" s="7"/>
      <c r="F566" s="7"/>
    </row>
    <row r="567" spans="1:6" x14ac:dyDescent="0.25">
      <c r="A567" s="7"/>
      <c r="E567" s="7"/>
      <c r="F567" s="7"/>
    </row>
    <row r="568" spans="1:6" x14ac:dyDescent="0.25">
      <c r="A568" s="7"/>
      <c r="E568" s="7"/>
      <c r="F568" s="7"/>
    </row>
    <row r="569" spans="1:6" x14ac:dyDescent="0.25">
      <c r="A569" s="7"/>
      <c r="E569" s="7"/>
      <c r="F569" s="7"/>
    </row>
    <row r="570" spans="1:6" x14ac:dyDescent="0.25">
      <c r="A570" s="7"/>
      <c r="E570" s="7"/>
      <c r="F570" s="7"/>
    </row>
    <row r="571" spans="1:6" x14ac:dyDescent="0.25">
      <c r="A571" s="7"/>
      <c r="E571" s="7"/>
      <c r="F571" s="7"/>
    </row>
    <row r="572" spans="1:6" x14ac:dyDescent="0.25">
      <c r="A572" s="7"/>
      <c r="E572" s="7"/>
      <c r="F572" s="7"/>
    </row>
    <row r="573" spans="1:6" x14ac:dyDescent="0.25">
      <c r="A573" s="7"/>
      <c r="E573" s="7"/>
      <c r="F573" s="7"/>
    </row>
    <row r="574" spans="1:6" x14ac:dyDescent="0.25">
      <c r="A574" s="7"/>
      <c r="E574" s="7"/>
      <c r="F574" s="7"/>
    </row>
    <row r="575" spans="1:6" x14ac:dyDescent="0.25">
      <c r="A575" s="7"/>
      <c r="E575" s="7"/>
      <c r="F575" s="7"/>
    </row>
    <row r="576" spans="1:6" x14ac:dyDescent="0.25">
      <c r="A576" s="7"/>
      <c r="E576" s="7"/>
      <c r="F576" s="7"/>
    </row>
    <row r="577" spans="1:6" x14ac:dyDescent="0.25">
      <c r="A577" s="7"/>
      <c r="E577" s="7"/>
      <c r="F577" s="7"/>
    </row>
    <row r="578" spans="1:6" x14ac:dyDescent="0.25">
      <c r="A578" s="7"/>
      <c r="E578" s="7"/>
      <c r="F578" s="7"/>
    </row>
    <row r="579" spans="1:6" x14ac:dyDescent="0.25">
      <c r="A579" s="7"/>
      <c r="E579" s="7"/>
      <c r="F579" s="7"/>
    </row>
    <row r="580" spans="1:6" x14ac:dyDescent="0.25">
      <c r="A580" s="7"/>
      <c r="E580" s="7"/>
      <c r="F580" s="7"/>
    </row>
    <row r="581" spans="1:6" x14ac:dyDescent="0.25">
      <c r="A581" s="7"/>
      <c r="E581" s="7"/>
      <c r="F581" s="7"/>
    </row>
    <row r="582" spans="1:6" x14ac:dyDescent="0.25">
      <c r="A582" s="7"/>
      <c r="E582" s="7"/>
      <c r="F582" s="7"/>
    </row>
    <row r="583" spans="1:6" x14ac:dyDescent="0.25">
      <c r="A583" s="7"/>
      <c r="E583" s="7"/>
      <c r="F583" s="7"/>
    </row>
    <row r="584" spans="1:6" x14ac:dyDescent="0.25">
      <c r="A584" s="7"/>
      <c r="E584" s="7"/>
      <c r="F584" s="7"/>
    </row>
    <row r="585" spans="1:6" x14ac:dyDescent="0.25">
      <c r="A585" s="7"/>
      <c r="E585" s="7"/>
      <c r="F585" s="7"/>
    </row>
    <row r="586" spans="1:6" x14ac:dyDescent="0.25">
      <c r="A586" s="7"/>
      <c r="E586" s="7"/>
      <c r="F586" s="7"/>
    </row>
    <row r="587" spans="1:6" x14ac:dyDescent="0.25">
      <c r="A587" s="7"/>
      <c r="E587" s="7"/>
      <c r="F587" s="7"/>
    </row>
    <row r="588" spans="1:6" x14ac:dyDescent="0.25">
      <c r="A588" s="7"/>
      <c r="E588" s="7"/>
      <c r="F588" s="7"/>
    </row>
    <row r="589" spans="1:6" x14ac:dyDescent="0.25">
      <c r="A589" s="7"/>
      <c r="E589" s="7"/>
      <c r="F589" s="7"/>
    </row>
    <row r="590" spans="1:6" x14ac:dyDescent="0.25">
      <c r="A590" s="7"/>
      <c r="E590" s="7"/>
      <c r="F590" s="7"/>
    </row>
    <row r="591" spans="1:6" x14ac:dyDescent="0.25">
      <c r="A591" s="7"/>
      <c r="E591" s="7"/>
      <c r="F591" s="7"/>
    </row>
    <row r="592" spans="1:6" x14ac:dyDescent="0.25">
      <c r="A592" s="7"/>
      <c r="E592" s="7"/>
      <c r="F592" s="7"/>
    </row>
    <row r="593" spans="1:6" x14ac:dyDescent="0.25">
      <c r="A593" s="7"/>
      <c r="E593" s="7"/>
      <c r="F593" s="7"/>
    </row>
    <row r="594" spans="1:6" x14ac:dyDescent="0.25">
      <c r="A594" s="7"/>
      <c r="E594" s="7"/>
      <c r="F594" s="7"/>
    </row>
    <row r="595" spans="1:6" x14ac:dyDescent="0.25">
      <c r="A595" s="7"/>
      <c r="E595" s="7"/>
      <c r="F595" s="7"/>
    </row>
    <row r="596" spans="1:6" x14ac:dyDescent="0.25">
      <c r="A596" s="7"/>
      <c r="E596" s="7"/>
      <c r="F596" s="7"/>
    </row>
    <row r="597" spans="1:6" x14ac:dyDescent="0.25">
      <c r="A597" s="7"/>
      <c r="E597" s="7"/>
      <c r="F597" s="7"/>
    </row>
    <row r="598" spans="1:6" x14ac:dyDescent="0.25">
      <c r="A598" s="7"/>
      <c r="E598" s="7"/>
      <c r="F598" s="7"/>
    </row>
    <row r="599" spans="1:6" x14ac:dyDescent="0.25">
      <c r="A599" s="7"/>
      <c r="E599" s="7"/>
      <c r="F599" s="7"/>
    </row>
    <row r="600" spans="1:6" x14ac:dyDescent="0.25">
      <c r="A600" s="7"/>
      <c r="E600" s="7"/>
      <c r="F600" s="7"/>
    </row>
    <row r="601" spans="1:6" x14ac:dyDescent="0.25">
      <c r="A601" s="7"/>
      <c r="E601" s="7"/>
      <c r="F601" s="7"/>
    </row>
    <row r="602" spans="1:6" x14ac:dyDescent="0.25">
      <c r="A602" s="7"/>
      <c r="E602" s="7"/>
      <c r="F602" s="7"/>
    </row>
    <row r="603" spans="1:6" x14ac:dyDescent="0.25">
      <c r="A603" s="7"/>
      <c r="E603" s="7"/>
      <c r="F603" s="7"/>
    </row>
    <row r="604" spans="1:6" x14ac:dyDescent="0.25">
      <c r="A604" s="7"/>
      <c r="E604" s="7"/>
      <c r="F604" s="7"/>
    </row>
    <row r="605" spans="1:6" x14ac:dyDescent="0.25">
      <c r="A605" s="7"/>
      <c r="E605" s="7"/>
      <c r="F605" s="7"/>
    </row>
    <row r="606" spans="1:6" x14ac:dyDescent="0.25">
      <c r="A606" s="7"/>
      <c r="E606" s="7"/>
      <c r="F606" s="7"/>
    </row>
    <row r="607" spans="1:6" x14ac:dyDescent="0.25">
      <c r="A607" s="7"/>
      <c r="E607" s="7"/>
      <c r="F607" s="7"/>
    </row>
    <row r="608" spans="1:6" x14ac:dyDescent="0.25">
      <c r="A608" s="7"/>
      <c r="E608" s="7"/>
      <c r="F608" s="7"/>
    </row>
    <row r="609" spans="1:6" x14ac:dyDescent="0.25">
      <c r="A609" s="7"/>
      <c r="E609" s="7"/>
      <c r="F609" s="7"/>
    </row>
    <row r="610" spans="1:6" x14ac:dyDescent="0.25">
      <c r="A610" s="7"/>
      <c r="E610" s="7"/>
      <c r="F610" s="7"/>
    </row>
    <row r="611" spans="1:6" x14ac:dyDescent="0.25">
      <c r="A611" s="7"/>
      <c r="E611" s="7"/>
      <c r="F611" s="7"/>
    </row>
    <row r="612" spans="1:6" x14ac:dyDescent="0.25">
      <c r="A612" s="7"/>
      <c r="E612" s="7"/>
      <c r="F612" s="7"/>
    </row>
    <row r="613" spans="1:6" x14ac:dyDescent="0.25">
      <c r="A613" s="7"/>
      <c r="E613" s="7"/>
      <c r="F613" s="7"/>
    </row>
    <row r="614" spans="1:6" x14ac:dyDescent="0.25">
      <c r="A614" s="7"/>
      <c r="E614" s="7"/>
      <c r="F614" s="7"/>
    </row>
    <row r="615" spans="1:6" x14ac:dyDescent="0.25">
      <c r="A615" s="7"/>
      <c r="E615" s="7"/>
      <c r="F615" s="7"/>
    </row>
    <row r="616" spans="1:6" x14ac:dyDescent="0.25">
      <c r="A616" s="7"/>
      <c r="E616" s="7"/>
      <c r="F616" s="7"/>
    </row>
    <row r="617" spans="1:6" x14ac:dyDescent="0.25">
      <c r="A617" s="7"/>
      <c r="E617" s="7"/>
      <c r="F617" s="7"/>
    </row>
    <row r="618" spans="1:6" x14ac:dyDescent="0.25">
      <c r="A618" s="7"/>
      <c r="E618" s="7"/>
      <c r="F618" s="7"/>
    </row>
    <row r="619" spans="1:6" x14ac:dyDescent="0.25">
      <c r="A619" s="7"/>
      <c r="E619" s="7"/>
      <c r="F619" s="7"/>
    </row>
    <row r="620" spans="1:6" x14ac:dyDescent="0.25">
      <c r="A620" s="7"/>
      <c r="E620" s="7"/>
      <c r="F620" s="7"/>
    </row>
    <row r="621" spans="1:6" x14ac:dyDescent="0.25">
      <c r="A621" s="7"/>
      <c r="E621" s="7"/>
      <c r="F621" s="7"/>
    </row>
    <row r="622" spans="1:6" x14ac:dyDescent="0.25">
      <c r="A622" s="7"/>
      <c r="E622" s="7"/>
      <c r="F622" s="7"/>
    </row>
    <row r="623" spans="1:6" x14ac:dyDescent="0.25">
      <c r="A623" s="7"/>
      <c r="E623" s="7"/>
      <c r="F623" s="7"/>
    </row>
    <row r="624" spans="1:6" x14ac:dyDescent="0.25">
      <c r="A624" s="7"/>
      <c r="E624" s="7"/>
      <c r="F624" s="7"/>
    </row>
    <row r="625" spans="1:6" x14ac:dyDescent="0.25">
      <c r="A625" s="7"/>
      <c r="E625" s="7"/>
      <c r="F625" s="7"/>
    </row>
    <row r="626" spans="1:6" x14ac:dyDescent="0.25">
      <c r="A626" s="7"/>
      <c r="E626" s="7"/>
      <c r="F626" s="7"/>
    </row>
    <row r="627" spans="1:6" x14ac:dyDescent="0.25">
      <c r="A627" s="7"/>
      <c r="E627" s="7"/>
      <c r="F627" s="7"/>
    </row>
    <row r="628" spans="1:6" x14ac:dyDescent="0.25">
      <c r="A628" s="7"/>
      <c r="E628" s="7"/>
      <c r="F628" s="7"/>
    </row>
    <row r="629" spans="1:6" x14ac:dyDescent="0.25">
      <c r="A629" s="7"/>
      <c r="E629" s="7"/>
      <c r="F629" s="7"/>
    </row>
    <row r="630" spans="1:6" x14ac:dyDescent="0.25">
      <c r="A630" s="7"/>
      <c r="E630" s="7"/>
      <c r="F630" s="7"/>
    </row>
    <row r="631" spans="1:6" x14ac:dyDescent="0.25">
      <c r="A631" s="7"/>
      <c r="E631" s="7"/>
      <c r="F631" s="7"/>
    </row>
    <row r="632" spans="1:6" x14ac:dyDescent="0.25">
      <c r="A632" s="7"/>
      <c r="E632" s="7"/>
      <c r="F632" s="7"/>
    </row>
    <row r="633" spans="1:6" x14ac:dyDescent="0.25">
      <c r="A633" s="7"/>
      <c r="E633" s="7"/>
      <c r="F633" s="7"/>
    </row>
    <row r="634" spans="1:6" x14ac:dyDescent="0.25">
      <c r="A634" s="7"/>
      <c r="E634" s="7"/>
      <c r="F634" s="7"/>
    </row>
    <row r="635" spans="1:6" x14ac:dyDescent="0.25">
      <c r="A635" s="7"/>
      <c r="E635" s="7"/>
      <c r="F635" s="7"/>
    </row>
    <row r="636" spans="1:6" x14ac:dyDescent="0.25">
      <c r="A636" s="7"/>
      <c r="E636" s="7"/>
      <c r="F636" s="7"/>
    </row>
    <row r="637" spans="1:6" x14ac:dyDescent="0.25">
      <c r="A637" s="7"/>
      <c r="E637" s="7"/>
      <c r="F637" s="7"/>
    </row>
    <row r="638" spans="1:6" x14ac:dyDescent="0.25">
      <c r="A638" s="7"/>
      <c r="E638" s="7"/>
      <c r="F638" s="7"/>
    </row>
    <row r="639" spans="1:6" x14ac:dyDescent="0.25">
      <c r="A639" s="7"/>
      <c r="E639" s="7"/>
      <c r="F639" s="7"/>
    </row>
    <row r="640" spans="1:6" x14ac:dyDescent="0.25">
      <c r="A640" s="7"/>
      <c r="E640" s="7"/>
      <c r="F640" s="7"/>
    </row>
    <row r="641" spans="1:6" x14ac:dyDescent="0.25">
      <c r="A641" s="7"/>
      <c r="E641" s="7"/>
      <c r="F641" s="7"/>
    </row>
    <row r="642" spans="1:6" x14ac:dyDescent="0.25">
      <c r="A642" s="7"/>
      <c r="E642" s="7"/>
      <c r="F642" s="7"/>
    </row>
    <row r="643" spans="1:6" x14ac:dyDescent="0.25">
      <c r="A643" s="7"/>
      <c r="E643" s="7"/>
      <c r="F643" s="7"/>
    </row>
    <row r="644" spans="1:6" x14ac:dyDescent="0.25">
      <c r="A644" s="7"/>
      <c r="E644" s="7"/>
      <c r="F644" s="7"/>
    </row>
    <row r="645" spans="1:6" x14ac:dyDescent="0.25">
      <c r="A645" s="7"/>
      <c r="E645" s="7"/>
      <c r="F645" s="7"/>
    </row>
    <row r="646" spans="1:6" x14ac:dyDescent="0.25">
      <c r="A646" s="7"/>
      <c r="E646" s="7"/>
      <c r="F646" s="7"/>
    </row>
    <row r="647" spans="1:6" x14ac:dyDescent="0.25">
      <c r="A647" s="7"/>
      <c r="E647" s="7"/>
      <c r="F647" s="7"/>
    </row>
    <row r="648" spans="1:6" x14ac:dyDescent="0.25">
      <c r="A648" s="7"/>
      <c r="E648" s="7"/>
      <c r="F648" s="7"/>
    </row>
    <row r="649" spans="1:6" x14ac:dyDescent="0.25">
      <c r="A649" s="7"/>
      <c r="E649" s="7"/>
      <c r="F649" s="7"/>
    </row>
    <row r="650" spans="1:6" x14ac:dyDescent="0.25">
      <c r="A650" s="7"/>
      <c r="E650" s="7"/>
      <c r="F650" s="7"/>
    </row>
    <row r="651" spans="1:6" x14ac:dyDescent="0.25">
      <c r="A651" s="7"/>
      <c r="E651" s="7"/>
      <c r="F651" s="7"/>
    </row>
    <row r="652" spans="1:6" x14ac:dyDescent="0.25">
      <c r="A652" s="7"/>
      <c r="E652" s="7"/>
      <c r="F652" s="7"/>
    </row>
    <row r="653" spans="1:6" x14ac:dyDescent="0.25">
      <c r="A653" s="7"/>
      <c r="E653" s="7"/>
      <c r="F653" s="7"/>
    </row>
    <row r="654" spans="1:6" x14ac:dyDescent="0.25">
      <c r="A654" s="7"/>
      <c r="E654" s="7"/>
      <c r="F654" s="7"/>
    </row>
    <row r="655" spans="1:6" x14ac:dyDescent="0.25">
      <c r="A655" s="7"/>
      <c r="E655" s="7"/>
      <c r="F655" s="7"/>
    </row>
    <row r="656" spans="1:6" x14ac:dyDescent="0.25">
      <c r="A656" s="7"/>
      <c r="E656" s="7"/>
      <c r="F656" s="7"/>
    </row>
    <row r="657" spans="1:6" x14ac:dyDescent="0.25">
      <c r="A657" s="7"/>
      <c r="E657" s="7"/>
      <c r="F657" s="7"/>
    </row>
    <row r="658" spans="1:6" x14ac:dyDescent="0.25">
      <c r="A658" s="7"/>
      <c r="E658" s="7"/>
      <c r="F658" s="7"/>
    </row>
    <row r="659" spans="1:6" x14ac:dyDescent="0.25">
      <c r="A659" s="7"/>
      <c r="E659" s="7"/>
      <c r="F659" s="7"/>
    </row>
    <row r="660" spans="1:6" x14ac:dyDescent="0.25">
      <c r="A660" s="7"/>
      <c r="E660" s="7"/>
      <c r="F660" s="7"/>
    </row>
    <row r="661" spans="1:6" x14ac:dyDescent="0.25">
      <c r="A661" s="7"/>
      <c r="E661" s="7"/>
      <c r="F661" s="7"/>
    </row>
    <row r="662" spans="1:6" x14ac:dyDescent="0.25">
      <c r="A662" s="7"/>
      <c r="E662" s="7"/>
      <c r="F662" s="7"/>
    </row>
    <row r="663" spans="1:6" x14ac:dyDescent="0.25">
      <c r="A663" s="7"/>
      <c r="E663" s="7"/>
      <c r="F663" s="7"/>
    </row>
    <row r="664" spans="1:6" x14ac:dyDescent="0.25">
      <c r="A664" s="7"/>
      <c r="E664" s="7"/>
      <c r="F664" s="7"/>
    </row>
    <row r="665" spans="1:6" x14ac:dyDescent="0.25">
      <c r="A665" s="7"/>
      <c r="E665" s="7"/>
      <c r="F665" s="7"/>
    </row>
    <row r="666" spans="1:6" x14ac:dyDescent="0.25">
      <c r="A666" s="7"/>
      <c r="E666" s="7"/>
      <c r="F666" s="7"/>
    </row>
    <row r="667" spans="1:6" x14ac:dyDescent="0.25">
      <c r="A667" s="7"/>
      <c r="E667" s="7"/>
      <c r="F667" s="7"/>
    </row>
    <row r="668" spans="1:6" x14ac:dyDescent="0.25">
      <c r="A668" s="7"/>
      <c r="E668" s="7"/>
      <c r="F668" s="7"/>
    </row>
    <row r="669" spans="1:6" x14ac:dyDescent="0.25">
      <c r="A669" s="7"/>
      <c r="E669" s="7"/>
      <c r="F669" s="7"/>
    </row>
    <row r="670" spans="1:6" x14ac:dyDescent="0.25">
      <c r="A670" s="7"/>
      <c r="E670" s="7"/>
      <c r="F670" s="7"/>
    </row>
    <row r="671" spans="1:6" x14ac:dyDescent="0.25">
      <c r="A671" s="7"/>
      <c r="E671" s="7"/>
      <c r="F671" s="7"/>
    </row>
    <row r="672" spans="1:6" x14ac:dyDescent="0.25">
      <c r="A672" s="7"/>
      <c r="E672" s="7"/>
      <c r="F672" s="7"/>
    </row>
    <row r="673" spans="1:6" x14ac:dyDescent="0.25">
      <c r="A673" s="7"/>
      <c r="E673" s="7"/>
      <c r="F673" s="7"/>
    </row>
    <row r="674" spans="1:6" x14ac:dyDescent="0.25">
      <c r="A674" s="7"/>
      <c r="E674" s="7"/>
      <c r="F674" s="7"/>
    </row>
    <row r="675" spans="1:6" x14ac:dyDescent="0.25">
      <c r="A675" s="7"/>
      <c r="E675" s="7"/>
      <c r="F675" s="7"/>
    </row>
    <row r="676" spans="1:6" x14ac:dyDescent="0.25">
      <c r="A676" s="7"/>
      <c r="E676" s="7"/>
      <c r="F676" s="7"/>
    </row>
    <row r="677" spans="1:6" x14ac:dyDescent="0.25">
      <c r="A677" s="7"/>
      <c r="E677" s="7"/>
      <c r="F677" s="7"/>
    </row>
    <row r="678" spans="1:6" x14ac:dyDescent="0.25">
      <c r="A678" s="7"/>
      <c r="E678" s="7"/>
      <c r="F678" s="7"/>
    </row>
    <row r="679" spans="1:6" x14ac:dyDescent="0.25">
      <c r="A679" s="7"/>
      <c r="E679" s="7"/>
      <c r="F679" s="7"/>
    </row>
    <row r="680" spans="1:6" x14ac:dyDescent="0.25">
      <c r="A680" s="7"/>
      <c r="E680" s="7"/>
      <c r="F680" s="7"/>
    </row>
    <row r="681" spans="1:6" x14ac:dyDescent="0.25">
      <c r="A681" s="7"/>
      <c r="E681" s="7"/>
      <c r="F681" s="7"/>
    </row>
    <row r="682" spans="1:6" x14ac:dyDescent="0.25">
      <c r="A682" s="7"/>
      <c r="E682" s="7"/>
      <c r="F682" s="7"/>
    </row>
    <row r="683" spans="1:6" x14ac:dyDescent="0.25">
      <c r="A683" s="7"/>
      <c r="E683" s="7"/>
      <c r="F683" s="7"/>
    </row>
    <row r="684" spans="1:6" x14ac:dyDescent="0.25">
      <c r="A684" s="7"/>
      <c r="E684" s="7"/>
      <c r="F684" s="7"/>
    </row>
    <row r="685" spans="1:6" x14ac:dyDescent="0.25">
      <c r="A685" s="7"/>
      <c r="E685" s="7"/>
      <c r="F685" s="7"/>
    </row>
    <row r="686" spans="1:6" x14ac:dyDescent="0.25">
      <c r="A686" s="7"/>
      <c r="E686" s="7"/>
      <c r="F686" s="7"/>
    </row>
    <row r="687" spans="1:6" x14ac:dyDescent="0.25">
      <c r="A687" s="7"/>
      <c r="E687" s="7"/>
      <c r="F687" s="7"/>
    </row>
    <row r="688" spans="1:6" x14ac:dyDescent="0.25">
      <c r="A688" s="7"/>
      <c r="E688" s="7"/>
      <c r="F688" s="7"/>
    </row>
    <row r="689" spans="1:6" x14ac:dyDescent="0.25">
      <c r="A689" s="7"/>
      <c r="E689" s="7"/>
      <c r="F689" s="7"/>
    </row>
    <row r="690" spans="1:6" x14ac:dyDescent="0.25">
      <c r="A690" s="7"/>
      <c r="E690" s="7"/>
      <c r="F690" s="7"/>
    </row>
    <row r="691" spans="1:6" x14ac:dyDescent="0.25">
      <c r="A691" s="7"/>
      <c r="E691" s="7"/>
      <c r="F691" s="7"/>
    </row>
    <row r="692" spans="1:6" x14ac:dyDescent="0.25">
      <c r="A692" s="7"/>
      <c r="E692" s="7"/>
      <c r="F692" s="7"/>
    </row>
    <row r="693" spans="1:6" x14ac:dyDescent="0.25">
      <c r="A693" s="7"/>
      <c r="E693" s="7"/>
      <c r="F693" s="7"/>
    </row>
    <row r="694" spans="1:6" x14ac:dyDescent="0.25">
      <c r="A694" s="7"/>
      <c r="E694" s="7"/>
      <c r="F694" s="7"/>
    </row>
    <row r="695" spans="1:6" x14ac:dyDescent="0.25">
      <c r="A695" s="7"/>
      <c r="E695" s="7"/>
      <c r="F695" s="7"/>
    </row>
    <row r="696" spans="1:6" x14ac:dyDescent="0.25">
      <c r="A696" s="7"/>
      <c r="E696" s="7"/>
      <c r="F696" s="7"/>
    </row>
    <row r="697" spans="1:6" x14ac:dyDescent="0.25">
      <c r="A697" s="7"/>
      <c r="E697" s="7"/>
      <c r="F697" s="7"/>
    </row>
    <row r="698" spans="1:6" x14ac:dyDescent="0.25">
      <c r="A698" s="7"/>
      <c r="E698" s="7"/>
      <c r="F698" s="7"/>
    </row>
    <row r="699" spans="1:6" x14ac:dyDescent="0.25">
      <c r="A699" s="7"/>
      <c r="E699" s="7"/>
      <c r="F699" s="7"/>
    </row>
    <row r="700" spans="1:6" x14ac:dyDescent="0.25">
      <c r="A700" s="7"/>
      <c r="E700" s="7"/>
      <c r="F700" s="7"/>
    </row>
    <row r="701" spans="1:6" x14ac:dyDescent="0.25">
      <c r="A701" s="7"/>
      <c r="E701" s="7"/>
      <c r="F701" s="7"/>
    </row>
    <row r="702" spans="1:6" x14ac:dyDescent="0.25">
      <c r="A702" s="7"/>
      <c r="E702" s="7"/>
      <c r="F702" s="7"/>
    </row>
    <row r="703" spans="1:6" x14ac:dyDescent="0.25">
      <c r="A703" s="7"/>
      <c r="E703" s="7"/>
      <c r="F703" s="7"/>
    </row>
    <row r="704" spans="1:6" x14ac:dyDescent="0.25">
      <c r="A704" s="7"/>
      <c r="E704" s="7"/>
      <c r="F704" s="7"/>
    </row>
    <row r="705" spans="1:6" x14ac:dyDescent="0.25">
      <c r="A705" s="7"/>
      <c r="E705" s="7"/>
      <c r="F705" s="7"/>
    </row>
    <row r="706" spans="1:6" x14ac:dyDescent="0.25">
      <c r="A706" s="7"/>
      <c r="E706" s="7"/>
      <c r="F706" s="7"/>
    </row>
    <row r="707" spans="1:6" x14ac:dyDescent="0.25">
      <c r="A707" s="7"/>
      <c r="E707" s="7"/>
      <c r="F707" s="7"/>
    </row>
    <row r="708" spans="1:6" x14ac:dyDescent="0.25">
      <c r="A708" s="7"/>
      <c r="E708" s="7"/>
      <c r="F708" s="7"/>
    </row>
    <row r="709" spans="1:6" x14ac:dyDescent="0.25">
      <c r="A709" s="7"/>
      <c r="E709" s="7"/>
      <c r="F709" s="7"/>
    </row>
    <row r="710" spans="1:6" x14ac:dyDescent="0.25">
      <c r="A710" s="7"/>
      <c r="E710" s="7"/>
      <c r="F710" s="7"/>
    </row>
    <row r="711" spans="1:6" x14ac:dyDescent="0.25">
      <c r="A711" s="7"/>
      <c r="E711" s="7"/>
      <c r="F711" s="7"/>
    </row>
    <row r="712" spans="1:6" x14ac:dyDescent="0.25">
      <c r="A712" s="7"/>
      <c r="E712" s="7"/>
      <c r="F712" s="7"/>
    </row>
    <row r="713" spans="1:6" x14ac:dyDescent="0.25">
      <c r="A713" s="7"/>
      <c r="E713" s="7"/>
      <c r="F713" s="7"/>
    </row>
    <row r="714" spans="1:6" x14ac:dyDescent="0.25">
      <c r="A714" s="7"/>
      <c r="E714" s="7"/>
      <c r="F714" s="7"/>
    </row>
    <row r="715" spans="1:6" x14ac:dyDescent="0.25">
      <c r="A715" s="7"/>
      <c r="E715" s="7"/>
      <c r="F715" s="7"/>
    </row>
    <row r="716" spans="1:6" x14ac:dyDescent="0.25">
      <c r="A716" s="7"/>
      <c r="E716" s="7"/>
      <c r="F716" s="7"/>
    </row>
    <row r="717" spans="1:6" x14ac:dyDescent="0.25">
      <c r="A717" s="7"/>
      <c r="E717" s="7"/>
      <c r="F717" s="7"/>
    </row>
    <row r="718" spans="1:6" x14ac:dyDescent="0.25">
      <c r="A718" s="7"/>
      <c r="E718" s="7"/>
      <c r="F718" s="7"/>
    </row>
    <row r="719" spans="1:6" x14ac:dyDescent="0.25">
      <c r="A719" s="7"/>
      <c r="E719" s="7"/>
      <c r="F719" s="7"/>
    </row>
    <row r="720" spans="1:6" x14ac:dyDescent="0.25">
      <c r="A720" s="7"/>
      <c r="E720" s="7"/>
      <c r="F720" s="7"/>
    </row>
    <row r="721" spans="1:6" x14ac:dyDescent="0.25">
      <c r="A721" s="7"/>
      <c r="E721" s="7"/>
      <c r="F721" s="7"/>
    </row>
    <row r="722" spans="1:6" x14ac:dyDescent="0.25">
      <c r="A722" s="7"/>
      <c r="E722" s="7"/>
      <c r="F722" s="7"/>
    </row>
    <row r="723" spans="1:6" x14ac:dyDescent="0.25">
      <c r="A723" s="7"/>
      <c r="E723" s="7"/>
      <c r="F723" s="7"/>
    </row>
    <row r="724" spans="1:6" x14ac:dyDescent="0.25">
      <c r="A724" s="7"/>
      <c r="E724" s="7"/>
      <c r="F724" s="7"/>
    </row>
    <row r="725" spans="1:6" x14ac:dyDescent="0.25">
      <c r="A725" s="7"/>
      <c r="E725" s="7"/>
      <c r="F725" s="7"/>
    </row>
    <row r="726" spans="1:6" x14ac:dyDescent="0.25">
      <c r="A726" s="7"/>
      <c r="E726" s="7"/>
      <c r="F726" s="7"/>
    </row>
    <row r="727" spans="1:6" x14ac:dyDescent="0.25">
      <c r="A727" s="7"/>
      <c r="E727" s="7"/>
      <c r="F727" s="7"/>
    </row>
    <row r="728" spans="1:6" x14ac:dyDescent="0.25">
      <c r="A728" s="7"/>
      <c r="E728" s="7"/>
      <c r="F728" s="7"/>
    </row>
    <row r="729" spans="1:6" x14ac:dyDescent="0.25">
      <c r="A729" s="7"/>
      <c r="E729" s="7"/>
      <c r="F729" s="7"/>
    </row>
    <row r="730" spans="1:6" x14ac:dyDescent="0.25">
      <c r="A730" s="7"/>
      <c r="E730" s="7"/>
      <c r="F730" s="7"/>
    </row>
    <row r="731" spans="1:6" x14ac:dyDescent="0.25">
      <c r="A731" s="7"/>
      <c r="E731" s="7"/>
      <c r="F731" s="7"/>
    </row>
    <row r="732" spans="1:6" x14ac:dyDescent="0.25">
      <c r="A732" s="7"/>
      <c r="E732" s="7"/>
      <c r="F732" s="7"/>
    </row>
    <row r="733" spans="1:6" x14ac:dyDescent="0.25">
      <c r="A733" s="7"/>
      <c r="E733" s="7"/>
      <c r="F733" s="7"/>
    </row>
    <row r="734" spans="1:6" x14ac:dyDescent="0.25">
      <c r="A734" s="7"/>
      <c r="E734" s="7"/>
      <c r="F734" s="7"/>
    </row>
    <row r="735" spans="1:6" x14ac:dyDescent="0.25">
      <c r="A735" s="7"/>
      <c r="E735" s="7"/>
      <c r="F735" s="7"/>
    </row>
    <row r="736" spans="1:6" x14ac:dyDescent="0.25">
      <c r="A736" s="7"/>
      <c r="E736" s="7"/>
      <c r="F736" s="7"/>
    </row>
    <row r="737" spans="1:6" x14ac:dyDescent="0.25">
      <c r="A737" s="7"/>
      <c r="E737" s="7"/>
      <c r="F737" s="7"/>
    </row>
    <row r="738" spans="1:6" x14ac:dyDescent="0.25">
      <c r="A738" s="7"/>
      <c r="E738" s="7"/>
      <c r="F738" s="7"/>
    </row>
    <row r="739" spans="1:6" x14ac:dyDescent="0.25">
      <c r="A739" s="7"/>
      <c r="E739" s="7"/>
      <c r="F739" s="7"/>
    </row>
    <row r="740" spans="1:6" x14ac:dyDescent="0.25">
      <c r="A740" s="7"/>
      <c r="E740" s="7"/>
      <c r="F740" s="7"/>
    </row>
    <row r="741" spans="1:6" x14ac:dyDescent="0.25">
      <c r="A741" s="7"/>
      <c r="E741" s="7"/>
      <c r="F741" s="7"/>
    </row>
    <row r="742" spans="1:6" x14ac:dyDescent="0.25">
      <c r="A742" s="7"/>
      <c r="E742" s="7"/>
      <c r="F742" s="7"/>
    </row>
    <row r="743" spans="1:6" x14ac:dyDescent="0.25">
      <c r="A743" s="7"/>
      <c r="E743" s="7"/>
      <c r="F743" s="7"/>
    </row>
    <row r="744" spans="1:6" x14ac:dyDescent="0.25">
      <c r="A744" s="7"/>
      <c r="E744" s="7"/>
      <c r="F744" s="7"/>
    </row>
    <row r="745" spans="1:6" x14ac:dyDescent="0.25">
      <c r="A745" s="7"/>
      <c r="E745" s="7"/>
      <c r="F745" s="7"/>
    </row>
    <row r="746" spans="1:6" x14ac:dyDescent="0.25">
      <c r="A746" s="7"/>
      <c r="E746" s="7"/>
      <c r="F746" s="7"/>
    </row>
    <row r="747" spans="1:6" x14ac:dyDescent="0.25">
      <c r="A747" s="7"/>
      <c r="E747" s="7"/>
      <c r="F747" s="7"/>
    </row>
    <row r="748" spans="1:6" x14ac:dyDescent="0.25">
      <c r="A748" s="7"/>
      <c r="E748" s="7"/>
      <c r="F748" s="7"/>
    </row>
    <row r="749" spans="1:6" x14ac:dyDescent="0.25">
      <c r="A749" s="7"/>
      <c r="E749" s="7"/>
      <c r="F749" s="7"/>
    </row>
    <row r="750" spans="1:6" x14ac:dyDescent="0.25">
      <c r="A750" s="7"/>
      <c r="E750" s="7"/>
      <c r="F750" s="7"/>
    </row>
    <row r="751" spans="1:6" x14ac:dyDescent="0.25">
      <c r="A751" s="7"/>
      <c r="E751" s="7"/>
      <c r="F751" s="7"/>
    </row>
    <row r="752" spans="1:6" x14ac:dyDescent="0.25">
      <c r="A752" s="7"/>
      <c r="E752" s="7"/>
      <c r="F752" s="7"/>
    </row>
    <row r="753" spans="1:6" x14ac:dyDescent="0.25">
      <c r="A753" s="7"/>
      <c r="E753" s="7"/>
      <c r="F753" s="7"/>
    </row>
    <row r="754" spans="1:6" x14ac:dyDescent="0.25">
      <c r="A754" s="7"/>
      <c r="E754" s="7"/>
      <c r="F754" s="7"/>
    </row>
    <row r="755" spans="1:6" x14ac:dyDescent="0.25">
      <c r="A755" s="7"/>
      <c r="E755" s="7"/>
      <c r="F755" s="7"/>
    </row>
    <row r="756" spans="1:6" x14ac:dyDescent="0.25">
      <c r="A756" s="7"/>
      <c r="E756" s="7"/>
      <c r="F756" s="7"/>
    </row>
    <row r="757" spans="1:6" x14ac:dyDescent="0.25">
      <c r="A757" s="7"/>
      <c r="E757" s="7"/>
      <c r="F757" s="7"/>
    </row>
    <row r="758" spans="1:6" x14ac:dyDescent="0.25">
      <c r="A758" s="7"/>
      <c r="E758" s="7"/>
      <c r="F758" s="7"/>
    </row>
    <row r="759" spans="1:6" x14ac:dyDescent="0.25">
      <c r="A759" s="7"/>
      <c r="E759" s="7"/>
      <c r="F759" s="7"/>
    </row>
    <row r="760" spans="1:6" x14ac:dyDescent="0.25">
      <c r="A760" s="7"/>
      <c r="E760" s="7"/>
      <c r="F760" s="7"/>
    </row>
    <row r="761" spans="1:6" x14ac:dyDescent="0.25">
      <c r="A761" s="7"/>
      <c r="E761" s="7"/>
      <c r="F761" s="7"/>
    </row>
    <row r="762" spans="1:6" x14ac:dyDescent="0.25">
      <c r="A762" s="7"/>
      <c r="E762" s="7"/>
      <c r="F762" s="7"/>
    </row>
    <row r="763" spans="1:6" x14ac:dyDescent="0.25">
      <c r="A763" s="7"/>
      <c r="E763" s="7"/>
      <c r="F763" s="7"/>
    </row>
    <row r="764" spans="1:6" x14ac:dyDescent="0.25">
      <c r="A764" s="7"/>
      <c r="E764" s="7"/>
      <c r="F764" s="7"/>
    </row>
    <row r="765" spans="1:6" x14ac:dyDescent="0.25">
      <c r="A765" s="7"/>
      <c r="E765" s="7"/>
      <c r="F765" s="7"/>
    </row>
    <row r="766" spans="1:6" x14ac:dyDescent="0.25">
      <c r="A766" s="7"/>
      <c r="E766" s="7"/>
      <c r="F766" s="7"/>
    </row>
    <row r="767" spans="1:6" x14ac:dyDescent="0.25">
      <c r="A767" s="7"/>
      <c r="E767" s="7"/>
      <c r="F767" s="7"/>
    </row>
    <row r="768" spans="1:6" x14ac:dyDescent="0.25">
      <c r="A768" s="7"/>
      <c r="E768" s="7"/>
      <c r="F768" s="7"/>
    </row>
    <row r="769" spans="1:6" x14ac:dyDescent="0.25">
      <c r="A769" s="7"/>
      <c r="E769" s="7"/>
      <c r="F769" s="7"/>
    </row>
    <row r="770" spans="1:6" x14ac:dyDescent="0.25">
      <c r="A770" s="7"/>
      <c r="E770" s="7"/>
      <c r="F770" s="7"/>
    </row>
    <row r="771" spans="1:6" x14ac:dyDescent="0.25">
      <c r="A771" s="7"/>
      <c r="E771" s="7"/>
      <c r="F771" s="7"/>
    </row>
    <row r="772" spans="1:6" x14ac:dyDescent="0.25">
      <c r="A772" s="7"/>
      <c r="E772" s="7"/>
      <c r="F772" s="7"/>
    </row>
    <row r="773" spans="1:6" x14ac:dyDescent="0.25">
      <c r="A773" s="7"/>
      <c r="E773" s="7"/>
      <c r="F773" s="7"/>
    </row>
    <row r="774" spans="1:6" x14ac:dyDescent="0.25">
      <c r="A774" s="7"/>
      <c r="E774" s="7"/>
      <c r="F774" s="7"/>
    </row>
    <row r="775" spans="1:6" x14ac:dyDescent="0.25">
      <c r="A775" s="7"/>
      <c r="E775" s="7"/>
      <c r="F775" s="7"/>
    </row>
    <row r="776" spans="1:6" x14ac:dyDescent="0.25">
      <c r="A776" s="7"/>
      <c r="E776" s="7"/>
      <c r="F776" s="7"/>
    </row>
    <row r="777" spans="1:6" x14ac:dyDescent="0.25">
      <c r="A777" s="7"/>
      <c r="E777" s="7"/>
      <c r="F777" s="7"/>
    </row>
    <row r="778" spans="1:6" x14ac:dyDescent="0.25">
      <c r="A778" s="7"/>
      <c r="E778" s="7"/>
      <c r="F778" s="7"/>
    </row>
    <row r="779" spans="1:6" x14ac:dyDescent="0.25">
      <c r="A779" s="7"/>
      <c r="E779" s="7"/>
      <c r="F779" s="7"/>
    </row>
    <row r="780" spans="1:6" x14ac:dyDescent="0.25">
      <c r="A780" s="7"/>
      <c r="E780" s="7"/>
      <c r="F780" s="7"/>
    </row>
    <row r="781" spans="1:6" x14ac:dyDescent="0.25">
      <c r="A781" s="7"/>
      <c r="E781" s="7"/>
      <c r="F781" s="7"/>
    </row>
    <row r="782" spans="1:6" x14ac:dyDescent="0.25">
      <c r="A782" s="7"/>
      <c r="E782" s="7"/>
      <c r="F782" s="7"/>
    </row>
    <row r="783" spans="1:6" x14ac:dyDescent="0.25">
      <c r="A783" s="7"/>
      <c r="E783" s="7"/>
      <c r="F783" s="7"/>
    </row>
    <row r="784" spans="1:6" x14ac:dyDescent="0.25">
      <c r="A784" s="7"/>
      <c r="E784" s="7"/>
      <c r="F784" s="7"/>
    </row>
    <row r="785" spans="1:6" x14ac:dyDescent="0.25">
      <c r="A785" s="7"/>
      <c r="E785" s="7"/>
      <c r="F785" s="7"/>
    </row>
    <row r="786" spans="1:6" x14ac:dyDescent="0.25">
      <c r="A786" s="7"/>
      <c r="E786" s="7"/>
      <c r="F786" s="7"/>
    </row>
    <row r="787" spans="1:6" x14ac:dyDescent="0.25">
      <c r="A787" s="7"/>
      <c r="E787" s="7"/>
      <c r="F787" s="7"/>
    </row>
    <row r="788" spans="1:6" x14ac:dyDescent="0.25">
      <c r="A788" s="7"/>
      <c r="E788" s="7"/>
      <c r="F788" s="7"/>
    </row>
    <row r="789" spans="1:6" x14ac:dyDescent="0.25">
      <c r="A789" s="7"/>
      <c r="E789" s="7"/>
      <c r="F789" s="7"/>
    </row>
    <row r="790" spans="1:6" x14ac:dyDescent="0.25">
      <c r="A790" s="7"/>
      <c r="E790" s="7"/>
      <c r="F790" s="7"/>
    </row>
    <row r="791" spans="1:6" x14ac:dyDescent="0.25">
      <c r="A791" s="7"/>
      <c r="E791" s="7"/>
      <c r="F791" s="7"/>
    </row>
    <row r="792" spans="1:6" x14ac:dyDescent="0.25">
      <c r="A792" s="7"/>
      <c r="E792" s="7"/>
      <c r="F792" s="7"/>
    </row>
    <row r="793" spans="1:6" x14ac:dyDescent="0.25">
      <c r="A793" s="7"/>
      <c r="E793" s="7"/>
      <c r="F793" s="7"/>
    </row>
    <row r="794" spans="1:6" x14ac:dyDescent="0.25">
      <c r="A794" s="7"/>
      <c r="E794" s="7"/>
      <c r="F794" s="7"/>
    </row>
    <row r="795" spans="1:6" x14ac:dyDescent="0.25">
      <c r="A795" s="7"/>
      <c r="E795" s="7"/>
      <c r="F795" s="7"/>
    </row>
    <row r="796" spans="1:6" x14ac:dyDescent="0.25">
      <c r="A796" s="7"/>
      <c r="E796" s="7"/>
      <c r="F796" s="7"/>
    </row>
    <row r="797" spans="1:6" x14ac:dyDescent="0.25">
      <c r="A797" s="7"/>
      <c r="E797" s="7"/>
      <c r="F797" s="7"/>
    </row>
    <row r="798" spans="1:6" x14ac:dyDescent="0.25">
      <c r="A798" s="7"/>
      <c r="E798" s="7"/>
      <c r="F798" s="7"/>
    </row>
    <row r="799" spans="1:6" x14ac:dyDescent="0.25">
      <c r="A799" s="7"/>
      <c r="E799" s="7"/>
      <c r="F799" s="7"/>
    </row>
    <row r="800" spans="1:6" x14ac:dyDescent="0.25">
      <c r="A800" s="7"/>
      <c r="E800" s="7"/>
      <c r="F800" s="7"/>
    </row>
    <row r="801" spans="1:6" x14ac:dyDescent="0.25">
      <c r="A801" s="7"/>
      <c r="E801" s="7"/>
      <c r="F801" s="7"/>
    </row>
    <row r="802" spans="1:6" x14ac:dyDescent="0.25">
      <c r="A802" s="7"/>
      <c r="E802" s="7"/>
      <c r="F802" s="7"/>
    </row>
    <row r="803" spans="1:6" x14ac:dyDescent="0.25">
      <c r="A803" s="7"/>
      <c r="E803" s="7"/>
      <c r="F803" s="7"/>
    </row>
    <row r="804" spans="1:6" x14ac:dyDescent="0.25">
      <c r="A804" s="7"/>
      <c r="E804" s="7"/>
      <c r="F804" s="7"/>
    </row>
    <row r="805" spans="1:6" x14ac:dyDescent="0.25">
      <c r="A805" s="7"/>
      <c r="E805" s="7"/>
      <c r="F805" s="7"/>
    </row>
    <row r="806" spans="1:6" x14ac:dyDescent="0.25">
      <c r="A806" s="7"/>
      <c r="E806" s="7"/>
      <c r="F806" s="7"/>
    </row>
    <row r="807" spans="1:6" x14ac:dyDescent="0.25">
      <c r="A807" s="7"/>
      <c r="E807" s="7"/>
      <c r="F807" s="7"/>
    </row>
    <row r="808" spans="1:6" x14ac:dyDescent="0.25">
      <c r="A808" s="7"/>
      <c r="E808" s="7"/>
      <c r="F808" s="7"/>
    </row>
    <row r="809" spans="1:6" x14ac:dyDescent="0.25">
      <c r="A809" s="7"/>
      <c r="E809" s="7"/>
      <c r="F809" s="7"/>
    </row>
    <row r="810" spans="1:6" x14ac:dyDescent="0.25">
      <c r="A810" s="7"/>
      <c r="E810" s="7"/>
      <c r="F810" s="7"/>
    </row>
    <row r="811" spans="1:6" x14ac:dyDescent="0.25">
      <c r="A811" s="7"/>
      <c r="E811" s="7"/>
      <c r="F811" s="7"/>
    </row>
    <row r="812" spans="1:6" x14ac:dyDescent="0.25">
      <c r="A812" s="7"/>
      <c r="E812" s="7"/>
      <c r="F812" s="7"/>
    </row>
    <row r="813" spans="1:6" x14ac:dyDescent="0.25">
      <c r="A813" s="7"/>
      <c r="E813" s="7"/>
      <c r="F813" s="7"/>
    </row>
    <row r="814" spans="1:6" x14ac:dyDescent="0.25">
      <c r="A814" s="7"/>
      <c r="E814" s="7"/>
      <c r="F814" s="7"/>
    </row>
    <row r="815" spans="1:6" x14ac:dyDescent="0.25">
      <c r="A815" s="7"/>
      <c r="E815" s="7"/>
      <c r="F815" s="7"/>
    </row>
    <row r="816" spans="1:6" x14ac:dyDescent="0.25">
      <c r="A816" s="7"/>
      <c r="E816" s="7"/>
      <c r="F816" s="7"/>
    </row>
    <row r="817" spans="1:6" x14ac:dyDescent="0.25">
      <c r="A817" s="7"/>
      <c r="E817" s="7"/>
      <c r="F817" s="7"/>
    </row>
    <row r="818" spans="1:6" x14ac:dyDescent="0.25">
      <c r="A818" s="7"/>
      <c r="E818" s="7"/>
      <c r="F818" s="7"/>
    </row>
    <row r="819" spans="1:6" x14ac:dyDescent="0.25">
      <c r="A819" s="7"/>
      <c r="E819" s="7"/>
      <c r="F819" s="7"/>
    </row>
    <row r="820" spans="1:6" x14ac:dyDescent="0.25">
      <c r="A820" s="7"/>
      <c r="E820" s="7"/>
      <c r="F820" s="7"/>
    </row>
    <row r="821" spans="1:6" x14ac:dyDescent="0.25">
      <c r="A821" s="7"/>
      <c r="E821" s="7"/>
      <c r="F821" s="7"/>
    </row>
    <row r="822" spans="1:6" x14ac:dyDescent="0.25">
      <c r="A822" s="7"/>
      <c r="E822" s="7"/>
      <c r="F822" s="7"/>
    </row>
    <row r="823" spans="1:6" x14ac:dyDescent="0.25">
      <c r="A823" s="7"/>
      <c r="E823" s="7"/>
      <c r="F823" s="7"/>
    </row>
    <row r="824" spans="1:6" x14ac:dyDescent="0.25">
      <c r="A824" s="7"/>
      <c r="E824" s="7"/>
      <c r="F824" s="7"/>
    </row>
    <row r="825" spans="1:6" x14ac:dyDescent="0.25">
      <c r="A825" s="7"/>
      <c r="E825" s="7"/>
      <c r="F825" s="7"/>
    </row>
    <row r="826" spans="1:6" x14ac:dyDescent="0.25">
      <c r="A826" s="7"/>
      <c r="E826" s="7"/>
      <c r="F826" s="7"/>
    </row>
    <row r="827" spans="1:6" x14ac:dyDescent="0.25">
      <c r="A827" s="7"/>
      <c r="E827" s="7"/>
      <c r="F827" s="7"/>
    </row>
    <row r="828" spans="1:6" x14ac:dyDescent="0.25">
      <c r="A828" s="7"/>
      <c r="E828" s="7"/>
      <c r="F828" s="7"/>
    </row>
    <row r="829" spans="1:6" x14ac:dyDescent="0.25">
      <c r="A829" s="7"/>
      <c r="E829" s="7"/>
      <c r="F829" s="7"/>
    </row>
    <row r="830" spans="1:6" x14ac:dyDescent="0.25">
      <c r="A830" s="7"/>
      <c r="E830" s="7"/>
      <c r="F830" s="7"/>
    </row>
    <row r="831" spans="1:6" x14ac:dyDescent="0.25">
      <c r="A831" s="7"/>
      <c r="E831" s="7"/>
      <c r="F831" s="7"/>
    </row>
    <row r="832" spans="1:6" x14ac:dyDescent="0.25">
      <c r="A832" s="7"/>
      <c r="E832" s="7"/>
      <c r="F832" s="7"/>
    </row>
    <row r="833" spans="1:6" x14ac:dyDescent="0.25">
      <c r="A833" s="7"/>
      <c r="E833" s="7"/>
      <c r="F833" s="7"/>
    </row>
    <row r="834" spans="1:6" x14ac:dyDescent="0.25">
      <c r="A834" s="7"/>
      <c r="E834" s="7"/>
      <c r="F834" s="7"/>
    </row>
    <row r="835" spans="1:6" x14ac:dyDescent="0.25">
      <c r="A835" s="7"/>
      <c r="E835" s="7"/>
      <c r="F835" s="7"/>
    </row>
    <row r="836" spans="1:6" x14ac:dyDescent="0.25">
      <c r="A836" s="7"/>
      <c r="E836" s="7"/>
      <c r="F836" s="7"/>
    </row>
    <row r="837" spans="1:6" x14ac:dyDescent="0.25">
      <c r="A837" s="7"/>
      <c r="E837" s="7"/>
      <c r="F837" s="7"/>
    </row>
    <row r="838" spans="1:6" x14ac:dyDescent="0.25">
      <c r="A838" s="7"/>
      <c r="E838" s="7"/>
      <c r="F838" s="7"/>
    </row>
    <row r="839" spans="1:6" x14ac:dyDescent="0.25">
      <c r="A839" s="7"/>
      <c r="E839" s="7"/>
      <c r="F839" s="7"/>
    </row>
    <row r="840" spans="1:6" x14ac:dyDescent="0.25">
      <c r="A840" s="7"/>
      <c r="E840" s="7"/>
      <c r="F840" s="7"/>
    </row>
    <row r="841" spans="1:6" x14ac:dyDescent="0.25">
      <c r="A841" s="7"/>
      <c r="E841" s="7"/>
      <c r="F841" s="7"/>
    </row>
    <row r="842" spans="1:6" x14ac:dyDescent="0.25">
      <c r="A842" s="7"/>
      <c r="E842" s="7"/>
      <c r="F842" s="7"/>
    </row>
    <row r="843" spans="1:6" x14ac:dyDescent="0.25">
      <c r="A843" s="7"/>
      <c r="E843" s="7"/>
      <c r="F843" s="7"/>
    </row>
    <row r="844" spans="1:6" x14ac:dyDescent="0.25">
      <c r="A844" s="7"/>
      <c r="E844" s="7"/>
      <c r="F844" s="7"/>
    </row>
    <row r="845" spans="1:6" x14ac:dyDescent="0.25">
      <c r="A845" s="7"/>
      <c r="E845" s="7"/>
      <c r="F845" s="7"/>
    </row>
    <row r="846" spans="1:6" x14ac:dyDescent="0.25">
      <c r="A846" s="7"/>
      <c r="E846" s="7"/>
      <c r="F846" s="7"/>
    </row>
    <row r="847" spans="1:6" x14ac:dyDescent="0.25">
      <c r="A847" s="7"/>
      <c r="E847" s="7"/>
      <c r="F847" s="7"/>
    </row>
    <row r="848" spans="1:6" x14ac:dyDescent="0.25">
      <c r="A848" s="7"/>
      <c r="E848" s="7"/>
      <c r="F848" s="7"/>
    </row>
    <row r="849" spans="1:6" x14ac:dyDescent="0.25">
      <c r="A849" s="7"/>
      <c r="E849" s="7"/>
      <c r="F849" s="7"/>
    </row>
    <row r="850" spans="1:6" x14ac:dyDescent="0.25">
      <c r="A850" s="7"/>
      <c r="E850" s="7"/>
      <c r="F850" s="7"/>
    </row>
    <row r="851" spans="1:6" x14ac:dyDescent="0.25">
      <c r="A851" s="7"/>
      <c r="E851" s="7"/>
      <c r="F851" s="7"/>
    </row>
    <row r="852" spans="1:6" x14ac:dyDescent="0.25">
      <c r="A852" s="7"/>
      <c r="E852" s="7"/>
      <c r="F852" s="7"/>
    </row>
    <row r="853" spans="1:6" x14ac:dyDescent="0.25">
      <c r="A853" s="7"/>
      <c r="E853" s="7"/>
      <c r="F853" s="7"/>
    </row>
    <row r="854" spans="1:6" x14ac:dyDescent="0.25">
      <c r="A854" s="7"/>
      <c r="E854" s="7"/>
      <c r="F854" s="7"/>
    </row>
    <row r="855" spans="1:6" x14ac:dyDescent="0.25">
      <c r="A855" s="7"/>
      <c r="E855" s="7"/>
      <c r="F855" s="7"/>
    </row>
    <row r="856" spans="1:6" x14ac:dyDescent="0.25">
      <c r="A856" s="7"/>
      <c r="E856" s="7"/>
      <c r="F856" s="7"/>
    </row>
    <row r="857" spans="1:6" x14ac:dyDescent="0.25">
      <c r="A857" s="7"/>
      <c r="E857" s="7"/>
      <c r="F857" s="7"/>
    </row>
    <row r="858" spans="1:6" x14ac:dyDescent="0.25">
      <c r="A858" s="7"/>
      <c r="E858" s="7"/>
      <c r="F858" s="7"/>
    </row>
    <row r="859" spans="1:6" x14ac:dyDescent="0.25">
      <c r="A859" s="7"/>
      <c r="E859" s="7"/>
      <c r="F859" s="7"/>
    </row>
    <row r="860" spans="1:6" x14ac:dyDescent="0.25">
      <c r="A860" s="7"/>
      <c r="E860" s="7"/>
      <c r="F860" s="7"/>
    </row>
    <row r="861" spans="1:6" x14ac:dyDescent="0.25">
      <c r="A861" s="7"/>
      <c r="E861" s="7"/>
      <c r="F861" s="7"/>
    </row>
    <row r="862" spans="1:6" x14ac:dyDescent="0.25">
      <c r="A862" s="7"/>
      <c r="E862" s="7"/>
      <c r="F862" s="7"/>
    </row>
    <row r="863" spans="1:6" x14ac:dyDescent="0.25">
      <c r="A863" s="7"/>
      <c r="E863" s="7"/>
      <c r="F863" s="7"/>
    </row>
    <row r="864" spans="1:6" x14ac:dyDescent="0.25">
      <c r="A864" s="7"/>
      <c r="E864" s="7"/>
      <c r="F864" s="7"/>
    </row>
    <row r="865" spans="1:6" x14ac:dyDescent="0.25">
      <c r="A865" s="7"/>
      <c r="E865" s="7"/>
      <c r="F865" s="7"/>
    </row>
    <row r="866" spans="1:6" x14ac:dyDescent="0.25">
      <c r="A866" s="7"/>
      <c r="E866" s="7"/>
      <c r="F866" s="7"/>
    </row>
    <row r="867" spans="1:6" x14ac:dyDescent="0.25">
      <c r="A867" s="7"/>
      <c r="E867" s="7"/>
      <c r="F867" s="7"/>
    </row>
    <row r="868" spans="1:6" x14ac:dyDescent="0.25">
      <c r="A868" s="7"/>
      <c r="E868" s="7"/>
      <c r="F868" s="7"/>
    </row>
    <row r="869" spans="1:6" x14ac:dyDescent="0.25">
      <c r="A869" s="7"/>
      <c r="E869" s="7"/>
      <c r="F869" s="7"/>
    </row>
    <row r="870" spans="1:6" x14ac:dyDescent="0.25">
      <c r="A870" s="7"/>
      <c r="E870" s="7"/>
      <c r="F870" s="7"/>
    </row>
    <row r="871" spans="1:6" x14ac:dyDescent="0.25">
      <c r="A871" s="7"/>
      <c r="E871" s="7"/>
      <c r="F871" s="7"/>
    </row>
    <row r="872" spans="1:6" x14ac:dyDescent="0.25">
      <c r="A872" s="7"/>
      <c r="E872" s="7"/>
      <c r="F872" s="7"/>
    </row>
    <row r="873" spans="1:6" x14ac:dyDescent="0.25">
      <c r="A873" s="7"/>
      <c r="E873" s="7"/>
      <c r="F873" s="7"/>
    </row>
    <row r="874" spans="1:6" x14ac:dyDescent="0.25">
      <c r="A874" s="7"/>
      <c r="E874" s="7"/>
      <c r="F874" s="7"/>
    </row>
    <row r="875" spans="1:6" x14ac:dyDescent="0.25">
      <c r="A875" s="7"/>
      <c r="E875" s="7"/>
      <c r="F875" s="7"/>
    </row>
    <row r="876" spans="1:6" x14ac:dyDescent="0.25">
      <c r="A876" s="7"/>
      <c r="E876" s="7"/>
      <c r="F876" s="7"/>
    </row>
    <row r="877" spans="1:6" x14ac:dyDescent="0.25">
      <c r="A877" s="7"/>
      <c r="E877" s="7"/>
      <c r="F877" s="7"/>
    </row>
    <row r="878" spans="1:6" x14ac:dyDescent="0.25">
      <c r="A878" s="7"/>
      <c r="E878" s="7"/>
      <c r="F878" s="7"/>
    </row>
    <row r="879" spans="1:6" x14ac:dyDescent="0.25">
      <c r="A879" s="7"/>
      <c r="E879" s="7"/>
      <c r="F879" s="7"/>
    </row>
    <row r="880" spans="1:6" x14ac:dyDescent="0.25">
      <c r="A880" s="7"/>
      <c r="E880" s="7"/>
      <c r="F880" s="7"/>
    </row>
    <row r="881" spans="1:6" x14ac:dyDescent="0.25">
      <c r="A881" s="7"/>
      <c r="E881" s="7"/>
      <c r="F881" s="7"/>
    </row>
    <row r="882" spans="1:6" x14ac:dyDescent="0.25">
      <c r="A882" s="7"/>
      <c r="E882" s="7"/>
      <c r="F882" s="7"/>
    </row>
    <row r="883" spans="1:6" x14ac:dyDescent="0.25">
      <c r="A883" s="7"/>
      <c r="E883" s="7"/>
      <c r="F883" s="7"/>
    </row>
    <row r="884" spans="1:6" x14ac:dyDescent="0.25">
      <c r="A884" s="7"/>
      <c r="E884" s="7"/>
      <c r="F884" s="7"/>
    </row>
    <row r="885" spans="1:6" x14ac:dyDescent="0.25">
      <c r="A885" s="7"/>
      <c r="E885" s="7"/>
      <c r="F885" s="7"/>
    </row>
    <row r="886" spans="1:6" x14ac:dyDescent="0.25">
      <c r="A886" s="7"/>
      <c r="E886" s="7"/>
      <c r="F886" s="7"/>
    </row>
    <row r="887" spans="1:6" x14ac:dyDescent="0.25">
      <c r="A887" s="7"/>
      <c r="E887" s="7"/>
      <c r="F887" s="7"/>
    </row>
    <row r="888" spans="1:6" x14ac:dyDescent="0.25">
      <c r="A888" s="7"/>
      <c r="E888" s="7"/>
      <c r="F888" s="7"/>
    </row>
    <row r="889" spans="1:6" x14ac:dyDescent="0.25">
      <c r="A889" s="7"/>
      <c r="E889" s="7"/>
      <c r="F889" s="7"/>
    </row>
    <row r="890" spans="1:6" x14ac:dyDescent="0.25">
      <c r="A890" s="7"/>
      <c r="E890" s="7"/>
      <c r="F890" s="7"/>
    </row>
    <row r="891" spans="1:6" x14ac:dyDescent="0.25">
      <c r="A891" s="7"/>
      <c r="E891" s="7"/>
      <c r="F891" s="7"/>
    </row>
    <row r="892" spans="1:6" x14ac:dyDescent="0.25">
      <c r="A892" s="7"/>
      <c r="E892" s="7"/>
      <c r="F892" s="7"/>
    </row>
    <row r="893" spans="1:6" x14ac:dyDescent="0.25">
      <c r="A893" s="7"/>
      <c r="E893" s="7"/>
      <c r="F893" s="7"/>
    </row>
    <row r="894" spans="1:6" x14ac:dyDescent="0.25">
      <c r="A894" s="7"/>
      <c r="E894" s="7"/>
      <c r="F894" s="7"/>
    </row>
    <row r="895" spans="1:6" x14ac:dyDescent="0.25">
      <c r="A895" s="7"/>
      <c r="E895" s="7"/>
      <c r="F895" s="7"/>
    </row>
    <row r="896" spans="1:6" x14ac:dyDescent="0.25">
      <c r="A896" s="7"/>
      <c r="E896" s="7"/>
      <c r="F896" s="7"/>
    </row>
    <row r="897" spans="1:6" x14ac:dyDescent="0.25">
      <c r="A897" s="7"/>
      <c r="E897" s="7"/>
      <c r="F897" s="7"/>
    </row>
    <row r="898" spans="1:6" x14ac:dyDescent="0.25">
      <c r="A898" s="7"/>
      <c r="E898" s="7"/>
      <c r="F898" s="7"/>
    </row>
    <row r="899" spans="1:6" x14ac:dyDescent="0.25">
      <c r="A899" s="7"/>
      <c r="E899" s="7"/>
      <c r="F899" s="7"/>
    </row>
    <row r="900" spans="1:6" x14ac:dyDescent="0.25">
      <c r="A900" s="7"/>
      <c r="E900" s="7"/>
      <c r="F900" s="7"/>
    </row>
    <row r="901" spans="1:6" x14ac:dyDescent="0.25">
      <c r="A901" s="7"/>
      <c r="E901" s="7"/>
      <c r="F901" s="7"/>
    </row>
    <row r="902" spans="1:6" x14ac:dyDescent="0.25">
      <c r="A902" s="7"/>
      <c r="E902" s="7"/>
      <c r="F902" s="7"/>
    </row>
    <row r="903" spans="1:6" x14ac:dyDescent="0.25">
      <c r="A903" s="7"/>
      <c r="E903" s="7"/>
      <c r="F903" s="7"/>
    </row>
    <row r="904" spans="1:6" x14ac:dyDescent="0.25">
      <c r="A904" s="7"/>
      <c r="E904" s="7"/>
      <c r="F904" s="7"/>
    </row>
    <row r="905" spans="1:6" x14ac:dyDescent="0.25">
      <c r="A905" s="7"/>
      <c r="E905" s="7"/>
      <c r="F905" s="7"/>
    </row>
    <row r="906" spans="1:6" x14ac:dyDescent="0.25">
      <c r="A906" s="7"/>
      <c r="E906" s="7"/>
      <c r="F906" s="7"/>
    </row>
    <row r="907" spans="1:6" x14ac:dyDescent="0.25">
      <c r="A907" s="7"/>
      <c r="E907" s="7"/>
      <c r="F907" s="7"/>
    </row>
    <row r="908" spans="1:6" x14ac:dyDescent="0.25">
      <c r="A908" s="7"/>
      <c r="E908" s="7"/>
      <c r="F908" s="7"/>
    </row>
    <row r="909" spans="1:6" x14ac:dyDescent="0.25">
      <c r="A909" s="7"/>
      <c r="E909" s="7"/>
      <c r="F909" s="7"/>
    </row>
    <row r="910" spans="1:6" x14ac:dyDescent="0.25">
      <c r="A910" s="7"/>
      <c r="E910" s="7"/>
      <c r="F910" s="7"/>
    </row>
    <row r="911" spans="1:6" x14ac:dyDescent="0.25">
      <c r="A911" s="7"/>
      <c r="E911" s="7"/>
      <c r="F911" s="7"/>
    </row>
    <row r="912" spans="1:6" x14ac:dyDescent="0.25">
      <c r="A912" s="7"/>
      <c r="E912" s="7"/>
      <c r="F912" s="7"/>
    </row>
    <row r="913" spans="1:6" x14ac:dyDescent="0.25">
      <c r="A913" s="7"/>
      <c r="E913" s="7"/>
      <c r="F913" s="7"/>
    </row>
    <row r="914" spans="1:6" x14ac:dyDescent="0.25">
      <c r="A914" s="7"/>
      <c r="E914" s="7"/>
      <c r="F914" s="7"/>
    </row>
    <row r="915" spans="1:6" x14ac:dyDescent="0.25">
      <c r="A915" s="7"/>
      <c r="E915" s="7"/>
      <c r="F915" s="7"/>
    </row>
    <row r="916" spans="1:6" x14ac:dyDescent="0.25">
      <c r="A916" s="7"/>
      <c r="E916" s="7"/>
      <c r="F916" s="7"/>
    </row>
    <row r="917" spans="1:6" x14ac:dyDescent="0.25">
      <c r="A917" s="7"/>
      <c r="E917" s="7"/>
      <c r="F917" s="7"/>
    </row>
    <row r="918" spans="1:6" x14ac:dyDescent="0.25">
      <c r="A918" s="7"/>
      <c r="E918" s="7"/>
      <c r="F918" s="7"/>
    </row>
    <row r="919" spans="1:6" x14ac:dyDescent="0.25">
      <c r="A919" s="7"/>
      <c r="E919" s="7"/>
      <c r="F919" s="7"/>
    </row>
    <row r="920" spans="1:6" x14ac:dyDescent="0.25">
      <c r="A920" s="7"/>
      <c r="E920" s="7"/>
      <c r="F920" s="7"/>
    </row>
    <row r="921" spans="1:6" x14ac:dyDescent="0.25">
      <c r="A921" s="7"/>
      <c r="E921" s="7"/>
      <c r="F921" s="7"/>
    </row>
    <row r="922" spans="1:6" x14ac:dyDescent="0.25">
      <c r="A922" s="7"/>
      <c r="E922" s="7"/>
      <c r="F922" s="7"/>
    </row>
    <row r="923" spans="1:6" x14ac:dyDescent="0.25">
      <c r="A923" s="7"/>
      <c r="E923" s="7"/>
      <c r="F923" s="7"/>
    </row>
    <row r="924" spans="1:6" x14ac:dyDescent="0.25">
      <c r="A924" s="7"/>
      <c r="E924" s="7"/>
      <c r="F924" s="7"/>
    </row>
    <row r="925" spans="1:6" x14ac:dyDescent="0.25">
      <c r="A925" s="7"/>
      <c r="E925" s="7"/>
      <c r="F925" s="7"/>
    </row>
    <row r="926" spans="1:6" x14ac:dyDescent="0.25">
      <c r="A926" s="7"/>
      <c r="E926" s="7"/>
      <c r="F926" s="7"/>
    </row>
    <row r="927" spans="1:6" x14ac:dyDescent="0.25">
      <c r="A927" s="7"/>
      <c r="E927" s="7"/>
      <c r="F927" s="7"/>
    </row>
    <row r="928" spans="1:6" x14ac:dyDescent="0.25">
      <c r="A928" s="7"/>
      <c r="E928" s="7"/>
      <c r="F928" s="7"/>
    </row>
    <row r="929" spans="1:6" x14ac:dyDescent="0.25">
      <c r="A929" s="7"/>
      <c r="E929" s="7"/>
      <c r="F929" s="7"/>
    </row>
    <row r="930" spans="1:6" x14ac:dyDescent="0.25">
      <c r="A930" s="7"/>
      <c r="E930" s="7"/>
      <c r="F930" s="7"/>
    </row>
    <row r="931" spans="1:6" x14ac:dyDescent="0.25">
      <c r="A931" s="7"/>
      <c r="E931" s="7"/>
      <c r="F931" s="7"/>
    </row>
    <row r="932" spans="1:6" x14ac:dyDescent="0.25">
      <c r="A932" s="7"/>
      <c r="E932" s="7"/>
      <c r="F932" s="7"/>
    </row>
    <row r="933" spans="1:6" x14ac:dyDescent="0.25">
      <c r="A933" s="7"/>
      <c r="E933" s="7"/>
      <c r="F933" s="7"/>
    </row>
    <row r="934" spans="1:6" x14ac:dyDescent="0.25">
      <c r="A934" s="7"/>
      <c r="E934" s="7"/>
      <c r="F934" s="7"/>
    </row>
    <row r="935" spans="1:6" x14ac:dyDescent="0.25">
      <c r="A935" s="7"/>
      <c r="E935" s="7"/>
      <c r="F935" s="7"/>
    </row>
    <row r="936" spans="1:6" x14ac:dyDescent="0.25">
      <c r="A936" s="7"/>
      <c r="E936" s="7"/>
      <c r="F936" s="7"/>
    </row>
    <row r="937" spans="1:6" x14ac:dyDescent="0.25">
      <c r="A937" s="7"/>
      <c r="E937" s="7"/>
      <c r="F937" s="7"/>
    </row>
    <row r="938" spans="1:6" x14ac:dyDescent="0.25">
      <c r="A938" s="7"/>
      <c r="E938" s="7"/>
      <c r="F938" s="7"/>
    </row>
    <row r="939" spans="1:6" x14ac:dyDescent="0.25">
      <c r="A939" s="7"/>
      <c r="E939" s="7"/>
      <c r="F939" s="7"/>
    </row>
    <row r="940" spans="1:6" x14ac:dyDescent="0.25">
      <c r="A940" s="7"/>
      <c r="E940" s="7"/>
      <c r="F940" s="7"/>
    </row>
    <row r="941" spans="1:6" x14ac:dyDescent="0.25">
      <c r="A941" s="7"/>
      <c r="E941" s="7"/>
      <c r="F941" s="7"/>
    </row>
    <row r="942" spans="1:6" x14ac:dyDescent="0.25">
      <c r="A942" s="7"/>
      <c r="E942" s="7"/>
      <c r="F942" s="7"/>
    </row>
    <row r="943" spans="1:6" x14ac:dyDescent="0.25">
      <c r="A943" s="7"/>
      <c r="E943" s="7"/>
      <c r="F943" s="7"/>
    </row>
    <row r="944" spans="1:6" x14ac:dyDescent="0.25">
      <c r="A944" s="7"/>
      <c r="E944" s="7"/>
      <c r="F944" s="7"/>
    </row>
    <row r="945" spans="1:6" x14ac:dyDescent="0.25">
      <c r="A945" s="7"/>
      <c r="E945" s="7"/>
      <c r="F945" s="7"/>
    </row>
    <row r="946" spans="1:6" x14ac:dyDescent="0.25">
      <c r="A946" s="7"/>
      <c r="E946" s="7"/>
      <c r="F946" s="7"/>
    </row>
    <row r="947" spans="1:6" x14ac:dyDescent="0.25">
      <c r="A947" s="7"/>
      <c r="E947" s="7"/>
      <c r="F947" s="7"/>
    </row>
    <row r="948" spans="1:6" x14ac:dyDescent="0.25">
      <c r="A948" s="7"/>
      <c r="E948" s="7"/>
      <c r="F948" s="7"/>
    </row>
    <row r="949" spans="1:6" x14ac:dyDescent="0.25">
      <c r="A949" s="7"/>
      <c r="E949" s="7"/>
      <c r="F949" s="7"/>
    </row>
    <row r="950" spans="1:6" x14ac:dyDescent="0.25">
      <c r="A950" s="7"/>
      <c r="E950" s="7"/>
      <c r="F950" s="7"/>
    </row>
    <row r="951" spans="1:6" x14ac:dyDescent="0.25">
      <c r="A951" s="7"/>
      <c r="E951" s="7"/>
      <c r="F951" s="7"/>
    </row>
    <row r="952" spans="1:6" x14ac:dyDescent="0.25">
      <c r="A952" s="7"/>
      <c r="E952" s="7"/>
      <c r="F952" s="7"/>
    </row>
    <row r="953" spans="1:6" x14ac:dyDescent="0.25">
      <c r="A953" s="7"/>
      <c r="E953" s="7"/>
      <c r="F953" s="7"/>
    </row>
    <row r="954" spans="1:6" x14ac:dyDescent="0.25">
      <c r="A954" s="7"/>
      <c r="E954" s="7"/>
      <c r="F954" s="7"/>
    </row>
    <row r="955" spans="1:6" x14ac:dyDescent="0.25">
      <c r="A955" s="7"/>
      <c r="E955" s="7"/>
      <c r="F955" s="7"/>
    </row>
    <row r="956" spans="1:6" x14ac:dyDescent="0.25">
      <c r="A956" s="7"/>
      <c r="E956" s="7"/>
      <c r="F956" s="7"/>
    </row>
    <row r="957" spans="1:6" x14ac:dyDescent="0.25">
      <c r="A957" s="7"/>
      <c r="E957" s="7"/>
      <c r="F957" s="7"/>
    </row>
    <row r="958" spans="1:6" x14ac:dyDescent="0.25">
      <c r="A958" s="7"/>
      <c r="E958" s="7"/>
      <c r="F958" s="7"/>
    </row>
    <row r="959" spans="1:6" x14ac:dyDescent="0.25">
      <c r="A959" s="7"/>
      <c r="E959" s="7"/>
      <c r="F959" s="7"/>
    </row>
    <row r="960" spans="1:6" x14ac:dyDescent="0.25">
      <c r="A960" s="7"/>
      <c r="E960" s="7"/>
      <c r="F960" s="7"/>
    </row>
    <row r="961" spans="1:6" x14ac:dyDescent="0.25">
      <c r="A961" s="7"/>
      <c r="E961" s="7"/>
      <c r="F961" s="7"/>
    </row>
    <row r="962" spans="1:6" x14ac:dyDescent="0.25">
      <c r="A962" s="7"/>
      <c r="E962" s="7"/>
      <c r="F962" s="7"/>
    </row>
    <row r="963" spans="1:6" x14ac:dyDescent="0.25">
      <c r="A963" s="7"/>
      <c r="E963" s="7"/>
      <c r="F963" s="7"/>
    </row>
    <row r="964" spans="1:6" x14ac:dyDescent="0.25">
      <c r="A964" s="7"/>
      <c r="E964" s="7"/>
      <c r="F964" s="7"/>
    </row>
    <row r="965" spans="1:6" x14ac:dyDescent="0.25">
      <c r="A965" s="7"/>
      <c r="E965" s="7"/>
      <c r="F965" s="7"/>
    </row>
    <row r="966" spans="1:6" x14ac:dyDescent="0.25">
      <c r="A966" s="7"/>
      <c r="E966" s="7"/>
      <c r="F966" s="7"/>
    </row>
    <row r="967" spans="1:6" x14ac:dyDescent="0.25">
      <c r="A967" s="7"/>
      <c r="E967" s="7"/>
      <c r="F967" s="7"/>
    </row>
    <row r="968" spans="1:6" x14ac:dyDescent="0.25">
      <c r="A968" s="7"/>
      <c r="E968" s="7"/>
      <c r="F968" s="7"/>
    </row>
    <row r="969" spans="1:6" x14ac:dyDescent="0.25">
      <c r="A969" s="7"/>
      <c r="E969" s="7"/>
      <c r="F969" s="7"/>
    </row>
    <row r="970" spans="1:6" x14ac:dyDescent="0.25">
      <c r="A970" s="7"/>
      <c r="E970" s="7"/>
      <c r="F970" s="7"/>
    </row>
    <row r="971" spans="1:6" x14ac:dyDescent="0.25">
      <c r="A971" s="7"/>
      <c r="E971" s="7"/>
      <c r="F971" s="7"/>
    </row>
    <row r="972" spans="1:6" x14ac:dyDescent="0.25">
      <c r="A972" s="7"/>
      <c r="E972" s="7"/>
      <c r="F972" s="7"/>
    </row>
    <row r="973" spans="1:6" x14ac:dyDescent="0.25">
      <c r="A973" s="7"/>
      <c r="E973" s="7"/>
      <c r="F973" s="7"/>
    </row>
    <row r="974" spans="1:6" x14ac:dyDescent="0.25">
      <c r="A974" s="7"/>
      <c r="E974" s="7"/>
      <c r="F974" s="7"/>
    </row>
    <row r="975" spans="1:6" x14ac:dyDescent="0.25">
      <c r="A975" s="7"/>
      <c r="E975" s="7"/>
      <c r="F975" s="7"/>
    </row>
    <row r="976" spans="1:6" x14ac:dyDescent="0.25">
      <c r="A976" s="7"/>
      <c r="E976" s="7"/>
      <c r="F976" s="7"/>
    </row>
    <row r="977" spans="1:6" x14ac:dyDescent="0.25">
      <c r="A977" s="7"/>
      <c r="E977" s="7"/>
      <c r="F977" s="7"/>
    </row>
    <row r="978" spans="1:6" x14ac:dyDescent="0.25">
      <c r="A978" s="7"/>
      <c r="E978" s="7"/>
      <c r="F978" s="7"/>
    </row>
    <row r="979" spans="1:6" x14ac:dyDescent="0.25">
      <c r="A979" s="7"/>
      <c r="E979" s="7"/>
      <c r="F979" s="7"/>
    </row>
    <row r="980" spans="1:6" x14ac:dyDescent="0.25">
      <c r="A980" s="7"/>
      <c r="E980" s="7"/>
      <c r="F980" s="7"/>
    </row>
    <row r="981" spans="1:6" x14ac:dyDescent="0.25">
      <c r="A981" s="7"/>
      <c r="E981" s="7"/>
      <c r="F981" s="7"/>
    </row>
    <row r="982" spans="1:6" x14ac:dyDescent="0.25">
      <c r="A982" s="7"/>
      <c r="E982" s="7"/>
      <c r="F982" s="7"/>
    </row>
    <row r="983" spans="1:6" x14ac:dyDescent="0.25">
      <c r="A983" s="7"/>
      <c r="E983" s="7"/>
      <c r="F983" s="7"/>
    </row>
    <row r="984" spans="1:6" x14ac:dyDescent="0.25">
      <c r="A984" s="7"/>
      <c r="E984" s="7"/>
      <c r="F984" s="7"/>
    </row>
    <row r="985" spans="1:6" x14ac:dyDescent="0.25">
      <c r="A985" s="7"/>
      <c r="E985" s="7"/>
      <c r="F985" s="7"/>
    </row>
    <row r="986" spans="1:6" x14ac:dyDescent="0.25">
      <c r="A986" s="7"/>
      <c r="E986" s="7"/>
      <c r="F986" s="7"/>
    </row>
    <row r="987" spans="1:6" x14ac:dyDescent="0.25">
      <c r="A987" s="7"/>
      <c r="E987" s="7"/>
      <c r="F987" s="7"/>
    </row>
    <row r="988" spans="1:6" x14ac:dyDescent="0.25">
      <c r="A988" s="7"/>
      <c r="E988" s="7"/>
      <c r="F988" s="7"/>
    </row>
    <row r="989" spans="1:6" x14ac:dyDescent="0.25">
      <c r="A989" s="7"/>
      <c r="E989" s="7"/>
      <c r="F989" s="7"/>
    </row>
    <row r="990" spans="1:6" x14ac:dyDescent="0.25">
      <c r="A990" s="7"/>
      <c r="E990" s="7"/>
      <c r="F990" s="7"/>
    </row>
    <row r="991" spans="1:6" x14ac:dyDescent="0.25">
      <c r="A991" s="7"/>
      <c r="E991" s="7"/>
      <c r="F991" s="7"/>
    </row>
    <row r="992" spans="1:6" x14ac:dyDescent="0.25">
      <c r="A992" s="7"/>
      <c r="E992" s="7"/>
      <c r="F992" s="7"/>
    </row>
    <row r="993" spans="1:6" x14ac:dyDescent="0.25">
      <c r="A993" s="7"/>
      <c r="E993" s="7"/>
      <c r="F993" s="7"/>
    </row>
    <row r="994" spans="1:6" x14ac:dyDescent="0.25">
      <c r="A994" s="7"/>
      <c r="E994" s="7"/>
      <c r="F994" s="7"/>
    </row>
    <row r="995" spans="1:6" x14ac:dyDescent="0.25">
      <c r="A995" s="7"/>
      <c r="E995" s="7"/>
      <c r="F995" s="7"/>
    </row>
    <row r="996" spans="1:6" x14ac:dyDescent="0.25">
      <c r="A996" s="7"/>
      <c r="E996" s="7"/>
      <c r="F996" s="7"/>
    </row>
    <row r="997" spans="1:6" x14ac:dyDescent="0.25">
      <c r="A997" s="7"/>
      <c r="E997" s="7"/>
      <c r="F997" s="7"/>
    </row>
    <row r="998" spans="1:6" x14ac:dyDescent="0.25">
      <c r="A998" s="7"/>
      <c r="E998" s="7"/>
      <c r="F998" s="7"/>
    </row>
    <row r="999" spans="1:6" x14ac:dyDescent="0.25">
      <c r="A999" s="7"/>
      <c r="E999" s="7"/>
      <c r="F999" s="7"/>
    </row>
    <row r="1000" spans="1:6" x14ac:dyDescent="0.25">
      <c r="A1000" s="7"/>
      <c r="E1000" s="7"/>
      <c r="F1000" s="7"/>
    </row>
    <row r="1001" spans="1:6" x14ac:dyDescent="0.25">
      <c r="A1001" s="7"/>
      <c r="E1001" s="7"/>
      <c r="F1001" s="7"/>
    </row>
    <row r="1002" spans="1:6" x14ac:dyDescent="0.25">
      <c r="A1002" s="7"/>
      <c r="E1002" s="7"/>
      <c r="F1002" s="7"/>
    </row>
    <row r="1003" spans="1:6" x14ac:dyDescent="0.25">
      <c r="A1003" s="7"/>
      <c r="E1003" s="7"/>
      <c r="F1003" s="7"/>
    </row>
    <row r="1004" spans="1:6" x14ac:dyDescent="0.25">
      <c r="A1004" s="7"/>
      <c r="E1004" s="7"/>
      <c r="F1004" s="7"/>
    </row>
    <row r="1005" spans="1:6" x14ac:dyDescent="0.25">
      <c r="A1005" s="7"/>
      <c r="E1005" s="7"/>
      <c r="F1005" s="7"/>
    </row>
    <row r="1006" spans="1:6" x14ac:dyDescent="0.25">
      <c r="A1006" s="7"/>
      <c r="E1006" s="7"/>
      <c r="F1006" s="7"/>
    </row>
    <row r="1007" spans="1:6" x14ac:dyDescent="0.25">
      <c r="A1007" s="7"/>
      <c r="E1007" s="7"/>
      <c r="F1007" s="7"/>
    </row>
  </sheetData>
  <mergeCells count="15">
    <mergeCell ref="A1:I1"/>
    <mergeCell ref="A2:I2"/>
    <mergeCell ref="B3:C3"/>
    <mergeCell ref="A5:A7"/>
    <mergeCell ref="B5:B7"/>
    <mergeCell ref="C5:C7"/>
    <mergeCell ref="D5:D7"/>
    <mergeCell ref="A8:A9"/>
    <mergeCell ref="B8:B9"/>
    <mergeCell ref="C8:C9"/>
    <mergeCell ref="D8:D9"/>
    <mergeCell ref="A10:A11"/>
    <mergeCell ref="B10:B11"/>
    <mergeCell ref="C10:C11"/>
    <mergeCell ref="D10:D11"/>
  </mergeCells>
  <printOptions horizontalCentered="1" gridLines="1"/>
  <pageMargins left="0.25" right="0.25" top="0.75" bottom="0.75" header="0" footer="0"/>
  <pageSetup fitToHeight="0" pageOrder="overThenDown" orientation="landscape" cellComments="atEnd"/>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pageSetUpPr fitToPage="1"/>
  </sheetPr>
  <dimension ref="A1:W1002"/>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46.33203125" customWidth="1"/>
    <col min="2" max="2" width="7.33203125" customWidth="1"/>
    <col min="3" max="4" width="7.88671875" customWidth="1"/>
    <col min="5" max="5" width="22.21875" customWidth="1"/>
    <col min="6" max="6" width="14.6640625" customWidth="1"/>
  </cols>
  <sheetData>
    <row r="1" spans="1:23" x14ac:dyDescent="0.25">
      <c r="A1" s="141" t="s">
        <v>467</v>
      </c>
      <c r="B1" s="142"/>
      <c r="C1" s="142"/>
      <c r="D1" s="142"/>
      <c r="E1" s="142"/>
      <c r="F1" s="142"/>
      <c r="G1" s="142"/>
      <c r="H1" s="142"/>
      <c r="I1" s="143"/>
    </row>
    <row r="2" spans="1:23" x14ac:dyDescent="0.25">
      <c r="A2" s="144" t="s">
        <v>468</v>
      </c>
      <c r="B2" s="142"/>
      <c r="C2" s="142"/>
      <c r="D2" s="142"/>
      <c r="E2" s="142"/>
      <c r="F2" s="142"/>
      <c r="G2" s="142"/>
      <c r="H2" s="142"/>
      <c r="I2" s="143"/>
    </row>
    <row r="3" spans="1:23" x14ac:dyDescent="0.25">
      <c r="A3" s="43" t="s">
        <v>374</v>
      </c>
      <c r="B3" s="145" t="s">
        <v>408</v>
      </c>
      <c r="C3" s="143"/>
      <c r="D3" s="49" t="s">
        <v>370</v>
      </c>
      <c r="E3" s="50" t="s">
        <v>371</v>
      </c>
      <c r="F3" s="51" t="s">
        <v>372</v>
      </c>
      <c r="G3" s="52" t="s">
        <v>373</v>
      </c>
      <c r="H3" s="53" t="s">
        <v>409</v>
      </c>
      <c r="I3" s="53" t="s">
        <v>410</v>
      </c>
      <c r="J3" s="7"/>
      <c r="K3" s="7"/>
      <c r="L3" s="7"/>
      <c r="M3" s="7"/>
      <c r="N3" s="7"/>
      <c r="O3" s="7"/>
      <c r="P3" s="7"/>
      <c r="Q3" s="7"/>
      <c r="R3" s="7"/>
      <c r="S3" s="7"/>
      <c r="T3" s="7"/>
      <c r="U3" s="7"/>
      <c r="V3" s="7"/>
      <c r="W3" s="7"/>
    </row>
    <row r="4" spans="1:23" x14ac:dyDescent="0.25">
      <c r="A4" s="41" t="s">
        <v>411</v>
      </c>
      <c r="B4" s="54">
        <f>SUM(B5:B8)/3</f>
        <v>1</v>
      </c>
      <c r="C4" s="55">
        <f>D4*B4</f>
        <v>0.7</v>
      </c>
      <c r="D4" s="56">
        <v>0.7</v>
      </c>
      <c r="E4" s="57"/>
      <c r="F4" s="57"/>
      <c r="G4" s="58"/>
      <c r="H4" s="58"/>
      <c r="I4" s="58"/>
    </row>
    <row r="5" spans="1:23" x14ac:dyDescent="0.25">
      <c r="A5" s="79" t="s">
        <v>469</v>
      </c>
      <c r="B5" s="80">
        <v>1</v>
      </c>
      <c r="C5" s="81"/>
      <c r="D5" s="81"/>
      <c r="E5" s="79" t="s">
        <v>470</v>
      </c>
      <c r="F5" s="79" t="s">
        <v>471</v>
      </c>
      <c r="G5" s="80">
        <v>0.8</v>
      </c>
      <c r="H5" s="80">
        <v>0.8</v>
      </c>
      <c r="I5" s="80">
        <v>1</v>
      </c>
      <c r="J5" s="82" t="s">
        <v>472</v>
      </c>
    </row>
    <row r="6" spans="1:23" x14ac:dyDescent="0.25">
      <c r="A6" s="79" t="s">
        <v>473</v>
      </c>
      <c r="B6" s="80">
        <v>1</v>
      </c>
      <c r="C6" s="81"/>
      <c r="D6" s="81"/>
      <c r="E6" s="79" t="s">
        <v>474</v>
      </c>
      <c r="F6" s="79" t="s">
        <v>475</v>
      </c>
      <c r="G6" s="80">
        <v>0.8</v>
      </c>
      <c r="H6" s="80">
        <v>0.8</v>
      </c>
      <c r="I6" s="80">
        <v>1</v>
      </c>
      <c r="J6" s="82" t="s">
        <v>476</v>
      </c>
    </row>
    <row r="7" spans="1:23" x14ac:dyDescent="0.25">
      <c r="A7" s="79" t="s">
        <v>477</v>
      </c>
      <c r="B7" s="80">
        <v>1</v>
      </c>
      <c r="C7" s="81"/>
      <c r="D7" s="81"/>
      <c r="E7" s="79" t="s">
        <v>478</v>
      </c>
      <c r="F7" s="79" t="s">
        <v>479</v>
      </c>
      <c r="G7" s="80">
        <v>0.8</v>
      </c>
      <c r="H7" s="80">
        <v>0.8</v>
      </c>
      <c r="I7" s="80">
        <v>1</v>
      </c>
      <c r="J7" s="82"/>
    </row>
    <row r="8" spans="1:23" x14ac:dyDescent="0.25">
      <c r="A8" s="42"/>
      <c r="B8" s="62"/>
      <c r="C8" s="60"/>
      <c r="D8" s="60"/>
      <c r="E8" s="42"/>
      <c r="F8" s="42"/>
      <c r="G8" s="60"/>
      <c r="H8" s="60"/>
      <c r="I8" s="60"/>
      <c r="J8" s="82"/>
    </row>
    <row r="9" spans="1:23" x14ac:dyDescent="0.25">
      <c r="A9" s="41" t="s">
        <v>415</v>
      </c>
      <c r="B9" s="54">
        <f>SUM(B10:B11)/1</f>
        <v>2</v>
      </c>
      <c r="C9" s="55">
        <f>D9*B9</f>
        <v>0.4</v>
      </c>
      <c r="D9" s="56">
        <v>0.2</v>
      </c>
      <c r="E9" s="57"/>
      <c r="F9" s="57"/>
      <c r="G9" s="58"/>
      <c r="H9" s="58"/>
      <c r="I9" s="58"/>
      <c r="J9" s="82"/>
    </row>
    <row r="10" spans="1:23" x14ac:dyDescent="0.25">
      <c r="A10" s="79" t="s">
        <v>480</v>
      </c>
      <c r="B10" s="80">
        <v>1</v>
      </c>
      <c r="C10" s="81"/>
      <c r="D10" s="81"/>
      <c r="E10" s="79" t="s">
        <v>481</v>
      </c>
      <c r="F10" s="79" t="s">
        <v>482</v>
      </c>
      <c r="G10" s="80">
        <v>1</v>
      </c>
      <c r="H10" s="80"/>
      <c r="I10" s="80"/>
      <c r="J10" s="82"/>
    </row>
    <row r="11" spans="1:23" x14ac:dyDescent="0.25">
      <c r="A11" s="83" t="s">
        <v>483</v>
      </c>
      <c r="B11" s="80">
        <v>1</v>
      </c>
      <c r="C11" s="81"/>
      <c r="D11" s="81"/>
      <c r="E11" s="79" t="s">
        <v>484</v>
      </c>
      <c r="F11" s="79" t="s">
        <v>485</v>
      </c>
      <c r="G11" s="80"/>
      <c r="H11" s="80"/>
      <c r="I11" s="80"/>
      <c r="J11" s="82"/>
    </row>
    <row r="12" spans="1:23" x14ac:dyDescent="0.25">
      <c r="A12" s="41" t="s">
        <v>385</v>
      </c>
      <c r="B12" s="54">
        <f>SUM(B13:B14)/2</f>
        <v>1</v>
      </c>
      <c r="C12" s="55">
        <f>D12*B12</f>
        <v>0.1</v>
      </c>
      <c r="D12" s="56">
        <v>0.1</v>
      </c>
      <c r="E12" s="57"/>
      <c r="F12" s="57"/>
      <c r="G12" s="58"/>
      <c r="H12" s="58"/>
      <c r="I12" s="58"/>
      <c r="J12" s="82"/>
    </row>
    <row r="13" spans="1:23" x14ac:dyDescent="0.25">
      <c r="A13" s="42" t="s">
        <v>386</v>
      </c>
      <c r="B13" s="59">
        <v>1</v>
      </c>
      <c r="C13" s="60"/>
      <c r="D13" s="53"/>
      <c r="E13" s="42"/>
      <c r="F13" s="42" t="s">
        <v>418</v>
      </c>
      <c r="G13" s="59">
        <v>0.8</v>
      </c>
      <c r="H13" s="59">
        <v>0.8</v>
      </c>
      <c r="I13" s="59">
        <v>1</v>
      </c>
      <c r="J13" s="82"/>
    </row>
    <row r="14" spans="1:23" x14ac:dyDescent="0.25">
      <c r="A14" s="42" t="s">
        <v>387</v>
      </c>
      <c r="B14" s="59">
        <v>1</v>
      </c>
      <c r="C14" s="53"/>
      <c r="D14" s="53"/>
      <c r="E14" s="42" t="s">
        <v>486</v>
      </c>
      <c r="F14" s="42" t="s">
        <v>419</v>
      </c>
      <c r="G14" s="59">
        <v>0.8</v>
      </c>
      <c r="H14" s="59">
        <v>0.8</v>
      </c>
      <c r="I14" s="59">
        <v>1</v>
      </c>
      <c r="J14" s="82"/>
    </row>
    <row r="15" spans="1:23" x14ac:dyDescent="0.25">
      <c r="A15" s="42"/>
      <c r="B15" s="59"/>
      <c r="C15" s="64">
        <f t="shared" ref="C15:D15" si="0">SUM(C4+C9+C12)</f>
        <v>1.2000000000000002</v>
      </c>
      <c r="D15" s="64">
        <f t="shared" si="0"/>
        <v>0.99999999999999989</v>
      </c>
      <c r="E15" s="42"/>
      <c r="F15" s="42"/>
      <c r="G15" s="59"/>
      <c r="H15" s="59"/>
      <c r="I15" s="59"/>
      <c r="J15" s="82"/>
    </row>
    <row r="16" spans="1:23" x14ac:dyDescent="0.25">
      <c r="A16" s="41" t="s">
        <v>487</v>
      </c>
      <c r="B16" s="41"/>
      <c r="C16" s="78"/>
      <c r="D16" s="78">
        <f>C16</f>
        <v>0</v>
      </c>
      <c r="E16" s="41"/>
      <c r="F16" s="41"/>
      <c r="G16" s="41"/>
      <c r="H16" s="41"/>
      <c r="I16" s="41"/>
      <c r="J16" s="82"/>
    </row>
    <row r="17" spans="1:10" x14ac:dyDescent="0.25">
      <c r="A17" s="66" t="s">
        <v>488</v>
      </c>
      <c r="B17" s="67" t="s">
        <v>427</v>
      </c>
      <c r="C17" s="59">
        <v>1</v>
      </c>
      <c r="D17" s="64"/>
      <c r="E17" s="68" t="s">
        <v>489</v>
      </c>
      <c r="F17" s="42" t="s">
        <v>425</v>
      </c>
      <c r="G17" s="42"/>
      <c r="H17" s="60"/>
      <c r="I17" s="60"/>
      <c r="J17" s="84" t="s">
        <v>490</v>
      </c>
    </row>
    <row r="18" spans="1:10" x14ac:dyDescent="0.25">
      <c r="A18" s="66" t="s">
        <v>491</v>
      </c>
      <c r="B18" s="67" t="s">
        <v>427</v>
      </c>
      <c r="C18" s="59">
        <v>1</v>
      </c>
      <c r="D18" s="64"/>
      <c r="E18" s="68" t="s">
        <v>492</v>
      </c>
      <c r="F18" s="42" t="s">
        <v>425</v>
      </c>
      <c r="G18" s="42"/>
      <c r="H18" s="60"/>
      <c r="I18" s="60"/>
      <c r="J18" s="84" t="s">
        <v>493</v>
      </c>
    </row>
    <row r="19" spans="1:10" x14ac:dyDescent="0.25">
      <c r="A19" s="66"/>
      <c r="B19" s="67"/>
      <c r="C19" s="64"/>
      <c r="D19" s="64"/>
      <c r="E19" s="68"/>
      <c r="F19" s="42"/>
      <c r="G19" s="42"/>
      <c r="H19" s="60"/>
      <c r="I19" s="60"/>
    </row>
    <row r="20" spans="1:10" x14ac:dyDescent="0.25">
      <c r="A20" s="7"/>
      <c r="E20" s="7"/>
      <c r="F20" s="7"/>
    </row>
    <row r="21" spans="1:10" x14ac:dyDescent="0.25">
      <c r="A21" s="7"/>
      <c r="E21" s="7"/>
      <c r="F21" s="7"/>
    </row>
    <row r="22" spans="1:10" x14ac:dyDescent="0.25">
      <c r="A22" s="7"/>
      <c r="E22" s="7"/>
      <c r="F22" s="7"/>
    </row>
    <row r="23" spans="1:10" x14ac:dyDescent="0.25">
      <c r="A23" s="7"/>
      <c r="E23" s="7"/>
      <c r="F23" s="7"/>
    </row>
    <row r="24" spans="1:10" x14ac:dyDescent="0.25">
      <c r="A24" s="7"/>
      <c r="E24" s="7"/>
      <c r="F24" s="7"/>
    </row>
    <row r="25" spans="1:10" x14ac:dyDescent="0.25">
      <c r="A25" s="7"/>
      <c r="E25" s="7"/>
      <c r="F25" s="7"/>
    </row>
    <row r="26" spans="1:10" x14ac:dyDescent="0.25">
      <c r="A26" s="7"/>
      <c r="E26" s="7"/>
      <c r="F26" s="7"/>
    </row>
    <row r="27" spans="1:10" x14ac:dyDescent="0.25">
      <c r="A27" s="7"/>
      <c r="E27" s="7"/>
      <c r="F27" s="7"/>
    </row>
    <row r="28" spans="1:10" x14ac:dyDescent="0.25">
      <c r="A28" s="7"/>
      <c r="E28" s="7"/>
      <c r="F28" s="7"/>
    </row>
    <row r="29" spans="1:10" x14ac:dyDescent="0.25">
      <c r="A29" s="7"/>
      <c r="E29" s="7"/>
      <c r="F29" s="7"/>
    </row>
    <row r="30" spans="1:10" x14ac:dyDescent="0.25">
      <c r="A30" s="7"/>
      <c r="E30" s="7"/>
      <c r="F30" s="7"/>
    </row>
    <row r="31" spans="1:10" x14ac:dyDescent="0.25">
      <c r="A31" s="7"/>
      <c r="E31" s="7"/>
      <c r="F31" s="7"/>
    </row>
    <row r="32" spans="1:10" x14ac:dyDescent="0.25">
      <c r="A32" s="7"/>
      <c r="E32" s="7"/>
      <c r="F32" s="7"/>
    </row>
    <row r="33" spans="1:6" x14ac:dyDescent="0.25">
      <c r="A33" s="7"/>
      <c r="E33" s="7"/>
      <c r="F33" s="7"/>
    </row>
    <row r="34" spans="1:6" x14ac:dyDescent="0.25">
      <c r="A34" s="7"/>
      <c r="E34" s="7"/>
      <c r="F34" s="7"/>
    </row>
    <row r="35" spans="1:6" x14ac:dyDescent="0.25">
      <c r="A35" s="7"/>
      <c r="E35" s="7"/>
      <c r="F35" s="7"/>
    </row>
    <row r="36" spans="1:6" x14ac:dyDescent="0.25">
      <c r="A36" s="7"/>
      <c r="E36" s="7"/>
      <c r="F36" s="7"/>
    </row>
    <row r="37" spans="1:6" x14ac:dyDescent="0.25">
      <c r="A37" s="7"/>
      <c r="E37" s="7"/>
      <c r="F37" s="7"/>
    </row>
    <row r="38" spans="1:6" x14ac:dyDescent="0.25">
      <c r="A38" s="7"/>
      <c r="E38" s="7"/>
      <c r="F38" s="7"/>
    </row>
    <row r="39" spans="1:6" x14ac:dyDescent="0.25">
      <c r="A39" s="7"/>
      <c r="E39" s="7"/>
      <c r="F39" s="7"/>
    </row>
    <row r="40" spans="1:6" x14ac:dyDescent="0.25">
      <c r="A40" s="7"/>
      <c r="E40" s="7"/>
      <c r="F40" s="7"/>
    </row>
    <row r="41" spans="1:6" x14ac:dyDescent="0.25">
      <c r="A41" s="7"/>
      <c r="E41" s="7"/>
      <c r="F41" s="7"/>
    </row>
    <row r="42" spans="1:6" x14ac:dyDescent="0.25">
      <c r="A42" s="7"/>
      <c r="E42" s="7"/>
      <c r="F42" s="7"/>
    </row>
    <row r="43" spans="1:6" x14ac:dyDescent="0.25">
      <c r="A43" s="7"/>
      <c r="E43" s="7"/>
      <c r="F43" s="7"/>
    </row>
    <row r="44" spans="1:6" x14ac:dyDescent="0.25">
      <c r="A44" s="7"/>
      <c r="E44" s="7"/>
      <c r="F44" s="7"/>
    </row>
    <row r="45" spans="1:6" x14ac:dyDescent="0.25">
      <c r="A45" s="7"/>
      <c r="E45" s="7"/>
      <c r="F45" s="7"/>
    </row>
    <row r="46" spans="1:6" x14ac:dyDescent="0.25">
      <c r="A46" s="7"/>
      <c r="E46" s="7"/>
      <c r="F46" s="7"/>
    </row>
    <row r="47" spans="1:6" x14ac:dyDescent="0.25">
      <c r="A47" s="7"/>
      <c r="E47" s="7"/>
      <c r="F47" s="7"/>
    </row>
    <row r="48" spans="1:6" x14ac:dyDescent="0.25">
      <c r="A48" s="7"/>
      <c r="E48" s="7"/>
      <c r="F48" s="7"/>
    </row>
    <row r="49" spans="1:6" x14ac:dyDescent="0.25">
      <c r="A49" s="7"/>
      <c r="E49" s="7"/>
      <c r="F49" s="7"/>
    </row>
    <row r="50" spans="1:6" x14ac:dyDescent="0.25">
      <c r="A50" s="7"/>
      <c r="E50" s="7"/>
      <c r="F50" s="7"/>
    </row>
    <row r="51" spans="1:6" x14ac:dyDescent="0.25">
      <c r="A51" s="7"/>
      <c r="E51" s="7"/>
      <c r="F51" s="7"/>
    </row>
    <row r="52" spans="1:6" x14ac:dyDescent="0.25">
      <c r="A52" s="7"/>
      <c r="E52" s="7"/>
      <c r="F52" s="7"/>
    </row>
    <row r="53" spans="1:6" x14ac:dyDescent="0.25">
      <c r="A53" s="7"/>
      <c r="E53" s="7"/>
      <c r="F53" s="7"/>
    </row>
    <row r="54" spans="1:6" x14ac:dyDescent="0.25">
      <c r="A54" s="7"/>
      <c r="E54" s="7"/>
      <c r="F54" s="7"/>
    </row>
    <row r="55" spans="1:6" x14ac:dyDescent="0.25">
      <c r="A55" s="7"/>
      <c r="E55" s="7"/>
      <c r="F55" s="7"/>
    </row>
    <row r="56" spans="1:6" x14ac:dyDescent="0.25">
      <c r="A56" s="7"/>
      <c r="E56" s="7"/>
      <c r="F56" s="7"/>
    </row>
    <row r="57" spans="1:6" x14ac:dyDescent="0.25">
      <c r="A57" s="7"/>
      <c r="E57" s="7"/>
      <c r="F57" s="7"/>
    </row>
    <row r="58" spans="1:6" x14ac:dyDescent="0.25">
      <c r="A58" s="7"/>
      <c r="E58" s="7"/>
      <c r="F58" s="7"/>
    </row>
    <row r="59" spans="1:6" x14ac:dyDescent="0.25">
      <c r="A59" s="7"/>
      <c r="E59" s="7"/>
      <c r="F59" s="7"/>
    </row>
    <row r="60" spans="1:6" x14ac:dyDescent="0.25">
      <c r="A60" s="7"/>
      <c r="E60" s="7"/>
      <c r="F60" s="7"/>
    </row>
    <row r="61" spans="1:6" x14ac:dyDescent="0.25">
      <c r="A61" s="7"/>
      <c r="E61" s="7"/>
      <c r="F61" s="7"/>
    </row>
    <row r="62" spans="1:6" x14ac:dyDescent="0.25">
      <c r="A62" s="7"/>
      <c r="E62" s="7"/>
      <c r="F62" s="7"/>
    </row>
    <row r="63" spans="1:6" x14ac:dyDescent="0.25">
      <c r="A63" s="7"/>
      <c r="E63" s="7"/>
      <c r="F63" s="7"/>
    </row>
    <row r="64" spans="1:6" x14ac:dyDescent="0.25">
      <c r="A64" s="7"/>
      <c r="E64" s="7"/>
      <c r="F64" s="7"/>
    </row>
    <row r="65" spans="1:6" x14ac:dyDescent="0.25">
      <c r="A65" s="7"/>
      <c r="E65" s="7"/>
      <c r="F65" s="7"/>
    </row>
    <row r="66" spans="1:6" x14ac:dyDescent="0.25">
      <c r="A66" s="7"/>
      <c r="E66" s="7"/>
      <c r="F66" s="7"/>
    </row>
    <row r="67" spans="1:6" x14ac:dyDescent="0.25">
      <c r="A67" s="7"/>
      <c r="E67" s="7"/>
      <c r="F67" s="7"/>
    </row>
    <row r="68" spans="1:6" x14ac:dyDescent="0.25">
      <c r="A68" s="7"/>
      <c r="E68" s="7"/>
      <c r="F68" s="7"/>
    </row>
    <row r="69" spans="1:6" x14ac:dyDescent="0.25">
      <c r="A69" s="7"/>
      <c r="E69" s="7"/>
      <c r="F69" s="7"/>
    </row>
    <row r="70" spans="1:6" x14ac:dyDescent="0.25">
      <c r="A70" s="7"/>
      <c r="E70" s="7"/>
      <c r="F70" s="7"/>
    </row>
    <row r="71" spans="1:6" x14ac:dyDescent="0.25">
      <c r="A71" s="7"/>
      <c r="E71" s="7"/>
      <c r="F71" s="7"/>
    </row>
    <row r="72" spans="1:6" x14ac:dyDescent="0.25">
      <c r="A72" s="7"/>
      <c r="E72" s="7"/>
      <c r="F72" s="7"/>
    </row>
    <row r="73" spans="1:6" x14ac:dyDescent="0.25">
      <c r="A73" s="7"/>
      <c r="E73" s="7"/>
      <c r="F73" s="7"/>
    </row>
    <row r="74" spans="1:6" x14ac:dyDescent="0.25">
      <c r="A74" s="7"/>
      <c r="E74" s="7"/>
      <c r="F74" s="7"/>
    </row>
    <row r="75" spans="1:6" x14ac:dyDescent="0.25">
      <c r="A75" s="7"/>
      <c r="E75" s="7"/>
      <c r="F75" s="7"/>
    </row>
    <row r="76" spans="1:6" x14ac:dyDescent="0.25">
      <c r="A76" s="7"/>
      <c r="E76" s="7"/>
      <c r="F76" s="7"/>
    </row>
    <row r="77" spans="1:6" x14ac:dyDescent="0.25">
      <c r="A77" s="7"/>
      <c r="E77" s="7"/>
      <c r="F77" s="7"/>
    </row>
    <row r="78" spans="1:6" x14ac:dyDescent="0.25">
      <c r="A78" s="7"/>
      <c r="E78" s="7"/>
      <c r="F78" s="7"/>
    </row>
    <row r="79" spans="1:6" x14ac:dyDescent="0.25">
      <c r="A79" s="7"/>
      <c r="E79" s="7"/>
      <c r="F79" s="7"/>
    </row>
    <row r="80" spans="1:6" x14ac:dyDescent="0.25">
      <c r="A80" s="7"/>
      <c r="E80" s="7"/>
      <c r="F80" s="7"/>
    </row>
    <row r="81" spans="1:6" x14ac:dyDescent="0.25">
      <c r="A81" s="7"/>
      <c r="E81" s="7"/>
      <c r="F81" s="7"/>
    </row>
    <row r="82" spans="1:6" x14ac:dyDescent="0.25">
      <c r="A82" s="7"/>
      <c r="E82" s="7"/>
      <c r="F82" s="7"/>
    </row>
    <row r="83" spans="1:6" x14ac:dyDescent="0.25">
      <c r="A83" s="7"/>
      <c r="E83" s="7"/>
      <c r="F83" s="7"/>
    </row>
    <row r="84" spans="1:6" x14ac:dyDescent="0.25">
      <c r="A84" s="7"/>
      <c r="E84" s="7"/>
      <c r="F84" s="7"/>
    </row>
    <row r="85" spans="1:6" x14ac:dyDescent="0.25">
      <c r="A85" s="7"/>
      <c r="E85" s="7"/>
      <c r="F85" s="7"/>
    </row>
    <row r="86" spans="1:6" x14ac:dyDescent="0.25">
      <c r="A86" s="7"/>
      <c r="E86" s="7"/>
      <c r="F86" s="7"/>
    </row>
    <row r="87" spans="1:6" x14ac:dyDescent="0.25">
      <c r="A87" s="7"/>
      <c r="E87" s="7"/>
      <c r="F87" s="7"/>
    </row>
    <row r="88" spans="1:6" x14ac:dyDescent="0.25">
      <c r="A88" s="7"/>
      <c r="E88" s="7"/>
      <c r="F88" s="7"/>
    </row>
    <row r="89" spans="1:6" x14ac:dyDescent="0.25">
      <c r="A89" s="7"/>
      <c r="E89" s="7"/>
      <c r="F89" s="7"/>
    </row>
    <row r="90" spans="1:6" x14ac:dyDescent="0.25">
      <c r="A90" s="7"/>
      <c r="E90" s="7"/>
      <c r="F90" s="7"/>
    </row>
    <row r="91" spans="1:6" x14ac:dyDescent="0.25">
      <c r="A91" s="7"/>
      <c r="E91" s="7"/>
      <c r="F91" s="7"/>
    </row>
    <row r="92" spans="1:6" x14ac:dyDescent="0.25">
      <c r="A92" s="7"/>
      <c r="E92" s="7"/>
      <c r="F92" s="7"/>
    </row>
    <row r="93" spans="1:6" x14ac:dyDescent="0.25">
      <c r="A93" s="7"/>
      <c r="E93" s="7"/>
      <c r="F93" s="7"/>
    </row>
    <row r="94" spans="1:6" x14ac:dyDescent="0.25">
      <c r="A94" s="7"/>
      <c r="E94" s="7"/>
      <c r="F94" s="7"/>
    </row>
    <row r="95" spans="1:6" x14ac:dyDescent="0.25">
      <c r="A95" s="7"/>
      <c r="E95" s="7"/>
      <c r="F95" s="7"/>
    </row>
    <row r="96" spans="1:6" x14ac:dyDescent="0.25">
      <c r="A96" s="7"/>
      <c r="E96" s="7"/>
      <c r="F96" s="7"/>
    </row>
    <row r="97" spans="1:6" x14ac:dyDescent="0.25">
      <c r="A97" s="7"/>
      <c r="E97" s="7"/>
      <c r="F97" s="7"/>
    </row>
    <row r="98" spans="1:6" x14ac:dyDescent="0.25">
      <c r="A98" s="7"/>
      <c r="E98" s="7"/>
      <c r="F98" s="7"/>
    </row>
    <row r="99" spans="1:6" x14ac:dyDescent="0.25">
      <c r="A99" s="7"/>
      <c r="E99" s="7"/>
      <c r="F99" s="7"/>
    </row>
    <row r="100" spans="1:6" x14ac:dyDescent="0.25">
      <c r="A100" s="7"/>
      <c r="E100" s="7"/>
      <c r="F100" s="7"/>
    </row>
    <row r="101" spans="1:6" x14ac:dyDescent="0.25">
      <c r="A101" s="7"/>
      <c r="E101" s="7"/>
      <c r="F101" s="7"/>
    </row>
    <row r="102" spans="1:6" x14ac:dyDescent="0.25">
      <c r="A102" s="7"/>
      <c r="E102" s="7"/>
      <c r="F102" s="7"/>
    </row>
    <row r="103" spans="1:6" x14ac:dyDescent="0.25">
      <c r="A103" s="7"/>
      <c r="E103" s="7"/>
      <c r="F103" s="7"/>
    </row>
    <row r="104" spans="1:6" x14ac:dyDescent="0.25">
      <c r="A104" s="7"/>
      <c r="E104" s="7"/>
      <c r="F104" s="7"/>
    </row>
    <row r="105" spans="1:6" x14ac:dyDescent="0.25">
      <c r="A105" s="7"/>
      <c r="E105" s="7"/>
      <c r="F105" s="7"/>
    </row>
    <row r="106" spans="1:6" x14ac:dyDescent="0.25">
      <c r="A106" s="7"/>
      <c r="E106" s="7"/>
      <c r="F106" s="7"/>
    </row>
    <row r="107" spans="1:6" x14ac:dyDescent="0.25">
      <c r="A107" s="7"/>
      <c r="E107" s="7"/>
      <c r="F107" s="7"/>
    </row>
    <row r="108" spans="1:6" x14ac:dyDescent="0.25">
      <c r="A108" s="7"/>
      <c r="E108" s="7"/>
      <c r="F108" s="7"/>
    </row>
    <row r="109" spans="1:6" x14ac:dyDescent="0.25">
      <c r="A109" s="7"/>
      <c r="E109" s="7"/>
      <c r="F109" s="7"/>
    </row>
    <row r="110" spans="1:6" x14ac:dyDescent="0.25">
      <c r="A110" s="7"/>
      <c r="E110" s="7"/>
      <c r="F110" s="7"/>
    </row>
    <row r="111" spans="1:6" x14ac:dyDescent="0.25">
      <c r="A111" s="7"/>
      <c r="E111" s="7"/>
      <c r="F111" s="7"/>
    </row>
    <row r="112" spans="1:6" x14ac:dyDescent="0.25">
      <c r="A112" s="7"/>
      <c r="E112" s="7"/>
      <c r="F112" s="7"/>
    </row>
    <row r="113" spans="1:6" x14ac:dyDescent="0.25">
      <c r="A113" s="7"/>
      <c r="E113" s="7"/>
      <c r="F113" s="7"/>
    </row>
    <row r="114" spans="1:6" x14ac:dyDescent="0.25">
      <c r="A114" s="7"/>
      <c r="E114" s="7"/>
      <c r="F114" s="7"/>
    </row>
    <row r="115" spans="1:6" x14ac:dyDescent="0.25">
      <c r="A115" s="7"/>
      <c r="E115" s="7"/>
      <c r="F115" s="7"/>
    </row>
    <row r="116" spans="1:6" x14ac:dyDescent="0.25">
      <c r="A116" s="7"/>
      <c r="E116" s="7"/>
      <c r="F116" s="7"/>
    </row>
    <row r="117" spans="1:6" x14ac:dyDescent="0.25">
      <c r="A117" s="7"/>
      <c r="E117" s="7"/>
      <c r="F117" s="7"/>
    </row>
    <row r="118" spans="1:6" x14ac:dyDescent="0.25">
      <c r="A118" s="7"/>
      <c r="E118" s="7"/>
      <c r="F118" s="7"/>
    </row>
    <row r="119" spans="1:6" x14ac:dyDescent="0.25">
      <c r="A119" s="7"/>
      <c r="E119" s="7"/>
      <c r="F119" s="7"/>
    </row>
    <row r="120" spans="1:6" x14ac:dyDescent="0.25">
      <c r="A120" s="7"/>
      <c r="E120" s="7"/>
      <c r="F120" s="7"/>
    </row>
    <row r="121" spans="1:6" x14ac:dyDescent="0.25">
      <c r="A121" s="7"/>
      <c r="E121" s="7"/>
      <c r="F121" s="7"/>
    </row>
    <row r="122" spans="1:6" x14ac:dyDescent="0.25">
      <c r="A122" s="7"/>
      <c r="E122" s="7"/>
      <c r="F122" s="7"/>
    </row>
    <row r="123" spans="1:6" x14ac:dyDescent="0.25">
      <c r="A123" s="7"/>
      <c r="E123" s="7"/>
      <c r="F123" s="7"/>
    </row>
    <row r="124" spans="1:6" x14ac:dyDescent="0.25">
      <c r="A124" s="7"/>
      <c r="E124" s="7"/>
      <c r="F124" s="7"/>
    </row>
    <row r="125" spans="1:6" x14ac:dyDescent="0.25">
      <c r="A125" s="7"/>
      <c r="E125" s="7"/>
      <c r="F125" s="7"/>
    </row>
    <row r="126" spans="1:6" x14ac:dyDescent="0.25">
      <c r="A126" s="7"/>
      <c r="E126" s="7"/>
      <c r="F126" s="7"/>
    </row>
    <row r="127" spans="1:6" x14ac:dyDescent="0.25">
      <c r="A127" s="7"/>
      <c r="E127" s="7"/>
      <c r="F127" s="7"/>
    </row>
    <row r="128" spans="1:6" x14ac:dyDescent="0.25">
      <c r="A128" s="7"/>
      <c r="E128" s="7"/>
      <c r="F128" s="7"/>
    </row>
    <row r="129" spans="1:6" x14ac:dyDescent="0.25">
      <c r="A129" s="7"/>
      <c r="E129" s="7"/>
      <c r="F129" s="7"/>
    </row>
    <row r="130" spans="1:6" x14ac:dyDescent="0.25">
      <c r="A130" s="7"/>
      <c r="E130" s="7"/>
      <c r="F130" s="7"/>
    </row>
    <row r="131" spans="1:6" x14ac:dyDescent="0.25">
      <c r="A131" s="7"/>
      <c r="E131" s="7"/>
      <c r="F131" s="7"/>
    </row>
    <row r="132" spans="1:6" x14ac:dyDescent="0.25">
      <c r="A132" s="7"/>
      <c r="E132" s="7"/>
      <c r="F132" s="7"/>
    </row>
    <row r="133" spans="1:6" x14ac:dyDescent="0.25">
      <c r="A133" s="7"/>
      <c r="E133" s="7"/>
      <c r="F133" s="7"/>
    </row>
    <row r="134" spans="1:6" x14ac:dyDescent="0.25">
      <c r="A134" s="7"/>
      <c r="E134" s="7"/>
      <c r="F134" s="7"/>
    </row>
    <row r="135" spans="1:6" x14ac:dyDescent="0.25">
      <c r="A135" s="7"/>
      <c r="E135" s="7"/>
      <c r="F135" s="7"/>
    </row>
    <row r="136" spans="1:6" x14ac:dyDescent="0.25">
      <c r="A136" s="7"/>
      <c r="E136" s="7"/>
      <c r="F136" s="7"/>
    </row>
    <row r="137" spans="1:6" x14ac:dyDescent="0.25">
      <c r="A137" s="7"/>
      <c r="E137" s="7"/>
      <c r="F137" s="7"/>
    </row>
    <row r="138" spans="1:6" x14ac:dyDescent="0.25">
      <c r="A138" s="7"/>
      <c r="E138" s="7"/>
      <c r="F138" s="7"/>
    </row>
    <row r="139" spans="1:6" x14ac:dyDescent="0.25">
      <c r="A139" s="7"/>
      <c r="E139" s="7"/>
      <c r="F139" s="7"/>
    </row>
    <row r="140" spans="1:6" x14ac:dyDescent="0.25">
      <c r="A140" s="7"/>
      <c r="E140" s="7"/>
      <c r="F140" s="7"/>
    </row>
    <row r="141" spans="1:6" x14ac:dyDescent="0.25">
      <c r="A141" s="7"/>
      <c r="E141" s="7"/>
      <c r="F141" s="7"/>
    </row>
    <row r="142" spans="1:6" x14ac:dyDescent="0.25">
      <c r="A142" s="7"/>
      <c r="E142" s="7"/>
      <c r="F142" s="7"/>
    </row>
    <row r="143" spans="1:6" x14ac:dyDescent="0.25">
      <c r="A143" s="7"/>
      <c r="E143" s="7"/>
      <c r="F143" s="7"/>
    </row>
    <row r="144" spans="1:6" x14ac:dyDescent="0.25">
      <c r="A144" s="7"/>
      <c r="E144" s="7"/>
      <c r="F144" s="7"/>
    </row>
    <row r="145" spans="1:6" x14ac:dyDescent="0.25">
      <c r="A145" s="7"/>
      <c r="E145" s="7"/>
      <c r="F145" s="7"/>
    </row>
    <row r="146" spans="1:6" x14ac:dyDescent="0.25">
      <c r="A146" s="7"/>
      <c r="E146" s="7"/>
      <c r="F146" s="7"/>
    </row>
    <row r="147" spans="1:6" x14ac:dyDescent="0.25">
      <c r="A147" s="7"/>
      <c r="E147" s="7"/>
      <c r="F147" s="7"/>
    </row>
    <row r="148" spans="1:6" x14ac:dyDescent="0.25">
      <c r="A148" s="7"/>
      <c r="E148" s="7"/>
      <c r="F148" s="7"/>
    </row>
    <row r="149" spans="1:6" x14ac:dyDescent="0.25">
      <c r="A149" s="7"/>
      <c r="E149" s="7"/>
      <c r="F149" s="7"/>
    </row>
    <row r="150" spans="1:6" x14ac:dyDescent="0.25">
      <c r="A150" s="7"/>
      <c r="E150" s="7"/>
      <c r="F150" s="7"/>
    </row>
    <row r="151" spans="1:6" x14ac:dyDescent="0.25">
      <c r="A151" s="7"/>
      <c r="E151" s="7"/>
      <c r="F151" s="7"/>
    </row>
    <row r="152" spans="1:6" x14ac:dyDescent="0.25">
      <c r="A152" s="7"/>
      <c r="E152" s="7"/>
      <c r="F152" s="7"/>
    </row>
    <row r="153" spans="1:6" x14ac:dyDescent="0.25">
      <c r="A153" s="7"/>
      <c r="E153" s="7"/>
      <c r="F153" s="7"/>
    </row>
    <row r="154" spans="1:6" x14ac:dyDescent="0.25">
      <c r="A154" s="7"/>
      <c r="E154" s="7"/>
      <c r="F154" s="7"/>
    </row>
    <row r="155" spans="1:6" x14ac:dyDescent="0.25">
      <c r="A155" s="7"/>
      <c r="E155" s="7"/>
      <c r="F155" s="7"/>
    </row>
    <row r="156" spans="1:6" x14ac:dyDescent="0.25">
      <c r="A156" s="7"/>
      <c r="E156" s="7"/>
      <c r="F156" s="7"/>
    </row>
    <row r="157" spans="1:6" x14ac:dyDescent="0.25">
      <c r="A157" s="7"/>
      <c r="E157" s="7"/>
      <c r="F157" s="7"/>
    </row>
    <row r="158" spans="1:6" x14ac:dyDescent="0.25">
      <c r="A158" s="7"/>
      <c r="E158" s="7"/>
      <c r="F158" s="7"/>
    </row>
    <row r="159" spans="1:6" x14ac:dyDescent="0.25">
      <c r="A159" s="7"/>
      <c r="E159" s="7"/>
      <c r="F159" s="7"/>
    </row>
    <row r="160" spans="1:6" x14ac:dyDescent="0.25">
      <c r="A160" s="7"/>
      <c r="E160" s="7"/>
      <c r="F160" s="7"/>
    </row>
    <row r="161" spans="1:6" x14ac:dyDescent="0.25">
      <c r="A161" s="7"/>
      <c r="E161" s="7"/>
      <c r="F161" s="7"/>
    </row>
    <row r="162" spans="1:6" x14ac:dyDescent="0.25">
      <c r="A162" s="7"/>
      <c r="E162" s="7"/>
      <c r="F162" s="7"/>
    </row>
    <row r="163" spans="1:6" x14ac:dyDescent="0.25">
      <c r="A163" s="7"/>
      <c r="E163" s="7"/>
      <c r="F163" s="7"/>
    </row>
    <row r="164" spans="1:6" x14ac:dyDescent="0.25">
      <c r="A164" s="7"/>
      <c r="E164" s="7"/>
      <c r="F164" s="7"/>
    </row>
    <row r="165" spans="1:6" x14ac:dyDescent="0.25">
      <c r="A165" s="7"/>
      <c r="E165" s="7"/>
      <c r="F165" s="7"/>
    </row>
    <row r="166" spans="1:6" x14ac:dyDescent="0.25">
      <c r="A166" s="7"/>
      <c r="E166" s="7"/>
      <c r="F166" s="7"/>
    </row>
    <row r="167" spans="1:6" x14ac:dyDescent="0.25">
      <c r="A167" s="7"/>
      <c r="E167" s="7"/>
      <c r="F167" s="7"/>
    </row>
    <row r="168" spans="1:6" x14ac:dyDescent="0.25">
      <c r="A168" s="7"/>
      <c r="E168" s="7"/>
      <c r="F168" s="7"/>
    </row>
    <row r="169" spans="1:6" x14ac:dyDescent="0.25">
      <c r="A169" s="7"/>
      <c r="E169" s="7"/>
      <c r="F169" s="7"/>
    </row>
    <row r="170" spans="1:6" x14ac:dyDescent="0.25">
      <c r="A170" s="7"/>
      <c r="E170" s="7"/>
      <c r="F170" s="7"/>
    </row>
    <row r="171" spans="1:6" x14ac:dyDescent="0.25">
      <c r="A171" s="7"/>
      <c r="E171" s="7"/>
      <c r="F171" s="7"/>
    </row>
    <row r="172" spans="1:6" x14ac:dyDescent="0.25">
      <c r="A172" s="7"/>
      <c r="E172" s="7"/>
      <c r="F172" s="7"/>
    </row>
    <row r="173" spans="1:6" x14ac:dyDescent="0.25">
      <c r="A173" s="7"/>
      <c r="E173" s="7"/>
      <c r="F173" s="7"/>
    </row>
    <row r="174" spans="1:6" x14ac:dyDescent="0.25">
      <c r="A174" s="7"/>
      <c r="E174" s="7"/>
      <c r="F174" s="7"/>
    </row>
    <row r="175" spans="1:6" x14ac:dyDescent="0.25">
      <c r="A175" s="7"/>
      <c r="E175" s="7"/>
      <c r="F175" s="7"/>
    </row>
    <row r="176" spans="1:6" x14ac:dyDescent="0.25">
      <c r="A176" s="7"/>
      <c r="E176" s="7"/>
      <c r="F176" s="7"/>
    </row>
    <row r="177" spans="1:6" x14ac:dyDescent="0.25">
      <c r="A177" s="7"/>
      <c r="E177" s="7"/>
      <c r="F177" s="7"/>
    </row>
    <row r="178" spans="1:6" x14ac:dyDescent="0.25">
      <c r="A178" s="7"/>
      <c r="E178" s="7"/>
      <c r="F178" s="7"/>
    </row>
    <row r="179" spans="1:6" x14ac:dyDescent="0.25">
      <c r="A179" s="7"/>
      <c r="E179" s="7"/>
      <c r="F179" s="7"/>
    </row>
    <row r="180" spans="1:6" x14ac:dyDescent="0.25">
      <c r="A180" s="7"/>
      <c r="E180" s="7"/>
      <c r="F180" s="7"/>
    </row>
    <row r="181" spans="1:6" x14ac:dyDescent="0.25">
      <c r="A181" s="7"/>
      <c r="E181" s="7"/>
      <c r="F181" s="7"/>
    </row>
    <row r="182" spans="1:6" x14ac:dyDescent="0.25">
      <c r="A182" s="7"/>
      <c r="E182" s="7"/>
      <c r="F182" s="7"/>
    </row>
    <row r="183" spans="1:6" x14ac:dyDescent="0.25">
      <c r="A183" s="7"/>
      <c r="E183" s="7"/>
      <c r="F183" s="7"/>
    </row>
    <row r="184" spans="1:6" x14ac:dyDescent="0.25">
      <c r="A184" s="7"/>
      <c r="E184" s="7"/>
      <c r="F184" s="7"/>
    </row>
    <row r="185" spans="1:6" x14ac:dyDescent="0.25">
      <c r="A185" s="7"/>
      <c r="E185" s="7"/>
      <c r="F185" s="7"/>
    </row>
    <row r="186" spans="1:6" x14ac:dyDescent="0.25">
      <c r="A186" s="7"/>
      <c r="E186" s="7"/>
      <c r="F186" s="7"/>
    </row>
    <row r="187" spans="1:6" x14ac:dyDescent="0.25">
      <c r="A187" s="7"/>
      <c r="E187" s="7"/>
      <c r="F187" s="7"/>
    </row>
    <row r="188" spans="1:6" x14ac:dyDescent="0.25">
      <c r="A188" s="7"/>
      <c r="E188" s="7"/>
      <c r="F188" s="7"/>
    </row>
    <row r="189" spans="1:6" x14ac:dyDescent="0.25">
      <c r="A189" s="7"/>
      <c r="E189" s="7"/>
      <c r="F189" s="7"/>
    </row>
    <row r="190" spans="1:6" x14ac:dyDescent="0.25">
      <c r="A190" s="7"/>
      <c r="E190" s="7"/>
      <c r="F190" s="7"/>
    </row>
    <row r="191" spans="1:6" x14ac:dyDescent="0.25">
      <c r="A191" s="7"/>
      <c r="E191" s="7"/>
      <c r="F191" s="7"/>
    </row>
    <row r="192" spans="1:6" x14ac:dyDescent="0.25">
      <c r="A192" s="7"/>
      <c r="E192" s="7"/>
      <c r="F192" s="7"/>
    </row>
    <row r="193" spans="1:6" x14ac:dyDescent="0.25">
      <c r="A193" s="7"/>
      <c r="E193" s="7"/>
      <c r="F193" s="7"/>
    </row>
    <row r="194" spans="1:6" x14ac:dyDescent="0.25">
      <c r="A194" s="7"/>
      <c r="E194" s="7"/>
      <c r="F194" s="7"/>
    </row>
    <row r="195" spans="1:6" x14ac:dyDescent="0.25">
      <c r="A195" s="7"/>
      <c r="E195" s="7"/>
      <c r="F195" s="7"/>
    </row>
    <row r="196" spans="1:6" x14ac:dyDescent="0.25">
      <c r="A196" s="7"/>
      <c r="E196" s="7"/>
      <c r="F196" s="7"/>
    </row>
    <row r="197" spans="1:6" x14ac:dyDescent="0.25">
      <c r="A197" s="7"/>
      <c r="E197" s="7"/>
      <c r="F197" s="7"/>
    </row>
    <row r="198" spans="1:6" x14ac:dyDescent="0.25">
      <c r="A198" s="7"/>
      <c r="E198" s="7"/>
      <c r="F198" s="7"/>
    </row>
    <row r="199" spans="1:6" x14ac:dyDescent="0.25">
      <c r="A199" s="7"/>
      <c r="E199" s="7"/>
      <c r="F199" s="7"/>
    </row>
    <row r="200" spans="1:6" x14ac:dyDescent="0.25">
      <c r="A200" s="7"/>
      <c r="E200" s="7"/>
      <c r="F200" s="7"/>
    </row>
    <row r="201" spans="1:6" x14ac:dyDescent="0.25">
      <c r="A201" s="7"/>
      <c r="E201" s="7"/>
      <c r="F201" s="7"/>
    </row>
    <row r="202" spans="1:6" x14ac:dyDescent="0.25">
      <c r="A202" s="7"/>
      <c r="E202" s="7"/>
      <c r="F202" s="7"/>
    </row>
    <row r="203" spans="1:6" x14ac:dyDescent="0.25">
      <c r="A203" s="7"/>
      <c r="E203" s="7"/>
      <c r="F203" s="7"/>
    </row>
    <row r="204" spans="1:6" x14ac:dyDescent="0.25">
      <c r="A204" s="7"/>
      <c r="E204" s="7"/>
      <c r="F204" s="7"/>
    </row>
    <row r="205" spans="1:6" x14ac:dyDescent="0.25">
      <c r="A205" s="7"/>
      <c r="E205" s="7"/>
      <c r="F205" s="7"/>
    </row>
    <row r="206" spans="1:6" x14ac:dyDescent="0.25">
      <c r="A206" s="7"/>
      <c r="E206" s="7"/>
      <c r="F206" s="7"/>
    </row>
    <row r="207" spans="1:6" x14ac:dyDescent="0.25">
      <c r="A207" s="7"/>
      <c r="E207" s="7"/>
      <c r="F207" s="7"/>
    </row>
    <row r="208" spans="1:6" x14ac:dyDescent="0.25">
      <c r="A208" s="7"/>
      <c r="E208" s="7"/>
      <c r="F208" s="7"/>
    </row>
    <row r="209" spans="1:6" x14ac:dyDescent="0.25">
      <c r="A209" s="7"/>
      <c r="E209" s="7"/>
      <c r="F209" s="7"/>
    </row>
    <row r="210" spans="1:6" x14ac:dyDescent="0.25">
      <c r="A210" s="7"/>
      <c r="E210" s="7"/>
      <c r="F210" s="7"/>
    </row>
    <row r="211" spans="1:6" x14ac:dyDescent="0.25">
      <c r="A211" s="7"/>
      <c r="E211" s="7"/>
      <c r="F211" s="7"/>
    </row>
    <row r="212" spans="1:6" x14ac:dyDescent="0.25">
      <c r="A212" s="7"/>
      <c r="E212" s="7"/>
      <c r="F212" s="7"/>
    </row>
    <row r="213" spans="1:6" x14ac:dyDescent="0.25">
      <c r="A213" s="7"/>
      <c r="E213" s="7"/>
      <c r="F213" s="7"/>
    </row>
    <row r="214" spans="1:6" x14ac:dyDescent="0.25">
      <c r="A214" s="7"/>
      <c r="E214" s="7"/>
      <c r="F214" s="7"/>
    </row>
    <row r="215" spans="1:6" x14ac:dyDescent="0.25">
      <c r="A215" s="7"/>
      <c r="E215" s="7"/>
      <c r="F215" s="7"/>
    </row>
    <row r="216" spans="1:6" x14ac:dyDescent="0.25">
      <c r="A216" s="7"/>
      <c r="E216" s="7"/>
      <c r="F216" s="7"/>
    </row>
    <row r="217" spans="1:6" x14ac:dyDescent="0.25">
      <c r="A217" s="7"/>
      <c r="E217" s="7"/>
      <c r="F217" s="7"/>
    </row>
    <row r="218" spans="1:6" x14ac:dyDescent="0.25">
      <c r="A218" s="7"/>
      <c r="E218" s="7"/>
      <c r="F218" s="7"/>
    </row>
    <row r="219" spans="1:6" x14ac:dyDescent="0.25">
      <c r="A219" s="7"/>
      <c r="E219" s="7"/>
      <c r="F219" s="7"/>
    </row>
    <row r="220" spans="1:6" x14ac:dyDescent="0.25">
      <c r="A220" s="7"/>
      <c r="E220" s="7"/>
      <c r="F220" s="7"/>
    </row>
    <row r="221" spans="1:6" x14ac:dyDescent="0.25">
      <c r="A221" s="7"/>
      <c r="E221" s="7"/>
      <c r="F221" s="7"/>
    </row>
    <row r="222" spans="1:6" x14ac:dyDescent="0.25">
      <c r="A222" s="7"/>
      <c r="E222" s="7"/>
      <c r="F222" s="7"/>
    </row>
    <row r="223" spans="1:6" x14ac:dyDescent="0.25">
      <c r="A223" s="7"/>
      <c r="E223" s="7"/>
      <c r="F223" s="7"/>
    </row>
    <row r="224" spans="1:6" x14ac:dyDescent="0.25">
      <c r="A224" s="7"/>
      <c r="E224" s="7"/>
      <c r="F224" s="7"/>
    </row>
    <row r="225" spans="1:6" x14ac:dyDescent="0.25">
      <c r="A225" s="7"/>
      <c r="E225" s="7"/>
      <c r="F225" s="7"/>
    </row>
    <row r="226" spans="1:6" x14ac:dyDescent="0.25">
      <c r="A226" s="7"/>
      <c r="E226" s="7"/>
      <c r="F226" s="7"/>
    </row>
    <row r="227" spans="1:6" x14ac:dyDescent="0.25">
      <c r="A227" s="7"/>
      <c r="E227" s="7"/>
      <c r="F227" s="7"/>
    </row>
    <row r="228" spans="1:6" x14ac:dyDescent="0.25">
      <c r="A228" s="7"/>
      <c r="E228" s="7"/>
      <c r="F228" s="7"/>
    </row>
    <row r="229" spans="1:6" x14ac:dyDescent="0.25">
      <c r="A229" s="7"/>
      <c r="E229" s="7"/>
      <c r="F229" s="7"/>
    </row>
    <row r="230" spans="1:6" x14ac:dyDescent="0.25">
      <c r="A230" s="7"/>
      <c r="E230" s="7"/>
      <c r="F230" s="7"/>
    </row>
    <row r="231" spans="1:6" x14ac:dyDescent="0.25">
      <c r="A231" s="7"/>
      <c r="E231" s="7"/>
      <c r="F231" s="7"/>
    </row>
    <row r="232" spans="1:6" x14ac:dyDescent="0.25">
      <c r="A232" s="7"/>
      <c r="E232" s="7"/>
      <c r="F232" s="7"/>
    </row>
    <row r="233" spans="1:6" x14ac:dyDescent="0.25">
      <c r="A233" s="7"/>
      <c r="E233" s="7"/>
      <c r="F233" s="7"/>
    </row>
    <row r="234" spans="1:6" x14ac:dyDescent="0.25">
      <c r="A234" s="7"/>
      <c r="E234" s="7"/>
      <c r="F234" s="7"/>
    </row>
    <row r="235" spans="1:6" x14ac:dyDescent="0.25">
      <c r="A235" s="7"/>
      <c r="E235" s="7"/>
      <c r="F235" s="7"/>
    </row>
    <row r="236" spans="1:6" x14ac:dyDescent="0.25">
      <c r="A236" s="7"/>
      <c r="E236" s="7"/>
      <c r="F236" s="7"/>
    </row>
    <row r="237" spans="1:6" x14ac:dyDescent="0.25">
      <c r="A237" s="7"/>
      <c r="E237" s="7"/>
      <c r="F237" s="7"/>
    </row>
    <row r="238" spans="1:6" x14ac:dyDescent="0.25">
      <c r="A238" s="7"/>
      <c r="E238" s="7"/>
      <c r="F238" s="7"/>
    </row>
    <row r="239" spans="1:6" x14ac:dyDescent="0.25">
      <c r="A239" s="7"/>
      <c r="E239" s="7"/>
      <c r="F239" s="7"/>
    </row>
    <row r="240" spans="1:6" x14ac:dyDescent="0.25">
      <c r="A240" s="7"/>
      <c r="E240" s="7"/>
      <c r="F240" s="7"/>
    </row>
    <row r="241" spans="1:6" x14ac:dyDescent="0.25">
      <c r="A241" s="7"/>
      <c r="E241" s="7"/>
      <c r="F241" s="7"/>
    </row>
    <row r="242" spans="1:6" x14ac:dyDescent="0.25">
      <c r="A242" s="7"/>
      <c r="E242" s="7"/>
      <c r="F242" s="7"/>
    </row>
    <row r="243" spans="1:6" x14ac:dyDescent="0.25">
      <c r="A243" s="7"/>
      <c r="E243" s="7"/>
      <c r="F243" s="7"/>
    </row>
    <row r="244" spans="1:6" x14ac:dyDescent="0.25">
      <c r="A244" s="7"/>
      <c r="E244" s="7"/>
      <c r="F244" s="7"/>
    </row>
    <row r="245" spans="1:6" x14ac:dyDescent="0.25">
      <c r="A245" s="7"/>
      <c r="E245" s="7"/>
      <c r="F245" s="7"/>
    </row>
    <row r="246" spans="1:6" x14ac:dyDescent="0.25">
      <c r="A246" s="7"/>
      <c r="E246" s="7"/>
      <c r="F246" s="7"/>
    </row>
    <row r="247" spans="1:6" x14ac:dyDescent="0.25">
      <c r="A247" s="7"/>
      <c r="E247" s="7"/>
      <c r="F247" s="7"/>
    </row>
    <row r="248" spans="1:6" x14ac:dyDescent="0.25">
      <c r="A248" s="7"/>
      <c r="E248" s="7"/>
      <c r="F248" s="7"/>
    </row>
    <row r="249" spans="1:6" x14ac:dyDescent="0.25">
      <c r="A249" s="7"/>
      <c r="E249" s="7"/>
      <c r="F249" s="7"/>
    </row>
    <row r="250" spans="1:6" x14ac:dyDescent="0.25">
      <c r="A250" s="7"/>
      <c r="E250" s="7"/>
      <c r="F250" s="7"/>
    </row>
    <row r="251" spans="1:6" x14ac:dyDescent="0.25">
      <c r="A251" s="7"/>
      <c r="E251" s="7"/>
      <c r="F251" s="7"/>
    </row>
    <row r="252" spans="1:6" x14ac:dyDescent="0.25">
      <c r="A252" s="7"/>
      <c r="E252" s="7"/>
      <c r="F252" s="7"/>
    </row>
    <row r="253" spans="1:6" x14ac:dyDescent="0.25">
      <c r="A253" s="7"/>
      <c r="E253" s="7"/>
      <c r="F253" s="7"/>
    </row>
    <row r="254" spans="1:6" x14ac:dyDescent="0.25">
      <c r="A254" s="7"/>
      <c r="E254" s="7"/>
      <c r="F254" s="7"/>
    </row>
    <row r="255" spans="1:6" x14ac:dyDescent="0.25">
      <c r="A255" s="7"/>
      <c r="E255" s="7"/>
      <c r="F255" s="7"/>
    </row>
    <row r="256" spans="1:6" x14ac:dyDescent="0.25">
      <c r="A256" s="7"/>
      <c r="E256" s="7"/>
      <c r="F256" s="7"/>
    </row>
    <row r="257" spans="1:6" x14ac:dyDescent="0.25">
      <c r="A257" s="7"/>
      <c r="E257" s="7"/>
      <c r="F257" s="7"/>
    </row>
    <row r="258" spans="1:6" x14ac:dyDescent="0.25">
      <c r="A258" s="7"/>
      <c r="E258" s="7"/>
      <c r="F258" s="7"/>
    </row>
    <row r="259" spans="1:6" x14ac:dyDescent="0.25">
      <c r="A259" s="7"/>
      <c r="E259" s="7"/>
      <c r="F259" s="7"/>
    </row>
    <row r="260" spans="1:6" x14ac:dyDescent="0.25">
      <c r="A260" s="7"/>
      <c r="E260" s="7"/>
      <c r="F260" s="7"/>
    </row>
    <row r="261" spans="1:6" x14ac:dyDescent="0.25">
      <c r="A261" s="7"/>
      <c r="E261" s="7"/>
      <c r="F261" s="7"/>
    </row>
    <row r="262" spans="1:6" x14ac:dyDescent="0.25">
      <c r="A262" s="7"/>
      <c r="E262" s="7"/>
      <c r="F262" s="7"/>
    </row>
    <row r="263" spans="1:6" x14ac:dyDescent="0.25">
      <c r="A263" s="7"/>
      <c r="E263" s="7"/>
      <c r="F263" s="7"/>
    </row>
    <row r="264" spans="1:6" x14ac:dyDescent="0.25">
      <c r="A264" s="7"/>
      <c r="E264" s="7"/>
      <c r="F264" s="7"/>
    </row>
    <row r="265" spans="1:6" x14ac:dyDescent="0.25">
      <c r="A265" s="7"/>
      <c r="E265" s="7"/>
      <c r="F265" s="7"/>
    </row>
    <row r="266" spans="1:6" x14ac:dyDescent="0.25">
      <c r="A266" s="7"/>
      <c r="E266" s="7"/>
      <c r="F266" s="7"/>
    </row>
    <row r="267" spans="1:6" x14ac:dyDescent="0.25">
      <c r="A267" s="7"/>
      <c r="E267" s="7"/>
      <c r="F267" s="7"/>
    </row>
    <row r="268" spans="1:6" x14ac:dyDescent="0.25">
      <c r="A268" s="7"/>
      <c r="E268" s="7"/>
      <c r="F268" s="7"/>
    </row>
    <row r="269" spans="1:6" x14ac:dyDescent="0.25">
      <c r="A269" s="7"/>
      <c r="E269" s="7"/>
      <c r="F269" s="7"/>
    </row>
    <row r="270" spans="1:6" x14ac:dyDescent="0.25">
      <c r="A270" s="7"/>
      <c r="E270" s="7"/>
      <c r="F270" s="7"/>
    </row>
    <row r="271" spans="1:6" x14ac:dyDescent="0.25">
      <c r="A271" s="7"/>
      <c r="E271" s="7"/>
      <c r="F271" s="7"/>
    </row>
    <row r="272" spans="1:6" x14ac:dyDescent="0.25">
      <c r="A272" s="7"/>
      <c r="E272" s="7"/>
      <c r="F272" s="7"/>
    </row>
    <row r="273" spans="1:6" x14ac:dyDescent="0.25">
      <c r="A273" s="7"/>
      <c r="E273" s="7"/>
      <c r="F273" s="7"/>
    </row>
    <row r="274" spans="1:6" x14ac:dyDescent="0.25">
      <c r="A274" s="7"/>
      <c r="E274" s="7"/>
      <c r="F274" s="7"/>
    </row>
    <row r="275" spans="1:6" x14ac:dyDescent="0.25">
      <c r="A275" s="7"/>
      <c r="E275" s="7"/>
      <c r="F275" s="7"/>
    </row>
    <row r="276" spans="1:6" x14ac:dyDescent="0.25">
      <c r="A276" s="7"/>
      <c r="E276" s="7"/>
      <c r="F276" s="7"/>
    </row>
    <row r="277" spans="1:6" x14ac:dyDescent="0.25">
      <c r="A277" s="7"/>
      <c r="E277" s="7"/>
      <c r="F277" s="7"/>
    </row>
    <row r="278" spans="1:6" x14ac:dyDescent="0.25">
      <c r="A278" s="7"/>
      <c r="E278" s="7"/>
      <c r="F278" s="7"/>
    </row>
    <row r="279" spans="1:6" x14ac:dyDescent="0.25">
      <c r="A279" s="7"/>
      <c r="E279" s="7"/>
      <c r="F279" s="7"/>
    </row>
    <row r="280" spans="1:6" x14ac:dyDescent="0.25">
      <c r="A280" s="7"/>
      <c r="E280" s="7"/>
      <c r="F280" s="7"/>
    </row>
    <row r="281" spans="1:6" x14ac:dyDescent="0.25">
      <c r="A281" s="7"/>
      <c r="E281" s="7"/>
      <c r="F281" s="7"/>
    </row>
    <row r="282" spans="1:6" x14ac:dyDescent="0.25">
      <c r="A282" s="7"/>
      <c r="E282" s="7"/>
      <c r="F282" s="7"/>
    </row>
    <row r="283" spans="1:6" x14ac:dyDescent="0.25">
      <c r="A283" s="7"/>
      <c r="E283" s="7"/>
      <c r="F283" s="7"/>
    </row>
    <row r="284" spans="1:6" x14ac:dyDescent="0.25">
      <c r="A284" s="7"/>
      <c r="E284" s="7"/>
      <c r="F284" s="7"/>
    </row>
    <row r="285" spans="1:6" x14ac:dyDescent="0.25">
      <c r="A285" s="7"/>
      <c r="E285" s="7"/>
      <c r="F285" s="7"/>
    </row>
    <row r="286" spans="1:6" x14ac:dyDescent="0.25">
      <c r="A286" s="7"/>
      <c r="E286" s="7"/>
      <c r="F286" s="7"/>
    </row>
    <row r="287" spans="1:6" x14ac:dyDescent="0.25">
      <c r="A287" s="7"/>
      <c r="E287" s="7"/>
      <c r="F287" s="7"/>
    </row>
    <row r="288" spans="1:6" x14ac:dyDescent="0.25">
      <c r="A288" s="7"/>
      <c r="E288" s="7"/>
      <c r="F288" s="7"/>
    </row>
    <row r="289" spans="1:6" x14ac:dyDescent="0.25">
      <c r="A289" s="7"/>
      <c r="E289" s="7"/>
      <c r="F289" s="7"/>
    </row>
    <row r="290" spans="1:6" x14ac:dyDescent="0.25">
      <c r="A290" s="7"/>
      <c r="E290" s="7"/>
      <c r="F290" s="7"/>
    </row>
    <row r="291" spans="1:6" x14ac:dyDescent="0.25">
      <c r="A291" s="7"/>
      <c r="E291" s="7"/>
      <c r="F291" s="7"/>
    </row>
    <row r="292" spans="1:6" x14ac:dyDescent="0.25">
      <c r="A292" s="7"/>
      <c r="E292" s="7"/>
      <c r="F292" s="7"/>
    </row>
    <row r="293" spans="1:6" x14ac:dyDescent="0.25">
      <c r="A293" s="7"/>
      <c r="E293" s="7"/>
      <c r="F293" s="7"/>
    </row>
    <row r="294" spans="1:6" x14ac:dyDescent="0.25">
      <c r="A294" s="7"/>
      <c r="E294" s="7"/>
      <c r="F294" s="7"/>
    </row>
    <row r="295" spans="1:6" x14ac:dyDescent="0.25">
      <c r="A295" s="7"/>
      <c r="E295" s="7"/>
      <c r="F295" s="7"/>
    </row>
    <row r="296" spans="1:6" x14ac:dyDescent="0.25">
      <c r="A296" s="7"/>
      <c r="E296" s="7"/>
      <c r="F296" s="7"/>
    </row>
    <row r="297" spans="1:6" x14ac:dyDescent="0.25">
      <c r="A297" s="7"/>
      <c r="E297" s="7"/>
      <c r="F297" s="7"/>
    </row>
    <row r="298" spans="1:6" x14ac:dyDescent="0.25">
      <c r="A298" s="7"/>
      <c r="E298" s="7"/>
      <c r="F298" s="7"/>
    </row>
    <row r="299" spans="1:6" x14ac:dyDescent="0.25">
      <c r="A299" s="7"/>
      <c r="E299" s="7"/>
      <c r="F299" s="7"/>
    </row>
    <row r="300" spans="1:6" x14ac:dyDescent="0.25">
      <c r="A300" s="7"/>
      <c r="E300" s="7"/>
      <c r="F300" s="7"/>
    </row>
    <row r="301" spans="1:6" x14ac:dyDescent="0.25">
      <c r="A301" s="7"/>
      <c r="E301" s="7"/>
      <c r="F301" s="7"/>
    </row>
    <row r="302" spans="1:6" x14ac:dyDescent="0.25">
      <c r="A302" s="7"/>
      <c r="E302" s="7"/>
      <c r="F302" s="7"/>
    </row>
    <row r="303" spans="1:6" x14ac:dyDescent="0.25">
      <c r="A303" s="7"/>
      <c r="E303" s="7"/>
      <c r="F303" s="7"/>
    </row>
    <row r="304" spans="1:6" x14ac:dyDescent="0.25">
      <c r="A304" s="7"/>
      <c r="E304" s="7"/>
      <c r="F304" s="7"/>
    </row>
    <row r="305" spans="1:6" x14ac:dyDescent="0.25">
      <c r="A305" s="7"/>
      <c r="E305" s="7"/>
      <c r="F305" s="7"/>
    </row>
    <row r="306" spans="1:6" x14ac:dyDescent="0.25">
      <c r="A306" s="7"/>
      <c r="E306" s="7"/>
      <c r="F306" s="7"/>
    </row>
    <row r="307" spans="1:6" x14ac:dyDescent="0.25">
      <c r="A307" s="7"/>
      <c r="E307" s="7"/>
      <c r="F307" s="7"/>
    </row>
    <row r="308" spans="1:6" x14ac:dyDescent="0.25">
      <c r="A308" s="7"/>
      <c r="E308" s="7"/>
      <c r="F308" s="7"/>
    </row>
    <row r="309" spans="1:6" x14ac:dyDescent="0.25">
      <c r="A309" s="7"/>
      <c r="E309" s="7"/>
      <c r="F309" s="7"/>
    </row>
    <row r="310" spans="1:6" x14ac:dyDescent="0.25">
      <c r="A310" s="7"/>
      <c r="E310" s="7"/>
      <c r="F310" s="7"/>
    </row>
    <row r="311" spans="1:6" x14ac:dyDescent="0.25">
      <c r="A311" s="7"/>
      <c r="E311" s="7"/>
      <c r="F311" s="7"/>
    </row>
    <row r="312" spans="1:6" x14ac:dyDescent="0.25">
      <c r="A312" s="7"/>
      <c r="E312" s="7"/>
      <c r="F312" s="7"/>
    </row>
    <row r="313" spans="1:6" x14ac:dyDescent="0.25">
      <c r="A313" s="7"/>
      <c r="E313" s="7"/>
      <c r="F313" s="7"/>
    </row>
    <row r="314" spans="1:6" x14ac:dyDescent="0.25">
      <c r="A314" s="7"/>
      <c r="E314" s="7"/>
      <c r="F314" s="7"/>
    </row>
    <row r="315" spans="1:6" x14ac:dyDescent="0.25">
      <c r="A315" s="7"/>
      <c r="E315" s="7"/>
      <c r="F315" s="7"/>
    </row>
    <row r="316" spans="1:6" x14ac:dyDescent="0.25">
      <c r="A316" s="7"/>
      <c r="E316" s="7"/>
      <c r="F316" s="7"/>
    </row>
    <row r="317" spans="1:6" x14ac:dyDescent="0.25">
      <c r="A317" s="7"/>
      <c r="E317" s="7"/>
      <c r="F317" s="7"/>
    </row>
    <row r="318" spans="1:6" x14ac:dyDescent="0.25">
      <c r="A318" s="7"/>
      <c r="E318" s="7"/>
      <c r="F318" s="7"/>
    </row>
    <row r="319" spans="1:6" x14ac:dyDescent="0.25">
      <c r="A319" s="7"/>
      <c r="E319" s="7"/>
      <c r="F319" s="7"/>
    </row>
    <row r="320" spans="1:6" x14ac:dyDescent="0.25">
      <c r="A320" s="7"/>
      <c r="E320" s="7"/>
      <c r="F320" s="7"/>
    </row>
    <row r="321" spans="1:6" x14ac:dyDescent="0.25">
      <c r="A321" s="7"/>
      <c r="E321" s="7"/>
      <c r="F321" s="7"/>
    </row>
    <row r="322" spans="1:6" x14ac:dyDescent="0.25">
      <c r="A322" s="7"/>
      <c r="E322" s="7"/>
      <c r="F322" s="7"/>
    </row>
    <row r="323" spans="1:6" x14ac:dyDescent="0.25">
      <c r="A323" s="7"/>
      <c r="E323" s="7"/>
      <c r="F323" s="7"/>
    </row>
    <row r="324" spans="1:6" x14ac:dyDescent="0.25">
      <c r="A324" s="7"/>
      <c r="E324" s="7"/>
      <c r="F324" s="7"/>
    </row>
    <row r="325" spans="1:6" x14ac:dyDescent="0.25">
      <c r="A325" s="7"/>
      <c r="E325" s="7"/>
      <c r="F325" s="7"/>
    </row>
    <row r="326" spans="1:6" x14ac:dyDescent="0.25">
      <c r="A326" s="7"/>
      <c r="E326" s="7"/>
      <c r="F326" s="7"/>
    </row>
    <row r="327" spans="1:6" x14ac:dyDescent="0.25">
      <c r="A327" s="7"/>
      <c r="E327" s="7"/>
      <c r="F327" s="7"/>
    </row>
    <row r="328" spans="1:6" x14ac:dyDescent="0.25">
      <c r="A328" s="7"/>
      <c r="E328" s="7"/>
      <c r="F328" s="7"/>
    </row>
    <row r="329" spans="1:6" x14ac:dyDescent="0.25">
      <c r="A329" s="7"/>
      <c r="E329" s="7"/>
      <c r="F329" s="7"/>
    </row>
    <row r="330" spans="1:6" x14ac:dyDescent="0.25">
      <c r="A330" s="7"/>
      <c r="E330" s="7"/>
      <c r="F330" s="7"/>
    </row>
    <row r="331" spans="1:6" x14ac:dyDescent="0.25">
      <c r="A331" s="7"/>
      <c r="E331" s="7"/>
      <c r="F331" s="7"/>
    </row>
    <row r="332" spans="1:6" x14ac:dyDescent="0.25">
      <c r="A332" s="7"/>
      <c r="E332" s="7"/>
      <c r="F332" s="7"/>
    </row>
    <row r="333" spans="1:6" x14ac:dyDescent="0.25">
      <c r="A333" s="7"/>
      <c r="E333" s="7"/>
      <c r="F333" s="7"/>
    </row>
    <row r="334" spans="1:6" x14ac:dyDescent="0.25">
      <c r="A334" s="7"/>
      <c r="E334" s="7"/>
      <c r="F334" s="7"/>
    </row>
    <row r="335" spans="1:6" x14ac:dyDescent="0.25">
      <c r="A335" s="7"/>
      <c r="E335" s="7"/>
      <c r="F335" s="7"/>
    </row>
    <row r="336" spans="1:6" x14ac:dyDescent="0.25">
      <c r="A336" s="7"/>
      <c r="E336" s="7"/>
      <c r="F336" s="7"/>
    </row>
    <row r="337" spans="1:6" x14ac:dyDescent="0.25">
      <c r="A337" s="7"/>
      <c r="E337" s="7"/>
      <c r="F337" s="7"/>
    </row>
    <row r="338" spans="1:6" x14ac:dyDescent="0.25">
      <c r="A338" s="7"/>
      <c r="E338" s="7"/>
      <c r="F338" s="7"/>
    </row>
    <row r="339" spans="1:6" x14ac:dyDescent="0.25">
      <c r="A339" s="7"/>
      <c r="E339" s="7"/>
      <c r="F339" s="7"/>
    </row>
    <row r="340" spans="1:6" x14ac:dyDescent="0.25">
      <c r="A340" s="7"/>
      <c r="E340" s="7"/>
      <c r="F340" s="7"/>
    </row>
    <row r="341" spans="1:6" x14ac:dyDescent="0.25">
      <c r="A341" s="7"/>
      <c r="E341" s="7"/>
      <c r="F341" s="7"/>
    </row>
    <row r="342" spans="1:6" x14ac:dyDescent="0.25">
      <c r="A342" s="7"/>
      <c r="E342" s="7"/>
      <c r="F342" s="7"/>
    </row>
    <row r="343" spans="1:6" x14ac:dyDescent="0.25">
      <c r="A343" s="7"/>
      <c r="E343" s="7"/>
      <c r="F343" s="7"/>
    </row>
    <row r="344" spans="1:6" x14ac:dyDescent="0.25">
      <c r="A344" s="7"/>
      <c r="E344" s="7"/>
      <c r="F344" s="7"/>
    </row>
    <row r="345" spans="1:6" x14ac:dyDescent="0.25">
      <c r="A345" s="7"/>
      <c r="E345" s="7"/>
      <c r="F345" s="7"/>
    </row>
    <row r="346" spans="1:6" x14ac:dyDescent="0.25">
      <c r="A346" s="7"/>
      <c r="E346" s="7"/>
      <c r="F346" s="7"/>
    </row>
    <row r="347" spans="1:6" x14ac:dyDescent="0.25">
      <c r="A347" s="7"/>
      <c r="E347" s="7"/>
      <c r="F347" s="7"/>
    </row>
    <row r="348" spans="1:6" x14ac:dyDescent="0.25">
      <c r="A348" s="7"/>
      <c r="E348" s="7"/>
      <c r="F348" s="7"/>
    </row>
    <row r="349" spans="1:6" x14ac:dyDescent="0.25">
      <c r="A349" s="7"/>
      <c r="E349" s="7"/>
      <c r="F349" s="7"/>
    </row>
    <row r="350" spans="1:6" x14ac:dyDescent="0.25">
      <c r="A350" s="7"/>
      <c r="E350" s="7"/>
      <c r="F350" s="7"/>
    </row>
    <row r="351" spans="1:6" x14ac:dyDescent="0.25">
      <c r="A351" s="7"/>
      <c r="E351" s="7"/>
      <c r="F351" s="7"/>
    </row>
    <row r="352" spans="1:6" x14ac:dyDescent="0.25">
      <c r="A352" s="7"/>
      <c r="E352" s="7"/>
      <c r="F352" s="7"/>
    </row>
    <row r="353" spans="1:6" x14ac:dyDescent="0.25">
      <c r="A353" s="7"/>
      <c r="E353" s="7"/>
      <c r="F353" s="7"/>
    </row>
    <row r="354" spans="1:6" x14ac:dyDescent="0.25">
      <c r="A354" s="7"/>
      <c r="E354" s="7"/>
      <c r="F354" s="7"/>
    </row>
    <row r="355" spans="1:6" x14ac:dyDescent="0.25">
      <c r="A355" s="7"/>
      <c r="E355" s="7"/>
      <c r="F355" s="7"/>
    </row>
    <row r="356" spans="1:6" x14ac:dyDescent="0.25">
      <c r="A356" s="7"/>
      <c r="E356" s="7"/>
      <c r="F356" s="7"/>
    </row>
    <row r="357" spans="1:6" x14ac:dyDescent="0.25">
      <c r="A357" s="7"/>
      <c r="E357" s="7"/>
      <c r="F357" s="7"/>
    </row>
    <row r="358" spans="1:6" x14ac:dyDescent="0.25">
      <c r="A358" s="7"/>
      <c r="E358" s="7"/>
      <c r="F358" s="7"/>
    </row>
    <row r="359" spans="1:6" x14ac:dyDescent="0.25">
      <c r="A359" s="7"/>
      <c r="E359" s="7"/>
      <c r="F359" s="7"/>
    </row>
    <row r="360" spans="1:6" x14ac:dyDescent="0.25">
      <c r="A360" s="7"/>
      <c r="E360" s="7"/>
      <c r="F360" s="7"/>
    </row>
    <row r="361" spans="1:6" x14ac:dyDescent="0.25">
      <c r="A361" s="7"/>
      <c r="E361" s="7"/>
      <c r="F361" s="7"/>
    </row>
    <row r="362" spans="1:6" x14ac:dyDescent="0.25">
      <c r="A362" s="7"/>
      <c r="E362" s="7"/>
      <c r="F362" s="7"/>
    </row>
    <row r="363" spans="1:6" x14ac:dyDescent="0.25">
      <c r="A363" s="7"/>
      <c r="E363" s="7"/>
      <c r="F363" s="7"/>
    </row>
    <row r="364" spans="1:6" x14ac:dyDescent="0.25">
      <c r="A364" s="7"/>
      <c r="E364" s="7"/>
      <c r="F364" s="7"/>
    </row>
    <row r="365" spans="1:6" x14ac:dyDescent="0.25">
      <c r="A365" s="7"/>
      <c r="E365" s="7"/>
      <c r="F365" s="7"/>
    </row>
    <row r="366" spans="1:6" x14ac:dyDescent="0.25">
      <c r="A366" s="7"/>
      <c r="E366" s="7"/>
      <c r="F366" s="7"/>
    </row>
    <row r="367" spans="1:6" x14ac:dyDescent="0.25">
      <c r="A367" s="7"/>
      <c r="E367" s="7"/>
      <c r="F367" s="7"/>
    </row>
    <row r="368" spans="1:6" x14ac:dyDescent="0.25">
      <c r="A368" s="7"/>
      <c r="E368" s="7"/>
      <c r="F368" s="7"/>
    </row>
    <row r="369" spans="1:6" x14ac:dyDescent="0.25">
      <c r="A369" s="7"/>
      <c r="E369" s="7"/>
      <c r="F369" s="7"/>
    </row>
    <row r="370" spans="1:6" x14ac:dyDescent="0.25">
      <c r="A370" s="7"/>
      <c r="E370" s="7"/>
      <c r="F370" s="7"/>
    </row>
    <row r="371" spans="1:6" x14ac:dyDescent="0.25">
      <c r="A371" s="7"/>
      <c r="E371" s="7"/>
      <c r="F371" s="7"/>
    </row>
    <row r="372" spans="1:6" x14ac:dyDescent="0.25">
      <c r="A372" s="7"/>
      <c r="E372" s="7"/>
      <c r="F372" s="7"/>
    </row>
    <row r="373" spans="1:6" x14ac:dyDescent="0.25">
      <c r="A373" s="7"/>
      <c r="E373" s="7"/>
      <c r="F373" s="7"/>
    </row>
    <row r="374" spans="1:6" x14ac:dyDescent="0.25">
      <c r="A374" s="7"/>
      <c r="E374" s="7"/>
      <c r="F374" s="7"/>
    </row>
    <row r="375" spans="1:6" x14ac:dyDescent="0.25">
      <c r="A375" s="7"/>
      <c r="E375" s="7"/>
      <c r="F375" s="7"/>
    </row>
    <row r="376" spans="1:6" x14ac:dyDescent="0.25">
      <c r="A376" s="7"/>
      <c r="E376" s="7"/>
      <c r="F376" s="7"/>
    </row>
    <row r="377" spans="1:6" x14ac:dyDescent="0.25">
      <c r="A377" s="7"/>
      <c r="E377" s="7"/>
      <c r="F377" s="7"/>
    </row>
    <row r="378" spans="1:6" x14ac:dyDescent="0.25">
      <c r="A378" s="7"/>
      <c r="E378" s="7"/>
      <c r="F378" s="7"/>
    </row>
    <row r="379" spans="1:6" x14ac:dyDescent="0.25">
      <c r="A379" s="7"/>
      <c r="E379" s="7"/>
      <c r="F379" s="7"/>
    </row>
    <row r="380" spans="1:6" x14ac:dyDescent="0.25">
      <c r="A380" s="7"/>
      <c r="E380" s="7"/>
      <c r="F380" s="7"/>
    </row>
    <row r="381" spans="1:6" x14ac:dyDescent="0.25">
      <c r="A381" s="7"/>
      <c r="E381" s="7"/>
      <c r="F381" s="7"/>
    </row>
    <row r="382" spans="1:6" x14ac:dyDescent="0.25">
      <c r="A382" s="7"/>
      <c r="E382" s="7"/>
      <c r="F382" s="7"/>
    </row>
    <row r="383" spans="1:6" x14ac:dyDescent="0.25">
      <c r="A383" s="7"/>
      <c r="E383" s="7"/>
      <c r="F383" s="7"/>
    </row>
    <row r="384" spans="1:6" x14ac:dyDescent="0.25">
      <c r="A384" s="7"/>
      <c r="E384" s="7"/>
      <c r="F384" s="7"/>
    </row>
    <row r="385" spans="1:6" x14ac:dyDescent="0.25">
      <c r="A385" s="7"/>
      <c r="E385" s="7"/>
      <c r="F385" s="7"/>
    </row>
    <row r="386" spans="1:6" x14ac:dyDescent="0.25">
      <c r="A386" s="7"/>
      <c r="E386" s="7"/>
      <c r="F386" s="7"/>
    </row>
    <row r="387" spans="1:6" x14ac:dyDescent="0.25">
      <c r="A387" s="7"/>
      <c r="E387" s="7"/>
      <c r="F387" s="7"/>
    </row>
    <row r="388" spans="1:6" x14ac:dyDescent="0.25">
      <c r="A388" s="7"/>
      <c r="E388" s="7"/>
      <c r="F388" s="7"/>
    </row>
    <row r="389" spans="1:6" x14ac:dyDescent="0.25">
      <c r="A389" s="7"/>
      <c r="E389" s="7"/>
      <c r="F389" s="7"/>
    </row>
    <row r="390" spans="1:6" x14ac:dyDescent="0.25">
      <c r="A390" s="7"/>
      <c r="E390" s="7"/>
      <c r="F390" s="7"/>
    </row>
    <row r="391" spans="1:6" x14ac:dyDescent="0.25">
      <c r="A391" s="7"/>
      <c r="E391" s="7"/>
      <c r="F391" s="7"/>
    </row>
    <row r="392" spans="1:6" x14ac:dyDescent="0.25">
      <c r="A392" s="7"/>
      <c r="E392" s="7"/>
      <c r="F392" s="7"/>
    </row>
    <row r="393" spans="1:6" x14ac:dyDescent="0.25">
      <c r="A393" s="7"/>
      <c r="E393" s="7"/>
      <c r="F393" s="7"/>
    </row>
    <row r="394" spans="1:6" x14ac:dyDescent="0.25">
      <c r="A394" s="7"/>
      <c r="E394" s="7"/>
      <c r="F394" s="7"/>
    </row>
    <row r="395" spans="1:6" x14ac:dyDescent="0.25">
      <c r="A395" s="7"/>
      <c r="E395" s="7"/>
      <c r="F395" s="7"/>
    </row>
    <row r="396" spans="1:6" x14ac:dyDescent="0.25">
      <c r="A396" s="7"/>
      <c r="E396" s="7"/>
      <c r="F396" s="7"/>
    </row>
    <row r="397" spans="1:6" x14ac:dyDescent="0.25">
      <c r="A397" s="7"/>
      <c r="E397" s="7"/>
      <c r="F397" s="7"/>
    </row>
    <row r="398" spans="1:6" x14ac:dyDescent="0.25">
      <c r="A398" s="7"/>
      <c r="E398" s="7"/>
      <c r="F398" s="7"/>
    </row>
    <row r="399" spans="1:6" x14ac:dyDescent="0.25">
      <c r="A399" s="7"/>
      <c r="E399" s="7"/>
      <c r="F399" s="7"/>
    </row>
    <row r="400" spans="1:6" x14ac:dyDescent="0.25">
      <c r="A400" s="7"/>
      <c r="E400" s="7"/>
      <c r="F400" s="7"/>
    </row>
    <row r="401" spans="1:6" x14ac:dyDescent="0.25">
      <c r="A401" s="7"/>
      <c r="E401" s="7"/>
      <c r="F401" s="7"/>
    </row>
    <row r="402" spans="1:6" x14ac:dyDescent="0.25">
      <c r="A402" s="7"/>
      <c r="E402" s="7"/>
      <c r="F402" s="7"/>
    </row>
    <row r="403" spans="1:6" x14ac:dyDescent="0.25">
      <c r="A403" s="7"/>
      <c r="E403" s="7"/>
      <c r="F403" s="7"/>
    </row>
    <row r="404" spans="1:6" x14ac:dyDescent="0.25">
      <c r="A404" s="7"/>
      <c r="E404" s="7"/>
      <c r="F404" s="7"/>
    </row>
    <row r="405" spans="1:6" x14ac:dyDescent="0.25">
      <c r="A405" s="7"/>
      <c r="E405" s="7"/>
      <c r="F405" s="7"/>
    </row>
    <row r="406" spans="1:6" x14ac:dyDescent="0.25">
      <c r="A406" s="7"/>
      <c r="E406" s="7"/>
      <c r="F406" s="7"/>
    </row>
    <row r="407" spans="1:6" x14ac:dyDescent="0.25">
      <c r="A407" s="7"/>
      <c r="E407" s="7"/>
      <c r="F407" s="7"/>
    </row>
    <row r="408" spans="1:6" x14ac:dyDescent="0.25">
      <c r="A408" s="7"/>
      <c r="E408" s="7"/>
      <c r="F408" s="7"/>
    </row>
    <row r="409" spans="1:6" x14ac:dyDescent="0.25">
      <c r="A409" s="7"/>
      <c r="E409" s="7"/>
      <c r="F409" s="7"/>
    </row>
    <row r="410" spans="1:6" x14ac:dyDescent="0.25">
      <c r="A410" s="7"/>
      <c r="E410" s="7"/>
      <c r="F410" s="7"/>
    </row>
    <row r="411" spans="1:6" x14ac:dyDescent="0.25">
      <c r="A411" s="7"/>
      <c r="E411" s="7"/>
      <c r="F411" s="7"/>
    </row>
    <row r="412" spans="1:6" x14ac:dyDescent="0.25">
      <c r="A412" s="7"/>
      <c r="E412" s="7"/>
      <c r="F412" s="7"/>
    </row>
    <row r="413" spans="1:6" x14ac:dyDescent="0.25">
      <c r="A413" s="7"/>
      <c r="E413" s="7"/>
      <c r="F413" s="7"/>
    </row>
    <row r="414" spans="1:6" x14ac:dyDescent="0.25">
      <c r="A414" s="7"/>
      <c r="E414" s="7"/>
      <c r="F414" s="7"/>
    </row>
    <row r="415" spans="1:6" x14ac:dyDescent="0.25">
      <c r="A415" s="7"/>
      <c r="E415" s="7"/>
      <c r="F415" s="7"/>
    </row>
    <row r="416" spans="1:6" x14ac:dyDescent="0.25">
      <c r="A416" s="7"/>
      <c r="E416" s="7"/>
      <c r="F416" s="7"/>
    </row>
    <row r="417" spans="1:6" x14ac:dyDescent="0.25">
      <c r="A417" s="7"/>
      <c r="E417" s="7"/>
      <c r="F417" s="7"/>
    </row>
    <row r="418" spans="1:6" x14ac:dyDescent="0.25">
      <c r="A418" s="7"/>
      <c r="E418" s="7"/>
      <c r="F418" s="7"/>
    </row>
    <row r="419" spans="1:6" x14ac:dyDescent="0.25">
      <c r="A419" s="7"/>
      <c r="E419" s="7"/>
      <c r="F419" s="7"/>
    </row>
    <row r="420" spans="1:6" x14ac:dyDescent="0.25">
      <c r="A420" s="7"/>
      <c r="E420" s="7"/>
      <c r="F420" s="7"/>
    </row>
    <row r="421" spans="1:6" x14ac:dyDescent="0.25">
      <c r="A421" s="7"/>
      <c r="E421" s="7"/>
      <c r="F421" s="7"/>
    </row>
    <row r="422" spans="1:6" x14ac:dyDescent="0.25">
      <c r="A422" s="7"/>
      <c r="E422" s="7"/>
      <c r="F422" s="7"/>
    </row>
    <row r="423" spans="1:6" x14ac:dyDescent="0.25">
      <c r="A423" s="7"/>
      <c r="E423" s="7"/>
      <c r="F423" s="7"/>
    </row>
    <row r="424" spans="1:6" x14ac:dyDescent="0.25">
      <c r="A424" s="7"/>
      <c r="E424" s="7"/>
      <c r="F424" s="7"/>
    </row>
    <row r="425" spans="1:6" x14ac:dyDescent="0.25">
      <c r="A425" s="7"/>
      <c r="E425" s="7"/>
      <c r="F425" s="7"/>
    </row>
    <row r="426" spans="1:6" x14ac:dyDescent="0.25">
      <c r="A426" s="7"/>
      <c r="E426" s="7"/>
      <c r="F426" s="7"/>
    </row>
    <row r="427" spans="1:6" x14ac:dyDescent="0.25">
      <c r="A427" s="7"/>
      <c r="E427" s="7"/>
      <c r="F427" s="7"/>
    </row>
    <row r="428" spans="1:6" x14ac:dyDescent="0.25">
      <c r="A428" s="7"/>
      <c r="E428" s="7"/>
      <c r="F428" s="7"/>
    </row>
    <row r="429" spans="1:6" x14ac:dyDescent="0.25">
      <c r="A429" s="7"/>
      <c r="E429" s="7"/>
      <c r="F429" s="7"/>
    </row>
    <row r="430" spans="1:6" x14ac:dyDescent="0.25">
      <c r="A430" s="7"/>
      <c r="E430" s="7"/>
      <c r="F430" s="7"/>
    </row>
    <row r="431" spans="1:6" x14ac:dyDescent="0.25">
      <c r="A431" s="7"/>
      <c r="E431" s="7"/>
      <c r="F431" s="7"/>
    </row>
    <row r="432" spans="1:6" x14ac:dyDescent="0.25">
      <c r="A432" s="7"/>
      <c r="E432" s="7"/>
      <c r="F432" s="7"/>
    </row>
    <row r="433" spans="1:6" x14ac:dyDescent="0.25">
      <c r="A433" s="7"/>
      <c r="E433" s="7"/>
      <c r="F433" s="7"/>
    </row>
    <row r="434" spans="1:6" x14ac:dyDescent="0.25">
      <c r="A434" s="7"/>
      <c r="E434" s="7"/>
      <c r="F434" s="7"/>
    </row>
    <row r="435" spans="1:6" x14ac:dyDescent="0.25">
      <c r="A435" s="7"/>
      <c r="E435" s="7"/>
      <c r="F435" s="7"/>
    </row>
    <row r="436" spans="1:6" x14ac:dyDescent="0.25">
      <c r="A436" s="7"/>
      <c r="E436" s="7"/>
      <c r="F436" s="7"/>
    </row>
    <row r="437" spans="1:6" x14ac:dyDescent="0.25">
      <c r="A437" s="7"/>
      <c r="E437" s="7"/>
      <c r="F437" s="7"/>
    </row>
    <row r="438" spans="1:6" x14ac:dyDescent="0.25">
      <c r="A438" s="7"/>
      <c r="E438" s="7"/>
      <c r="F438" s="7"/>
    </row>
    <row r="439" spans="1:6" x14ac:dyDescent="0.25">
      <c r="A439" s="7"/>
      <c r="E439" s="7"/>
      <c r="F439" s="7"/>
    </row>
    <row r="440" spans="1:6" x14ac:dyDescent="0.25">
      <c r="A440" s="7"/>
      <c r="E440" s="7"/>
      <c r="F440" s="7"/>
    </row>
    <row r="441" spans="1:6" x14ac:dyDescent="0.25">
      <c r="A441" s="7"/>
      <c r="E441" s="7"/>
      <c r="F441" s="7"/>
    </row>
    <row r="442" spans="1:6" x14ac:dyDescent="0.25">
      <c r="A442" s="7"/>
      <c r="E442" s="7"/>
      <c r="F442" s="7"/>
    </row>
    <row r="443" spans="1:6" x14ac:dyDescent="0.25">
      <c r="A443" s="7"/>
      <c r="E443" s="7"/>
      <c r="F443" s="7"/>
    </row>
    <row r="444" spans="1:6" x14ac:dyDescent="0.25">
      <c r="A444" s="7"/>
      <c r="E444" s="7"/>
      <c r="F444" s="7"/>
    </row>
    <row r="445" spans="1:6" x14ac:dyDescent="0.25">
      <c r="A445" s="7"/>
      <c r="E445" s="7"/>
      <c r="F445" s="7"/>
    </row>
    <row r="446" spans="1:6" x14ac:dyDescent="0.25">
      <c r="A446" s="7"/>
      <c r="E446" s="7"/>
      <c r="F446" s="7"/>
    </row>
    <row r="447" spans="1:6" x14ac:dyDescent="0.25">
      <c r="A447" s="7"/>
      <c r="E447" s="7"/>
      <c r="F447" s="7"/>
    </row>
    <row r="448" spans="1:6" x14ac:dyDescent="0.25">
      <c r="A448" s="7"/>
      <c r="E448" s="7"/>
      <c r="F448" s="7"/>
    </row>
    <row r="449" spans="1:6" x14ac:dyDescent="0.25">
      <c r="A449" s="7"/>
      <c r="E449" s="7"/>
      <c r="F449" s="7"/>
    </row>
    <row r="450" spans="1:6" x14ac:dyDescent="0.25">
      <c r="A450" s="7"/>
      <c r="E450" s="7"/>
      <c r="F450" s="7"/>
    </row>
    <row r="451" spans="1:6" x14ac:dyDescent="0.25">
      <c r="A451" s="7"/>
      <c r="E451" s="7"/>
      <c r="F451" s="7"/>
    </row>
    <row r="452" spans="1:6" x14ac:dyDescent="0.25">
      <c r="A452" s="7"/>
      <c r="E452" s="7"/>
      <c r="F452" s="7"/>
    </row>
    <row r="453" spans="1:6" x14ac:dyDescent="0.25">
      <c r="A453" s="7"/>
      <c r="E453" s="7"/>
      <c r="F453" s="7"/>
    </row>
    <row r="454" spans="1:6" x14ac:dyDescent="0.25">
      <c r="A454" s="7"/>
      <c r="E454" s="7"/>
      <c r="F454" s="7"/>
    </row>
    <row r="455" spans="1:6" x14ac:dyDescent="0.25">
      <c r="A455" s="7"/>
      <c r="E455" s="7"/>
      <c r="F455" s="7"/>
    </row>
    <row r="456" spans="1:6" x14ac:dyDescent="0.25">
      <c r="A456" s="7"/>
      <c r="E456" s="7"/>
      <c r="F456" s="7"/>
    </row>
    <row r="457" spans="1:6" x14ac:dyDescent="0.25">
      <c r="A457" s="7"/>
      <c r="E457" s="7"/>
      <c r="F457" s="7"/>
    </row>
    <row r="458" spans="1:6" x14ac:dyDescent="0.25">
      <c r="A458" s="7"/>
      <c r="E458" s="7"/>
      <c r="F458" s="7"/>
    </row>
    <row r="459" spans="1:6" x14ac:dyDescent="0.25">
      <c r="A459" s="7"/>
      <c r="E459" s="7"/>
      <c r="F459" s="7"/>
    </row>
    <row r="460" spans="1:6" x14ac:dyDescent="0.25">
      <c r="A460" s="7"/>
      <c r="E460" s="7"/>
      <c r="F460" s="7"/>
    </row>
    <row r="461" spans="1:6" x14ac:dyDescent="0.25">
      <c r="A461" s="7"/>
      <c r="E461" s="7"/>
      <c r="F461" s="7"/>
    </row>
    <row r="462" spans="1:6" x14ac:dyDescent="0.25">
      <c r="A462" s="7"/>
      <c r="E462" s="7"/>
      <c r="F462" s="7"/>
    </row>
    <row r="463" spans="1:6" x14ac:dyDescent="0.25">
      <c r="A463" s="7"/>
      <c r="E463" s="7"/>
      <c r="F463" s="7"/>
    </row>
    <row r="464" spans="1:6" x14ac:dyDescent="0.25">
      <c r="A464" s="7"/>
      <c r="E464" s="7"/>
      <c r="F464" s="7"/>
    </row>
    <row r="465" spans="1:6" x14ac:dyDescent="0.25">
      <c r="A465" s="7"/>
      <c r="E465" s="7"/>
      <c r="F465" s="7"/>
    </row>
    <row r="466" spans="1:6" x14ac:dyDescent="0.25">
      <c r="A466" s="7"/>
      <c r="E466" s="7"/>
      <c r="F466" s="7"/>
    </row>
    <row r="467" spans="1:6" x14ac:dyDescent="0.25">
      <c r="A467" s="7"/>
      <c r="E467" s="7"/>
      <c r="F467" s="7"/>
    </row>
    <row r="468" spans="1:6" x14ac:dyDescent="0.25">
      <c r="A468" s="7"/>
      <c r="E468" s="7"/>
      <c r="F468" s="7"/>
    </row>
    <row r="469" spans="1:6" x14ac:dyDescent="0.25">
      <c r="A469" s="7"/>
      <c r="E469" s="7"/>
      <c r="F469" s="7"/>
    </row>
    <row r="470" spans="1:6" x14ac:dyDescent="0.25">
      <c r="A470" s="7"/>
      <c r="E470" s="7"/>
      <c r="F470" s="7"/>
    </row>
    <row r="471" spans="1:6" x14ac:dyDescent="0.25">
      <c r="A471" s="7"/>
      <c r="E471" s="7"/>
      <c r="F471" s="7"/>
    </row>
    <row r="472" spans="1:6" x14ac:dyDescent="0.25">
      <c r="A472" s="7"/>
      <c r="E472" s="7"/>
      <c r="F472" s="7"/>
    </row>
    <row r="473" spans="1:6" x14ac:dyDescent="0.25">
      <c r="A473" s="7"/>
      <c r="E473" s="7"/>
      <c r="F473" s="7"/>
    </row>
    <row r="474" spans="1:6" x14ac:dyDescent="0.25">
      <c r="A474" s="7"/>
      <c r="E474" s="7"/>
      <c r="F474" s="7"/>
    </row>
    <row r="475" spans="1:6" x14ac:dyDescent="0.25">
      <c r="A475" s="7"/>
      <c r="E475" s="7"/>
      <c r="F475" s="7"/>
    </row>
    <row r="476" spans="1:6" x14ac:dyDescent="0.25">
      <c r="A476" s="7"/>
      <c r="E476" s="7"/>
      <c r="F476" s="7"/>
    </row>
    <row r="477" spans="1:6" x14ac:dyDescent="0.25">
      <c r="A477" s="7"/>
      <c r="E477" s="7"/>
      <c r="F477" s="7"/>
    </row>
    <row r="478" spans="1:6" x14ac:dyDescent="0.25">
      <c r="A478" s="7"/>
      <c r="E478" s="7"/>
      <c r="F478" s="7"/>
    </row>
    <row r="479" spans="1:6" x14ac:dyDescent="0.25">
      <c r="A479" s="7"/>
      <c r="E479" s="7"/>
      <c r="F479" s="7"/>
    </row>
    <row r="480" spans="1:6" x14ac:dyDescent="0.25">
      <c r="A480" s="7"/>
      <c r="E480" s="7"/>
      <c r="F480" s="7"/>
    </row>
    <row r="481" spans="1:6" x14ac:dyDescent="0.25">
      <c r="A481" s="7"/>
      <c r="E481" s="7"/>
      <c r="F481" s="7"/>
    </row>
    <row r="482" spans="1:6" x14ac:dyDescent="0.25">
      <c r="A482" s="7"/>
      <c r="E482" s="7"/>
      <c r="F482" s="7"/>
    </row>
    <row r="483" spans="1:6" x14ac:dyDescent="0.25">
      <c r="A483" s="7"/>
      <c r="E483" s="7"/>
      <c r="F483" s="7"/>
    </row>
    <row r="484" spans="1:6" x14ac:dyDescent="0.25">
      <c r="A484" s="7"/>
      <c r="E484" s="7"/>
      <c r="F484" s="7"/>
    </row>
    <row r="485" spans="1:6" x14ac:dyDescent="0.25">
      <c r="A485" s="7"/>
      <c r="E485" s="7"/>
      <c r="F485" s="7"/>
    </row>
    <row r="486" spans="1:6" x14ac:dyDescent="0.25">
      <c r="A486" s="7"/>
      <c r="E486" s="7"/>
      <c r="F486" s="7"/>
    </row>
    <row r="487" spans="1:6" x14ac:dyDescent="0.25">
      <c r="A487" s="7"/>
      <c r="E487" s="7"/>
      <c r="F487" s="7"/>
    </row>
    <row r="488" spans="1:6" x14ac:dyDescent="0.25">
      <c r="A488" s="7"/>
      <c r="E488" s="7"/>
      <c r="F488" s="7"/>
    </row>
    <row r="489" spans="1:6" x14ac:dyDescent="0.25">
      <c r="A489" s="7"/>
      <c r="E489" s="7"/>
      <c r="F489" s="7"/>
    </row>
    <row r="490" spans="1:6" x14ac:dyDescent="0.25">
      <c r="A490" s="7"/>
      <c r="E490" s="7"/>
      <c r="F490" s="7"/>
    </row>
    <row r="491" spans="1:6" x14ac:dyDescent="0.25">
      <c r="A491" s="7"/>
      <c r="E491" s="7"/>
      <c r="F491" s="7"/>
    </row>
    <row r="492" spans="1:6" x14ac:dyDescent="0.25">
      <c r="A492" s="7"/>
      <c r="E492" s="7"/>
      <c r="F492" s="7"/>
    </row>
    <row r="493" spans="1:6" x14ac:dyDescent="0.25">
      <c r="A493" s="7"/>
      <c r="E493" s="7"/>
      <c r="F493" s="7"/>
    </row>
    <row r="494" spans="1:6" x14ac:dyDescent="0.25">
      <c r="A494" s="7"/>
      <c r="E494" s="7"/>
      <c r="F494" s="7"/>
    </row>
    <row r="495" spans="1:6" x14ac:dyDescent="0.25">
      <c r="A495" s="7"/>
      <c r="E495" s="7"/>
      <c r="F495" s="7"/>
    </row>
    <row r="496" spans="1:6" x14ac:dyDescent="0.25">
      <c r="A496" s="7"/>
      <c r="E496" s="7"/>
      <c r="F496" s="7"/>
    </row>
    <row r="497" spans="1:6" x14ac:dyDescent="0.25">
      <c r="A497" s="7"/>
      <c r="E497" s="7"/>
      <c r="F497" s="7"/>
    </row>
    <row r="498" spans="1:6" x14ac:dyDescent="0.25">
      <c r="A498" s="7"/>
      <c r="E498" s="7"/>
      <c r="F498" s="7"/>
    </row>
    <row r="499" spans="1:6" x14ac:dyDescent="0.25">
      <c r="A499" s="7"/>
      <c r="E499" s="7"/>
      <c r="F499" s="7"/>
    </row>
    <row r="500" spans="1:6" x14ac:dyDescent="0.25">
      <c r="A500" s="7"/>
      <c r="E500" s="7"/>
      <c r="F500" s="7"/>
    </row>
    <row r="501" spans="1:6" x14ac:dyDescent="0.25">
      <c r="A501" s="7"/>
      <c r="E501" s="7"/>
      <c r="F501" s="7"/>
    </row>
    <row r="502" spans="1:6" x14ac:dyDescent="0.25">
      <c r="A502" s="7"/>
      <c r="E502" s="7"/>
      <c r="F502" s="7"/>
    </row>
    <row r="503" spans="1:6" x14ac:dyDescent="0.25">
      <c r="A503" s="7"/>
      <c r="E503" s="7"/>
      <c r="F503" s="7"/>
    </row>
    <row r="504" spans="1:6" x14ac:dyDescent="0.25">
      <c r="A504" s="7"/>
      <c r="E504" s="7"/>
      <c r="F504" s="7"/>
    </row>
    <row r="505" spans="1:6" x14ac:dyDescent="0.25">
      <c r="A505" s="7"/>
      <c r="E505" s="7"/>
      <c r="F505" s="7"/>
    </row>
    <row r="506" spans="1:6" x14ac:dyDescent="0.25">
      <c r="A506" s="7"/>
      <c r="E506" s="7"/>
      <c r="F506" s="7"/>
    </row>
    <row r="507" spans="1:6" x14ac:dyDescent="0.25">
      <c r="A507" s="7"/>
      <c r="E507" s="7"/>
      <c r="F507" s="7"/>
    </row>
    <row r="508" spans="1:6" x14ac:dyDescent="0.25">
      <c r="A508" s="7"/>
      <c r="E508" s="7"/>
      <c r="F508" s="7"/>
    </row>
    <row r="509" spans="1:6" x14ac:dyDescent="0.25">
      <c r="A509" s="7"/>
      <c r="E509" s="7"/>
      <c r="F509" s="7"/>
    </row>
    <row r="510" spans="1:6" x14ac:dyDescent="0.25">
      <c r="A510" s="7"/>
      <c r="E510" s="7"/>
      <c r="F510" s="7"/>
    </row>
    <row r="511" spans="1:6" x14ac:dyDescent="0.25">
      <c r="A511" s="7"/>
      <c r="E511" s="7"/>
      <c r="F511" s="7"/>
    </row>
    <row r="512" spans="1:6" x14ac:dyDescent="0.25">
      <c r="A512" s="7"/>
      <c r="E512" s="7"/>
      <c r="F512" s="7"/>
    </row>
    <row r="513" spans="1:6" x14ac:dyDescent="0.25">
      <c r="A513" s="7"/>
      <c r="E513" s="7"/>
      <c r="F513" s="7"/>
    </row>
    <row r="514" spans="1:6" x14ac:dyDescent="0.25">
      <c r="A514" s="7"/>
      <c r="E514" s="7"/>
      <c r="F514" s="7"/>
    </row>
    <row r="515" spans="1:6" x14ac:dyDescent="0.25">
      <c r="A515" s="7"/>
      <c r="E515" s="7"/>
      <c r="F515" s="7"/>
    </row>
    <row r="516" spans="1:6" x14ac:dyDescent="0.25">
      <c r="A516" s="7"/>
      <c r="E516" s="7"/>
      <c r="F516" s="7"/>
    </row>
    <row r="517" spans="1:6" x14ac:dyDescent="0.25">
      <c r="A517" s="7"/>
      <c r="E517" s="7"/>
      <c r="F517" s="7"/>
    </row>
    <row r="518" spans="1:6" x14ac:dyDescent="0.25">
      <c r="A518" s="7"/>
      <c r="E518" s="7"/>
      <c r="F518" s="7"/>
    </row>
    <row r="519" spans="1:6" x14ac:dyDescent="0.25">
      <c r="A519" s="7"/>
      <c r="E519" s="7"/>
      <c r="F519" s="7"/>
    </row>
    <row r="520" spans="1:6" x14ac:dyDescent="0.25">
      <c r="A520" s="7"/>
      <c r="E520" s="7"/>
      <c r="F520" s="7"/>
    </row>
    <row r="521" spans="1:6" x14ac:dyDescent="0.25">
      <c r="A521" s="7"/>
      <c r="E521" s="7"/>
      <c r="F521" s="7"/>
    </row>
    <row r="522" spans="1:6" x14ac:dyDescent="0.25">
      <c r="A522" s="7"/>
      <c r="E522" s="7"/>
      <c r="F522" s="7"/>
    </row>
    <row r="523" spans="1:6" x14ac:dyDescent="0.25">
      <c r="A523" s="7"/>
      <c r="E523" s="7"/>
      <c r="F523" s="7"/>
    </row>
    <row r="524" spans="1:6" x14ac:dyDescent="0.25">
      <c r="A524" s="7"/>
      <c r="E524" s="7"/>
      <c r="F524" s="7"/>
    </row>
    <row r="525" spans="1:6" x14ac:dyDescent="0.25">
      <c r="A525" s="7"/>
      <c r="E525" s="7"/>
      <c r="F525" s="7"/>
    </row>
    <row r="526" spans="1:6" x14ac:dyDescent="0.25">
      <c r="A526" s="7"/>
      <c r="E526" s="7"/>
      <c r="F526" s="7"/>
    </row>
    <row r="527" spans="1:6" x14ac:dyDescent="0.25">
      <c r="A527" s="7"/>
      <c r="E527" s="7"/>
      <c r="F527" s="7"/>
    </row>
    <row r="528" spans="1:6" x14ac:dyDescent="0.25">
      <c r="A528" s="7"/>
      <c r="E528" s="7"/>
      <c r="F528" s="7"/>
    </row>
    <row r="529" spans="1:6" x14ac:dyDescent="0.25">
      <c r="A529" s="7"/>
      <c r="E529" s="7"/>
      <c r="F529" s="7"/>
    </row>
    <row r="530" spans="1:6" x14ac:dyDescent="0.25">
      <c r="A530" s="7"/>
      <c r="E530" s="7"/>
      <c r="F530" s="7"/>
    </row>
    <row r="531" spans="1:6" x14ac:dyDescent="0.25">
      <c r="A531" s="7"/>
      <c r="E531" s="7"/>
      <c r="F531" s="7"/>
    </row>
    <row r="532" spans="1:6" x14ac:dyDescent="0.25">
      <c r="A532" s="7"/>
      <c r="E532" s="7"/>
      <c r="F532" s="7"/>
    </row>
    <row r="533" spans="1:6" x14ac:dyDescent="0.25">
      <c r="A533" s="7"/>
      <c r="E533" s="7"/>
      <c r="F533" s="7"/>
    </row>
    <row r="534" spans="1:6" x14ac:dyDescent="0.25">
      <c r="A534" s="7"/>
      <c r="E534" s="7"/>
      <c r="F534" s="7"/>
    </row>
    <row r="535" spans="1:6" x14ac:dyDescent="0.25">
      <c r="A535" s="7"/>
      <c r="E535" s="7"/>
      <c r="F535" s="7"/>
    </row>
    <row r="536" spans="1:6" x14ac:dyDescent="0.25">
      <c r="A536" s="7"/>
      <c r="E536" s="7"/>
      <c r="F536" s="7"/>
    </row>
    <row r="537" spans="1:6" x14ac:dyDescent="0.25">
      <c r="A537" s="7"/>
      <c r="E537" s="7"/>
      <c r="F537" s="7"/>
    </row>
    <row r="538" spans="1:6" x14ac:dyDescent="0.25">
      <c r="A538" s="7"/>
      <c r="E538" s="7"/>
      <c r="F538" s="7"/>
    </row>
    <row r="539" spans="1:6" x14ac:dyDescent="0.25">
      <c r="A539" s="7"/>
      <c r="E539" s="7"/>
      <c r="F539" s="7"/>
    </row>
    <row r="540" spans="1:6" x14ac:dyDescent="0.25">
      <c r="A540" s="7"/>
      <c r="E540" s="7"/>
      <c r="F540" s="7"/>
    </row>
    <row r="541" spans="1:6" x14ac:dyDescent="0.25">
      <c r="A541" s="7"/>
      <c r="E541" s="7"/>
      <c r="F541" s="7"/>
    </row>
    <row r="542" spans="1:6" x14ac:dyDescent="0.25">
      <c r="A542" s="7"/>
      <c r="E542" s="7"/>
      <c r="F542" s="7"/>
    </row>
    <row r="543" spans="1:6" x14ac:dyDescent="0.25">
      <c r="A543" s="7"/>
      <c r="E543" s="7"/>
      <c r="F543" s="7"/>
    </row>
    <row r="544" spans="1:6" x14ac:dyDescent="0.25">
      <c r="A544" s="7"/>
      <c r="E544" s="7"/>
      <c r="F544" s="7"/>
    </row>
    <row r="545" spans="1:6" x14ac:dyDescent="0.25">
      <c r="A545" s="7"/>
      <c r="E545" s="7"/>
      <c r="F545" s="7"/>
    </row>
    <row r="546" spans="1:6" x14ac:dyDescent="0.25">
      <c r="A546" s="7"/>
      <c r="E546" s="7"/>
      <c r="F546" s="7"/>
    </row>
    <row r="547" spans="1:6" x14ac:dyDescent="0.25">
      <c r="A547" s="7"/>
      <c r="E547" s="7"/>
      <c r="F547" s="7"/>
    </row>
    <row r="548" spans="1:6" x14ac:dyDescent="0.25">
      <c r="A548" s="7"/>
      <c r="E548" s="7"/>
      <c r="F548" s="7"/>
    </row>
    <row r="549" spans="1:6" x14ac:dyDescent="0.25">
      <c r="A549" s="7"/>
      <c r="E549" s="7"/>
      <c r="F549" s="7"/>
    </row>
    <row r="550" spans="1:6" x14ac:dyDescent="0.25">
      <c r="A550" s="7"/>
      <c r="E550" s="7"/>
      <c r="F550" s="7"/>
    </row>
    <row r="551" spans="1:6" x14ac:dyDescent="0.25">
      <c r="A551" s="7"/>
      <c r="E551" s="7"/>
      <c r="F551" s="7"/>
    </row>
    <row r="552" spans="1:6" x14ac:dyDescent="0.25">
      <c r="A552" s="7"/>
      <c r="E552" s="7"/>
      <c r="F552" s="7"/>
    </row>
    <row r="553" spans="1:6" x14ac:dyDescent="0.25">
      <c r="A553" s="7"/>
      <c r="E553" s="7"/>
      <c r="F553" s="7"/>
    </row>
    <row r="554" spans="1:6" x14ac:dyDescent="0.25">
      <c r="A554" s="7"/>
      <c r="E554" s="7"/>
      <c r="F554" s="7"/>
    </row>
    <row r="555" spans="1:6" x14ac:dyDescent="0.25">
      <c r="A555" s="7"/>
      <c r="E555" s="7"/>
      <c r="F555" s="7"/>
    </row>
    <row r="556" spans="1:6" x14ac:dyDescent="0.25">
      <c r="A556" s="7"/>
      <c r="E556" s="7"/>
      <c r="F556" s="7"/>
    </row>
    <row r="557" spans="1:6" x14ac:dyDescent="0.25">
      <c r="A557" s="7"/>
      <c r="E557" s="7"/>
      <c r="F557" s="7"/>
    </row>
    <row r="558" spans="1:6" x14ac:dyDescent="0.25">
      <c r="A558" s="7"/>
      <c r="E558" s="7"/>
      <c r="F558" s="7"/>
    </row>
    <row r="559" spans="1:6" x14ac:dyDescent="0.25">
      <c r="A559" s="7"/>
      <c r="E559" s="7"/>
      <c r="F559" s="7"/>
    </row>
    <row r="560" spans="1:6" x14ac:dyDescent="0.25">
      <c r="A560" s="7"/>
      <c r="E560" s="7"/>
      <c r="F560" s="7"/>
    </row>
    <row r="561" spans="1:6" x14ac:dyDescent="0.25">
      <c r="A561" s="7"/>
      <c r="E561" s="7"/>
      <c r="F561" s="7"/>
    </row>
    <row r="562" spans="1:6" x14ac:dyDescent="0.25">
      <c r="A562" s="7"/>
      <c r="E562" s="7"/>
      <c r="F562" s="7"/>
    </row>
    <row r="563" spans="1:6" x14ac:dyDescent="0.25">
      <c r="A563" s="7"/>
      <c r="E563" s="7"/>
      <c r="F563" s="7"/>
    </row>
    <row r="564" spans="1:6" x14ac:dyDescent="0.25">
      <c r="A564" s="7"/>
      <c r="E564" s="7"/>
      <c r="F564" s="7"/>
    </row>
    <row r="565" spans="1:6" x14ac:dyDescent="0.25">
      <c r="A565" s="7"/>
      <c r="E565" s="7"/>
      <c r="F565" s="7"/>
    </row>
    <row r="566" spans="1:6" x14ac:dyDescent="0.25">
      <c r="A566" s="7"/>
      <c r="E566" s="7"/>
      <c r="F566" s="7"/>
    </row>
    <row r="567" spans="1:6" x14ac:dyDescent="0.25">
      <c r="A567" s="7"/>
      <c r="E567" s="7"/>
      <c r="F567" s="7"/>
    </row>
    <row r="568" spans="1:6" x14ac:dyDescent="0.25">
      <c r="A568" s="7"/>
      <c r="E568" s="7"/>
      <c r="F568" s="7"/>
    </row>
    <row r="569" spans="1:6" x14ac:dyDescent="0.25">
      <c r="A569" s="7"/>
      <c r="E569" s="7"/>
      <c r="F569" s="7"/>
    </row>
    <row r="570" spans="1:6" x14ac:dyDescent="0.25">
      <c r="A570" s="7"/>
      <c r="E570" s="7"/>
      <c r="F570" s="7"/>
    </row>
    <row r="571" spans="1:6" x14ac:dyDescent="0.25">
      <c r="A571" s="7"/>
      <c r="E571" s="7"/>
      <c r="F571" s="7"/>
    </row>
    <row r="572" spans="1:6" x14ac:dyDescent="0.25">
      <c r="A572" s="7"/>
      <c r="E572" s="7"/>
      <c r="F572" s="7"/>
    </row>
    <row r="573" spans="1:6" x14ac:dyDescent="0.25">
      <c r="A573" s="7"/>
      <c r="E573" s="7"/>
      <c r="F573" s="7"/>
    </row>
    <row r="574" spans="1:6" x14ac:dyDescent="0.25">
      <c r="A574" s="7"/>
      <c r="E574" s="7"/>
      <c r="F574" s="7"/>
    </row>
    <row r="575" spans="1:6" x14ac:dyDescent="0.25">
      <c r="A575" s="7"/>
      <c r="E575" s="7"/>
      <c r="F575" s="7"/>
    </row>
    <row r="576" spans="1:6" x14ac:dyDescent="0.25">
      <c r="A576" s="7"/>
      <c r="E576" s="7"/>
      <c r="F576" s="7"/>
    </row>
    <row r="577" spans="1:6" x14ac:dyDescent="0.25">
      <c r="A577" s="7"/>
      <c r="E577" s="7"/>
      <c r="F577" s="7"/>
    </row>
    <row r="578" spans="1:6" x14ac:dyDescent="0.25">
      <c r="A578" s="7"/>
      <c r="E578" s="7"/>
      <c r="F578" s="7"/>
    </row>
    <row r="579" spans="1:6" x14ac:dyDescent="0.25">
      <c r="A579" s="7"/>
      <c r="E579" s="7"/>
      <c r="F579" s="7"/>
    </row>
    <row r="580" spans="1:6" x14ac:dyDescent="0.25">
      <c r="A580" s="7"/>
      <c r="E580" s="7"/>
      <c r="F580" s="7"/>
    </row>
    <row r="581" spans="1:6" x14ac:dyDescent="0.25">
      <c r="A581" s="7"/>
      <c r="E581" s="7"/>
      <c r="F581" s="7"/>
    </row>
    <row r="582" spans="1:6" x14ac:dyDescent="0.25">
      <c r="A582" s="7"/>
      <c r="E582" s="7"/>
      <c r="F582" s="7"/>
    </row>
    <row r="583" spans="1:6" x14ac:dyDescent="0.25">
      <c r="A583" s="7"/>
      <c r="E583" s="7"/>
      <c r="F583" s="7"/>
    </row>
    <row r="584" spans="1:6" x14ac:dyDescent="0.25">
      <c r="A584" s="7"/>
      <c r="E584" s="7"/>
      <c r="F584" s="7"/>
    </row>
    <row r="585" spans="1:6" x14ac:dyDescent="0.25">
      <c r="A585" s="7"/>
      <c r="E585" s="7"/>
      <c r="F585" s="7"/>
    </row>
    <row r="586" spans="1:6" x14ac:dyDescent="0.25">
      <c r="A586" s="7"/>
      <c r="E586" s="7"/>
      <c r="F586" s="7"/>
    </row>
    <row r="587" spans="1:6" x14ac:dyDescent="0.25">
      <c r="A587" s="7"/>
      <c r="E587" s="7"/>
      <c r="F587" s="7"/>
    </row>
    <row r="588" spans="1:6" x14ac:dyDescent="0.25">
      <c r="A588" s="7"/>
      <c r="E588" s="7"/>
      <c r="F588" s="7"/>
    </row>
    <row r="589" spans="1:6" x14ac:dyDescent="0.25">
      <c r="A589" s="7"/>
      <c r="E589" s="7"/>
      <c r="F589" s="7"/>
    </row>
    <row r="590" spans="1:6" x14ac:dyDescent="0.25">
      <c r="A590" s="7"/>
      <c r="E590" s="7"/>
      <c r="F590" s="7"/>
    </row>
    <row r="591" spans="1:6" x14ac:dyDescent="0.25">
      <c r="A591" s="7"/>
      <c r="E591" s="7"/>
      <c r="F591" s="7"/>
    </row>
    <row r="592" spans="1:6" x14ac:dyDescent="0.25">
      <c r="A592" s="7"/>
      <c r="E592" s="7"/>
      <c r="F592" s="7"/>
    </row>
    <row r="593" spans="1:6" x14ac:dyDescent="0.25">
      <c r="A593" s="7"/>
      <c r="E593" s="7"/>
      <c r="F593" s="7"/>
    </row>
    <row r="594" spans="1:6" x14ac:dyDescent="0.25">
      <c r="A594" s="7"/>
      <c r="E594" s="7"/>
      <c r="F594" s="7"/>
    </row>
    <row r="595" spans="1:6" x14ac:dyDescent="0.25">
      <c r="A595" s="7"/>
      <c r="E595" s="7"/>
      <c r="F595" s="7"/>
    </row>
    <row r="596" spans="1:6" x14ac:dyDescent="0.25">
      <c r="A596" s="7"/>
      <c r="E596" s="7"/>
      <c r="F596" s="7"/>
    </row>
    <row r="597" spans="1:6" x14ac:dyDescent="0.25">
      <c r="A597" s="7"/>
      <c r="E597" s="7"/>
      <c r="F597" s="7"/>
    </row>
    <row r="598" spans="1:6" x14ac:dyDescent="0.25">
      <c r="A598" s="7"/>
      <c r="E598" s="7"/>
      <c r="F598" s="7"/>
    </row>
    <row r="599" spans="1:6" x14ac:dyDescent="0.25">
      <c r="A599" s="7"/>
      <c r="E599" s="7"/>
      <c r="F599" s="7"/>
    </row>
    <row r="600" spans="1:6" x14ac:dyDescent="0.25">
      <c r="A600" s="7"/>
      <c r="E600" s="7"/>
      <c r="F600" s="7"/>
    </row>
    <row r="601" spans="1:6" x14ac:dyDescent="0.25">
      <c r="A601" s="7"/>
      <c r="E601" s="7"/>
      <c r="F601" s="7"/>
    </row>
    <row r="602" spans="1:6" x14ac:dyDescent="0.25">
      <c r="A602" s="7"/>
      <c r="E602" s="7"/>
      <c r="F602" s="7"/>
    </row>
    <row r="603" spans="1:6" x14ac:dyDescent="0.25">
      <c r="A603" s="7"/>
      <c r="E603" s="7"/>
      <c r="F603" s="7"/>
    </row>
    <row r="604" spans="1:6" x14ac:dyDescent="0.25">
      <c r="A604" s="7"/>
      <c r="E604" s="7"/>
      <c r="F604" s="7"/>
    </row>
    <row r="605" spans="1:6" x14ac:dyDescent="0.25">
      <c r="A605" s="7"/>
      <c r="E605" s="7"/>
      <c r="F605" s="7"/>
    </row>
    <row r="606" spans="1:6" x14ac:dyDescent="0.25">
      <c r="A606" s="7"/>
      <c r="E606" s="7"/>
      <c r="F606" s="7"/>
    </row>
    <row r="607" spans="1:6" x14ac:dyDescent="0.25">
      <c r="A607" s="7"/>
      <c r="E607" s="7"/>
      <c r="F607" s="7"/>
    </row>
    <row r="608" spans="1:6" x14ac:dyDescent="0.25">
      <c r="A608" s="7"/>
      <c r="E608" s="7"/>
      <c r="F608" s="7"/>
    </row>
    <row r="609" spans="1:6" x14ac:dyDescent="0.25">
      <c r="A609" s="7"/>
      <c r="E609" s="7"/>
      <c r="F609" s="7"/>
    </row>
    <row r="610" spans="1:6" x14ac:dyDescent="0.25">
      <c r="A610" s="7"/>
      <c r="E610" s="7"/>
      <c r="F610" s="7"/>
    </row>
    <row r="611" spans="1:6" x14ac:dyDescent="0.25">
      <c r="A611" s="7"/>
      <c r="E611" s="7"/>
      <c r="F611" s="7"/>
    </row>
    <row r="612" spans="1:6" x14ac:dyDescent="0.25">
      <c r="A612" s="7"/>
      <c r="E612" s="7"/>
      <c r="F612" s="7"/>
    </row>
    <row r="613" spans="1:6" x14ac:dyDescent="0.25">
      <c r="A613" s="7"/>
      <c r="E613" s="7"/>
      <c r="F613" s="7"/>
    </row>
    <row r="614" spans="1:6" x14ac:dyDescent="0.25">
      <c r="A614" s="7"/>
      <c r="E614" s="7"/>
      <c r="F614" s="7"/>
    </row>
    <row r="615" spans="1:6" x14ac:dyDescent="0.25">
      <c r="A615" s="7"/>
      <c r="E615" s="7"/>
      <c r="F615" s="7"/>
    </row>
    <row r="616" spans="1:6" x14ac:dyDescent="0.25">
      <c r="A616" s="7"/>
      <c r="E616" s="7"/>
      <c r="F616" s="7"/>
    </row>
    <row r="617" spans="1:6" x14ac:dyDescent="0.25">
      <c r="A617" s="7"/>
      <c r="E617" s="7"/>
      <c r="F617" s="7"/>
    </row>
    <row r="618" spans="1:6" x14ac:dyDescent="0.25">
      <c r="A618" s="7"/>
      <c r="E618" s="7"/>
      <c r="F618" s="7"/>
    </row>
    <row r="619" spans="1:6" x14ac:dyDescent="0.25">
      <c r="A619" s="7"/>
      <c r="E619" s="7"/>
      <c r="F619" s="7"/>
    </row>
    <row r="620" spans="1:6" x14ac:dyDescent="0.25">
      <c r="A620" s="7"/>
      <c r="E620" s="7"/>
      <c r="F620" s="7"/>
    </row>
    <row r="621" spans="1:6" x14ac:dyDescent="0.25">
      <c r="A621" s="7"/>
      <c r="E621" s="7"/>
      <c r="F621" s="7"/>
    </row>
    <row r="622" spans="1:6" x14ac:dyDescent="0.25">
      <c r="A622" s="7"/>
      <c r="E622" s="7"/>
      <c r="F622" s="7"/>
    </row>
    <row r="623" spans="1:6" x14ac:dyDescent="0.25">
      <c r="A623" s="7"/>
      <c r="E623" s="7"/>
      <c r="F623" s="7"/>
    </row>
    <row r="624" spans="1:6" x14ac:dyDescent="0.25">
      <c r="A624" s="7"/>
      <c r="E624" s="7"/>
      <c r="F624" s="7"/>
    </row>
    <row r="625" spans="1:6" x14ac:dyDescent="0.25">
      <c r="A625" s="7"/>
      <c r="E625" s="7"/>
      <c r="F625" s="7"/>
    </row>
    <row r="626" spans="1:6" x14ac:dyDescent="0.25">
      <c r="A626" s="7"/>
      <c r="E626" s="7"/>
      <c r="F626" s="7"/>
    </row>
    <row r="627" spans="1:6" x14ac:dyDescent="0.25">
      <c r="A627" s="7"/>
      <c r="E627" s="7"/>
      <c r="F627" s="7"/>
    </row>
    <row r="628" spans="1:6" x14ac:dyDescent="0.25">
      <c r="A628" s="7"/>
      <c r="E628" s="7"/>
      <c r="F628" s="7"/>
    </row>
    <row r="629" spans="1:6" x14ac:dyDescent="0.25">
      <c r="A629" s="7"/>
      <c r="E629" s="7"/>
      <c r="F629" s="7"/>
    </row>
    <row r="630" spans="1:6" x14ac:dyDescent="0.25">
      <c r="A630" s="7"/>
      <c r="E630" s="7"/>
      <c r="F630" s="7"/>
    </row>
    <row r="631" spans="1:6" x14ac:dyDescent="0.25">
      <c r="A631" s="7"/>
      <c r="E631" s="7"/>
      <c r="F631" s="7"/>
    </row>
    <row r="632" spans="1:6" x14ac:dyDescent="0.25">
      <c r="A632" s="7"/>
      <c r="E632" s="7"/>
      <c r="F632" s="7"/>
    </row>
    <row r="633" spans="1:6" x14ac:dyDescent="0.25">
      <c r="A633" s="7"/>
      <c r="E633" s="7"/>
      <c r="F633" s="7"/>
    </row>
    <row r="634" spans="1:6" x14ac:dyDescent="0.25">
      <c r="A634" s="7"/>
      <c r="E634" s="7"/>
      <c r="F634" s="7"/>
    </row>
    <row r="635" spans="1:6" x14ac:dyDescent="0.25">
      <c r="A635" s="7"/>
      <c r="E635" s="7"/>
      <c r="F635" s="7"/>
    </row>
    <row r="636" spans="1:6" x14ac:dyDescent="0.25">
      <c r="A636" s="7"/>
      <c r="E636" s="7"/>
      <c r="F636" s="7"/>
    </row>
    <row r="637" spans="1:6" x14ac:dyDescent="0.25">
      <c r="A637" s="7"/>
      <c r="E637" s="7"/>
      <c r="F637" s="7"/>
    </row>
    <row r="638" spans="1:6" x14ac:dyDescent="0.25">
      <c r="A638" s="7"/>
      <c r="E638" s="7"/>
      <c r="F638" s="7"/>
    </row>
    <row r="639" spans="1:6" x14ac:dyDescent="0.25">
      <c r="A639" s="7"/>
      <c r="E639" s="7"/>
      <c r="F639" s="7"/>
    </row>
    <row r="640" spans="1:6" x14ac:dyDescent="0.25">
      <c r="A640" s="7"/>
      <c r="E640" s="7"/>
      <c r="F640" s="7"/>
    </row>
    <row r="641" spans="1:6" x14ac:dyDescent="0.25">
      <c r="A641" s="7"/>
      <c r="E641" s="7"/>
      <c r="F641" s="7"/>
    </row>
    <row r="642" spans="1:6" x14ac:dyDescent="0.25">
      <c r="A642" s="7"/>
      <c r="E642" s="7"/>
      <c r="F642" s="7"/>
    </row>
    <row r="643" spans="1:6" x14ac:dyDescent="0.25">
      <c r="A643" s="7"/>
      <c r="E643" s="7"/>
      <c r="F643" s="7"/>
    </row>
    <row r="644" spans="1:6" x14ac:dyDescent="0.25">
      <c r="A644" s="7"/>
      <c r="E644" s="7"/>
      <c r="F644" s="7"/>
    </row>
    <row r="645" spans="1:6" x14ac:dyDescent="0.25">
      <c r="A645" s="7"/>
      <c r="E645" s="7"/>
      <c r="F645" s="7"/>
    </row>
    <row r="646" spans="1:6" x14ac:dyDescent="0.25">
      <c r="A646" s="7"/>
      <c r="E646" s="7"/>
      <c r="F646" s="7"/>
    </row>
    <row r="647" spans="1:6" x14ac:dyDescent="0.25">
      <c r="A647" s="7"/>
      <c r="E647" s="7"/>
      <c r="F647" s="7"/>
    </row>
    <row r="648" spans="1:6" x14ac:dyDescent="0.25">
      <c r="A648" s="7"/>
      <c r="E648" s="7"/>
      <c r="F648" s="7"/>
    </row>
    <row r="649" spans="1:6" x14ac:dyDescent="0.25">
      <c r="A649" s="7"/>
      <c r="E649" s="7"/>
      <c r="F649" s="7"/>
    </row>
    <row r="650" spans="1:6" x14ac:dyDescent="0.25">
      <c r="A650" s="7"/>
      <c r="E650" s="7"/>
      <c r="F650" s="7"/>
    </row>
    <row r="651" spans="1:6" x14ac:dyDescent="0.25">
      <c r="A651" s="7"/>
      <c r="E651" s="7"/>
      <c r="F651" s="7"/>
    </row>
    <row r="652" spans="1:6" x14ac:dyDescent="0.25">
      <c r="A652" s="7"/>
      <c r="E652" s="7"/>
      <c r="F652" s="7"/>
    </row>
    <row r="653" spans="1:6" x14ac:dyDescent="0.25">
      <c r="A653" s="7"/>
      <c r="E653" s="7"/>
      <c r="F653" s="7"/>
    </row>
    <row r="654" spans="1:6" x14ac:dyDescent="0.25">
      <c r="A654" s="7"/>
      <c r="E654" s="7"/>
      <c r="F654" s="7"/>
    </row>
    <row r="655" spans="1:6" x14ac:dyDescent="0.25">
      <c r="A655" s="7"/>
      <c r="E655" s="7"/>
      <c r="F655" s="7"/>
    </row>
    <row r="656" spans="1:6" x14ac:dyDescent="0.25">
      <c r="A656" s="7"/>
      <c r="E656" s="7"/>
      <c r="F656" s="7"/>
    </row>
    <row r="657" spans="1:6" x14ac:dyDescent="0.25">
      <c r="A657" s="7"/>
      <c r="E657" s="7"/>
      <c r="F657" s="7"/>
    </row>
    <row r="658" spans="1:6" x14ac:dyDescent="0.25">
      <c r="A658" s="7"/>
      <c r="E658" s="7"/>
      <c r="F658" s="7"/>
    </row>
    <row r="659" spans="1:6" x14ac:dyDescent="0.25">
      <c r="A659" s="7"/>
      <c r="E659" s="7"/>
      <c r="F659" s="7"/>
    </row>
    <row r="660" spans="1:6" x14ac:dyDescent="0.25">
      <c r="A660" s="7"/>
      <c r="E660" s="7"/>
      <c r="F660" s="7"/>
    </row>
    <row r="661" spans="1:6" x14ac:dyDescent="0.25">
      <c r="A661" s="7"/>
      <c r="E661" s="7"/>
      <c r="F661" s="7"/>
    </row>
    <row r="662" spans="1:6" x14ac:dyDescent="0.25">
      <c r="A662" s="7"/>
      <c r="E662" s="7"/>
      <c r="F662" s="7"/>
    </row>
    <row r="663" spans="1:6" x14ac:dyDescent="0.25">
      <c r="A663" s="7"/>
      <c r="E663" s="7"/>
      <c r="F663" s="7"/>
    </row>
    <row r="664" spans="1:6" x14ac:dyDescent="0.25">
      <c r="A664" s="7"/>
      <c r="E664" s="7"/>
      <c r="F664" s="7"/>
    </row>
    <row r="665" spans="1:6" x14ac:dyDescent="0.25">
      <c r="A665" s="7"/>
      <c r="E665" s="7"/>
      <c r="F665" s="7"/>
    </row>
    <row r="666" spans="1:6" x14ac:dyDescent="0.25">
      <c r="A666" s="7"/>
      <c r="E666" s="7"/>
      <c r="F666" s="7"/>
    </row>
    <row r="667" spans="1:6" x14ac:dyDescent="0.25">
      <c r="A667" s="7"/>
      <c r="E667" s="7"/>
      <c r="F667" s="7"/>
    </row>
    <row r="668" spans="1:6" x14ac:dyDescent="0.25">
      <c r="A668" s="7"/>
      <c r="E668" s="7"/>
      <c r="F668" s="7"/>
    </row>
    <row r="669" spans="1:6" x14ac:dyDescent="0.25">
      <c r="A669" s="7"/>
      <c r="E669" s="7"/>
      <c r="F669" s="7"/>
    </row>
    <row r="670" spans="1:6" x14ac:dyDescent="0.25">
      <c r="A670" s="7"/>
      <c r="E670" s="7"/>
      <c r="F670" s="7"/>
    </row>
    <row r="671" spans="1:6" x14ac:dyDescent="0.25">
      <c r="A671" s="7"/>
      <c r="E671" s="7"/>
      <c r="F671" s="7"/>
    </row>
    <row r="672" spans="1:6" x14ac:dyDescent="0.25">
      <c r="A672" s="7"/>
      <c r="E672" s="7"/>
      <c r="F672" s="7"/>
    </row>
    <row r="673" spans="1:6" x14ac:dyDescent="0.25">
      <c r="A673" s="7"/>
      <c r="E673" s="7"/>
      <c r="F673" s="7"/>
    </row>
    <row r="674" spans="1:6" x14ac:dyDescent="0.25">
      <c r="A674" s="7"/>
      <c r="E674" s="7"/>
      <c r="F674" s="7"/>
    </row>
    <row r="675" spans="1:6" x14ac:dyDescent="0.25">
      <c r="A675" s="7"/>
      <c r="E675" s="7"/>
      <c r="F675" s="7"/>
    </row>
    <row r="676" spans="1:6" x14ac:dyDescent="0.25">
      <c r="A676" s="7"/>
      <c r="E676" s="7"/>
      <c r="F676" s="7"/>
    </row>
    <row r="677" spans="1:6" x14ac:dyDescent="0.25">
      <c r="A677" s="7"/>
      <c r="E677" s="7"/>
      <c r="F677" s="7"/>
    </row>
    <row r="678" spans="1:6" x14ac:dyDescent="0.25">
      <c r="A678" s="7"/>
      <c r="E678" s="7"/>
      <c r="F678" s="7"/>
    </row>
    <row r="679" spans="1:6" x14ac:dyDescent="0.25">
      <c r="A679" s="7"/>
      <c r="E679" s="7"/>
      <c r="F679" s="7"/>
    </row>
    <row r="680" spans="1:6" x14ac:dyDescent="0.25">
      <c r="A680" s="7"/>
      <c r="E680" s="7"/>
      <c r="F680" s="7"/>
    </row>
    <row r="681" spans="1:6" x14ac:dyDescent="0.25">
      <c r="A681" s="7"/>
      <c r="E681" s="7"/>
      <c r="F681" s="7"/>
    </row>
    <row r="682" spans="1:6" x14ac:dyDescent="0.25">
      <c r="A682" s="7"/>
      <c r="E682" s="7"/>
      <c r="F682" s="7"/>
    </row>
    <row r="683" spans="1:6" x14ac:dyDescent="0.25">
      <c r="A683" s="7"/>
      <c r="E683" s="7"/>
      <c r="F683" s="7"/>
    </row>
    <row r="684" spans="1:6" x14ac:dyDescent="0.25">
      <c r="A684" s="7"/>
      <c r="E684" s="7"/>
      <c r="F684" s="7"/>
    </row>
    <row r="685" spans="1:6" x14ac:dyDescent="0.25">
      <c r="A685" s="7"/>
      <c r="E685" s="7"/>
      <c r="F685" s="7"/>
    </row>
    <row r="686" spans="1:6" x14ac:dyDescent="0.25">
      <c r="A686" s="7"/>
      <c r="E686" s="7"/>
      <c r="F686" s="7"/>
    </row>
    <row r="687" spans="1:6" x14ac:dyDescent="0.25">
      <c r="A687" s="7"/>
      <c r="E687" s="7"/>
      <c r="F687" s="7"/>
    </row>
    <row r="688" spans="1:6" x14ac:dyDescent="0.25">
      <c r="A688" s="7"/>
      <c r="E688" s="7"/>
      <c r="F688" s="7"/>
    </row>
    <row r="689" spans="1:6" x14ac:dyDescent="0.25">
      <c r="A689" s="7"/>
      <c r="E689" s="7"/>
      <c r="F689" s="7"/>
    </row>
    <row r="690" spans="1:6" x14ac:dyDescent="0.25">
      <c r="A690" s="7"/>
      <c r="E690" s="7"/>
      <c r="F690" s="7"/>
    </row>
    <row r="691" spans="1:6" x14ac:dyDescent="0.25">
      <c r="A691" s="7"/>
      <c r="E691" s="7"/>
      <c r="F691" s="7"/>
    </row>
    <row r="692" spans="1:6" x14ac:dyDescent="0.25">
      <c r="A692" s="7"/>
      <c r="E692" s="7"/>
      <c r="F692" s="7"/>
    </row>
    <row r="693" spans="1:6" x14ac:dyDescent="0.25">
      <c r="A693" s="7"/>
      <c r="E693" s="7"/>
      <c r="F693" s="7"/>
    </row>
    <row r="694" spans="1:6" x14ac:dyDescent="0.25">
      <c r="A694" s="7"/>
      <c r="E694" s="7"/>
      <c r="F694" s="7"/>
    </row>
    <row r="695" spans="1:6" x14ac:dyDescent="0.25">
      <c r="A695" s="7"/>
      <c r="E695" s="7"/>
      <c r="F695" s="7"/>
    </row>
    <row r="696" spans="1:6" x14ac:dyDescent="0.25">
      <c r="A696" s="7"/>
      <c r="E696" s="7"/>
      <c r="F696" s="7"/>
    </row>
    <row r="697" spans="1:6" x14ac:dyDescent="0.25">
      <c r="A697" s="7"/>
      <c r="E697" s="7"/>
      <c r="F697" s="7"/>
    </row>
    <row r="698" spans="1:6" x14ac:dyDescent="0.25">
      <c r="A698" s="7"/>
      <c r="E698" s="7"/>
      <c r="F698" s="7"/>
    </row>
    <row r="699" spans="1:6" x14ac:dyDescent="0.25">
      <c r="A699" s="7"/>
      <c r="E699" s="7"/>
      <c r="F699" s="7"/>
    </row>
    <row r="700" spans="1:6" x14ac:dyDescent="0.25">
      <c r="A700" s="7"/>
      <c r="E700" s="7"/>
      <c r="F700" s="7"/>
    </row>
    <row r="701" spans="1:6" x14ac:dyDescent="0.25">
      <c r="A701" s="7"/>
      <c r="E701" s="7"/>
      <c r="F701" s="7"/>
    </row>
    <row r="702" spans="1:6" x14ac:dyDescent="0.25">
      <c r="A702" s="7"/>
      <c r="E702" s="7"/>
      <c r="F702" s="7"/>
    </row>
    <row r="703" spans="1:6" x14ac:dyDescent="0.25">
      <c r="A703" s="7"/>
      <c r="E703" s="7"/>
      <c r="F703" s="7"/>
    </row>
    <row r="704" spans="1:6" x14ac:dyDescent="0.25">
      <c r="A704" s="7"/>
      <c r="E704" s="7"/>
      <c r="F704" s="7"/>
    </row>
    <row r="705" spans="1:6" x14ac:dyDescent="0.25">
      <c r="A705" s="7"/>
      <c r="E705" s="7"/>
      <c r="F705" s="7"/>
    </row>
    <row r="706" spans="1:6" x14ac:dyDescent="0.25">
      <c r="A706" s="7"/>
      <c r="E706" s="7"/>
      <c r="F706" s="7"/>
    </row>
    <row r="707" spans="1:6" x14ac:dyDescent="0.25">
      <c r="A707" s="7"/>
      <c r="E707" s="7"/>
      <c r="F707" s="7"/>
    </row>
    <row r="708" spans="1:6" x14ac:dyDescent="0.25">
      <c r="A708" s="7"/>
      <c r="E708" s="7"/>
      <c r="F708" s="7"/>
    </row>
    <row r="709" spans="1:6" x14ac:dyDescent="0.25">
      <c r="A709" s="7"/>
      <c r="E709" s="7"/>
      <c r="F709" s="7"/>
    </row>
    <row r="710" spans="1:6" x14ac:dyDescent="0.25">
      <c r="A710" s="7"/>
      <c r="E710" s="7"/>
      <c r="F710" s="7"/>
    </row>
    <row r="711" spans="1:6" x14ac:dyDescent="0.25">
      <c r="A711" s="7"/>
      <c r="E711" s="7"/>
      <c r="F711" s="7"/>
    </row>
    <row r="712" spans="1:6" x14ac:dyDescent="0.25">
      <c r="A712" s="7"/>
      <c r="E712" s="7"/>
      <c r="F712" s="7"/>
    </row>
    <row r="713" spans="1:6" x14ac:dyDescent="0.25">
      <c r="A713" s="7"/>
      <c r="E713" s="7"/>
      <c r="F713" s="7"/>
    </row>
    <row r="714" spans="1:6" x14ac:dyDescent="0.25">
      <c r="A714" s="7"/>
      <c r="E714" s="7"/>
      <c r="F714" s="7"/>
    </row>
    <row r="715" spans="1:6" x14ac:dyDescent="0.25">
      <c r="A715" s="7"/>
      <c r="E715" s="7"/>
      <c r="F715" s="7"/>
    </row>
    <row r="716" spans="1:6" x14ac:dyDescent="0.25">
      <c r="A716" s="7"/>
      <c r="E716" s="7"/>
      <c r="F716" s="7"/>
    </row>
    <row r="717" spans="1:6" x14ac:dyDescent="0.25">
      <c r="A717" s="7"/>
      <c r="E717" s="7"/>
      <c r="F717" s="7"/>
    </row>
    <row r="718" spans="1:6" x14ac:dyDescent="0.25">
      <c r="A718" s="7"/>
      <c r="E718" s="7"/>
      <c r="F718" s="7"/>
    </row>
    <row r="719" spans="1:6" x14ac:dyDescent="0.25">
      <c r="A719" s="7"/>
      <c r="E719" s="7"/>
      <c r="F719" s="7"/>
    </row>
    <row r="720" spans="1:6" x14ac:dyDescent="0.25">
      <c r="A720" s="7"/>
      <c r="E720" s="7"/>
      <c r="F720" s="7"/>
    </row>
    <row r="721" spans="1:6" x14ac:dyDescent="0.25">
      <c r="A721" s="7"/>
      <c r="E721" s="7"/>
      <c r="F721" s="7"/>
    </row>
    <row r="722" spans="1:6" x14ac:dyDescent="0.25">
      <c r="A722" s="7"/>
      <c r="E722" s="7"/>
      <c r="F722" s="7"/>
    </row>
    <row r="723" spans="1:6" x14ac:dyDescent="0.25">
      <c r="A723" s="7"/>
      <c r="E723" s="7"/>
      <c r="F723" s="7"/>
    </row>
    <row r="724" spans="1:6" x14ac:dyDescent="0.25">
      <c r="A724" s="7"/>
      <c r="E724" s="7"/>
      <c r="F724" s="7"/>
    </row>
    <row r="725" spans="1:6" x14ac:dyDescent="0.25">
      <c r="A725" s="7"/>
      <c r="E725" s="7"/>
      <c r="F725" s="7"/>
    </row>
    <row r="726" spans="1:6" x14ac:dyDescent="0.25">
      <c r="A726" s="7"/>
      <c r="E726" s="7"/>
      <c r="F726" s="7"/>
    </row>
    <row r="727" spans="1:6" x14ac:dyDescent="0.25">
      <c r="A727" s="7"/>
      <c r="E727" s="7"/>
      <c r="F727" s="7"/>
    </row>
    <row r="728" spans="1:6" x14ac:dyDescent="0.25">
      <c r="A728" s="7"/>
      <c r="E728" s="7"/>
      <c r="F728" s="7"/>
    </row>
    <row r="729" spans="1:6" x14ac:dyDescent="0.25">
      <c r="A729" s="7"/>
      <c r="E729" s="7"/>
      <c r="F729" s="7"/>
    </row>
    <row r="730" spans="1:6" x14ac:dyDescent="0.25">
      <c r="A730" s="7"/>
      <c r="E730" s="7"/>
      <c r="F730" s="7"/>
    </row>
    <row r="731" spans="1:6" x14ac:dyDescent="0.25">
      <c r="A731" s="7"/>
      <c r="E731" s="7"/>
      <c r="F731" s="7"/>
    </row>
    <row r="732" spans="1:6" x14ac:dyDescent="0.25">
      <c r="A732" s="7"/>
      <c r="E732" s="7"/>
      <c r="F732" s="7"/>
    </row>
    <row r="733" spans="1:6" x14ac:dyDescent="0.25">
      <c r="A733" s="7"/>
      <c r="E733" s="7"/>
      <c r="F733" s="7"/>
    </row>
    <row r="734" spans="1:6" x14ac:dyDescent="0.25">
      <c r="A734" s="7"/>
      <c r="E734" s="7"/>
      <c r="F734" s="7"/>
    </row>
    <row r="735" spans="1:6" x14ac:dyDescent="0.25">
      <c r="A735" s="7"/>
      <c r="E735" s="7"/>
      <c r="F735" s="7"/>
    </row>
    <row r="736" spans="1:6" x14ac:dyDescent="0.25">
      <c r="A736" s="7"/>
      <c r="E736" s="7"/>
      <c r="F736" s="7"/>
    </row>
    <row r="737" spans="1:6" x14ac:dyDescent="0.25">
      <c r="A737" s="7"/>
      <c r="E737" s="7"/>
      <c r="F737" s="7"/>
    </row>
    <row r="738" spans="1:6" x14ac:dyDescent="0.25">
      <c r="A738" s="7"/>
      <c r="E738" s="7"/>
      <c r="F738" s="7"/>
    </row>
    <row r="739" spans="1:6" x14ac:dyDescent="0.25">
      <c r="A739" s="7"/>
      <c r="E739" s="7"/>
      <c r="F739" s="7"/>
    </row>
    <row r="740" spans="1:6" x14ac:dyDescent="0.25">
      <c r="A740" s="7"/>
      <c r="E740" s="7"/>
      <c r="F740" s="7"/>
    </row>
    <row r="741" spans="1:6" x14ac:dyDescent="0.25">
      <c r="A741" s="7"/>
      <c r="E741" s="7"/>
      <c r="F741" s="7"/>
    </row>
    <row r="742" spans="1:6" x14ac:dyDescent="0.25">
      <c r="A742" s="7"/>
      <c r="E742" s="7"/>
      <c r="F742" s="7"/>
    </row>
    <row r="743" spans="1:6" x14ac:dyDescent="0.25">
      <c r="A743" s="7"/>
      <c r="E743" s="7"/>
      <c r="F743" s="7"/>
    </row>
    <row r="744" spans="1:6" x14ac:dyDescent="0.25">
      <c r="A744" s="7"/>
      <c r="E744" s="7"/>
      <c r="F744" s="7"/>
    </row>
    <row r="745" spans="1:6" x14ac:dyDescent="0.25">
      <c r="A745" s="7"/>
      <c r="E745" s="7"/>
      <c r="F745" s="7"/>
    </row>
    <row r="746" spans="1:6" x14ac:dyDescent="0.25">
      <c r="A746" s="7"/>
      <c r="E746" s="7"/>
      <c r="F746" s="7"/>
    </row>
    <row r="747" spans="1:6" x14ac:dyDescent="0.25">
      <c r="A747" s="7"/>
      <c r="E747" s="7"/>
      <c r="F747" s="7"/>
    </row>
    <row r="748" spans="1:6" x14ac:dyDescent="0.25">
      <c r="A748" s="7"/>
      <c r="E748" s="7"/>
      <c r="F748" s="7"/>
    </row>
    <row r="749" spans="1:6" x14ac:dyDescent="0.25">
      <c r="A749" s="7"/>
      <c r="E749" s="7"/>
      <c r="F749" s="7"/>
    </row>
    <row r="750" spans="1:6" x14ac:dyDescent="0.25">
      <c r="A750" s="7"/>
      <c r="E750" s="7"/>
      <c r="F750" s="7"/>
    </row>
    <row r="751" spans="1:6" x14ac:dyDescent="0.25">
      <c r="A751" s="7"/>
      <c r="E751" s="7"/>
      <c r="F751" s="7"/>
    </row>
    <row r="752" spans="1:6" x14ac:dyDescent="0.25">
      <c r="A752" s="7"/>
      <c r="E752" s="7"/>
      <c r="F752" s="7"/>
    </row>
    <row r="753" spans="1:6" x14ac:dyDescent="0.25">
      <c r="A753" s="7"/>
      <c r="E753" s="7"/>
      <c r="F753" s="7"/>
    </row>
    <row r="754" spans="1:6" x14ac:dyDescent="0.25">
      <c r="A754" s="7"/>
      <c r="E754" s="7"/>
      <c r="F754" s="7"/>
    </row>
    <row r="755" spans="1:6" x14ac:dyDescent="0.25">
      <c r="A755" s="7"/>
      <c r="E755" s="7"/>
      <c r="F755" s="7"/>
    </row>
    <row r="756" spans="1:6" x14ac:dyDescent="0.25">
      <c r="A756" s="7"/>
      <c r="E756" s="7"/>
      <c r="F756" s="7"/>
    </row>
    <row r="757" spans="1:6" x14ac:dyDescent="0.25">
      <c r="A757" s="7"/>
      <c r="E757" s="7"/>
      <c r="F757" s="7"/>
    </row>
    <row r="758" spans="1:6" x14ac:dyDescent="0.25">
      <c r="A758" s="7"/>
      <c r="E758" s="7"/>
      <c r="F758" s="7"/>
    </row>
    <row r="759" spans="1:6" x14ac:dyDescent="0.25">
      <c r="A759" s="7"/>
      <c r="E759" s="7"/>
      <c r="F759" s="7"/>
    </row>
    <row r="760" spans="1:6" x14ac:dyDescent="0.25">
      <c r="A760" s="7"/>
      <c r="E760" s="7"/>
      <c r="F760" s="7"/>
    </row>
    <row r="761" spans="1:6" x14ac:dyDescent="0.25">
      <c r="A761" s="7"/>
      <c r="E761" s="7"/>
      <c r="F761" s="7"/>
    </row>
    <row r="762" spans="1:6" x14ac:dyDescent="0.25">
      <c r="A762" s="7"/>
      <c r="E762" s="7"/>
      <c r="F762" s="7"/>
    </row>
    <row r="763" spans="1:6" x14ac:dyDescent="0.25">
      <c r="A763" s="7"/>
      <c r="E763" s="7"/>
      <c r="F763" s="7"/>
    </row>
    <row r="764" spans="1:6" x14ac:dyDescent="0.25">
      <c r="A764" s="7"/>
      <c r="E764" s="7"/>
      <c r="F764" s="7"/>
    </row>
    <row r="765" spans="1:6" x14ac:dyDescent="0.25">
      <c r="A765" s="7"/>
      <c r="E765" s="7"/>
      <c r="F765" s="7"/>
    </row>
    <row r="766" spans="1:6" x14ac:dyDescent="0.25">
      <c r="A766" s="7"/>
      <c r="E766" s="7"/>
      <c r="F766" s="7"/>
    </row>
    <row r="767" spans="1:6" x14ac:dyDescent="0.25">
      <c r="A767" s="7"/>
      <c r="E767" s="7"/>
      <c r="F767" s="7"/>
    </row>
    <row r="768" spans="1:6" x14ac:dyDescent="0.25">
      <c r="A768" s="7"/>
      <c r="E768" s="7"/>
      <c r="F768" s="7"/>
    </row>
    <row r="769" spans="1:6" x14ac:dyDescent="0.25">
      <c r="A769" s="7"/>
      <c r="E769" s="7"/>
      <c r="F769" s="7"/>
    </row>
    <row r="770" spans="1:6" x14ac:dyDescent="0.25">
      <c r="A770" s="7"/>
      <c r="E770" s="7"/>
      <c r="F770" s="7"/>
    </row>
    <row r="771" spans="1:6" x14ac:dyDescent="0.25">
      <c r="A771" s="7"/>
      <c r="E771" s="7"/>
      <c r="F771" s="7"/>
    </row>
    <row r="772" spans="1:6" x14ac:dyDescent="0.25">
      <c r="A772" s="7"/>
      <c r="E772" s="7"/>
      <c r="F772" s="7"/>
    </row>
    <row r="773" spans="1:6" x14ac:dyDescent="0.25">
      <c r="A773" s="7"/>
      <c r="E773" s="7"/>
      <c r="F773" s="7"/>
    </row>
    <row r="774" spans="1:6" x14ac:dyDescent="0.25">
      <c r="A774" s="7"/>
      <c r="E774" s="7"/>
      <c r="F774" s="7"/>
    </row>
    <row r="775" spans="1:6" x14ac:dyDescent="0.25">
      <c r="A775" s="7"/>
      <c r="E775" s="7"/>
      <c r="F775" s="7"/>
    </row>
    <row r="776" spans="1:6" x14ac:dyDescent="0.25">
      <c r="A776" s="7"/>
      <c r="E776" s="7"/>
      <c r="F776" s="7"/>
    </row>
    <row r="777" spans="1:6" x14ac:dyDescent="0.25">
      <c r="A777" s="7"/>
      <c r="E777" s="7"/>
      <c r="F777" s="7"/>
    </row>
    <row r="778" spans="1:6" x14ac:dyDescent="0.25">
      <c r="A778" s="7"/>
      <c r="E778" s="7"/>
      <c r="F778" s="7"/>
    </row>
    <row r="779" spans="1:6" x14ac:dyDescent="0.25">
      <c r="A779" s="7"/>
      <c r="E779" s="7"/>
      <c r="F779" s="7"/>
    </row>
    <row r="780" spans="1:6" x14ac:dyDescent="0.25">
      <c r="A780" s="7"/>
      <c r="E780" s="7"/>
      <c r="F780" s="7"/>
    </row>
    <row r="781" spans="1:6" x14ac:dyDescent="0.25">
      <c r="A781" s="7"/>
      <c r="E781" s="7"/>
      <c r="F781" s="7"/>
    </row>
    <row r="782" spans="1:6" x14ac:dyDescent="0.25">
      <c r="A782" s="7"/>
      <c r="E782" s="7"/>
      <c r="F782" s="7"/>
    </row>
    <row r="783" spans="1:6" x14ac:dyDescent="0.25">
      <c r="A783" s="7"/>
      <c r="E783" s="7"/>
      <c r="F783" s="7"/>
    </row>
    <row r="784" spans="1:6" x14ac:dyDescent="0.25">
      <c r="A784" s="7"/>
      <c r="E784" s="7"/>
      <c r="F784" s="7"/>
    </row>
    <row r="785" spans="1:6" x14ac:dyDescent="0.25">
      <c r="A785" s="7"/>
      <c r="E785" s="7"/>
      <c r="F785" s="7"/>
    </row>
    <row r="786" spans="1:6" x14ac:dyDescent="0.25">
      <c r="A786" s="7"/>
      <c r="E786" s="7"/>
      <c r="F786" s="7"/>
    </row>
    <row r="787" spans="1:6" x14ac:dyDescent="0.25">
      <c r="A787" s="7"/>
      <c r="E787" s="7"/>
      <c r="F787" s="7"/>
    </row>
    <row r="788" spans="1:6" x14ac:dyDescent="0.25">
      <c r="A788" s="7"/>
      <c r="E788" s="7"/>
      <c r="F788" s="7"/>
    </row>
    <row r="789" spans="1:6" x14ac:dyDescent="0.25">
      <c r="A789" s="7"/>
      <c r="E789" s="7"/>
      <c r="F789" s="7"/>
    </row>
    <row r="790" spans="1:6" x14ac:dyDescent="0.25">
      <c r="A790" s="7"/>
      <c r="E790" s="7"/>
      <c r="F790" s="7"/>
    </row>
    <row r="791" spans="1:6" x14ac:dyDescent="0.25">
      <c r="A791" s="7"/>
      <c r="E791" s="7"/>
      <c r="F791" s="7"/>
    </row>
    <row r="792" spans="1:6" x14ac:dyDescent="0.25">
      <c r="A792" s="7"/>
      <c r="E792" s="7"/>
      <c r="F792" s="7"/>
    </row>
    <row r="793" spans="1:6" x14ac:dyDescent="0.25">
      <c r="A793" s="7"/>
      <c r="E793" s="7"/>
      <c r="F793" s="7"/>
    </row>
    <row r="794" spans="1:6" x14ac:dyDescent="0.25">
      <c r="A794" s="7"/>
      <c r="E794" s="7"/>
      <c r="F794" s="7"/>
    </row>
    <row r="795" spans="1:6" x14ac:dyDescent="0.25">
      <c r="A795" s="7"/>
      <c r="E795" s="7"/>
      <c r="F795" s="7"/>
    </row>
    <row r="796" spans="1:6" x14ac:dyDescent="0.25">
      <c r="A796" s="7"/>
      <c r="E796" s="7"/>
      <c r="F796" s="7"/>
    </row>
    <row r="797" spans="1:6" x14ac:dyDescent="0.25">
      <c r="A797" s="7"/>
      <c r="E797" s="7"/>
      <c r="F797" s="7"/>
    </row>
    <row r="798" spans="1:6" x14ac:dyDescent="0.25">
      <c r="A798" s="7"/>
      <c r="E798" s="7"/>
      <c r="F798" s="7"/>
    </row>
    <row r="799" spans="1:6" x14ac:dyDescent="0.25">
      <c r="A799" s="7"/>
      <c r="E799" s="7"/>
      <c r="F799" s="7"/>
    </row>
    <row r="800" spans="1:6" x14ac:dyDescent="0.25">
      <c r="A800" s="7"/>
      <c r="E800" s="7"/>
      <c r="F800" s="7"/>
    </row>
    <row r="801" spans="1:6" x14ac:dyDescent="0.25">
      <c r="A801" s="7"/>
      <c r="E801" s="7"/>
      <c r="F801" s="7"/>
    </row>
    <row r="802" spans="1:6" x14ac:dyDescent="0.25">
      <c r="A802" s="7"/>
      <c r="E802" s="7"/>
      <c r="F802" s="7"/>
    </row>
    <row r="803" spans="1:6" x14ac:dyDescent="0.25">
      <c r="A803" s="7"/>
      <c r="E803" s="7"/>
      <c r="F803" s="7"/>
    </row>
    <row r="804" spans="1:6" x14ac:dyDescent="0.25">
      <c r="A804" s="7"/>
      <c r="E804" s="7"/>
      <c r="F804" s="7"/>
    </row>
    <row r="805" spans="1:6" x14ac:dyDescent="0.25">
      <c r="A805" s="7"/>
      <c r="E805" s="7"/>
      <c r="F805" s="7"/>
    </row>
    <row r="806" spans="1:6" x14ac:dyDescent="0.25">
      <c r="A806" s="7"/>
      <c r="E806" s="7"/>
      <c r="F806" s="7"/>
    </row>
    <row r="807" spans="1:6" x14ac:dyDescent="0.25">
      <c r="A807" s="7"/>
      <c r="E807" s="7"/>
      <c r="F807" s="7"/>
    </row>
    <row r="808" spans="1:6" x14ac:dyDescent="0.25">
      <c r="A808" s="7"/>
      <c r="E808" s="7"/>
      <c r="F808" s="7"/>
    </row>
    <row r="809" spans="1:6" x14ac:dyDescent="0.25">
      <c r="A809" s="7"/>
      <c r="E809" s="7"/>
      <c r="F809" s="7"/>
    </row>
    <row r="810" spans="1:6" x14ac:dyDescent="0.25">
      <c r="A810" s="7"/>
      <c r="E810" s="7"/>
      <c r="F810" s="7"/>
    </row>
    <row r="811" spans="1:6" x14ac:dyDescent="0.25">
      <c r="A811" s="7"/>
      <c r="E811" s="7"/>
      <c r="F811" s="7"/>
    </row>
    <row r="812" spans="1:6" x14ac:dyDescent="0.25">
      <c r="A812" s="7"/>
      <c r="E812" s="7"/>
      <c r="F812" s="7"/>
    </row>
    <row r="813" spans="1:6" x14ac:dyDescent="0.25">
      <c r="A813" s="7"/>
      <c r="E813" s="7"/>
      <c r="F813" s="7"/>
    </row>
    <row r="814" spans="1:6" x14ac:dyDescent="0.25">
      <c r="A814" s="7"/>
      <c r="E814" s="7"/>
      <c r="F814" s="7"/>
    </row>
    <row r="815" spans="1:6" x14ac:dyDescent="0.25">
      <c r="A815" s="7"/>
      <c r="E815" s="7"/>
      <c r="F815" s="7"/>
    </row>
    <row r="816" spans="1:6" x14ac:dyDescent="0.25">
      <c r="A816" s="7"/>
      <c r="E816" s="7"/>
      <c r="F816" s="7"/>
    </row>
    <row r="817" spans="1:6" x14ac:dyDescent="0.25">
      <c r="A817" s="7"/>
      <c r="E817" s="7"/>
      <c r="F817" s="7"/>
    </row>
    <row r="818" spans="1:6" x14ac:dyDescent="0.25">
      <c r="A818" s="7"/>
      <c r="E818" s="7"/>
      <c r="F818" s="7"/>
    </row>
    <row r="819" spans="1:6" x14ac:dyDescent="0.25">
      <c r="A819" s="7"/>
      <c r="E819" s="7"/>
      <c r="F819" s="7"/>
    </row>
    <row r="820" spans="1:6" x14ac:dyDescent="0.25">
      <c r="A820" s="7"/>
      <c r="E820" s="7"/>
      <c r="F820" s="7"/>
    </row>
    <row r="821" spans="1:6" x14ac:dyDescent="0.25">
      <c r="A821" s="7"/>
      <c r="E821" s="7"/>
      <c r="F821" s="7"/>
    </row>
    <row r="822" spans="1:6" x14ac:dyDescent="0.25">
      <c r="A822" s="7"/>
      <c r="E822" s="7"/>
      <c r="F822" s="7"/>
    </row>
    <row r="823" spans="1:6" x14ac:dyDescent="0.25">
      <c r="A823" s="7"/>
      <c r="E823" s="7"/>
      <c r="F823" s="7"/>
    </row>
    <row r="824" spans="1:6" x14ac:dyDescent="0.25">
      <c r="A824" s="7"/>
      <c r="E824" s="7"/>
      <c r="F824" s="7"/>
    </row>
    <row r="825" spans="1:6" x14ac:dyDescent="0.25">
      <c r="A825" s="7"/>
      <c r="E825" s="7"/>
      <c r="F825" s="7"/>
    </row>
    <row r="826" spans="1:6" x14ac:dyDescent="0.25">
      <c r="A826" s="7"/>
      <c r="E826" s="7"/>
      <c r="F826" s="7"/>
    </row>
    <row r="827" spans="1:6" x14ac:dyDescent="0.25">
      <c r="A827" s="7"/>
      <c r="E827" s="7"/>
      <c r="F827" s="7"/>
    </row>
    <row r="828" spans="1:6" x14ac:dyDescent="0.25">
      <c r="A828" s="7"/>
      <c r="E828" s="7"/>
      <c r="F828" s="7"/>
    </row>
    <row r="829" spans="1:6" x14ac:dyDescent="0.25">
      <c r="A829" s="7"/>
      <c r="E829" s="7"/>
      <c r="F829" s="7"/>
    </row>
    <row r="830" spans="1:6" x14ac:dyDescent="0.25">
      <c r="A830" s="7"/>
      <c r="E830" s="7"/>
      <c r="F830" s="7"/>
    </row>
    <row r="831" spans="1:6" x14ac:dyDescent="0.25">
      <c r="A831" s="7"/>
      <c r="E831" s="7"/>
      <c r="F831" s="7"/>
    </row>
    <row r="832" spans="1:6" x14ac:dyDescent="0.25">
      <c r="A832" s="7"/>
      <c r="E832" s="7"/>
      <c r="F832" s="7"/>
    </row>
    <row r="833" spans="1:6" x14ac:dyDescent="0.25">
      <c r="A833" s="7"/>
      <c r="E833" s="7"/>
      <c r="F833" s="7"/>
    </row>
    <row r="834" spans="1:6" x14ac:dyDescent="0.25">
      <c r="A834" s="7"/>
      <c r="E834" s="7"/>
      <c r="F834" s="7"/>
    </row>
    <row r="835" spans="1:6" x14ac:dyDescent="0.25">
      <c r="A835" s="7"/>
      <c r="E835" s="7"/>
      <c r="F835" s="7"/>
    </row>
    <row r="836" spans="1:6" x14ac:dyDescent="0.25">
      <c r="A836" s="7"/>
      <c r="E836" s="7"/>
      <c r="F836" s="7"/>
    </row>
    <row r="837" spans="1:6" x14ac:dyDescent="0.25">
      <c r="A837" s="7"/>
      <c r="E837" s="7"/>
      <c r="F837" s="7"/>
    </row>
    <row r="838" spans="1:6" x14ac:dyDescent="0.25">
      <c r="A838" s="7"/>
      <c r="E838" s="7"/>
      <c r="F838" s="7"/>
    </row>
    <row r="839" spans="1:6" x14ac:dyDescent="0.25">
      <c r="A839" s="7"/>
      <c r="E839" s="7"/>
      <c r="F839" s="7"/>
    </row>
    <row r="840" spans="1:6" x14ac:dyDescent="0.25">
      <c r="A840" s="7"/>
      <c r="E840" s="7"/>
      <c r="F840" s="7"/>
    </row>
    <row r="841" spans="1:6" x14ac:dyDescent="0.25">
      <c r="A841" s="7"/>
      <c r="E841" s="7"/>
      <c r="F841" s="7"/>
    </row>
    <row r="842" spans="1:6" x14ac:dyDescent="0.25">
      <c r="A842" s="7"/>
      <c r="E842" s="7"/>
      <c r="F842" s="7"/>
    </row>
    <row r="843" spans="1:6" x14ac:dyDescent="0.25">
      <c r="A843" s="7"/>
      <c r="E843" s="7"/>
      <c r="F843" s="7"/>
    </row>
    <row r="844" spans="1:6" x14ac:dyDescent="0.25">
      <c r="A844" s="7"/>
      <c r="E844" s="7"/>
      <c r="F844" s="7"/>
    </row>
    <row r="845" spans="1:6" x14ac:dyDescent="0.25">
      <c r="A845" s="7"/>
      <c r="E845" s="7"/>
      <c r="F845" s="7"/>
    </row>
    <row r="846" spans="1:6" x14ac:dyDescent="0.25">
      <c r="A846" s="7"/>
      <c r="E846" s="7"/>
      <c r="F846" s="7"/>
    </row>
    <row r="847" spans="1:6" x14ac:dyDescent="0.25">
      <c r="A847" s="7"/>
      <c r="E847" s="7"/>
      <c r="F847" s="7"/>
    </row>
    <row r="848" spans="1:6" x14ac:dyDescent="0.25">
      <c r="A848" s="7"/>
      <c r="E848" s="7"/>
      <c r="F848" s="7"/>
    </row>
    <row r="849" spans="1:6" x14ac:dyDescent="0.25">
      <c r="A849" s="7"/>
      <c r="E849" s="7"/>
      <c r="F849" s="7"/>
    </row>
    <row r="850" spans="1:6" x14ac:dyDescent="0.25">
      <c r="A850" s="7"/>
      <c r="E850" s="7"/>
      <c r="F850" s="7"/>
    </row>
    <row r="851" spans="1:6" x14ac:dyDescent="0.25">
      <c r="A851" s="7"/>
      <c r="E851" s="7"/>
      <c r="F851" s="7"/>
    </row>
    <row r="852" spans="1:6" x14ac:dyDescent="0.25">
      <c r="A852" s="7"/>
      <c r="E852" s="7"/>
      <c r="F852" s="7"/>
    </row>
    <row r="853" spans="1:6" x14ac:dyDescent="0.25">
      <c r="A853" s="7"/>
      <c r="E853" s="7"/>
      <c r="F853" s="7"/>
    </row>
    <row r="854" spans="1:6" x14ac:dyDescent="0.25">
      <c r="A854" s="7"/>
      <c r="E854" s="7"/>
      <c r="F854" s="7"/>
    </row>
    <row r="855" spans="1:6" x14ac:dyDescent="0.25">
      <c r="A855" s="7"/>
      <c r="E855" s="7"/>
      <c r="F855" s="7"/>
    </row>
    <row r="856" spans="1:6" x14ac:dyDescent="0.25">
      <c r="A856" s="7"/>
      <c r="E856" s="7"/>
      <c r="F856" s="7"/>
    </row>
    <row r="857" spans="1:6" x14ac:dyDescent="0.25">
      <c r="A857" s="7"/>
      <c r="E857" s="7"/>
      <c r="F857" s="7"/>
    </row>
    <row r="858" spans="1:6" x14ac:dyDescent="0.25">
      <c r="A858" s="7"/>
      <c r="E858" s="7"/>
      <c r="F858" s="7"/>
    </row>
    <row r="859" spans="1:6" x14ac:dyDescent="0.25">
      <c r="A859" s="7"/>
      <c r="E859" s="7"/>
      <c r="F859" s="7"/>
    </row>
    <row r="860" spans="1:6" x14ac:dyDescent="0.25">
      <c r="A860" s="7"/>
      <c r="E860" s="7"/>
      <c r="F860" s="7"/>
    </row>
    <row r="861" spans="1:6" x14ac:dyDescent="0.25">
      <c r="A861" s="7"/>
      <c r="E861" s="7"/>
      <c r="F861" s="7"/>
    </row>
    <row r="862" spans="1:6" x14ac:dyDescent="0.25">
      <c r="A862" s="7"/>
      <c r="E862" s="7"/>
      <c r="F862" s="7"/>
    </row>
    <row r="863" spans="1:6" x14ac:dyDescent="0.25">
      <c r="A863" s="7"/>
      <c r="E863" s="7"/>
      <c r="F863" s="7"/>
    </row>
    <row r="864" spans="1:6" x14ac:dyDescent="0.25">
      <c r="A864" s="7"/>
      <c r="E864" s="7"/>
      <c r="F864" s="7"/>
    </row>
    <row r="865" spans="1:6" x14ac:dyDescent="0.25">
      <c r="A865" s="7"/>
      <c r="E865" s="7"/>
      <c r="F865" s="7"/>
    </row>
    <row r="866" spans="1:6" x14ac:dyDescent="0.25">
      <c r="A866" s="7"/>
      <c r="E866" s="7"/>
      <c r="F866" s="7"/>
    </row>
    <row r="867" spans="1:6" x14ac:dyDescent="0.25">
      <c r="A867" s="7"/>
      <c r="E867" s="7"/>
      <c r="F867" s="7"/>
    </row>
    <row r="868" spans="1:6" x14ac:dyDescent="0.25">
      <c r="A868" s="7"/>
      <c r="E868" s="7"/>
      <c r="F868" s="7"/>
    </row>
    <row r="869" spans="1:6" x14ac:dyDescent="0.25">
      <c r="A869" s="7"/>
      <c r="E869" s="7"/>
      <c r="F869" s="7"/>
    </row>
    <row r="870" spans="1:6" x14ac:dyDescent="0.25">
      <c r="A870" s="7"/>
      <c r="E870" s="7"/>
      <c r="F870" s="7"/>
    </row>
    <row r="871" spans="1:6" x14ac:dyDescent="0.25">
      <c r="A871" s="7"/>
      <c r="E871" s="7"/>
      <c r="F871" s="7"/>
    </row>
    <row r="872" spans="1:6" x14ac:dyDescent="0.25">
      <c r="A872" s="7"/>
      <c r="E872" s="7"/>
      <c r="F872" s="7"/>
    </row>
    <row r="873" spans="1:6" x14ac:dyDescent="0.25">
      <c r="A873" s="7"/>
      <c r="E873" s="7"/>
      <c r="F873" s="7"/>
    </row>
    <row r="874" spans="1:6" x14ac:dyDescent="0.25">
      <c r="A874" s="7"/>
      <c r="E874" s="7"/>
      <c r="F874" s="7"/>
    </row>
    <row r="875" spans="1:6" x14ac:dyDescent="0.25">
      <c r="A875" s="7"/>
      <c r="E875" s="7"/>
      <c r="F875" s="7"/>
    </row>
    <row r="876" spans="1:6" x14ac:dyDescent="0.25">
      <c r="A876" s="7"/>
      <c r="E876" s="7"/>
      <c r="F876" s="7"/>
    </row>
    <row r="877" spans="1:6" x14ac:dyDescent="0.25">
      <c r="A877" s="7"/>
      <c r="E877" s="7"/>
      <c r="F877" s="7"/>
    </row>
    <row r="878" spans="1:6" x14ac:dyDescent="0.25">
      <c r="A878" s="7"/>
      <c r="E878" s="7"/>
      <c r="F878" s="7"/>
    </row>
    <row r="879" spans="1:6" x14ac:dyDescent="0.25">
      <c r="A879" s="7"/>
      <c r="E879" s="7"/>
      <c r="F879" s="7"/>
    </row>
    <row r="880" spans="1:6" x14ac:dyDescent="0.25">
      <c r="A880" s="7"/>
      <c r="E880" s="7"/>
      <c r="F880" s="7"/>
    </row>
    <row r="881" spans="1:6" x14ac:dyDescent="0.25">
      <c r="A881" s="7"/>
      <c r="E881" s="7"/>
      <c r="F881" s="7"/>
    </row>
    <row r="882" spans="1:6" x14ac:dyDescent="0.25">
      <c r="A882" s="7"/>
      <c r="E882" s="7"/>
      <c r="F882" s="7"/>
    </row>
    <row r="883" spans="1:6" x14ac:dyDescent="0.25">
      <c r="A883" s="7"/>
      <c r="E883" s="7"/>
      <c r="F883" s="7"/>
    </row>
    <row r="884" spans="1:6" x14ac:dyDescent="0.25">
      <c r="A884" s="7"/>
      <c r="E884" s="7"/>
      <c r="F884" s="7"/>
    </row>
    <row r="885" spans="1:6" x14ac:dyDescent="0.25">
      <c r="A885" s="7"/>
      <c r="E885" s="7"/>
      <c r="F885" s="7"/>
    </row>
    <row r="886" spans="1:6" x14ac:dyDescent="0.25">
      <c r="A886" s="7"/>
      <c r="E886" s="7"/>
      <c r="F886" s="7"/>
    </row>
    <row r="887" spans="1:6" x14ac:dyDescent="0.25">
      <c r="A887" s="7"/>
      <c r="E887" s="7"/>
      <c r="F887" s="7"/>
    </row>
    <row r="888" spans="1:6" x14ac:dyDescent="0.25">
      <c r="A888" s="7"/>
      <c r="E888" s="7"/>
      <c r="F888" s="7"/>
    </row>
    <row r="889" spans="1:6" x14ac:dyDescent="0.25">
      <c r="A889" s="7"/>
      <c r="E889" s="7"/>
      <c r="F889" s="7"/>
    </row>
    <row r="890" spans="1:6" x14ac:dyDescent="0.25">
      <c r="A890" s="7"/>
      <c r="E890" s="7"/>
      <c r="F890" s="7"/>
    </row>
    <row r="891" spans="1:6" x14ac:dyDescent="0.25">
      <c r="A891" s="7"/>
      <c r="E891" s="7"/>
      <c r="F891" s="7"/>
    </row>
    <row r="892" spans="1:6" x14ac:dyDescent="0.25">
      <c r="A892" s="7"/>
      <c r="E892" s="7"/>
      <c r="F892" s="7"/>
    </row>
    <row r="893" spans="1:6" x14ac:dyDescent="0.25">
      <c r="A893" s="7"/>
      <c r="E893" s="7"/>
      <c r="F893" s="7"/>
    </row>
    <row r="894" spans="1:6" x14ac:dyDescent="0.25">
      <c r="A894" s="7"/>
      <c r="E894" s="7"/>
      <c r="F894" s="7"/>
    </row>
    <row r="895" spans="1:6" x14ac:dyDescent="0.25">
      <c r="A895" s="7"/>
      <c r="E895" s="7"/>
      <c r="F895" s="7"/>
    </row>
    <row r="896" spans="1:6" x14ac:dyDescent="0.25">
      <c r="A896" s="7"/>
      <c r="E896" s="7"/>
      <c r="F896" s="7"/>
    </row>
    <row r="897" spans="1:6" x14ac:dyDescent="0.25">
      <c r="A897" s="7"/>
      <c r="E897" s="7"/>
      <c r="F897" s="7"/>
    </row>
    <row r="898" spans="1:6" x14ac:dyDescent="0.25">
      <c r="A898" s="7"/>
      <c r="E898" s="7"/>
      <c r="F898" s="7"/>
    </row>
    <row r="899" spans="1:6" x14ac:dyDescent="0.25">
      <c r="A899" s="7"/>
      <c r="E899" s="7"/>
      <c r="F899" s="7"/>
    </row>
    <row r="900" spans="1:6" x14ac:dyDescent="0.25">
      <c r="A900" s="7"/>
      <c r="E900" s="7"/>
      <c r="F900" s="7"/>
    </row>
    <row r="901" spans="1:6" x14ac:dyDescent="0.25">
      <c r="A901" s="7"/>
      <c r="E901" s="7"/>
      <c r="F901" s="7"/>
    </row>
    <row r="902" spans="1:6" x14ac:dyDescent="0.25">
      <c r="A902" s="7"/>
      <c r="E902" s="7"/>
      <c r="F902" s="7"/>
    </row>
    <row r="903" spans="1:6" x14ac:dyDescent="0.25">
      <c r="A903" s="7"/>
      <c r="E903" s="7"/>
      <c r="F903" s="7"/>
    </row>
    <row r="904" spans="1:6" x14ac:dyDescent="0.25">
      <c r="A904" s="7"/>
      <c r="E904" s="7"/>
      <c r="F904" s="7"/>
    </row>
    <row r="905" spans="1:6" x14ac:dyDescent="0.25">
      <c r="A905" s="7"/>
      <c r="E905" s="7"/>
      <c r="F905" s="7"/>
    </row>
    <row r="906" spans="1:6" x14ac:dyDescent="0.25">
      <c r="A906" s="7"/>
      <c r="E906" s="7"/>
      <c r="F906" s="7"/>
    </row>
    <row r="907" spans="1:6" x14ac:dyDescent="0.25">
      <c r="A907" s="7"/>
      <c r="E907" s="7"/>
      <c r="F907" s="7"/>
    </row>
    <row r="908" spans="1:6" x14ac:dyDescent="0.25">
      <c r="A908" s="7"/>
      <c r="E908" s="7"/>
      <c r="F908" s="7"/>
    </row>
    <row r="909" spans="1:6" x14ac:dyDescent="0.25">
      <c r="A909" s="7"/>
      <c r="E909" s="7"/>
      <c r="F909" s="7"/>
    </row>
    <row r="910" spans="1:6" x14ac:dyDescent="0.25">
      <c r="A910" s="7"/>
      <c r="E910" s="7"/>
      <c r="F910" s="7"/>
    </row>
    <row r="911" spans="1:6" x14ac:dyDescent="0.25">
      <c r="A911" s="7"/>
      <c r="E911" s="7"/>
      <c r="F911" s="7"/>
    </row>
    <row r="912" spans="1:6" x14ac:dyDescent="0.25">
      <c r="A912" s="7"/>
      <c r="E912" s="7"/>
      <c r="F912" s="7"/>
    </row>
    <row r="913" spans="1:6" x14ac:dyDescent="0.25">
      <c r="A913" s="7"/>
      <c r="E913" s="7"/>
      <c r="F913" s="7"/>
    </row>
    <row r="914" spans="1:6" x14ac:dyDescent="0.25">
      <c r="A914" s="7"/>
      <c r="E914" s="7"/>
      <c r="F914" s="7"/>
    </row>
    <row r="915" spans="1:6" x14ac:dyDescent="0.25">
      <c r="A915" s="7"/>
      <c r="E915" s="7"/>
      <c r="F915" s="7"/>
    </row>
    <row r="916" spans="1:6" x14ac:dyDescent="0.25">
      <c r="A916" s="7"/>
      <c r="E916" s="7"/>
      <c r="F916" s="7"/>
    </row>
    <row r="917" spans="1:6" x14ac:dyDescent="0.25">
      <c r="A917" s="7"/>
      <c r="E917" s="7"/>
      <c r="F917" s="7"/>
    </row>
    <row r="918" spans="1:6" x14ac:dyDescent="0.25">
      <c r="A918" s="7"/>
      <c r="E918" s="7"/>
      <c r="F918" s="7"/>
    </row>
    <row r="919" spans="1:6" x14ac:dyDescent="0.25">
      <c r="A919" s="7"/>
      <c r="E919" s="7"/>
      <c r="F919" s="7"/>
    </row>
    <row r="920" spans="1:6" x14ac:dyDescent="0.25">
      <c r="A920" s="7"/>
      <c r="E920" s="7"/>
      <c r="F920" s="7"/>
    </row>
    <row r="921" spans="1:6" x14ac:dyDescent="0.25">
      <c r="A921" s="7"/>
      <c r="E921" s="7"/>
      <c r="F921" s="7"/>
    </row>
    <row r="922" spans="1:6" x14ac:dyDescent="0.25">
      <c r="A922" s="7"/>
      <c r="E922" s="7"/>
      <c r="F922" s="7"/>
    </row>
    <row r="923" spans="1:6" x14ac:dyDescent="0.25">
      <c r="A923" s="7"/>
      <c r="E923" s="7"/>
      <c r="F923" s="7"/>
    </row>
    <row r="924" spans="1:6" x14ac:dyDescent="0.25">
      <c r="A924" s="7"/>
      <c r="E924" s="7"/>
      <c r="F924" s="7"/>
    </row>
    <row r="925" spans="1:6" x14ac:dyDescent="0.25">
      <c r="A925" s="7"/>
      <c r="E925" s="7"/>
      <c r="F925" s="7"/>
    </row>
    <row r="926" spans="1:6" x14ac:dyDescent="0.25">
      <c r="A926" s="7"/>
      <c r="E926" s="7"/>
      <c r="F926" s="7"/>
    </row>
    <row r="927" spans="1:6" x14ac:dyDescent="0.25">
      <c r="A927" s="7"/>
      <c r="E927" s="7"/>
      <c r="F927" s="7"/>
    </row>
    <row r="928" spans="1:6" x14ac:dyDescent="0.25">
      <c r="A928" s="7"/>
      <c r="E928" s="7"/>
      <c r="F928" s="7"/>
    </row>
    <row r="929" spans="1:6" x14ac:dyDescent="0.25">
      <c r="A929" s="7"/>
      <c r="E929" s="7"/>
      <c r="F929" s="7"/>
    </row>
    <row r="930" spans="1:6" x14ac:dyDescent="0.25">
      <c r="A930" s="7"/>
      <c r="E930" s="7"/>
      <c r="F930" s="7"/>
    </row>
    <row r="931" spans="1:6" x14ac:dyDescent="0.25">
      <c r="A931" s="7"/>
      <c r="E931" s="7"/>
      <c r="F931" s="7"/>
    </row>
    <row r="932" spans="1:6" x14ac:dyDescent="0.25">
      <c r="A932" s="7"/>
      <c r="E932" s="7"/>
      <c r="F932" s="7"/>
    </row>
    <row r="933" spans="1:6" x14ac:dyDescent="0.25">
      <c r="A933" s="7"/>
      <c r="E933" s="7"/>
      <c r="F933" s="7"/>
    </row>
    <row r="934" spans="1:6" x14ac:dyDescent="0.25">
      <c r="A934" s="7"/>
      <c r="E934" s="7"/>
      <c r="F934" s="7"/>
    </row>
    <row r="935" spans="1:6" x14ac:dyDescent="0.25">
      <c r="A935" s="7"/>
      <c r="E935" s="7"/>
      <c r="F935" s="7"/>
    </row>
    <row r="936" spans="1:6" x14ac:dyDescent="0.25">
      <c r="A936" s="7"/>
      <c r="E936" s="7"/>
      <c r="F936" s="7"/>
    </row>
    <row r="937" spans="1:6" x14ac:dyDescent="0.25">
      <c r="A937" s="7"/>
      <c r="E937" s="7"/>
      <c r="F937" s="7"/>
    </row>
    <row r="938" spans="1:6" x14ac:dyDescent="0.25">
      <c r="A938" s="7"/>
      <c r="E938" s="7"/>
      <c r="F938" s="7"/>
    </row>
    <row r="939" spans="1:6" x14ac:dyDescent="0.25">
      <c r="A939" s="7"/>
      <c r="E939" s="7"/>
      <c r="F939" s="7"/>
    </row>
    <row r="940" spans="1:6" x14ac:dyDescent="0.25">
      <c r="A940" s="7"/>
      <c r="E940" s="7"/>
      <c r="F940" s="7"/>
    </row>
    <row r="941" spans="1:6" x14ac:dyDescent="0.25">
      <c r="A941" s="7"/>
      <c r="E941" s="7"/>
      <c r="F941" s="7"/>
    </row>
    <row r="942" spans="1:6" x14ac:dyDescent="0.25">
      <c r="A942" s="7"/>
      <c r="E942" s="7"/>
      <c r="F942" s="7"/>
    </row>
    <row r="943" spans="1:6" x14ac:dyDescent="0.25">
      <c r="A943" s="7"/>
      <c r="E943" s="7"/>
      <c r="F943" s="7"/>
    </row>
    <row r="944" spans="1:6" x14ac:dyDescent="0.25">
      <c r="A944" s="7"/>
      <c r="E944" s="7"/>
      <c r="F944" s="7"/>
    </row>
    <row r="945" spans="1:6" x14ac:dyDescent="0.25">
      <c r="A945" s="7"/>
      <c r="E945" s="7"/>
      <c r="F945" s="7"/>
    </row>
    <row r="946" spans="1:6" x14ac:dyDescent="0.25">
      <c r="A946" s="7"/>
      <c r="E946" s="7"/>
      <c r="F946" s="7"/>
    </row>
    <row r="947" spans="1:6" x14ac:dyDescent="0.25">
      <c r="A947" s="7"/>
      <c r="E947" s="7"/>
      <c r="F947" s="7"/>
    </row>
    <row r="948" spans="1:6" x14ac:dyDescent="0.25">
      <c r="A948" s="7"/>
      <c r="E948" s="7"/>
      <c r="F948" s="7"/>
    </row>
    <row r="949" spans="1:6" x14ac:dyDescent="0.25">
      <c r="A949" s="7"/>
      <c r="E949" s="7"/>
      <c r="F949" s="7"/>
    </row>
    <row r="950" spans="1:6" x14ac:dyDescent="0.25">
      <c r="A950" s="7"/>
      <c r="E950" s="7"/>
      <c r="F950" s="7"/>
    </row>
    <row r="951" spans="1:6" x14ac:dyDescent="0.25">
      <c r="A951" s="7"/>
      <c r="E951" s="7"/>
      <c r="F951" s="7"/>
    </row>
    <row r="952" spans="1:6" x14ac:dyDescent="0.25">
      <c r="A952" s="7"/>
      <c r="E952" s="7"/>
      <c r="F952" s="7"/>
    </row>
    <row r="953" spans="1:6" x14ac:dyDescent="0.25">
      <c r="A953" s="7"/>
      <c r="E953" s="7"/>
      <c r="F953" s="7"/>
    </row>
    <row r="954" spans="1:6" x14ac:dyDescent="0.25">
      <c r="A954" s="7"/>
      <c r="E954" s="7"/>
      <c r="F954" s="7"/>
    </row>
    <row r="955" spans="1:6" x14ac:dyDescent="0.25">
      <c r="A955" s="7"/>
      <c r="E955" s="7"/>
      <c r="F955" s="7"/>
    </row>
    <row r="956" spans="1:6" x14ac:dyDescent="0.25">
      <c r="A956" s="7"/>
      <c r="E956" s="7"/>
      <c r="F956" s="7"/>
    </row>
    <row r="957" spans="1:6" x14ac:dyDescent="0.25">
      <c r="A957" s="7"/>
      <c r="E957" s="7"/>
      <c r="F957" s="7"/>
    </row>
    <row r="958" spans="1:6" x14ac:dyDescent="0.25">
      <c r="A958" s="7"/>
      <c r="E958" s="7"/>
      <c r="F958" s="7"/>
    </row>
    <row r="959" spans="1:6" x14ac:dyDescent="0.25">
      <c r="A959" s="7"/>
      <c r="E959" s="7"/>
      <c r="F959" s="7"/>
    </row>
    <row r="960" spans="1:6" x14ac:dyDescent="0.25">
      <c r="A960" s="7"/>
      <c r="E960" s="7"/>
      <c r="F960" s="7"/>
    </row>
    <row r="961" spans="1:6" x14ac:dyDescent="0.25">
      <c r="A961" s="7"/>
      <c r="E961" s="7"/>
      <c r="F961" s="7"/>
    </row>
    <row r="962" spans="1:6" x14ac:dyDescent="0.25">
      <c r="A962" s="7"/>
      <c r="E962" s="7"/>
      <c r="F962" s="7"/>
    </row>
    <row r="963" spans="1:6" x14ac:dyDescent="0.25">
      <c r="A963" s="7"/>
      <c r="E963" s="7"/>
      <c r="F963" s="7"/>
    </row>
    <row r="964" spans="1:6" x14ac:dyDescent="0.25">
      <c r="A964" s="7"/>
      <c r="E964" s="7"/>
      <c r="F964" s="7"/>
    </row>
    <row r="965" spans="1:6" x14ac:dyDescent="0.25">
      <c r="A965" s="7"/>
      <c r="E965" s="7"/>
      <c r="F965" s="7"/>
    </row>
    <row r="966" spans="1:6" x14ac:dyDescent="0.25">
      <c r="A966" s="7"/>
      <c r="E966" s="7"/>
      <c r="F966" s="7"/>
    </row>
    <row r="967" spans="1:6" x14ac:dyDescent="0.25">
      <c r="A967" s="7"/>
      <c r="E967" s="7"/>
      <c r="F967" s="7"/>
    </row>
    <row r="968" spans="1:6" x14ac:dyDescent="0.25">
      <c r="A968" s="7"/>
      <c r="E968" s="7"/>
      <c r="F968" s="7"/>
    </row>
    <row r="969" spans="1:6" x14ac:dyDescent="0.25">
      <c r="A969" s="7"/>
      <c r="E969" s="7"/>
      <c r="F969" s="7"/>
    </row>
    <row r="970" spans="1:6" x14ac:dyDescent="0.25">
      <c r="A970" s="7"/>
      <c r="E970" s="7"/>
      <c r="F970" s="7"/>
    </row>
    <row r="971" spans="1:6" x14ac:dyDescent="0.25">
      <c r="A971" s="7"/>
      <c r="E971" s="7"/>
      <c r="F971" s="7"/>
    </row>
    <row r="972" spans="1:6" x14ac:dyDescent="0.25">
      <c r="A972" s="7"/>
      <c r="E972" s="7"/>
      <c r="F972" s="7"/>
    </row>
    <row r="973" spans="1:6" x14ac:dyDescent="0.25">
      <c r="A973" s="7"/>
      <c r="E973" s="7"/>
      <c r="F973" s="7"/>
    </row>
    <row r="974" spans="1:6" x14ac:dyDescent="0.25">
      <c r="A974" s="7"/>
      <c r="E974" s="7"/>
      <c r="F974" s="7"/>
    </row>
    <row r="975" spans="1:6" x14ac:dyDescent="0.25">
      <c r="A975" s="7"/>
      <c r="E975" s="7"/>
      <c r="F975" s="7"/>
    </row>
    <row r="976" spans="1:6" x14ac:dyDescent="0.25">
      <c r="A976" s="7"/>
      <c r="E976" s="7"/>
      <c r="F976" s="7"/>
    </row>
    <row r="977" spans="1:6" x14ac:dyDescent="0.25">
      <c r="A977" s="7"/>
      <c r="E977" s="7"/>
      <c r="F977" s="7"/>
    </row>
    <row r="978" spans="1:6" x14ac:dyDescent="0.25">
      <c r="A978" s="7"/>
      <c r="E978" s="7"/>
      <c r="F978" s="7"/>
    </row>
    <row r="979" spans="1:6" x14ac:dyDescent="0.25">
      <c r="A979" s="7"/>
      <c r="E979" s="7"/>
      <c r="F979" s="7"/>
    </row>
    <row r="980" spans="1:6" x14ac:dyDescent="0.25">
      <c r="A980" s="7"/>
      <c r="E980" s="7"/>
      <c r="F980" s="7"/>
    </row>
    <row r="981" spans="1:6" x14ac:dyDescent="0.25">
      <c r="A981" s="7"/>
      <c r="E981" s="7"/>
      <c r="F981" s="7"/>
    </row>
    <row r="982" spans="1:6" x14ac:dyDescent="0.25">
      <c r="A982" s="7"/>
      <c r="E982" s="7"/>
      <c r="F982" s="7"/>
    </row>
    <row r="983" spans="1:6" x14ac:dyDescent="0.25">
      <c r="A983" s="7"/>
      <c r="E983" s="7"/>
      <c r="F983" s="7"/>
    </row>
    <row r="984" spans="1:6" x14ac:dyDescent="0.25">
      <c r="A984" s="7"/>
      <c r="E984" s="7"/>
      <c r="F984" s="7"/>
    </row>
    <row r="985" spans="1:6" x14ac:dyDescent="0.25">
      <c r="A985" s="7"/>
      <c r="E985" s="7"/>
      <c r="F985" s="7"/>
    </row>
    <row r="986" spans="1:6" x14ac:dyDescent="0.25">
      <c r="A986" s="7"/>
      <c r="E986" s="7"/>
      <c r="F986" s="7"/>
    </row>
    <row r="987" spans="1:6" x14ac:dyDescent="0.25">
      <c r="A987" s="7"/>
      <c r="E987" s="7"/>
      <c r="F987" s="7"/>
    </row>
    <row r="988" spans="1:6" x14ac:dyDescent="0.25">
      <c r="A988" s="7"/>
      <c r="E988" s="7"/>
      <c r="F988" s="7"/>
    </row>
    <row r="989" spans="1:6" x14ac:dyDescent="0.25">
      <c r="A989" s="7"/>
      <c r="E989" s="7"/>
      <c r="F989" s="7"/>
    </row>
    <row r="990" spans="1:6" x14ac:dyDescent="0.25">
      <c r="A990" s="7"/>
      <c r="E990" s="7"/>
      <c r="F990" s="7"/>
    </row>
    <row r="991" spans="1:6" x14ac:dyDescent="0.25">
      <c r="A991" s="7"/>
      <c r="E991" s="7"/>
      <c r="F991" s="7"/>
    </row>
    <row r="992" spans="1:6" x14ac:dyDescent="0.25">
      <c r="A992" s="7"/>
      <c r="E992" s="7"/>
      <c r="F992" s="7"/>
    </row>
    <row r="993" spans="1:6" x14ac:dyDescent="0.25">
      <c r="A993" s="7"/>
      <c r="E993" s="7"/>
      <c r="F993" s="7"/>
    </row>
    <row r="994" spans="1:6" x14ac:dyDescent="0.25">
      <c r="A994" s="7"/>
      <c r="E994" s="7"/>
      <c r="F994" s="7"/>
    </row>
    <row r="995" spans="1:6" x14ac:dyDescent="0.25">
      <c r="A995" s="7"/>
      <c r="E995" s="7"/>
      <c r="F995" s="7"/>
    </row>
    <row r="996" spans="1:6" x14ac:dyDescent="0.25">
      <c r="A996" s="7"/>
      <c r="E996" s="7"/>
      <c r="F996" s="7"/>
    </row>
    <row r="997" spans="1:6" x14ac:dyDescent="0.25">
      <c r="A997" s="7"/>
      <c r="E997" s="7"/>
      <c r="F997" s="7"/>
    </row>
    <row r="998" spans="1:6" x14ac:dyDescent="0.25">
      <c r="A998" s="7"/>
      <c r="E998" s="7"/>
      <c r="F998" s="7"/>
    </row>
    <row r="999" spans="1:6" x14ac:dyDescent="0.25">
      <c r="A999" s="7"/>
      <c r="E999" s="7"/>
      <c r="F999" s="7"/>
    </row>
    <row r="1000" spans="1:6" x14ac:dyDescent="0.25">
      <c r="A1000" s="7"/>
      <c r="E1000" s="7"/>
      <c r="F1000" s="7"/>
    </row>
    <row r="1001" spans="1:6" x14ac:dyDescent="0.25">
      <c r="A1001" s="7"/>
      <c r="E1001" s="7"/>
      <c r="F1001" s="7"/>
    </row>
    <row r="1002" spans="1:6" x14ac:dyDescent="0.25">
      <c r="A1002" s="7"/>
      <c r="E1002" s="7"/>
      <c r="F1002" s="7"/>
    </row>
  </sheetData>
  <mergeCells count="3">
    <mergeCell ref="A1:I1"/>
    <mergeCell ref="A2:I2"/>
    <mergeCell ref="B3:C3"/>
  </mergeCells>
  <printOptions horizontalCentered="1" gridLines="1"/>
  <pageMargins left="0.25" right="0.25" top="0.75" bottom="0.75" header="0" footer="0"/>
  <pageSetup fitToHeight="0" pageOrder="overThenDown" orientation="landscape" cellComments="atEnd"/>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pageSetUpPr fitToPage="1"/>
  </sheetPr>
  <dimension ref="A1:W1006"/>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46.33203125" customWidth="1"/>
    <col min="2" max="2" width="7.33203125" customWidth="1"/>
    <col min="3" max="4" width="7.88671875" customWidth="1"/>
    <col min="5" max="5" width="22.21875" customWidth="1"/>
    <col min="6" max="6" width="14.6640625" customWidth="1"/>
  </cols>
  <sheetData>
    <row r="1" spans="1:23" ht="13.2" x14ac:dyDescent="0.25">
      <c r="A1" s="141" t="s">
        <v>494</v>
      </c>
      <c r="B1" s="142"/>
      <c r="C1" s="142"/>
      <c r="D1" s="142"/>
      <c r="E1" s="142"/>
      <c r="F1" s="142"/>
      <c r="G1" s="142"/>
      <c r="H1" s="142"/>
      <c r="I1" s="143"/>
    </row>
    <row r="2" spans="1:23" ht="13.2" x14ac:dyDescent="0.25">
      <c r="A2" s="144" t="s">
        <v>495</v>
      </c>
      <c r="B2" s="142"/>
      <c r="C2" s="142"/>
      <c r="D2" s="142"/>
      <c r="E2" s="142"/>
      <c r="F2" s="142"/>
      <c r="G2" s="142"/>
      <c r="H2" s="142"/>
      <c r="I2" s="143"/>
    </row>
    <row r="3" spans="1:23" ht="13.2" x14ac:dyDescent="0.25">
      <c r="A3" s="43" t="s">
        <v>374</v>
      </c>
      <c r="B3" s="145" t="s">
        <v>408</v>
      </c>
      <c r="C3" s="143"/>
      <c r="D3" s="49" t="s">
        <v>370</v>
      </c>
      <c r="E3" s="50" t="s">
        <v>371</v>
      </c>
      <c r="F3" s="51" t="s">
        <v>372</v>
      </c>
      <c r="G3" s="52" t="s">
        <v>373</v>
      </c>
      <c r="H3" s="53" t="s">
        <v>409</v>
      </c>
      <c r="I3" s="53" t="s">
        <v>410</v>
      </c>
      <c r="J3" s="7" t="s">
        <v>496</v>
      </c>
      <c r="K3" s="7"/>
      <c r="L3" s="7"/>
      <c r="M3" s="7"/>
      <c r="N3" s="7"/>
      <c r="O3" s="7"/>
      <c r="P3" s="7"/>
      <c r="Q3" s="7"/>
      <c r="R3" s="7"/>
      <c r="S3" s="7"/>
      <c r="T3" s="7"/>
      <c r="U3" s="7"/>
      <c r="V3" s="7"/>
      <c r="W3" s="7"/>
    </row>
    <row r="4" spans="1:23" ht="13.2" x14ac:dyDescent="0.25">
      <c r="A4" s="41" t="s">
        <v>411</v>
      </c>
      <c r="B4" s="54">
        <f>SUM(B5:B9)/5</f>
        <v>1</v>
      </c>
      <c r="C4" s="55">
        <f>D4*B4</f>
        <v>0.7</v>
      </c>
      <c r="D4" s="56">
        <v>0.7</v>
      </c>
      <c r="E4" s="57"/>
      <c r="F4" s="57"/>
      <c r="G4" s="58"/>
      <c r="H4" s="58"/>
      <c r="I4" s="58"/>
    </row>
    <row r="5" spans="1:23" ht="13.2" x14ac:dyDescent="0.25">
      <c r="A5" s="42" t="s">
        <v>497</v>
      </c>
      <c r="B5" s="59">
        <v>1</v>
      </c>
      <c r="C5" s="60"/>
      <c r="D5" s="60"/>
      <c r="E5" s="42"/>
      <c r="F5" s="61"/>
      <c r="G5" s="59">
        <v>0.8</v>
      </c>
      <c r="H5" s="59">
        <v>0.8</v>
      </c>
      <c r="I5" s="59">
        <v>1</v>
      </c>
    </row>
    <row r="6" spans="1:23" ht="13.2" x14ac:dyDescent="0.25">
      <c r="A6" s="42" t="s">
        <v>498</v>
      </c>
      <c r="B6" s="59">
        <v>1</v>
      </c>
      <c r="C6" s="60"/>
      <c r="D6" s="60"/>
      <c r="E6" s="42"/>
      <c r="F6" s="61"/>
      <c r="G6" s="59">
        <v>0.8</v>
      </c>
      <c r="H6" s="59">
        <v>0.8</v>
      </c>
      <c r="I6" s="59">
        <v>1</v>
      </c>
    </row>
    <row r="7" spans="1:23" ht="13.2" x14ac:dyDescent="0.25">
      <c r="A7" s="42" t="s">
        <v>499</v>
      </c>
      <c r="B7" s="59">
        <v>1</v>
      </c>
      <c r="C7" s="60"/>
      <c r="D7" s="60"/>
      <c r="E7" s="42"/>
      <c r="F7" s="61"/>
      <c r="G7" s="59">
        <v>0.8</v>
      </c>
      <c r="H7" s="59">
        <v>0.8</v>
      </c>
      <c r="I7" s="59">
        <v>1</v>
      </c>
    </row>
    <row r="8" spans="1:23" ht="13.2" x14ac:dyDescent="0.25">
      <c r="A8" s="42" t="s">
        <v>500</v>
      </c>
      <c r="B8" s="59">
        <v>1</v>
      </c>
      <c r="C8" s="60"/>
      <c r="D8" s="60"/>
      <c r="E8" s="42"/>
      <c r="F8" s="42"/>
      <c r="G8" s="59">
        <v>0.8</v>
      </c>
      <c r="H8" s="59">
        <v>0.8</v>
      </c>
      <c r="I8" s="59">
        <v>1</v>
      </c>
    </row>
    <row r="9" spans="1:23" ht="13.2" x14ac:dyDescent="0.25">
      <c r="A9" s="42" t="s">
        <v>501</v>
      </c>
      <c r="B9" s="59">
        <v>1</v>
      </c>
      <c r="C9" s="60"/>
      <c r="D9" s="60"/>
      <c r="E9" s="42"/>
      <c r="F9" s="42"/>
      <c r="G9" s="59">
        <v>0.8</v>
      </c>
      <c r="H9" s="59">
        <v>0.8</v>
      </c>
      <c r="I9" s="59">
        <v>1</v>
      </c>
    </row>
    <row r="10" spans="1:23" ht="13.2" x14ac:dyDescent="0.25">
      <c r="A10" s="41" t="s">
        <v>415</v>
      </c>
      <c r="B10" s="54">
        <f>SUM(B11:B12)/2</f>
        <v>1</v>
      </c>
      <c r="C10" s="55">
        <f>D10*B10</f>
        <v>0.2</v>
      </c>
      <c r="D10" s="56">
        <v>0.2</v>
      </c>
      <c r="E10" s="57"/>
      <c r="F10" s="57"/>
      <c r="G10" s="58"/>
      <c r="H10" s="58"/>
      <c r="I10" s="58"/>
    </row>
    <row r="11" spans="1:23" ht="37.5" customHeight="1" x14ac:dyDescent="0.25">
      <c r="A11" s="79" t="s">
        <v>502</v>
      </c>
      <c r="B11" s="80">
        <v>1</v>
      </c>
      <c r="C11" s="81"/>
      <c r="D11" s="81"/>
      <c r="E11" s="79" t="s">
        <v>503</v>
      </c>
      <c r="F11" s="42" t="s">
        <v>425</v>
      </c>
      <c r="G11" s="80">
        <v>1</v>
      </c>
      <c r="H11" s="80"/>
      <c r="I11" s="80"/>
      <c r="J11" s="85"/>
      <c r="K11" s="85"/>
      <c r="L11" s="85"/>
      <c r="M11" s="85"/>
      <c r="N11" s="85"/>
      <c r="O11" s="85"/>
      <c r="P11" s="85"/>
      <c r="Q11" s="85"/>
      <c r="R11" s="85"/>
      <c r="S11" s="85"/>
      <c r="T11" s="85"/>
      <c r="U11" s="85"/>
      <c r="V11" s="85"/>
      <c r="W11" s="85"/>
    </row>
    <row r="12" spans="1:23" ht="92.4" x14ac:dyDescent="0.25">
      <c r="A12" s="79" t="s">
        <v>504</v>
      </c>
      <c r="B12" s="80">
        <v>1</v>
      </c>
      <c r="C12" s="81"/>
      <c r="D12" s="81"/>
      <c r="E12" s="79" t="s">
        <v>505</v>
      </c>
      <c r="F12" s="42" t="s">
        <v>425</v>
      </c>
      <c r="G12" s="80">
        <v>1</v>
      </c>
      <c r="H12" s="80"/>
      <c r="I12" s="80"/>
      <c r="J12" s="85"/>
      <c r="K12" s="85"/>
      <c r="L12" s="85"/>
      <c r="M12" s="85"/>
      <c r="N12" s="85"/>
      <c r="O12" s="85"/>
      <c r="P12" s="85"/>
      <c r="Q12" s="85"/>
      <c r="R12" s="85"/>
      <c r="S12" s="85"/>
      <c r="T12" s="85"/>
      <c r="U12" s="85"/>
      <c r="V12" s="85"/>
      <c r="W12" s="85"/>
    </row>
    <row r="13" spans="1:23" ht="13.2" x14ac:dyDescent="0.25">
      <c r="A13" s="41" t="s">
        <v>385</v>
      </c>
      <c r="B13" s="54">
        <f>SUM(B14:B18)/2</f>
        <v>1</v>
      </c>
      <c r="C13" s="55">
        <f>D13*B13</f>
        <v>0.1</v>
      </c>
      <c r="D13" s="56">
        <v>0.1</v>
      </c>
      <c r="E13" s="57"/>
      <c r="F13" s="57"/>
      <c r="G13" s="58"/>
      <c r="H13" s="58"/>
      <c r="I13" s="58"/>
    </row>
    <row r="14" spans="1:23" ht="13.2" x14ac:dyDescent="0.25">
      <c r="A14" s="43" t="s">
        <v>386</v>
      </c>
      <c r="B14" s="59">
        <v>1</v>
      </c>
      <c r="C14" s="60"/>
      <c r="D14" s="53"/>
      <c r="E14" s="42"/>
      <c r="F14" s="42" t="s">
        <v>418</v>
      </c>
      <c r="G14" s="59">
        <v>0.8</v>
      </c>
      <c r="H14" s="59">
        <v>0.8</v>
      </c>
      <c r="I14" s="59">
        <v>1</v>
      </c>
    </row>
    <row r="15" spans="1:23" ht="52.8" x14ac:dyDescent="0.25">
      <c r="A15" s="43" t="s">
        <v>387</v>
      </c>
      <c r="B15" s="59">
        <v>0.5</v>
      </c>
      <c r="C15" s="53"/>
      <c r="D15" s="53"/>
      <c r="E15" s="42"/>
      <c r="F15" s="42" t="s">
        <v>419</v>
      </c>
      <c r="G15" s="59">
        <v>0.8</v>
      </c>
      <c r="H15" s="59">
        <v>0.8</v>
      </c>
      <c r="I15" s="59">
        <v>1</v>
      </c>
    </row>
    <row r="16" spans="1:23" ht="87.75" customHeight="1" x14ac:dyDescent="0.25">
      <c r="A16" s="151" t="s">
        <v>506</v>
      </c>
      <c r="B16" s="148">
        <v>0.25</v>
      </c>
      <c r="C16" s="148"/>
      <c r="D16" s="148"/>
      <c r="E16" s="42" t="s">
        <v>507</v>
      </c>
      <c r="F16" s="42" t="s">
        <v>420</v>
      </c>
      <c r="G16" s="59">
        <v>1</v>
      </c>
      <c r="H16" s="59">
        <v>1</v>
      </c>
      <c r="I16" s="59">
        <v>1</v>
      </c>
      <c r="M16" s="19">
        <v>2.5</v>
      </c>
      <c r="N16" s="19" t="s">
        <v>508</v>
      </c>
    </row>
    <row r="17" spans="1:13" ht="66" x14ac:dyDescent="0.25">
      <c r="A17" s="147"/>
      <c r="B17" s="147"/>
      <c r="C17" s="147"/>
      <c r="D17" s="147"/>
      <c r="E17" s="86" t="s">
        <v>509</v>
      </c>
      <c r="F17" s="42" t="s">
        <v>420</v>
      </c>
      <c r="G17" s="59">
        <v>1</v>
      </c>
      <c r="H17" s="59">
        <v>1</v>
      </c>
      <c r="I17" s="59">
        <v>1</v>
      </c>
      <c r="M17" s="19">
        <v>2.5</v>
      </c>
    </row>
    <row r="18" spans="1:13" ht="13.2" x14ac:dyDescent="0.25">
      <c r="A18" s="87" t="s">
        <v>510</v>
      </c>
      <c r="B18" s="71">
        <v>0.25</v>
      </c>
      <c r="C18" s="71"/>
      <c r="D18" s="71"/>
      <c r="E18" s="42"/>
      <c r="F18" s="42"/>
      <c r="G18" s="59"/>
      <c r="H18" s="59"/>
      <c r="I18" s="59"/>
    </row>
    <row r="19" spans="1:13" ht="13.2" x14ac:dyDescent="0.25">
      <c r="A19" s="43"/>
      <c r="B19" s="43"/>
      <c r="C19" s="88">
        <f t="shared" ref="C19:D19" si="0">SUM(C4+C10+C13)</f>
        <v>0.99999999999999989</v>
      </c>
      <c r="D19" s="88">
        <f t="shared" si="0"/>
        <v>0.99999999999999989</v>
      </c>
      <c r="E19" s="43"/>
      <c r="F19" s="43"/>
      <c r="G19" s="43"/>
      <c r="H19" s="43"/>
      <c r="I19" s="43"/>
    </row>
    <row r="20" spans="1:13" ht="13.2" x14ac:dyDescent="0.25">
      <c r="A20" s="152" t="s">
        <v>511</v>
      </c>
      <c r="B20" s="142"/>
      <c r="C20" s="142"/>
      <c r="D20" s="142"/>
      <c r="E20" s="142"/>
      <c r="F20" s="142"/>
      <c r="G20" s="142"/>
      <c r="H20" s="142"/>
      <c r="I20" s="143"/>
    </row>
    <row r="21" spans="1:13" ht="52.8" x14ac:dyDescent="0.25">
      <c r="A21" s="66" t="s">
        <v>512</v>
      </c>
      <c r="B21" s="67" t="s">
        <v>427</v>
      </c>
      <c r="C21" s="64"/>
      <c r="D21" s="64"/>
      <c r="E21" s="68" t="s">
        <v>67</v>
      </c>
      <c r="F21" s="42" t="s">
        <v>425</v>
      </c>
      <c r="G21" s="42"/>
      <c r="H21" s="60"/>
      <c r="I21" s="60"/>
      <c r="J21" s="89" t="s">
        <v>513</v>
      </c>
    </row>
    <row r="22" spans="1:13" ht="13.2" x14ac:dyDescent="0.25">
      <c r="A22" s="66"/>
      <c r="B22" s="67"/>
      <c r="C22" s="64"/>
      <c r="D22" s="64"/>
      <c r="E22" s="68"/>
      <c r="F22" s="42"/>
      <c r="G22" s="69"/>
      <c r="H22" s="60"/>
      <c r="I22" s="60"/>
    </row>
    <row r="23" spans="1:13" ht="13.2" x14ac:dyDescent="0.25">
      <c r="A23" s="66"/>
      <c r="B23" s="67"/>
      <c r="C23" s="64"/>
      <c r="D23" s="64"/>
      <c r="E23" s="68"/>
      <c r="F23" s="42"/>
      <c r="G23" s="42"/>
      <c r="H23" s="60"/>
      <c r="I23" s="60"/>
    </row>
    <row r="24" spans="1:13" ht="13.2" x14ac:dyDescent="0.25">
      <c r="A24" s="7"/>
      <c r="E24" s="7"/>
      <c r="F24" s="7"/>
    </row>
    <row r="25" spans="1:13" ht="13.2" x14ac:dyDescent="0.25">
      <c r="A25" s="7"/>
      <c r="E25" s="7"/>
      <c r="F25" s="7"/>
    </row>
    <row r="26" spans="1:13" ht="13.2" x14ac:dyDescent="0.25">
      <c r="A26" s="7"/>
      <c r="E26" s="7"/>
      <c r="F26" s="7"/>
    </row>
    <row r="27" spans="1:13" ht="13.2" x14ac:dyDescent="0.25">
      <c r="A27" s="7"/>
      <c r="E27" s="7"/>
      <c r="F27" s="7"/>
    </row>
    <row r="28" spans="1:13" ht="13.2" x14ac:dyDescent="0.25">
      <c r="A28" s="7"/>
      <c r="E28" s="7"/>
      <c r="F28" s="7"/>
    </row>
    <row r="29" spans="1:13" ht="13.2" x14ac:dyDescent="0.25">
      <c r="A29" s="7"/>
      <c r="E29" s="7"/>
      <c r="F29" s="7"/>
    </row>
    <row r="30" spans="1:13" ht="13.2" x14ac:dyDescent="0.25">
      <c r="A30" s="7"/>
      <c r="E30" s="7"/>
      <c r="F30" s="7"/>
    </row>
    <row r="31" spans="1:13" ht="13.2" x14ac:dyDescent="0.25">
      <c r="A31" s="7"/>
      <c r="E31" s="7"/>
      <c r="F31" s="7"/>
    </row>
    <row r="32" spans="1:13" ht="13.2" x14ac:dyDescent="0.25">
      <c r="A32" s="7"/>
      <c r="E32" s="7"/>
      <c r="F32" s="7"/>
    </row>
    <row r="33" spans="1:6" ht="13.2" x14ac:dyDescent="0.25">
      <c r="A33" s="7"/>
      <c r="E33" s="7"/>
      <c r="F33" s="7"/>
    </row>
    <row r="34" spans="1:6" ht="13.2" x14ac:dyDescent="0.25">
      <c r="A34" s="7"/>
      <c r="E34" s="7"/>
      <c r="F34" s="7"/>
    </row>
    <row r="35" spans="1:6" ht="13.2" x14ac:dyDescent="0.25">
      <c r="A35" s="7"/>
      <c r="E35" s="7"/>
      <c r="F35" s="7"/>
    </row>
    <row r="36" spans="1:6" ht="13.2" x14ac:dyDescent="0.25">
      <c r="A36" s="7"/>
      <c r="E36" s="7"/>
      <c r="F36" s="7"/>
    </row>
    <row r="37" spans="1:6" ht="13.2" x14ac:dyDescent="0.25">
      <c r="A37" s="7"/>
      <c r="E37" s="7"/>
      <c r="F37" s="7"/>
    </row>
    <row r="38" spans="1:6" ht="13.2" x14ac:dyDescent="0.25">
      <c r="A38" s="7"/>
      <c r="E38" s="7"/>
      <c r="F38" s="7"/>
    </row>
    <row r="39" spans="1:6" ht="13.2" x14ac:dyDescent="0.25">
      <c r="A39" s="7"/>
      <c r="E39" s="7"/>
      <c r="F39" s="7"/>
    </row>
    <row r="40" spans="1:6" ht="13.2" x14ac:dyDescent="0.25">
      <c r="A40" s="7"/>
      <c r="E40" s="7"/>
      <c r="F40" s="7"/>
    </row>
    <row r="41" spans="1:6" ht="13.2" x14ac:dyDescent="0.25">
      <c r="A41" s="7"/>
      <c r="E41" s="7"/>
      <c r="F41" s="7"/>
    </row>
    <row r="42" spans="1:6" ht="13.2" x14ac:dyDescent="0.25">
      <c r="A42" s="7"/>
      <c r="E42" s="7"/>
      <c r="F42" s="7"/>
    </row>
    <row r="43" spans="1:6" ht="13.2" x14ac:dyDescent="0.25">
      <c r="A43" s="7"/>
      <c r="E43" s="7"/>
      <c r="F43" s="7"/>
    </row>
    <row r="44" spans="1:6" ht="13.2" x14ac:dyDescent="0.25">
      <c r="A44" s="7"/>
      <c r="E44" s="7"/>
      <c r="F44" s="7"/>
    </row>
    <row r="45" spans="1:6" ht="13.2" x14ac:dyDescent="0.25">
      <c r="A45" s="7"/>
      <c r="E45" s="7"/>
      <c r="F45" s="7"/>
    </row>
    <row r="46" spans="1:6" ht="13.2" x14ac:dyDescent="0.25">
      <c r="A46" s="7"/>
      <c r="E46" s="7"/>
      <c r="F46" s="7"/>
    </row>
    <row r="47" spans="1:6" ht="13.2" x14ac:dyDescent="0.25">
      <c r="A47" s="7"/>
      <c r="E47" s="7"/>
      <c r="F47" s="7"/>
    </row>
    <row r="48" spans="1:6" ht="13.2" x14ac:dyDescent="0.25">
      <c r="A48" s="7"/>
      <c r="E48" s="7"/>
      <c r="F48" s="7"/>
    </row>
    <row r="49" spans="1:6" ht="13.2" x14ac:dyDescent="0.25">
      <c r="A49" s="7"/>
      <c r="E49" s="7"/>
      <c r="F49" s="7"/>
    </row>
    <row r="50" spans="1:6" ht="13.2" x14ac:dyDescent="0.25">
      <c r="A50" s="7"/>
      <c r="E50" s="7"/>
      <c r="F50" s="7"/>
    </row>
    <row r="51" spans="1:6" ht="13.2" x14ac:dyDescent="0.25">
      <c r="A51" s="7"/>
      <c r="E51" s="7"/>
      <c r="F51" s="7"/>
    </row>
    <row r="52" spans="1:6" ht="13.2" x14ac:dyDescent="0.25">
      <c r="A52" s="7"/>
      <c r="E52" s="7"/>
      <c r="F52" s="7"/>
    </row>
    <row r="53" spans="1:6" ht="13.2" x14ac:dyDescent="0.25">
      <c r="A53" s="7"/>
      <c r="E53" s="7"/>
      <c r="F53" s="7"/>
    </row>
    <row r="54" spans="1:6" ht="13.2" x14ac:dyDescent="0.25">
      <c r="A54" s="7"/>
      <c r="E54" s="7"/>
      <c r="F54" s="7"/>
    </row>
    <row r="55" spans="1:6" ht="13.2" x14ac:dyDescent="0.25">
      <c r="A55" s="7"/>
      <c r="E55" s="7"/>
      <c r="F55" s="7"/>
    </row>
    <row r="56" spans="1:6" ht="13.2" x14ac:dyDescent="0.25">
      <c r="A56" s="7"/>
      <c r="E56" s="7"/>
      <c r="F56" s="7"/>
    </row>
    <row r="57" spans="1:6" ht="13.2" x14ac:dyDescent="0.25">
      <c r="A57" s="7"/>
      <c r="E57" s="7"/>
      <c r="F57" s="7"/>
    </row>
    <row r="58" spans="1:6" ht="13.2" x14ac:dyDescent="0.25">
      <c r="A58" s="7"/>
      <c r="E58" s="7"/>
      <c r="F58" s="7"/>
    </row>
    <row r="59" spans="1:6" ht="13.2" x14ac:dyDescent="0.25">
      <c r="A59" s="7"/>
      <c r="E59" s="7"/>
      <c r="F59" s="7"/>
    </row>
    <row r="60" spans="1:6" ht="13.2" x14ac:dyDescent="0.25">
      <c r="A60" s="7"/>
      <c r="E60" s="7"/>
      <c r="F60" s="7"/>
    </row>
    <row r="61" spans="1:6" ht="13.2" x14ac:dyDescent="0.25">
      <c r="A61" s="7"/>
      <c r="E61" s="7"/>
      <c r="F61" s="7"/>
    </row>
    <row r="62" spans="1:6" ht="13.2" x14ac:dyDescent="0.25">
      <c r="A62" s="7"/>
      <c r="E62" s="7"/>
      <c r="F62" s="7"/>
    </row>
    <row r="63" spans="1:6" ht="13.2" x14ac:dyDescent="0.25">
      <c r="A63" s="7"/>
      <c r="E63" s="7"/>
      <c r="F63" s="7"/>
    </row>
    <row r="64" spans="1:6" ht="13.2" x14ac:dyDescent="0.25">
      <c r="A64" s="7"/>
      <c r="E64" s="7"/>
      <c r="F64" s="7"/>
    </row>
    <row r="65" spans="1:6" ht="13.2" x14ac:dyDescent="0.25">
      <c r="A65" s="7"/>
      <c r="E65" s="7"/>
      <c r="F65" s="7"/>
    </row>
    <row r="66" spans="1:6" ht="13.2" x14ac:dyDescent="0.25">
      <c r="A66" s="7"/>
      <c r="E66" s="7"/>
      <c r="F66" s="7"/>
    </row>
    <row r="67" spans="1:6" ht="13.2" x14ac:dyDescent="0.25">
      <c r="A67" s="7"/>
      <c r="E67" s="7"/>
      <c r="F67" s="7"/>
    </row>
    <row r="68" spans="1:6" ht="13.2" x14ac:dyDescent="0.25">
      <c r="A68" s="7"/>
      <c r="E68" s="7"/>
      <c r="F68" s="7"/>
    </row>
    <row r="69" spans="1:6" ht="13.2" x14ac:dyDescent="0.25">
      <c r="A69" s="7"/>
      <c r="E69" s="7"/>
      <c r="F69" s="7"/>
    </row>
    <row r="70" spans="1:6" ht="13.2" x14ac:dyDescent="0.25">
      <c r="A70" s="7"/>
      <c r="E70" s="7"/>
      <c r="F70" s="7"/>
    </row>
    <row r="71" spans="1:6" ht="13.2" x14ac:dyDescent="0.25">
      <c r="A71" s="7"/>
      <c r="E71" s="7"/>
      <c r="F71" s="7"/>
    </row>
    <row r="72" spans="1:6" ht="13.2" x14ac:dyDescent="0.25">
      <c r="A72" s="7"/>
      <c r="E72" s="7"/>
      <c r="F72" s="7"/>
    </row>
    <row r="73" spans="1:6" ht="13.2" x14ac:dyDescent="0.25">
      <c r="A73" s="7"/>
      <c r="E73" s="7"/>
      <c r="F73" s="7"/>
    </row>
    <row r="74" spans="1:6" ht="13.2" x14ac:dyDescent="0.25">
      <c r="A74" s="7"/>
      <c r="E74" s="7"/>
      <c r="F74" s="7"/>
    </row>
    <row r="75" spans="1:6" ht="13.2" x14ac:dyDescent="0.25">
      <c r="A75" s="7"/>
      <c r="E75" s="7"/>
      <c r="F75" s="7"/>
    </row>
    <row r="76" spans="1:6" ht="13.2" x14ac:dyDescent="0.25">
      <c r="A76" s="7"/>
      <c r="E76" s="7"/>
      <c r="F76" s="7"/>
    </row>
    <row r="77" spans="1:6" ht="13.2" x14ac:dyDescent="0.25">
      <c r="A77" s="7"/>
      <c r="E77" s="7"/>
      <c r="F77" s="7"/>
    </row>
    <row r="78" spans="1:6" ht="13.2" x14ac:dyDescent="0.25">
      <c r="A78" s="7"/>
      <c r="E78" s="7"/>
      <c r="F78" s="7"/>
    </row>
    <row r="79" spans="1:6" ht="13.2" x14ac:dyDescent="0.25">
      <c r="A79" s="7"/>
      <c r="E79" s="7"/>
      <c r="F79" s="7"/>
    </row>
    <row r="80" spans="1:6" ht="13.2" x14ac:dyDescent="0.25">
      <c r="A80" s="7"/>
      <c r="E80" s="7"/>
      <c r="F80" s="7"/>
    </row>
    <row r="81" spans="1:6" ht="13.2" x14ac:dyDescent="0.25">
      <c r="A81" s="7"/>
      <c r="E81" s="7"/>
      <c r="F81" s="7"/>
    </row>
    <row r="82" spans="1:6" ht="13.2" x14ac:dyDescent="0.25">
      <c r="A82" s="7"/>
      <c r="E82" s="7"/>
      <c r="F82" s="7"/>
    </row>
    <row r="83" spans="1:6" ht="13.2" x14ac:dyDescent="0.25">
      <c r="A83" s="7"/>
      <c r="E83" s="7"/>
      <c r="F83" s="7"/>
    </row>
    <row r="84" spans="1:6" ht="13.2" x14ac:dyDescent="0.25">
      <c r="A84" s="7"/>
      <c r="E84" s="7"/>
      <c r="F84" s="7"/>
    </row>
    <row r="85" spans="1:6" ht="13.2" x14ac:dyDescent="0.25">
      <c r="A85" s="7"/>
      <c r="E85" s="7"/>
      <c r="F85" s="7"/>
    </row>
    <row r="86" spans="1:6" ht="13.2" x14ac:dyDescent="0.25">
      <c r="A86" s="7"/>
      <c r="E86" s="7"/>
      <c r="F86" s="7"/>
    </row>
    <row r="87" spans="1:6" ht="13.2" x14ac:dyDescent="0.25">
      <c r="A87" s="7"/>
      <c r="E87" s="7"/>
      <c r="F87" s="7"/>
    </row>
    <row r="88" spans="1:6" ht="13.2" x14ac:dyDescent="0.25">
      <c r="A88" s="7"/>
      <c r="E88" s="7"/>
      <c r="F88" s="7"/>
    </row>
    <row r="89" spans="1:6" ht="13.2" x14ac:dyDescent="0.25">
      <c r="A89" s="7"/>
      <c r="E89" s="7"/>
      <c r="F89" s="7"/>
    </row>
    <row r="90" spans="1:6" ht="13.2" x14ac:dyDescent="0.25">
      <c r="A90" s="7"/>
      <c r="E90" s="7"/>
      <c r="F90" s="7"/>
    </row>
    <row r="91" spans="1:6" ht="13.2" x14ac:dyDescent="0.25">
      <c r="A91" s="7"/>
      <c r="E91" s="7"/>
      <c r="F91" s="7"/>
    </row>
    <row r="92" spans="1:6" ht="13.2" x14ac:dyDescent="0.25">
      <c r="A92" s="7"/>
      <c r="E92" s="7"/>
      <c r="F92" s="7"/>
    </row>
    <row r="93" spans="1:6" ht="13.2" x14ac:dyDescent="0.25">
      <c r="A93" s="7"/>
      <c r="E93" s="7"/>
      <c r="F93" s="7"/>
    </row>
    <row r="94" spans="1:6" ht="13.2" x14ac:dyDescent="0.25">
      <c r="A94" s="7"/>
      <c r="E94" s="7"/>
      <c r="F94" s="7"/>
    </row>
    <row r="95" spans="1:6" ht="13.2" x14ac:dyDescent="0.25">
      <c r="A95" s="7"/>
      <c r="E95" s="7"/>
      <c r="F95" s="7"/>
    </row>
    <row r="96" spans="1:6" ht="13.2" x14ac:dyDescent="0.25">
      <c r="A96" s="7"/>
      <c r="E96" s="7"/>
      <c r="F96" s="7"/>
    </row>
    <row r="97" spans="1:6" ht="13.2" x14ac:dyDescent="0.25">
      <c r="A97" s="7"/>
      <c r="E97" s="7"/>
      <c r="F97" s="7"/>
    </row>
    <row r="98" spans="1:6" ht="13.2" x14ac:dyDescent="0.25">
      <c r="A98" s="7"/>
      <c r="E98" s="7"/>
      <c r="F98" s="7"/>
    </row>
    <row r="99" spans="1:6" ht="13.2" x14ac:dyDescent="0.25">
      <c r="A99" s="7"/>
      <c r="E99" s="7"/>
      <c r="F99" s="7"/>
    </row>
    <row r="100" spans="1:6" ht="13.2" x14ac:dyDescent="0.25">
      <c r="A100" s="7"/>
      <c r="E100" s="7"/>
      <c r="F100" s="7"/>
    </row>
    <row r="101" spans="1:6" ht="13.2" x14ac:dyDescent="0.25">
      <c r="A101" s="7"/>
      <c r="E101" s="7"/>
      <c r="F101" s="7"/>
    </row>
    <row r="102" spans="1:6" ht="13.2" x14ac:dyDescent="0.25">
      <c r="A102" s="7"/>
      <c r="E102" s="7"/>
      <c r="F102" s="7"/>
    </row>
    <row r="103" spans="1:6" ht="13.2" x14ac:dyDescent="0.25">
      <c r="A103" s="7"/>
      <c r="E103" s="7"/>
      <c r="F103" s="7"/>
    </row>
    <row r="104" spans="1:6" ht="13.2" x14ac:dyDescent="0.25">
      <c r="A104" s="7"/>
      <c r="E104" s="7"/>
      <c r="F104" s="7"/>
    </row>
    <row r="105" spans="1:6" ht="13.2" x14ac:dyDescent="0.25">
      <c r="A105" s="7"/>
      <c r="E105" s="7"/>
      <c r="F105" s="7"/>
    </row>
    <row r="106" spans="1:6" ht="13.2" x14ac:dyDescent="0.25">
      <c r="A106" s="7"/>
      <c r="E106" s="7"/>
      <c r="F106" s="7"/>
    </row>
    <row r="107" spans="1:6" ht="13.2" x14ac:dyDescent="0.25">
      <c r="A107" s="7"/>
      <c r="E107" s="7"/>
      <c r="F107" s="7"/>
    </row>
    <row r="108" spans="1:6" ht="13.2" x14ac:dyDescent="0.25">
      <c r="A108" s="7"/>
      <c r="E108" s="7"/>
      <c r="F108" s="7"/>
    </row>
    <row r="109" spans="1:6" ht="13.2" x14ac:dyDescent="0.25">
      <c r="A109" s="7"/>
      <c r="E109" s="7"/>
      <c r="F109" s="7"/>
    </row>
    <row r="110" spans="1:6" ht="13.2" x14ac:dyDescent="0.25">
      <c r="A110" s="7"/>
      <c r="E110" s="7"/>
      <c r="F110" s="7"/>
    </row>
    <row r="111" spans="1:6" ht="13.2" x14ac:dyDescent="0.25">
      <c r="A111" s="7"/>
      <c r="E111" s="7"/>
      <c r="F111" s="7"/>
    </row>
    <row r="112" spans="1:6" ht="13.2" x14ac:dyDescent="0.25">
      <c r="A112" s="7"/>
      <c r="E112" s="7"/>
      <c r="F112" s="7"/>
    </row>
    <row r="113" spans="1:6" ht="13.2" x14ac:dyDescent="0.25">
      <c r="A113" s="7"/>
      <c r="E113" s="7"/>
      <c r="F113" s="7"/>
    </row>
    <row r="114" spans="1:6" ht="13.2" x14ac:dyDescent="0.25">
      <c r="A114" s="7"/>
      <c r="E114" s="7"/>
      <c r="F114" s="7"/>
    </row>
    <row r="115" spans="1:6" ht="13.2" x14ac:dyDescent="0.25">
      <c r="A115" s="7"/>
      <c r="E115" s="7"/>
      <c r="F115" s="7"/>
    </row>
    <row r="116" spans="1:6" ht="13.2" x14ac:dyDescent="0.25">
      <c r="A116" s="7"/>
      <c r="E116" s="7"/>
      <c r="F116" s="7"/>
    </row>
    <row r="117" spans="1:6" ht="13.2" x14ac:dyDescent="0.25">
      <c r="A117" s="7"/>
      <c r="E117" s="7"/>
      <c r="F117" s="7"/>
    </row>
    <row r="118" spans="1:6" ht="13.2" x14ac:dyDescent="0.25">
      <c r="A118" s="7"/>
      <c r="E118" s="7"/>
      <c r="F118" s="7"/>
    </row>
    <row r="119" spans="1:6" ht="13.2" x14ac:dyDescent="0.25">
      <c r="A119" s="7"/>
      <c r="E119" s="7"/>
      <c r="F119" s="7"/>
    </row>
    <row r="120" spans="1:6" ht="13.2" x14ac:dyDescent="0.25">
      <c r="A120" s="7"/>
      <c r="E120" s="7"/>
      <c r="F120" s="7"/>
    </row>
    <row r="121" spans="1:6" ht="13.2" x14ac:dyDescent="0.25">
      <c r="A121" s="7"/>
      <c r="E121" s="7"/>
      <c r="F121" s="7"/>
    </row>
    <row r="122" spans="1:6" ht="13.2" x14ac:dyDescent="0.25">
      <c r="A122" s="7"/>
      <c r="E122" s="7"/>
      <c r="F122" s="7"/>
    </row>
    <row r="123" spans="1:6" ht="13.2" x14ac:dyDescent="0.25">
      <c r="A123" s="7"/>
      <c r="E123" s="7"/>
      <c r="F123" s="7"/>
    </row>
    <row r="124" spans="1:6" ht="13.2" x14ac:dyDescent="0.25">
      <c r="A124" s="7"/>
      <c r="E124" s="7"/>
      <c r="F124" s="7"/>
    </row>
    <row r="125" spans="1:6" ht="13.2" x14ac:dyDescent="0.25">
      <c r="A125" s="7"/>
      <c r="E125" s="7"/>
      <c r="F125" s="7"/>
    </row>
    <row r="126" spans="1:6" ht="13.2" x14ac:dyDescent="0.25">
      <c r="A126" s="7"/>
      <c r="E126" s="7"/>
      <c r="F126" s="7"/>
    </row>
    <row r="127" spans="1:6" ht="13.2" x14ac:dyDescent="0.25">
      <c r="A127" s="7"/>
      <c r="E127" s="7"/>
      <c r="F127" s="7"/>
    </row>
    <row r="128" spans="1:6" ht="13.2" x14ac:dyDescent="0.25">
      <c r="A128" s="7"/>
      <c r="E128" s="7"/>
      <c r="F128" s="7"/>
    </row>
    <row r="129" spans="1:6" ht="13.2" x14ac:dyDescent="0.25">
      <c r="A129" s="7"/>
      <c r="E129" s="7"/>
      <c r="F129" s="7"/>
    </row>
    <row r="130" spans="1:6" ht="13.2" x14ac:dyDescent="0.25">
      <c r="A130" s="7"/>
      <c r="E130" s="7"/>
      <c r="F130" s="7"/>
    </row>
    <row r="131" spans="1:6" ht="13.2" x14ac:dyDescent="0.25">
      <c r="A131" s="7"/>
      <c r="E131" s="7"/>
      <c r="F131" s="7"/>
    </row>
    <row r="132" spans="1:6" ht="13.2" x14ac:dyDescent="0.25">
      <c r="A132" s="7"/>
      <c r="E132" s="7"/>
      <c r="F132" s="7"/>
    </row>
    <row r="133" spans="1:6" ht="13.2" x14ac:dyDescent="0.25">
      <c r="A133" s="7"/>
      <c r="E133" s="7"/>
      <c r="F133" s="7"/>
    </row>
    <row r="134" spans="1:6" ht="13.2" x14ac:dyDescent="0.25">
      <c r="A134" s="7"/>
      <c r="E134" s="7"/>
      <c r="F134" s="7"/>
    </row>
    <row r="135" spans="1:6" ht="13.2" x14ac:dyDescent="0.25">
      <c r="A135" s="7"/>
      <c r="E135" s="7"/>
      <c r="F135" s="7"/>
    </row>
    <row r="136" spans="1:6" ht="13.2" x14ac:dyDescent="0.25">
      <c r="A136" s="7"/>
      <c r="E136" s="7"/>
      <c r="F136" s="7"/>
    </row>
    <row r="137" spans="1:6" ht="13.2" x14ac:dyDescent="0.25">
      <c r="A137" s="7"/>
      <c r="E137" s="7"/>
      <c r="F137" s="7"/>
    </row>
    <row r="138" spans="1:6" ht="13.2" x14ac:dyDescent="0.25">
      <c r="A138" s="7"/>
      <c r="E138" s="7"/>
      <c r="F138" s="7"/>
    </row>
    <row r="139" spans="1:6" ht="13.2" x14ac:dyDescent="0.25">
      <c r="A139" s="7"/>
      <c r="E139" s="7"/>
      <c r="F139" s="7"/>
    </row>
    <row r="140" spans="1:6" ht="13.2" x14ac:dyDescent="0.25">
      <c r="A140" s="7"/>
      <c r="E140" s="7"/>
      <c r="F140" s="7"/>
    </row>
    <row r="141" spans="1:6" ht="13.2" x14ac:dyDescent="0.25">
      <c r="A141" s="7"/>
      <c r="E141" s="7"/>
      <c r="F141" s="7"/>
    </row>
    <row r="142" spans="1:6" ht="13.2" x14ac:dyDescent="0.25">
      <c r="A142" s="7"/>
      <c r="E142" s="7"/>
      <c r="F142" s="7"/>
    </row>
    <row r="143" spans="1:6" ht="13.2" x14ac:dyDescent="0.25">
      <c r="A143" s="7"/>
      <c r="E143" s="7"/>
      <c r="F143" s="7"/>
    </row>
    <row r="144" spans="1:6" ht="13.2" x14ac:dyDescent="0.25">
      <c r="A144" s="7"/>
      <c r="E144" s="7"/>
      <c r="F144" s="7"/>
    </row>
    <row r="145" spans="1:6" ht="13.2" x14ac:dyDescent="0.25">
      <c r="A145" s="7"/>
      <c r="E145" s="7"/>
      <c r="F145" s="7"/>
    </row>
    <row r="146" spans="1:6" ht="13.2" x14ac:dyDescent="0.25">
      <c r="A146" s="7"/>
      <c r="E146" s="7"/>
      <c r="F146" s="7"/>
    </row>
    <row r="147" spans="1:6" ht="13.2" x14ac:dyDescent="0.25">
      <c r="A147" s="7"/>
      <c r="E147" s="7"/>
      <c r="F147" s="7"/>
    </row>
    <row r="148" spans="1:6" ht="13.2" x14ac:dyDescent="0.25">
      <c r="A148" s="7"/>
      <c r="E148" s="7"/>
      <c r="F148" s="7"/>
    </row>
    <row r="149" spans="1:6" ht="13.2" x14ac:dyDescent="0.25">
      <c r="A149" s="7"/>
      <c r="E149" s="7"/>
      <c r="F149" s="7"/>
    </row>
    <row r="150" spans="1:6" ht="13.2" x14ac:dyDescent="0.25">
      <c r="A150" s="7"/>
      <c r="E150" s="7"/>
      <c r="F150" s="7"/>
    </row>
    <row r="151" spans="1:6" ht="13.2" x14ac:dyDescent="0.25">
      <c r="A151" s="7"/>
      <c r="E151" s="7"/>
      <c r="F151" s="7"/>
    </row>
    <row r="152" spans="1:6" ht="13.2" x14ac:dyDescent="0.25">
      <c r="A152" s="7"/>
      <c r="E152" s="7"/>
      <c r="F152" s="7"/>
    </row>
    <row r="153" spans="1:6" ht="13.2" x14ac:dyDescent="0.25">
      <c r="A153" s="7"/>
      <c r="E153" s="7"/>
      <c r="F153" s="7"/>
    </row>
    <row r="154" spans="1:6" ht="13.2" x14ac:dyDescent="0.25">
      <c r="A154" s="7"/>
      <c r="E154" s="7"/>
      <c r="F154" s="7"/>
    </row>
    <row r="155" spans="1:6" ht="13.2" x14ac:dyDescent="0.25">
      <c r="A155" s="7"/>
      <c r="E155" s="7"/>
      <c r="F155" s="7"/>
    </row>
    <row r="156" spans="1:6" ht="13.2" x14ac:dyDescent="0.25">
      <c r="A156" s="7"/>
      <c r="E156" s="7"/>
      <c r="F156" s="7"/>
    </row>
    <row r="157" spans="1:6" ht="13.2" x14ac:dyDescent="0.25">
      <c r="A157" s="7"/>
      <c r="E157" s="7"/>
      <c r="F157" s="7"/>
    </row>
    <row r="158" spans="1:6" ht="13.2" x14ac:dyDescent="0.25">
      <c r="A158" s="7"/>
      <c r="E158" s="7"/>
      <c r="F158" s="7"/>
    </row>
    <row r="159" spans="1:6" ht="13.2" x14ac:dyDescent="0.25">
      <c r="A159" s="7"/>
      <c r="E159" s="7"/>
      <c r="F159" s="7"/>
    </row>
    <row r="160" spans="1:6" ht="13.2" x14ac:dyDescent="0.25">
      <c r="A160" s="7"/>
      <c r="E160" s="7"/>
      <c r="F160" s="7"/>
    </row>
    <row r="161" spans="1:6" ht="13.2" x14ac:dyDescent="0.25">
      <c r="A161" s="7"/>
      <c r="E161" s="7"/>
      <c r="F161" s="7"/>
    </row>
    <row r="162" spans="1:6" ht="13.2" x14ac:dyDescent="0.25">
      <c r="A162" s="7"/>
      <c r="E162" s="7"/>
      <c r="F162" s="7"/>
    </row>
    <row r="163" spans="1:6" ht="13.2" x14ac:dyDescent="0.25">
      <c r="A163" s="7"/>
      <c r="E163" s="7"/>
      <c r="F163" s="7"/>
    </row>
    <row r="164" spans="1:6" ht="13.2" x14ac:dyDescent="0.25">
      <c r="A164" s="7"/>
      <c r="E164" s="7"/>
      <c r="F164" s="7"/>
    </row>
    <row r="165" spans="1:6" ht="13.2" x14ac:dyDescent="0.25">
      <c r="A165" s="7"/>
      <c r="E165" s="7"/>
      <c r="F165" s="7"/>
    </row>
    <row r="166" spans="1:6" ht="13.2" x14ac:dyDescent="0.25">
      <c r="A166" s="7"/>
      <c r="E166" s="7"/>
      <c r="F166" s="7"/>
    </row>
    <row r="167" spans="1:6" ht="13.2" x14ac:dyDescent="0.25">
      <c r="A167" s="7"/>
      <c r="E167" s="7"/>
      <c r="F167" s="7"/>
    </row>
    <row r="168" spans="1:6" ht="13.2" x14ac:dyDescent="0.25">
      <c r="A168" s="7"/>
      <c r="E168" s="7"/>
      <c r="F168" s="7"/>
    </row>
    <row r="169" spans="1:6" ht="13.2" x14ac:dyDescent="0.25">
      <c r="A169" s="7"/>
      <c r="E169" s="7"/>
      <c r="F169" s="7"/>
    </row>
    <row r="170" spans="1:6" ht="13.2" x14ac:dyDescent="0.25">
      <c r="A170" s="7"/>
      <c r="E170" s="7"/>
      <c r="F170" s="7"/>
    </row>
    <row r="171" spans="1:6" ht="13.2" x14ac:dyDescent="0.25">
      <c r="A171" s="7"/>
      <c r="E171" s="7"/>
      <c r="F171" s="7"/>
    </row>
    <row r="172" spans="1:6" ht="13.2" x14ac:dyDescent="0.25">
      <c r="A172" s="7"/>
      <c r="E172" s="7"/>
      <c r="F172" s="7"/>
    </row>
    <row r="173" spans="1:6" ht="13.2" x14ac:dyDescent="0.25">
      <c r="A173" s="7"/>
      <c r="E173" s="7"/>
      <c r="F173" s="7"/>
    </row>
    <row r="174" spans="1:6" ht="13.2" x14ac:dyDescent="0.25">
      <c r="A174" s="7"/>
      <c r="E174" s="7"/>
      <c r="F174" s="7"/>
    </row>
    <row r="175" spans="1:6" ht="13.2" x14ac:dyDescent="0.25">
      <c r="A175" s="7"/>
      <c r="E175" s="7"/>
      <c r="F175" s="7"/>
    </row>
    <row r="176" spans="1:6" ht="13.2" x14ac:dyDescent="0.25">
      <c r="A176" s="7"/>
      <c r="E176" s="7"/>
      <c r="F176" s="7"/>
    </row>
    <row r="177" spans="1:6" ht="13.2" x14ac:dyDescent="0.25">
      <c r="A177" s="7"/>
      <c r="E177" s="7"/>
      <c r="F177" s="7"/>
    </row>
    <row r="178" spans="1:6" ht="13.2" x14ac:dyDescent="0.25">
      <c r="A178" s="7"/>
      <c r="E178" s="7"/>
      <c r="F178" s="7"/>
    </row>
    <row r="179" spans="1:6" ht="13.2" x14ac:dyDescent="0.25">
      <c r="A179" s="7"/>
      <c r="E179" s="7"/>
      <c r="F179" s="7"/>
    </row>
    <row r="180" spans="1:6" ht="13.2" x14ac:dyDescent="0.25">
      <c r="A180" s="7"/>
      <c r="E180" s="7"/>
      <c r="F180" s="7"/>
    </row>
    <row r="181" spans="1:6" ht="13.2" x14ac:dyDescent="0.25">
      <c r="A181" s="7"/>
      <c r="E181" s="7"/>
      <c r="F181" s="7"/>
    </row>
    <row r="182" spans="1:6" ht="13.2" x14ac:dyDescent="0.25">
      <c r="A182" s="7"/>
      <c r="E182" s="7"/>
      <c r="F182" s="7"/>
    </row>
    <row r="183" spans="1:6" ht="13.2" x14ac:dyDescent="0.25">
      <c r="A183" s="7"/>
      <c r="E183" s="7"/>
      <c r="F183" s="7"/>
    </row>
    <row r="184" spans="1:6" ht="13.2" x14ac:dyDescent="0.25">
      <c r="A184" s="7"/>
      <c r="E184" s="7"/>
      <c r="F184" s="7"/>
    </row>
    <row r="185" spans="1:6" ht="13.2" x14ac:dyDescent="0.25">
      <c r="A185" s="7"/>
      <c r="E185" s="7"/>
      <c r="F185" s="7"/>
    </row>
    <row r="186" spans="1:6" ht="13.2" x14ac:dyDescent="0.25">
      <c r="A186" s="7"/>
      <c r="E186" s="7"/>
      <c r="F186" s="7"/>
    </row>
    <row r="187" spans="1:6" ht="13.2" x14ac:dyDescent="0.25">
      <c r="A187" s="7"/>
      <c r="E187" s="7"/>
      <c r="F187" s="7"/>
    </row>
    <row r="188" spans="1:6" ht="13.2" x14ac:dyDescent="0.25">
      <c r="A188" s="7"/>
      <c r="E188" s="7"/>
      <c r="F188" s="7"/>
    </row>
    <row r="189" spans="1:6" ht="13.2" x14ac:dyDescent="0.25">
      <c r="A189" s="7"/>
      <c r="E189" s="7"/>
      <c r="F189" s="7"/>
    </row>
    <row r="190" spans="1:6" ht="13.2" x14ac:dyDescent="0.25">
      <c r="A190" s="7"/>
      <c r="E190" s="7"/>
      <c r="F190" s="7"/>
    </row>
    <row r="191" spans="1:6" ht="13.2" x14ac:dyDescent="0.25">
      <c r="A191" s="7"/>
      <c r="E191" s="7"/>
      <c r="F191" s="7"/>
    </row>
    <row r="192" spans="1:6" ht="13.2" x14ac:dyDescent="0.25">
      <c r="A192" s="7"/>
      <c r="E192" s="7"/>
      <c r="F192" s="7"/>
    </row>
    <row r="193" spans="1:6" ht="13.2" x14ac:dyDescent="0.25">
      <c r="A193" s="7"/>
      <c r="E193" s="7"/>
      <c r="F193" s="7"/>
    </row>
    <row r="194" spans="1:6" ht="13.2" x14ac:dyDescent="0.25">
      <c r="A194" s="7"/>
      <c r="E194" s="7"/>
      <c r="F194" s="7"/>
    </row>
    <row r="195" spans="1:6" ht="13.2" x14ac:dyDescent="0.25">
      <c r="A195" s="7"/>
      <c r="E195" s="7"/>
      <c r="F195" s="7"/>
    </row>
    <row r="196" spans="1:6" ht="13.2" x14ac:dyDescent="0.25">
      <c r="A196" s="7"/>
      <c r="E196" s="7"/>
      <c r="F196" s="7"/>
    </row>
    <row r="197" spans="1:6" ht="13.2" x14ac:dyDescent="0.25">
      <c r="A197" s="7"/>
      <c r="E197" s="7"/>
      <c r="F197" s="7"/>
    </row>
    <row r="198" spans="1:6" ht="13.2" x14ac:dyDescent="0.25">
      <c r="A198" s="7"/>
      <c r="E198" s="7"/>
      <c r="F198" s="7"/>
    </row>
    <row r="199" spans="1:6" ht="13.2" x14ac:dyDescent="0.25">
      <c r="A199" s="7"/>
      <c r="E199" s="7"/>
      <c r="F199" s="7"/>
    </row>
    <row r="200" spans="1:6" ht="13.2" x14ac:dyDescent="0.25">
      <c r="A200" s="7"/>
      <c r="E200" s="7"/>
      <c r="F200" s="7"/>
    </row>
    <row r="201" spans="1:6" ht="13.2" x14ac:dyDescent="0.25">
      <c r="A201" s="7"/>
      <c r="E201" s="7"/>
      <c r="F201" s="7"/>
    </row>
    <row r="202" spans="1:6" ht="13.2" x14ac:dyDescent="0.25">
      <c r="A202" s="7"/>
      <c r="E202" s="7"/>
      <c r="F202" s="7"/>
    </row>
    <row r="203" spans="1:6" ht="13.2" x14ac:dyDescent="0.25">
      <c r="A203" s="7"/>
      <c r="E203" s="7"/>
      <c r="F203" s="7"/>
    </row>
    <row r="204" spans="1:6" ht="13.2" x14ac:dyDescent="0.25">
      <c r="A204" s="7"/>
      <c r="E204" s="7"/>
      <c r="F204" s="7"/>
    </row>
    <row r="205" spans="1:6" ht="13.2" x14ac:dyDescent="0.25">
      <c r="A205" s="7"/>
      <c r="E205" s="7"/>
      <c r="F205" s="7"/>
    </row>
    <row r="206" spans="1:6" ht="13.2" x14ac:dyDescent="0.25">
      <c r="A206" s="7"/>
      <c r="E206" s="7"/>
      <c r="F206" s="7"/>
    </row>
    <row r="207" spans="1:6" ht="13.2" x14ac:dyDescent="0.25">
      <c r="A207" s="7"/>
      <c r="E207" s="7"/>
      <c r="F207" s="7"/>
    </row>
    <row r="208" spans="1:6" ht="13.2" x14ac:dyDescent="0.25">
      <c r="A208" s="7"/>
      <c r="E208" s="7"/>
      <c r="F208" s="7"/>
    </row>
    <row r="209" spans="1:6" ht="13.2" x14ac:dyDescent="0.25">
      <c r="A209" s="7"/>
      <c r="E209" s="7"/>
      <c r="F209" s="7"/>
    </row>
    <row r="210" spans="1:6" ht="13.2" x14ac:dyDescent="0.25">
      <c r="A210" s="7"/>
      <c r="E210" s="7"/>
      <c r="F210" s="7"/>
    </row>
    <row r="211" spans="1:6" ht="13.2" x14ac:dyDescent="0.25">
      <c r="A211" s="7"/>
      <c r="E211" s="7"/>
      <c r="F211" s="7"/>
    </row>
    <row r="212" spans="1:6" ht="13.2" x14ac:dyDescent="0.25">
      <c r="A212" s="7"/>
      <c r="E212" s="7"/>
      <c r="F212" s="7"/>
    </row>
    <row r="213" spans="1:6" ht="13.2" x14ac:dyDescent="0.25">
      <c r="A213" s="7"/>
      <c r="E213" s="7"/>
      <c r="F213" s="7"/>
    </row>
    <row r="214" spans="1:6" ht="13.2" x14ac:dyDescent="0.25">
      <c r="A214" s="7"/>
      <c r="E214" s="7"/>
      <c r="F214" s="7"/>
    </row>
    <row r="215" spans="1:6" ht="13.2" x14ac:dyDescent="0.25">
      <c r="A215" s="7"/>
      <c r="E215" s="7"/>
      <c r="F215" s="7"/>
    </row>
    <row r="216" spans="1:6" ht="13.2" x14ac:dyDescent="0.25">
      <c r="A216" s="7"/>
      <c r="E216" s="7"/>
      <c r="F216" s="7"/>
    </row>
    <row r="217" spans="1:6" ht="13.2" x14ac:dyDescent="0.25">
      <c r="A217" s="7"/>
      <c r="E217" s="7"/>
      <c r="F217" s="7"/>
    </row>
    <row r="218" spans="1:6" ht="13.2" x14ac:dyDescent="0.25">
      <c r="A218" s="7"/>
      <c r="E218" s="7"/>
      <c r="F218" s="7"/>
    </row>
    <row r="219" spans="1:6" ht="13.2" x14ac:dyDescent="0.25">
      <c r="A219" s="7"/>
      <c r="E219" s="7"/>
      <c r="F219" s="7"/>
    </row>
    <row r="220" spans="1:6" ht="13.2" x14ac:dyDescent="0.25">
      <c r="A220" s="7"/>
      <c r="E220" s="7"/>
      <c r="F220" s="7"/>
    </row>
    <row r="221" spans="1:6" ht="13.2" x14ac:dyDescent="0.25">
      <c r="A221" s="7"/>
      <c r="E221" s="7"/>
      <c r="F221" s="7"/>
    </row>
    <row r="222" spans="1:6" ht="13.2" x14ac:dyDescent="0.25">
      <c r="A222" s="7"/>
      <c r="E222" s="7"/>
      <c r="F222" s="7"/>
    </row>
    <row r="223" spans="1:6" ht="13.2" x14ac:dyDescent="0.25">
      <c r="A223" s="7"/>
      <c r="E223" s="7"/>
      <c r="F223" s="7"/>
    </row>
    <row r="224" spans="1:6" ht="13.2" x14ac:dyDescent="0.25">
      <c r="A224" s="7"/>
      <c r="E224" s="7"/>
      <c r="F224" s="7"/>
    </row>
    <row r="225" spans="1:6" ht="13.2" x14ac:dyDescent="0.25">
      <c r="A225" s="7"/>
      <c r="E225" s="7"/>
      <c r="F225" s="7"/>
    </row>
    <row r="226" spans="1:6" ht="13.2" x14ac:dyDescent="0.25">
      <c r="A226" s="7"/>
      <c r="E226" s="7"/>
      <c r="F226" s="7"/>
    </row>
    <row r="227" spans="1:6" ht="13.2" x14ac:dyDescent="0.25">
      <c r="A227" s="7"/>
      <c r="E227" s="7"/>
      <c r="F227" s="7"/>
    </row>
    <row r="228" spans="1:6" ht="13.2" x14ac:dyDescent="0.25">
      <c r="A228" s="7"/>
      <c r="E228" s="7"/>
      <c r="F228" s="7"/>
    </row>
    <row r="229" spans="1:6" ht="13.2" x14ac:dyDescent="0.25">
      <c r="A229" s="7"/>
      <c r="E229" s="7"/>
      <c r="F229" s="7"/>
    </row>
    <row r="230" spans="1:6" ht="13.2" x14ac:dyDescent="0.25">
      <c r="A230" s="7"/>
      <c r="E230" s="7"/>
      <c r="F230" s="7"/>
    </row>
    <row r="231" spans="1:6" ht="13.2" x14ac:dyDescent="0.25">
      <c r="A231" s="7"/>
      <c r="E231" s="7"/>
      <c r="F231" s="7"/>
    </row>
    <row r="232" spans="1:6" ht="13.2" x14ac:dyDescent="0.25">
      <c r="A232" s="7"/>
      <c r="E232" s="7"/>
      <c r="F232" s="7"/>
    </row>
    <row r="233" spans="1:6" ht="13.2" x14ac:dyDescent="0.25">
      <c r="A233" s="7"/>
      <c r="E233" s="7"/>
      <c r="F233" s="7"/>
    </row>
    <row r="234" spans="1:6" ht="13.2" x14ac:dyDescent="0.25">
      <c r="A234" s="7"/>
      <c r="E234" s="7"/>
      <c r="F234" s="7"/>
    </row>
    <row r="235" spans="1:6" ht="13.2" x14ac:dyDescent="0.25">
      <c r="A235" s="7"/>
      <c r="E235" s="7"/>
      <c r="F235" s="7"/>
    </row>
    <row r="236" spans="1:6" ht="13.2" x14ac:dyDescent="0.25">
      <c r="A236" s="7"/>
      <c r="E236" s="7"/>
      <c r="F236" s="7"/>
    </row>
    <row r="237" spans="1:6" ht="13.2" x14ac:dyDescent="0.25">
      <c r="A237" s="7"/>
      <c r="E237" s="7"/>
      <c r="F237" s="7"/>
    </row>
    <row r="238" spans="1:6" ht="13.2" x14ac:dyDescent="0.25">
      <c r="A238" s="7"/>
      <c r="E238" s="7"/>
      <c r="F238" s="7"/>
    </row>
    <row r="239" spans="1:6" ht="13.2" x14ac:dyDescent="0.25">
      <c r="A239" s="7"/>
      <c r="E239" s="7"/>
      <c r="F239" s="7"/>
    </row>
    <row r="240" spans="1:6" ht="13.2" x14ac:dyDescent="0.25">
      <c r="A240" s="7"/>
      <c r="E240" s="7"/>
      <c r="F240" s="7"/>
    </row>
    <row r="241" spans="1:6" ht="13.2" x14ac:dyDescent="0.25">
      <c r="A241" s="7"/>
      <c r="E241" s="7"/>
      <c r="F241" s="7"/>
    </row>
    <row r="242" spans="1:6" ht="13.2" x14ac:dyDescent="0.25">
      <c r="A242" s="7"/>
      <c r="E242" s="7"/>
      <c r="F242" s="7"/>
    </row>
    <row r="243" spans="1:6" ht="13.2" x14ac:dyDescent="0.25">
      <c r="A243" s="7"/>
      <c r="E243" s="7"/>
      <c r="F243" s="7"/>
    </row>
    <row r="244" spans="1:6" ht="13.2" x14ac:dyDescent="0.25">
      <c r="A244" s="7"/>
      <c r="E244" s="7"/>
      <c r="F244" s="7"/>
    </row>
    <row r="245" spans="1:6" ht="13.2" x14ac:dyDescent="0.25">
      <c r="A245" s="7"/>
      <c r="E245" s="7"/>
      <c r="F245" s="7"/>
    </row>
    <row r="246" spans="1:6" ht="13.2" x14ac:dyDescent="0.25">
      <c r="A246" s="7"/>
      <c r="E246" s="7"/>
      <c r="F246" s="7"/>
    </row>
    <row r="247" spans="1:6" ht="13.2" x14ac:dyDescent="0.25">
      <c r="A247" s="7"/>
      <c r="E247" s="7"/>
      <c r="F247" s="7"/>
    </row>
    <row r="248" spans="1:6" ht="13.2" x14ac:dyDescent="0.25">
      <c r="A248" s="7"/>
      <c r="E248" s="7"/>
      <c r="F248" s="7"/>
    </row>
    <row r="249" spans="1:6" ht="13.2" x14ac:dyDescent="0.25">
      <c r="A249" s="7"/>
      <c r="E249" s="7"/>
      <c r="F249" s="7"/>
    </row>
    <row r="250" spans="1:6" ht="13.2" x14ac:dyDescent="0.25">
      <c r="A250" s="7"/>
      <c r="E250" s="7"/>
      <c r="F250" s="7"/>
    </row>
    <row r="251" spans="1:6" ht="13.2" x14ac:dyDescent="0.25">
      <c r="A251" s="7"/>
      <c r="E251" s="7"/>
      <c r="F251" s="7"/>
    </row>
    <row r="252" spans="1:6" ht="13.2" x14ac:dyDescent="0.25">
      <c r="A252" s="7"/>
      <c r="E252" s="7"/>
      <c r="F252" s="7"/>
    </row>
    <row r="253" spans="1:6" ht="13.2" x14ac:dyDescent="0.25">
      <c r="A253" s="7"/>
      <c r="E253" s="7"/>
      <c r="F253" s="7"/>
    </row>
    <row r="254" spans="1:6" ht="13.2" x14ac:dyDescent="0.25">
      <c r="A254" s="7"/>
      <c r="E254" s="7"/>
      <c r="F254" s="7"/>
    </row>
    <row r="255" spans="1:6" ht="13.2" x14ac:dyDescent="0.25">
      <c r="A255" s="7"/>
      <c r="E255" s="7"/>
      <c r="F255" s="7"/>
    </row>
    <row r="256" spans="1:6" ht="13.2" x14ac:dyDescent="0.25">
      <c r="A256" s="7"/>
      <c r="E256" s="7"/>
      <c r="F256" s="7"/>
    </row>
    <row r="257" spans="1:6" ht="13.2" x14ac:dyDescent="0.25">
      <c r="A257" s="7"/>
      <c r="E257" s="7"/>
      <c r="F257" s="7"/>
    </row>
    <row r="258" spans="1:6" ht="13.2" x14ac:dyDescent="0.25">
      <c r="A258" s="7"/>
      <c r="E258" s="7"/>
      <c r="F258" s="7"/>
    </row>
    <row r="259" spans="1:6" ht="13.2" x14ac:dyDescent="0.25">
      <c r="A259" s="7"/>
      <c r="E259" s="7"/>
      <c r="F259" s="7"/>
    </row>
    <row r="260" spans="1:6" ht="13.2" x14ac:dyDescent="0.25">
      <c r="A260" s="7"/>
      <c r="E260" s="7"/>
      <c r="F260" s="7"/>
    </row>
    <row r="261" spans="1:6" ht="13.2" x14ac:dyDescent="0.25">
      <c r="A261" s="7"/>
      <c r="E261" s="7"/>
      <c r="F261" s="7"/>
    </row>
    <row r="262" spans="1:6" ht="13.2" x14ac:dyDescent="0.25">
      <c r="A262" s="7"/>
      <c r="E262" s="7"/>
      <c r="F262" s="7"/>
    </row>
    <row r="263" spans="1:6" ht="13.2" x14ac:dyDescent="0.25">
      <c r="A263" s="7"/>
      <c r="E263" s="7"/>
      <c r="F263" s="7"/>
    </row>
    <row r="264" spans="1:6" ht="13.2" x14ac:dyDescent="0.25">
      <c r="A264" s="7"/>
      <c r="E264" s="7"/>
      <c r="F264" s="7"/>
    </row>
    <row r="265" spans="1:6" ht="13.2" x14ac:dyDescent="0.25">
      <c r="A265" s="7"/>
      <c r="E265" s="7"/>
      <c r="F265" s="7"/>
    </row>
    <row r="266" spans="1:6" ht="13.2" x14ac:dyDescent="0.25">
      <c r="A266" s="7"/>
      <c r="E266" s="7"/>
      <c r="F266" s="7"/>
    </row>
    <row r="267" spans="1:6" ht="13.2" x14ac:dyDescent="0.25">
      <c r="A267" s="7"/>
      <c r="E267" s="7"/>
      <c r="F267" s="7"/>
    </row>
    <row r="268" spans="1:6" ht="13.2" x14ac:dyDescent="0.25">
      <c r="A268" s="7"/>
      <c r="E268" s="7"/>
      <c r="F268" s="7"/>
    </row>
    <row r="269" spans="1:6" ht="13.2" x14ac:dyDescent="0.25">
      <c r="A269" s="7"/>
      <c r="E269" s="7"/>
      <c r="F269" s="7"/>
    </row>
    <row r="270" spans="1:6" ht="13.2" x14ac:dyDescent="0.25">
      <c r="A270" s="7"/>
      <c r="E270" s="7"/>
      <c r="F270" s="7"/>
    </row>
    <row r="271" spans="1:6" ht="13.2" x14ac:dyDescent="0.25">
      <c r="A271" s="7"/>
      <c r="E271" s="7"/>
      <c r="F271" s="7"/>
    </row>
    <row r="272" spans="1:6" ht="13.2" x14ac:dyDescent="0.25">
      <c r="A272" s="7"/>
      <c r="E272" s="7"/>
      <c r="F272" s="7"/>
    </row>
    <row r="273" spans="1:6" ht="13.2" x14ac:dyDescent="0.25">
      <c r="A273" s="7"/>
      <c r="E273" s="7"/>
      <c r="F273" s="7"/>
    </row>
    <row r="274" spans="1:6" ht="13.2" x14ac:dyDescent="0.25">
      <c r="A274" s="7"/>
      <c r="E274" s="7"/>
      <c r="F274" s="7"/>
    </row>
    <row r="275" spans="1:6" ht="13.2" x14ac:dyDescent="0.25">
      <c r="A275" s="7"/>
      <c r="E275" s="7"/>
      <c r="F275" s="7"/>
    </row>
    <row r="276" spans="1:6" ht="13.2" x14ac:dyDescent="0.25">
      <c r="A276" s="7"/>
      <c r="E276" s="7"/>
      <c r="F276" s="7"/>
    </row>
    <row r="277" spans="1:6" ht="13.2" x14ac:dyDescent="0.25">
      <c r="A277" s="7"/>
      <c r="E277" s="7"/>
      <c r="F277" s="7"/>
    </row>
    <row r="278" spans="1:6" ht="13.2" x14ac:dyDescent="0.25">
      <c r="A278" s="7"/>
      <c r="E278" s="7"/>
      <c r="F278" s="7"/>
    </row>
    <row r="279" spans="1:6" ht="13.2" x14ac:dyDescent="0.25">
      <c r="A279" s="7"/>
      <c r="E279" s="7"/>
      <c r="F279" s="7"/>
    </row>
    <row r="280" spans="1:6" ht="13.2" x14ac:dyDescent="0.25">
      <c r="A280" s="7"/>
      <c r="E280" s="7"/>
      <c r="F280" s="7"/>
    </row>
    <row r="281" spans="1:6" ht="13.2" x14ac:dyDescent="0.25">
      <c r="A281" s="7"/>
      <c r="E281" s="7"/>
      <c r="F281" s="7"/>
    </row>
    <row r="282" spans="1:6" ht="13.2" x14ac:dyDescent="0.25">
      <c r="A282" s="7"/>
      <c r="E282" s="7"/>
      <c r="F282" s="7"/>
    </row>
    <row r="283" spans="1:6" ht="13.2" x14ac:dyDescent="0.25">
      <c r="A283" s="7"/>
      <c r="E283" s="7"/>
      <c r="F283" s="7"/>
    </row>
    <row r="284" spans="1:6" ht="13.2" x14ac:dyDescent="0.25">
      <c r="A284" s="7"/>
      <c r="E284" s="7"/>
      <c r="F284" s="7"/>
    </row>
    <row r="285" spans="1:6" ht="13.2" x14ac:dyDescent="0.25">
      <c r="A285" s="7"/>
      <c r="E285" s="7"/>
      <c r="F285" s="7"/>
    </row>
    <row r="286" spans="1:6" ht="13.2" x14ac:dyDescent="0.25">
      <c r="A286" s="7"/>
      <c r="E286" s="7"/>
      <c r="F286" s="7"/>
    </row>
    <row r="287" spans="1:6" ht="13.2" x14ac:dyDescent="0.25">
      <c r="A287" s="7"/>
      <c r="E287" s="7"/>
      <c r="F287" s="7"/>
    </row>
    <row r="288" spans="1:6" ht="13.2" x14ac:dyDescent="0.25">
      <c r="A288" s="7"/>
      <c r="E288" s="7"/>
      <c r="F288" s="7"/>
    </row>
    <row r="289" spans="1:6" ht="13.2" x14ac:dyDescent="0.25">
      <c r="A289" s="7"/>
      <c r="E289" s="7"/>
      <c r="F289" s="7"/>
    </row>
    <row r="290" spans="1:6" ht="13.2" x14ac:dyDescent="0.25">
      <c r="A290" s="7"/>
      <c r="E290" s="7"/>
      <c r="F290" s="7"/>
    </row>
    <row r="291" spans="1:6" ht="13.2" x14ac:dyDescent="0.25">
      <c r="A291" s="7"/>
      <c r="E291" s="7"/>
      <c r="F291" s="7"/>
    </row>
    <row r="292" spans="1:6" ht="13.2" x14ac:dyDescent="0.25">
      <c r="A292" s="7"/>
      <c r="E292" s="7"/>
      <c r="F292" s="7"/>
    </row>
    <row r="293" spans="1:6" ht="13.2" x14ac:dyDescent="0.25">
      <c r="A293" s="7"/>
      <c r="E293" s="7"/>
      <c r="F293" s="7"/>
    </row>
    <row r="294" spans="1:6" ht="13.2" x14ac:dyDescent="0.25">
      <c r="A294" s="7"/>
      <c r="E294" s="7"/>
      <c r="F294" s="7"/>
    </row>
    <row r="295" spans="1:6" ht="13.2" x14ac:dyDescent="0.25">
      <c r="A295" s="7"/>
      <c r="E295" s="7"/>
      <c r="F295" s="7"/>
    </row>
    <row r="296" spans="1:6" ht="13.2" x14ac:dyDescent="0.25">
      <c r="A296" s="7"/>
      <c r="E296" s="7"/>
      <c r="F296" s="7"/>
    </row>
    <row r="297" spans="1:6" ht="13.2" x14ac:dyDescent="0.25">
      <c r="A297" s="7"/>
      <c r="E297" s="7"/>
      <c r="F297" s="7"/>
    </row>
    <row r="298" spans="1:6" ht="13.2" x14ac:dyDescent="0.25">
      <c r="A298" s="7"/>
      <c r="E298" s="7"/>
      <c r="F298" s="7"/>
    </row>
    <row r="299" spans="1:6" ht="13.2" x14ac:dyDescent="0.25">
      <c r="A299" s="7"/>
      <c r="E299" s="7"/>
      <c r="F299" s="7"/>
    </row>
    <row r="300" spans="1:6" ht="13.2" x14ac:dyDescent="0.25">
      <c r="A300" s="7"/>
      <c r="E300" s="7"/>
      <c r="F300" s="7"/>
    </row>
    <row r="301" spans="1:6" ht="13.2" x14ac:dyDescent="0.25">
      <c r="A301" s="7"/>
      <c r="E301" s="7"/>
      <c r="F301" s="7"/>
    </row>
    <row r="302" spans="1:6" ht="13.2" x14ac:dyDescent="0.25">
      <c r="A302" s="7"/>
      <c r="E302" s="7"/>
      <c r="F302" s="7"/>
    </row>
    <row r="303" spans="1:6" ht="13.2" x14ac:dyDescent="0.25">
      <c r="A303" s="7"/>
      <c r="E303" s="7"/>
      <c r="F303" s="7"/>
    </row>
    <row r="304" spans="1:6" ht="13.2" x14ac:dyDescent="0.25">
      <c r="A304" s="7"/>
      <c r="E304" s="7"/>
      <c r="F304" s="7"/>
    </row>
    <row r="305" spans="1:6" ht="13.2" x14ac:dyDescent="0.25">
      <c r="A305" s="7"/>
      <c r="E305" s="7"/>
      <c r="F305" s="7"/>
    </row>
    <row r="306" spans="1:6" ht="13.2" x14ac:dyDescent="0.25">
      <c r="A306" s="7"/>
      <c r="E306" s="7"/>
      <c r="F306" s="7"/>
    </row>
    <row r="307" spans="1:6" ht="13.2" x14ac:dyDescent="0.25">
      <c r="A307" s="7"/>
      <c r="E307" s="7"/>
      <c r="F307" s="7"/>
    </row>
    <row r="308" spans="1:6" ht="13.2" x14ac:dyDescent="0.25">
      <c r="A308" s="7"/>
      <c r="E308" s="7"/>
      <c r="F308" s="7"/>
    </row>
    <row r="309" spans="1:6" ht="13.2" x14ac:dyDescent="0.25">
      <c r="A309" s="7"/>
      <c r="E309" s="7"/>
      <c r="F309" s="7"/>
    </row>
    <row r="310" spans="1:6" ht="13.2" x14ac:dyDescent="0.25">
      <c r="A310" s="7"/>
      <c r="E310" s="7"/>
      <c r="F310" s="7"/>
    </row>
    <row r="311" spans="1:6" ht="13.2" x14ac:dyDescent="0.25">
      <c r="A311" s="7"/>
      <c r="E311" s="7"/>
      <c r="F311" s="7"/>
    </row>
    <row r="312" spans="1:6" ht="13.2" x14ac:dyDescent="0.25">
      <c r="A312" s="7"/>
      <c r="E312" s="7"/>
      <c r="F312" s="7"/>
    </row>
    <row r="313" spans="1:6" ht="13.2" x14ac:dyDescent="0.25">
      <c r="A313" s="7"/>
      <c r="E313" s="7"/>
      <c r="F313" s="7"/>
    </row>
    <row r="314" spans="1:6" ht="13.2" x14ac:dyDescent="0.25">
      <c r="A314" s="7"/>
      <c r="E314" s="7"/>
      <c r="F314" s="7"/>
    </row>
    <row r="315" spans="1:6" ht="13.2" x14ac:dyDescent="0.25">
      <c r="A315" s="7"/>
      <c r="E315" s="7"/>
      <c r="F315" s="7"/>
    </row>
    <row r="316" spans="1:6" ht="13.2" x14ac:dyDescent="0.25">
      <c r="A316" s="7"/>
      <c r="E316" s="7"/>
      <c r="F316" s="7"/>
    </row>
    <row r="317" spans="1:6" ht="13.2" x14ac:dyDescent="0.25">
      <c r="A317" s="7"/>
      <c r="E317" s="7"/>
      <c r="F317" s="7"/>
    </row>
    <row r="318" spans="1:6" ht="13.2" x14ac:dyDescent="0.25">
      <c r="A318" s="7"/>
      <c r="E318" s="7"/>
      <c r="F318" s="7"/>
    </row>
    <row r="319" spans="1:6" ht="13.2" x14ac:dyDescent="0.25">
      <c r="A319" s="7"/>
      <c r="E319" s="7"/>
      <c r="F319" s="7"/>
    </row>
    <row r="320" spans="1:6" ht="13.2" x14ac:dyDescent="0.25">
      <c r="A320" s="7"/>
      <c r="E320" s="7"/>
      <c r="F320" s="7"/>
    </row>
    <row r="321" spans="1:6" ht="13.2" x14ac:dyDescent="0.25">
      <c r="A321" s="7"/>
      <c r="E321" s="7"/>
      <c r="F321" s="7"/>
    </row>
    <row r="322" spans="1:6" ht="13.2" x14ac:dyDescent="0.25">
      <c r="A322" s="7"/>
      <c r="E322" s="7"/>
      <c r="F322" s="7"/>
    </row>
    <row r="323" spans="1:6" ht="13.2" x14ac:dyDescent="0.25">
      <c r="A323" s="7"/>
      <c r="E323" s="7"/>
      <c r="F323" s="7"/>
    </row>
    <row r="324" spans="1:6" ht="13.2" x14ac:dyDescent="0.25">
      <c r="A324" s="7"/>
      <c r="E324" s="7"/>
      <c r="F324" s="7"/>
    </row>
    <row r="325" spans="1:6" ht="13.2" x14ac:dyDescent="0.25">
      <c r="A325" s="7"/>
      <c r="E325" s="7"/>
      <c r="F325" s="7"/>
    </row>
    <row r="326" spans="1:6" ht="13.2" x14ac:dyDescent="0.25">
      <c r="A326" s="7"/>
      <c r="E326" s="7"/>
      <c r="F326" s="7"/>
    </row>
    <row r="327" spans="1:6" ht="13.2" x14ac:dyDescent="0.25">
      <c r="A327" s="7"/>
      <c r="E327" s="7"/>
      <c r="F327" s="7"/>
    </row>
    <row r="328" spans="1:6" ht="13.2" x14ac:dyDescent="0.25">
      <c r="A328" s="7"/>
      <c r="E328" s="7"/>
      <c r="F328" s="7"/>
    </row>
    <row r="329" spans="1:6" ht="13.2" x14ac:dyDescent="0.25">
      <c r="A329" s="7"/>
      <c r="E329" s="7"/>
      <c r="F329" s="7"/>
    </row>
    <row r="330" spans="1:6" ht="13.2" x14ac:dyDescent="0.25">
      <c r="A330" s="7"/>
      <c r="E330" s="7"/>
      <c r="F330" s="7"/>
    </row>
    <row r="331" spans="1:6" ht="13.2" x14ac:dyDescent="0.25">
      <c r="A331" s="7"/>
      <c r="E331" s="7"/>
      <c r="F331" s="7"/>
    </row>
    <row r="332" spans="1:6" ht="13.2" x14ac:dyDescent="0.25">
      <c r="A332" s="7"/>
      <c r="E332" s="7"/>
      <c r="F332" s="7"/>
    </row>
    <row r="333" spans="1:6" ht="13.2" x14ac:dyDescent="0.25">
      <c r="A333" s="7"/>
      <c r="E333" s="7"/>
      <c r="F333" s="7"/>
    </row>
    <row r="334" spans="1:6" ht="13.2" x14ac:dyDescent="0.25">
      <c r="A334" s="7"/>
      <c r="E334" s="7"/>
      <c r="F334" s="7"/>
    </row>
    <row r="335" spans="1:6" ht="13.2" x14ac:dyDescent="0.25">
      <c r="A335" s="7"/>
      <c r="E335" s="7"/>
      <c r="F335" s="7"/>
    </row>
    <row r="336" spans="1:6" ht="13.2" x14ac:dyDescent="0.25">
      <c r="A336" s="7"/>
      <c r="E336" s="7"/>
      <c r="F336" s="7"/>
    </row>
    <row r="337" spans="1:6" ht="13.2" x14ac:dyDescent="0.25">
      <c r="A337" s="7"/>
      <c r="E337" s="7"/>
      <c r="F337" s="7"/>
    </row>
    <row r="338" spans="1:6" ht="13.2" x14ac:dyDescent="0.25">
      <c r="A338" s="7"/>
      <c r="E338" s="7"/>
      <c r="F338" s="7"/>
    </row>
    <row r="339" spans="1:6" ht="13.2" x14ac:dyDescent="0.25">
      <c r="A339" s="7"/>
      <c r="E339" s="7"/>
      <c r="F339" s="7"/>
    </row>
    <row r="340" spans="1:6" ht="13.2" x14ac:dyDescent="0.25">
      <c r="A340" s="7"/>
      <c r="E340" s="7"/>
      <c r="F340" s="7"/>
    </row>
    <row r="341" spans="1:6" ht="13.2" x14ac:dyDescent="0.25">
      <c r="A341" s="7"/>
      <c r="E341" s="7"/>
      <c r="F341" s="7"/>
    </row>
    <row r="342" spans="1:6" ht="13.2" x14ac:dyDescent="0.25">
      <c r="A342" s="7"/>
      <c r="E342" s="7"/>
      <c r="F342" s="7"/>
    </row>
    <row r="343" spans="1:6" ht="13.2" x14ac:dyDescent="0.25">
      <c r="A343" s="7"/>
      <c r="E343" s="7"/>
      <c r="F343" s="7"/>
    </row>
    <row r="344" spans="1:6" ht="13.2" x14ac:dyDescent="0.25">
      <c r="A344" s="7"/>
      <c r="E344" s="7"/>
      <c r="F344" s="7"/>
    </row>
    <row r="345" spans="1:6" ht="13.2" x14ac:dyDescent="0.25">
      <c r="A345" s="7"/>
      <c r="E345" s="7"/>
      <c r="F345" s="7"/>
    </row>
    <row r="346" spans="1:6" ht="13.2" x14ac:dyDescent="0.25">
      <c r="A346" s="7"/>
      <c r="E346" s="7"/>
      <c r="F346" s="7"/>
    </row>
    <row r="347" spans="1:6" ht="13.2" x14ac:dyDescent="0.25">
      <c r="A347" s="7"/>
      <c r="E347" s="7"/>
      <c r="F347" s="7"/>
    </row>
    <row r="348" spans="1:6" ht="13.2" x14ac:dyDescent="0.25">
      <c r="A348" s="7"/>
      <c r="E348" s="7"/>
      <c r="F348" s="7"/>
    </row>
    <row r="349" spans="1:6" ht="13.2" x14ac:dyDescent="0.25">
      <c r="A349" s="7"/>
      <c r="E349" s="7"/>
      <c r="F349" s="7"/>
    </row>
    <row r="350" spans="1:6" ht="13.2" x14ac:dyDescent="0.25">
      <c r="A350" s="7"/>
      <c r="E350" s="7"/>
      <c r="F350" s="7"/>
    </row>
    <row r="351" spans="1:6" ht="13.2" x14ac:dyDescent="0.25">
      <c r="A351" s="7"/>
      <c r="E351" s="7"/>
      <c r="F351" s="7"/>
    </row>
    <row r="352" spans="1:6" ht="13.2" x14ac:dyDescent="0.25">
      <c r="A352" s="7"/>
      <c r="E352" s="7"/>
      <c r="F352" s="7"/>
    </row>
    <row r="353" spans="1:6" ht="13.2" x14ac:dyDescent="0.25">
      <c r="A353" s="7"/>
      <c r="E353" s="7"/>
      <c r="F353" s="7"/>
    </row>
    <row r="354" spans="1:6" ht="13.2" x14ac:dyDescent="0.25">
      <c r="A354" s="7"/>
      <c r="E354" s="7"/>
      <c r="F354" s="7"/>
    </row>
    <row r="355" spans="1:6" ht="13.2" x14ac:dyDescent="0.25">
      <c r="A355" s="7"/>
      <c r="E355" s="7"/>
      <c r="F355" s="7"/>
    </row>
    <row r="356" spans="1:6" ht="13.2" x14ac:dyDescent="0.25">
      <c r="A356" s="7"/>
      <c r="E356" s="7"/>
      <c r="F356" s="7"/>
    </row>
    <row r="357" spans="1:6" ht="13.2" x14ac:dyDescent="0.25">
      <c r="A357" s="7"/>
      <c r="E357" s="7"/>
      <c r="F357" s="7"/>
    </row>
    <row r="358" spans="1:6" ht="13.2" x14ac:dyDescent="0.25">
      <c r="A358" s="7"/>
      <c r="E358" s="7"/>
      <c r="F358" s="7"/>
    </row>
    <row r="359" spans="1:6" ht="13.2" x14ac:dyDescent="0.25">
      <c r="A359" s="7"/>
      <c r="E359" s="7"/>
      <c r="F359" s="7"/>
    </row>
    <row r="360" spans="1:6" ht="13.2" x14ac:dyDescent="0.25">
      <c r="A360" s="7"/>
      <c r="E360" s="7"/>
      <c r="F360" s="7"/>
    </row>
    <row r="361" spans="1:6" ht="13.2" x14ac:dyDescent="0.25">
      <c r="A361" s="7"/>
      <c r="E361" s="7"/>
      <c r="F361" s="7"/>
    </row>
    <row r="362" spans="1:6" ht="13.2" x14ac:dyDescent="0.25">
      <c r="A362" s="7"/>
      <c r="E362" s="7"/>
      <c r="F362" s="7"/>
    </row>
    <row r="363" spans="1:6" ht="13.2" x14ac:dyDescent="0.25">
      <c r="A363" s="7"/>
      <c r="E363" s="7"/>
      <c r="F363" s="7"/>
    </row>
    <row r="364" spans="1:6" ht="13.2" x14ac:dyDescent="0.25">
      <c r="A364" s="7"/>
      <c r="E364" s="7"/>
      <c r="F364" s="7"/>
    </row>
    <row r="365" spans="1:6" ht="13.2" x14ac:dyDescent="0.25">
      <c r="A365" s="7"/>
      <c r="E365" s="7"/>
      <c r="F365" s="7"/>
    </row>
    <row r="366" spans="1:6" ht="13.2" x14ac:dyDescent="0.25">
      <c r="A366" s="7"/>
      <c r="E366" s="7"/>
      <c r="F366" s="7"/>
    </row>
    <row r="367" spans="1:6" ht="13.2" x14ac:dyDescent="0.25">
      <c r="A367" s="7"/>
      <c r="E367" s="7"/>
      <c r="F367" s="7"/>
    </row>
    <row r="368" spans="1:6" ht="13.2" x14ac:dyDescent="0.25">
      <c r="A368" s="7"/>
      <c r="E368" s="7"/>
      <c r="F368" s="7"/>
    </row>
    <row r="369" spans="1:6" ht="13.2" x14ac:dyDescent="0.25">
      <c r="A369" s="7"/>
      <c r="E369" s="7"/>
      <c r="F369" s="7"/>
    </row>
    <row r="370" spans="1:6" ht="13.2" x14ac:dyDescent="0.25">
      <c r="A370" s="7"/>
      <c r="E370" s="7"/>
      <c r="F370" s="7"/>
    </row>
    <row r="371" spans="1:6" ht="13.2" x14ac:dyDescent="0.25">
      <c r="A371" s="7"/>
      <c r="E371" s="7"/>
      <c r="F371" s="7"/>
    </row>
    <row r="372" spans="1:6" ht="13.2" x14ac:dyDescent="0.25">
      <c r="A372" s="7"/>
      <c r="E372" s="7"/>
      <c r="F372" s="7"/>
    </row>
    <row r="373" spans="1:6" ht="13.2" x14ac:dyDescent="0.25">
      <c r="A373" s="7"/>
      <c r="E373" s="7"/>
      <c r="F373" s="7"/>
    </row>
    <row r="374" spans="1:6" ht="13.2" x14ac:dyDescent="0.25">
      <c r="A374" s="7"/>
      <c r="E374" s="7"/>
      <c r="F374" s="7"/>
    </row>
    <row r="375" spans="1:6" ht="13.2" x14ac:dyDescent="0.25">
      <c r="A375" s="7"/>
      <c r="E375" s="7"/>
      <c r="F375" s="7"/>
    </row>
    <row r="376" spans="1:6" ht="13.2" x14ac:dyDescent="0.25">
      <c r="A376" s="7"/>
      <c r="E376" s="7"/>
      <c r="F376" s="7"/>
    </row>
    <row r="377" spans="1:6" ht="13.2" x14ac:dyDescent="0.25">
      <c r="A377" s="7"/>
      <c r="E377" s="7"/>
      <c r="F377" s="7"/>
    </row>
    <row r="378" spans="1:6" ht="13.2" x14ac:dyDescent="0.25">
      <c r="A378" s="7"/>
      <c r="E378" s="7"/>
      <c r="F378" s="7"/>
    </row>
    <row r="379" spans="1:6" ht="13.2" x14ac:dyDescent="0.25">
      <c r="A379" s="7"/>
      <c r="E379" s="7"/>
      <c r="F379" s="7"/>
    </row>
    <row r="380" spans="1:6" ht="13.2" x14ac:dyDescent="0.25">
      <c r="A380" s="7"/>
      <c r="E380" s="7"/>
      <c r="F380" s="7"/>
    </row>
    <row r="381" spans="1:6" ht="13.2" x14ac:dyDescent="0.25">
      <c r="A381" s="7"/>
      <c r="E381" s="7"/>
      <c r="F381" s="7"/>
    </row>
    <row r="382" spans="1:6" ht="13.2" x14ac:dyDescent="0.25">
      <c r="A382" s="7"/>
      <c r="E382" s="7"/>
      <c r="F382" s="7"/>
    </row>
    <row r="383" spans="1:6" ht="13.2" x14ac:dyDescent="0.25">
      <c r="A383" s="7"/>
      <c r="E383" s="7"/>
      <c r="F383" s="7"/>
    </row>
    <row r="384" spans="1:6" ht="13.2" x14ac:dyDescent="0.25">
      <c r="A384" s="7"/>
      <c r="E384" s="7"/>
      <c r="F384" s="7"/>
    </row>
    <row r="385" spans="1:6" ht="13.2" x14ac:dyDescent="0.25">
      <c r="A385" s="7"/>
      <c r="E385" s="7"/>
      <c r="F385" s="7"/>
    </row>
    <row r="386" spans="1:6" ht="13.2" x14ac:dyDescent="0.25">
      <c r="A386" s="7"/>
      <c r="E386" s="7"/>
      <c r="F386" s="7"/>
    </row>
    <row r="387" spans="1:6" ht="13.2" x14ac:dyDescent="0.25">
      <c r="A387" s="7"/>
      <c r="E387" s="7"/>
      <c r="F387" s="7"/>
    </row>
    <row r="388" spans="1:6" ht="13.2" x14ac:dyDescent="0.25">
      <c r="A388" s="7"/>
      <c r="E388" s="7"/>
      <c r="F388" s="7"/>
    </row>
    <row r="389" spans="1:6" ht="13.2" x14ac:dyDescent="0.25">
      <c r="A389" s="7"/>
      <c r="E389" s="7"/>
      <c r="F389" s="7"/>
    </row>
    <row r="390" spans="1:6" ht="13.2" x14ac:dyDescent="0.25">
      <c r="A390" s="7"/>
      <c r="E390" s="7"/>
      <c r="F390" s="7"/>
    </row>
    <row r="391" spans="1:6" ht="13.2" x14ac:dyDescent="0.25">
      <c r="A391" s="7"/>
      <c r="E391" s="7"/>
      <c r="F391" s="7"/>
    </row>
    <row r="392" spans="1:6" ht="13.2" x14ac:dyDescent="0.25">
      <c r="A392" s="7"/>
      <c r="E392" s="7"/>
      <c r="F392" s="7"/>
    </row>
    <row r="393" spans="1:6" ht="13.2" x14ac:dyDescent="0.25">
      <c r="A393" s="7"/>
      <c r="E393" s="7"/>
      <c r="F393" s="7"/>
    </row>
    <row r="394" spans="1:6" ht="13.2" x14ac:dyDescent="0.25">
      <c r="A394" s="7"/>
      <c r="E394" s="7"/>
      <c r="F394" s="7"/>
    </row>
    <row r="395" spans="1:6" ht="13.2" x14ac:dyDescent="0.25">
      <c r="A395" s="7"/>
      <c r="E395" s="7"/>
      <c r="F395" s="7"/>
    </row>
    <row r="396" spans="1:6" ht="13.2" x14ac:dyDescent="0.25">
      <c r="A396" s="7"/>
      <c r="E396" s="7"/>
      <c r="F396" s="7"/>
    </row>
    <row r="397" spans="1:6" ht="13.2" x14ac:dyDescent="0.25">
      <c r="A397" s="7"/>
      <c r="E397" s="7"/>
      <c r="F397" s="7"/>
    </row>
    <row r="398" spans="1:6" ht="13.2" x14ac:dyDescent="0.25">
      <c r="A398" s="7"/>
      <c r="E398" s="7"/>
      <c r="F398" s="7"/>
    </row>
    <row r="399" spans="1:6" ht="13.2" x14ac:dyDescent="0.25">
      <c r="A399" s="7"/>
      <c r="E399" s="7"/>
      <c r="F399" s="7"/>
    </row>
    <row r="400" spans="1:6" ht="13.2" x14ac:dyDescent="0.25">
      <c r="A400" s="7"/>
      <c r="E400" s="7"/>
      <c r="F400" s="7"/>
    </row>
    <row r="401" spans="1:6" ht="13.2" x14ac:dyDescent="0.25">
      <c r="A401" s="7"/>
      <c r="E401" s="7"/>
      <c r="F401" s="7"/>
    </row>
    <row r="402" spans="1:6" ht="13.2" x14ac:dyDescent="0.25">
      <c r="A402" s="7"/>
      <c r="E402" s="7"/>
      <c r="F402" s="7"/>
    </row>
    <row r="403" spans="1:6" ht="13.2" x14ac:dyDescent="0.25">
      <c r="A403" s="7"/>
      <c r="E403" s="7"/>
      <c r="F403" s="7"/>
    </row>
    <row r="404" spans="1:6" ht="13.2" x14ac:dyDescent="0.25">
      <c r="A404" s="7"/>
      <c r="E404" s="7"/>
      <c r="F404" s="7"/>
    </row>
    <row r="405" spans="1:6" ht="13.2" x14ac:dyDescent="0.25">
      <c r="A405" s="7"/>
      <c r="E405" s="7"/>
      <c r="F405" s="7"/>
    </row>
    <row r="406" spans="1:6" ht="13.2" x14ac:dyDescent="0.25">
      <c r="A406" s="7"/>
      <c r="E406" s="7"/>
      <c r="F406" s="7"/>
    </row>
    <row r="407" spans="1:6" ht="13.2" x14ac:dyDescent="0.25">
      <c r="A407" s="7"/>
      <c r="E407" s="7"/>
      <c r="F407" s="7"/>
    </row>
    <row r="408" spans="1:6" ht="13.2" x14ac:dyDescent="0.25">
      <c r="A408" s="7"/>
      <c r="E408" s="7"/>
      <c r="F408" s="7"/>
    </row>
    <row r="409" spans="1:6" ht="13.2" x14ac:dyDescent="0.25">
      <c r="A409" s="7"/>
      <c r="E409" s="7"/>
      <c r="F409" s="7"/>
    </row>
    <row r="410" spans="1:6" ht="13.2" x14ac:dyDescent="0.25">
      <c r="A410" s="7"/>
      <c r="E410" s="7"/>
      <c r="F410" s="7"/>
    </row>
    <row r="411" spans="1:6" ht="13.2" x14ac:dyDescent="0.25">
      <c r="A411" s="7"/>
      <c r="E411" s="7"/>
      <c r="F411" s="7"/>
    </row>
    <row r="412" spans="1:6" ht="13.2" x14ac:dyDescent="0.25">
      <c r="A412" s="7"/>
      <c r="E412" s="7"/>
      <c r="F412" s="7"/>
    </row>
    <row r="413" spans="1:6" ht="13.2" x14ac:dyDescent="0.25">
      <c r="A413" s="7"/>
      <c r="E413" s="7"/>
      <c r="F413" s="7"/>
    </row>
    <row r="414" spans="1:6" ht="13.2" x14ac:dyDescent="0.25">
      <c r="A414" s="7"/>
      <c r="E414" s="7"/>
      <c r="F414" s="7"/>
    </row>
    <row r="415" spans="1:6" ht="13.2" x14ac:dyDescent="0.25">
      <c r="A415" s="7"/>
      <c r="E415" s="7"/>
      <c r="F415" s="7"/>
    </row>
    <row r="416" spans="1:6" ht="13.2" x14ac:dyDescent="0.25">
      <c r="A416" s="7"/>
      <c r="E416" s="7"/>
      <c r="F416" s="7"/>
    </row>
    <row r="417" spans="1:6" ht="13.2" x14ac:dyDescent="0.25">
      <c r="A417" s="7"/>
      <c r="E417" s="7"/>
      <c r="F417" s="7"/>
    </row>
    <row r="418" spans="1:6" ht="13.2" x14ac:dyDescent="0.25">
      <c r="A418" s="7"/>
      <c r="E418" s="7"/>
      <c r="F418" s="7"/>
    </row>
    <row r="419" spans="1:6" ht="13.2" x14ac:dyDescent="0.25">
      <c r="A419" s="7"/>
      <c r="E419" s="7"/>
      <c r="F419" s="7"/>
    </row>
    <row r="420" spans="1:6" ht="13.2" x14ac:dyDescent="0.25">
      <c r="A420" s="7"/>
      <c r="E420" s="7"/>
      <c r="F420" s="7"/>
    </row>
    <row r="421" spans="1:6" ht="13.2" x14ac:dyDescent="0.25">
      <c r="A421" s="7"/>
      <c r="E421" s="7"/>
      <c r="F421" s="7"/>
    </row>
    <row r="422" spans="1:6" ht="13.2" x14ac:dyDescent="0.25">
      <c r="A422" s="7"/>
      <c r="E422" s="7"/>
      <c r="F422" s="7"/>
    </row>
    <row r="423" spans="1:6" ht="13.2" x14ac:dyDescent="0.25">
      <c r="A423" s="7"/>
      <c r="E423" s="7"/>
      <c r="F423" s="7"/>
    </row>
    <row r="424" spans="1:6" ht="13.2" x14ac:dyDescent="0.25">
      <c r="A424" s="7"/>
      <c r="E424" s="7"/>
      <c r="F424" s="7"/>
    </row>
    <row r="425" spans="1:6" ht="13.2" x14ac:dyDescent="0.25">
      <c r="A425" s="7"/>
      <c r="E425" s="7"/>
      <c r="F425" s="7"/>
    </row>
    <row r="426" spans="1:6" ht="13.2" x14ac:dyDescent="0.25">
      <c r="A426" s="7"/>
      <c r="E426" s="7"/>
      <c r="F426" s="7"/>
    </row>
    <row r="427" spans="1:6" ht="13.2" x14ac:dyDescent="0.25">
      <c r="A427" s="7"/>
      <c r="E427" s="7"/>
      <c r="F427" s="7"/>
    </row>
    <row r="428" spans="1:6" ht="13.2" x14ac:dyDescent="0.25">
      <c r="A428" s="7"/>
      <c r="E428" s="7"/>
      <c r="F428" s="7"/>
    </row>
    <row r="429" spans="1:6" ht="13.2" x14ac:dyDescent="0.25">
      <c r="A429" s="7"/>
      <c r="E429" s="7"/>
      <c r="F429" s="7"/>
    </row>
    <row r="430" spans="1:6" ht="13.2" x14ac:dyDescent="0.25">
      <c r="A430" s="7"/>
      <c r="E430" s="7"/>
      <c r="F430" s="7"/>
    </row>
    <row r="431" spans="1:6" ht="13.2" x14ac:dyDescent="0.25">
      <c r="A431" s="7"/>
      <c r="E431" s="7"/>
      <c r="F431" s="7"/>
    </row>
    <row r="432" spans="1:6" ht="13.2" x14ac:dyDescent="0.25">
      <c r="A432" s="7"/>
      <c r="E432" s="7"/>
      <c r="F432" s="7"/>
    </row>
    <row r="433" spans="1:6" ht="13.2" x14ac:dyDescent="0.25">
      <c r="A433" s="7"/>
      <c r="E433" s="7"/>
      <c r="F433" s="7"/>
    </row>
    <row r="434" spans="1:6" ht="13.2" x14ac:dyDescent="0.25">
      <c r="A434" s="7"/>
      <c r="E434" s="7"/>
      <c r="F434" s="7"/>
    </row>
    <row r="435" spans="1:6" ht="13.2" x14ac:dyDescent="0.25">
      <c r="A435" s="7"/>
      <c r="E435" s="7"/>
      <c r="F435" s="7"/>
    </row>
    <row r="436" spans="1:6" ht="13.2" x14ac:dyDescent="0.25">
      <c r="A436" s="7"/>
      <c r="E436" s="7"/>
      <c r="F436" s="7"/>
    </row>
    <row r="437" spans="1:6" ht="13.2" x14ac:dyDescent="0.25">
      <c r="A437" s="7"/>
      <c r="E437" s="7"/>
      <c r="F437" s="7"/>
    </row>
    <row r="438" spans="1:6" ht="13.2" x14ac:dyDescent="0.25">
      <c r="A438" s="7"/>
      <c r="E438" s="7"/>
      <c r="F438" s="7"/>
    </row>
    <row r="439" spans="1:6" ht="13.2" x14ac:dyDescent="0.25">
      <c r="A439" s="7"/>
      <c r="E439" s="7"/>
      <c r="F439" s="7"/>
    </row>
    <row r="440" spans="1:6" ht="13.2" x14ac:dyDescent="0.25">
      <c r="A440" s="7"/>
      <c r="E440" s="7"/>
      <c r="F440" s="7"/>
    </row>
    <row r="441" spans="1:6" ht="13.2" x14ac:dyDescent="0.25">
      <c r="A441" s="7"/>
      <c r="E441" s="7"/>
      <c r="F441" s="7"/>
    </row>
    <row r="442" spans="1:6" ht="13.2" x14ac:dyDescent="0.25">
      <c r="A442" s="7"/>
      <c r="E442" s="7"/>
      <c r="F442" s="7"/>
    </row>
    <row r="443" spans="1:6" ht="13.2" x14ac:dyDescent="0.25">
      <c r="A443" s="7"/>
      <c r="E443" s="7"/>
      <c r="F443" s="7"/>
    </row>
    <row r="444" spans="1:6" ht="13.2" x14ac:dyDescent="0.25">
      <c r="A444" s="7"/>
      <c r="E444" s="7"/>
      <c r="F444" s="7"/>
    </row>
    <row r="445" spans="1:6" ht="13.2" x14ac:dyDescent="0.25">
      <c r="A445" s="7"/>
      <c r="E445" s="7"/>
      <c r="F445" s="7"/>
    </row>
    <row r="446" spans="1:6" ht="13.2" x14ac:dyDescent="0.25">
      <c r="A446" s="7"/>
      <c r="E446" s="7"/>
      <c r="F446" s="7"/>
    </row>
    <row r="447" spans="1:6" ht="13.2" x14ac:dyDescent="0.25">
      <c r="A447" s="7"/>
      <c r="E447" s="7"/>
      <c r="F447" s="7"/>
    </row>
    <row r="448" spans="1:6" ht="13.2" x14ac:dyDescent="0.25">
      <c r="A448" s="7"/>
      <c r="E448" s="7"/>
      <c r="F448" s="7"/>
    </row>
    <row r="449" spans="1:6" ht="13.2" x14ac:dyDescent="0.25">
      <c r="A449" s="7"/>
      <c r="E449" s="7"/>
      <c r="F449" s="7"/>
    </row>
    <row r="450" spans="1:6" ht="13.2" x14ac:dyDescent="0.25">
      <c r="A450" s="7"/>
      <c r="E450" s="7"/>
      <c r="F450" s="7"/>
    </row>
    <row r="451" spans="1:6" ht="13.2" x14ac:dyDescent="0.25">
      <c r="A451" s="7"/>
      <c r="E451" s="7"/>
      <c r="F451" s="7"/>
    </row>
    <row r="452" spans="1:6" ht="13.2" x14ac:dyDescent="0.25">
      <c r="A452" s="7"/>
      <c r="E452" s="7"/>
      <c r="F452" s="7"/>
    </row>
    <row r="453" spans="1:6" ht="13.2" x14ac:dyDescent="0.25">
      <c r="A453" s="7"/>
      <c r="E453" s="7"/>
      <c r="F453" s="7"/>
    </row>
    <row r="454" spans="1:6" ht="13.2" x14ac:dyDescent="0.25">
      <c r="A454" s="7"/>
      <c r="E454" s="7"/>
      <c r="F454" s="7"/>
    </row>
    <row r="455" spans="1:6" ht="13.2" x14ac:dyDescent="0.25">
      <c r="A455" s="7"/>
      <c r="E455" s="7"/>
      <c r="F455" s="7"/>
    </row>
    <row r="456" spans="1:6" ht="13.2" x14ac:dyDescent="0.25">
      <c r="A456" s="7"/>
      <c r="E456" s="7"/>
      <c r="F456" s="7"/>
    </row>
    <row r="457" spans="1:6" ht="13.2" x14ac:dyDescent="0.25">
      <c r="A457" s="7"/>
      <c r="E457" s="7"/>
      <c r="F457" s="7"/>
    </row>
    <row r="458" spans="1:6" ht="13.2" x14ac:dyDescent="0.25">
      <c r="A458" s="7"/>
      <c r="E458" s="7"/>
      <c r="F458" s="7"/>
    </row>
    <row r="459" spans="1:6" ht="13.2" x14ac:dyDescent="0.25">
      <c r="A459" s="7"/>
      <c r="E459" s="7"/>
      <c r="F459" s="7"/>
    </row>
    <row r="460" spans="1:6" ht="13.2" x14ac:dyDescent="0.25">
      <c r="A460" s="7"/>
      <c r="E460" s="7"/>
      <c r="F460" s="7"/>
    </row>
    <row r="461" spans="1:6" ht="13.2" x14ac:dyDescent="0.25">
      <c r="A461" s="7"/>
      <c r="E461" s="7"/>
      <c r="F461" s="7"/>
    </row>
    <row r="462" spans="1:6" ht="13.2" x14ac:dyDescent="0.25">
      <c r="A462" s="7"/>
      <c r="E462" s="7"/>
      <c r="F462" s="7"/>
    </row>
    <row r="463" spans="1:6" ht="13.2" x14ac:dyDescent="0.25">
      <c r="A463" s="7"/>
      <c r="E463" s="7"/>
      <c r="F463" s="7"/>
    </row>
    <row r="464" spans="1:6" ht="13.2" x14ac:dyDescent="0.25">
      <c r="A464" s="7"/>
      <c r="E464" s="7"/>
      <c r="F464" s="7"/>
    </row>
    <row r="465" spans="1:6" ht="13.2" x14ac:dyDescent="0.25">
      <c r="A465" s="7"/>
      <c r="E465" s="7"/>
      <c r="F465" s="7"/>
    </row>
    <row r="466" spans="1:6" ht="13.2" x14ac:dyDescent="0.25">
      <c r="A466" s="7"/>
      <c r="E466" s="7"/>
      <c r="F466" s="7"/>
    </row>
    <row r="467" spans="1:6" ht="13.2" x14ac:dyDescent="0.25">
      <c r="A467" s="7"/>
      <c r="E467" s="7"/>
      <c r="F467" s="7"/>
    </row>
    <row r="468" spans="1:6" ht="13.2" x14ac:dyDescent="0.25">
      <c r="A468" s="7"/>
      <c r="E468" s="7"/>
      <c r="F468" s="7"/>
    </row>
    <row r="469" spans="1:6" ht="13.2" x14ac:dyDescent="0.25">
      <c r="A469" s="7"/>
      <c r="E469" s="7"/>
      <c r="F469" s="7"/>
    </row>
    <row r="470" spans="1:6" ht="13.2" x14ac:dyDescent="0.25">
      <c r="A470" s="7"/>
      <c r="E470" s="7"/>
      <c r="F470" s="7"/>
    </row>
    <row r="471" spans="1:6" ht="13.2" x14ac:dyDescent="0.25">
      <c r="A471" s="7"/>
      <c r="E471" s="7"/>
      <c r="F471" s="7"/>
    </row>
    <row r="472" spans="1:6" ht="13.2" x14ac:dyDescent="0.25">
      <c r="A472" s="7"/>
      <c r="E472" s="7"/>
      <c r="F472" s="7"/>
    </row>
    <row r="473" spans="1:6" ht="13.2" x14ac:dyDescent="0.25">
      <c r="A473" s="7"/>
      <c r="E473" s="7"/>
      <c r="F473" s="7"/>
    </row>
    <row r="474" spans="1:6" ht="13.2" x14ac:dyDescent="0.25">
      <c r="A474" s="7"/>
      <c r="E474" s="7"/>
      <c r="F474" s="7"/>
    </row>
    <row r="475" spans="1:6" ht="13.2" x14ac:dyDescent="0.25">
      <c r="A475" s="7"/>
      <c r="E475" s="7"/>
      <c r="F475" s="7"/>
    </row>
    <row r="476" spans="1:6" ht="13.2" x14ac:dyDescent="0.25">
      <c r="A476" s="7"/>
      <c r="E476" s="7"/>
      <c r="F476" s="7"/>
    </row>
    <row r="477" spans="1:6" ht="13.2" x14ac:dyDescent="0.25">
      <c r="A477" s="7"/>
      <c r="E477" s="7"/>
      <c r="F477" s="7"/>
    </row>
    <row r="478" spans="1:6" ht="13.2" x14ac:dyDescent="0.25">
      <c r="A478" s="7"/>
      <c r="E478" s="7"/>
      <c r="F478" s="7"/>
    </row>
    <row r="479" spans="1:6" ht="13.2" x14ac:dyDescent="0.25">
      <c r="A479" s="7"/>
      <c r="E479" s="7"/>
      <c r="F479" s="7"/>
    </row>
    <row r="480" spans="1:6" ht="13.2" x14ac:dyDescent="0.25">
      <c r="A480" s="7"/>
      <c r="E480" s="7"/>
      <c r="F480" s="7"/>
    </row>
    <row r="481" spans="1:6" ht="13.2" x14ac:dyDescent="0.25">
      <c r="A481" s="7"/>
      <c r="E481" s="7"/>
      <c r="F481" s="7"/>
    </row>
    <row r="482" spans="1:6" ht="13.2" x14ac:dyDescent="0.25">
      <c r="A482" s="7"/>
      <c r="E482" s="7"/>
      <c r="F482" s="7"/>
    </row>
    <row r="483" spans="1:6" ht="13.2" x14ac:dyDescent="0.25">
      <c r="A483" s="7"/>
      <c r="E483" s="7"/>
      <c r="F483" s="7"/>
    </row>
    <row r="484" spans="1:6" ht="13.2" x14ac:dyDescent="0.25">
      <c r="A484" s="7"/>
      <c r="E484" s="7"/>
      <c r="F484" s="7"/>
    </row>
    <row r="485" spans="1:6" ht="13.2" x14ac:dyDescent="0.25">
      <c r="A485" s="7"/>
      <c r="E485" s="7"/>
      <c r="F485" s="7"/>
    </row>
    <row r="486" spans="1:6" ht="13.2" x14ac:dyDescent="0.25">
      <c r="A486" s="7"/>
      <c r="E486" s="7"/>
      <c r="F486" s="7"/>
    </row>
    <row r="487" spans="1:6" ht="13.2" x14ac:dyDescent="0.25">
      <c r="A487" s="7"/>
      <c r="E487" s="7"/>
      <c r="F487" s="7"/>
    </row>
    <row r="488" spans="1:6" ht="13.2" x14ac:dyDescent="0.25">
      <c r="A488" s="7"/>
      <c r="E488" s="7"/>
      <c r="F488" s="7"/>
    </row>
    <row r="489" spans="1:6" ht="13.2" x14ac:dyDescent="0.25">
      <c r="A489" s="7"/>
      <c r="E489" s="7"/>
      <c r="F489" s="7"/>
    </row>
    <row r="490" spans="1:6" ht="13.2" x14ac:dyDescent="0.25">
      <c r="A490" s="7"/>
      <c r="E490" s="7"/>
      <c r="F490" s="7"/>
    </row>
    <row r="491" spans="1:6" ht="13.2" x14ac:dyDescent="0.25">
      <c r="A491" s="7"/>
      <c r="E491" s="7"/>
      <c r="F491" s="7"/>
    </row>
    <row r="492" spans="1:6" ht="13.2" x14ac:dyDescent="0.25">
      <c r="A492" s="7"/>
      <c r="E492" s="7"/>
      <c r="F492" s="7"/>
    </row>
    <row r="493" spans="1:6" ht="13.2" x14ac:dyDescent="0.25">
      <c r="A493" s="7"/>
      <c r="E493" s="7"/>
      <c r="F493" s="7"/>
    </row>
    <row r="494" spans="1:6" ht="13.2" x14ac:dyDescent="0.25">
      <c r="A494" s="7"/>
      <c r="E494" s="7"/>
      <c r="F494" s="7"/>
    </row>
    <row r="495" spans="1:6" ht="13.2" x14ac:dyDescent="0.25">
      <c r="A495" s="7"/>
      <c r="E495" s="7"/>
      <c r="F495" s="7"/>
    </row>
    <row r="496" spans="1:6" ht="13.2" x14ac:dyDescent="0.25">
      <c r="A496" s="7"/>
      <c r="E496" s="7"/>
      <c r="F496" s="7"/>
    </row>
    <row r="497" spans="1:6" ht="13.2" x14ac:dyDescent="0.25">
      <c r="A497" s="7"/>
      <c r="E497" s="7"/>
      <c r="F497" s="7"/>
    </row>
    <row r="498" spans="1:6" ht="13.2" x14ac:dyDescent="0.25">
      <c r="A498" s="7"/>
      <c r="E498" s="7"/>
      <c r="F498" s="7"/>
    </row>
    <row r="499" spans="1:6" ht="13.2" x14ac:dyDescent="0.25">
      <c r="A499" s="7"/>
      <c r="E499" s="7"/>
      <c r="F499" s="7"/>
    </row>
    <row r="500" spans="1:6" ht="13.2" x14ac:dyDescent="0.25">
      <c r="A500" s="7"/>
      <c r="E500" s="7"/>
      <c r="F500" s="7"/>
    </row>
    <row r="501" spans="1:6" ht="13.2" x14ac:dyDescent="0.25">
      <c r="A501" s="7"/>
      <c r="E501" s="7"/>
      <c r="F501" s="7"/>
    </row>
    <row r="502" spans="1:6" ht="13.2" x14ac:dyDescent="0.25">
      <c r="A502" s="7"/>
      <c r="E502" s="7"/>
      <c r="F502" s="7"/>
    </row>
    <row r="503" spans="1:6" ht="13.2" x14ac:dyDescent="0.25">
      <c r="A503" s="7"/>
      <c r="E503" s="7"/>
      <c r="F503" s="7"/>
    </row>
    <row r="504" spans="1:6" ht="13.2" x14ac:dyDescent="0.25">
      <c r="A504" s="7"/>
      <c r="E504" s="7"/>
      <c r="F504" s="7"/>
    </row>
    <row r="505" spans="1:6" ht="13.2" x14ac:dyDescent="0.25">
      <c r="A505" s="7"/>
      <c r="E505" s="7"/>
      <c r="F505" s="7"/>
    </row>
    <row r="506" spans="1:6" ht="13.2" x14ac:dyDescent="0.25">
      <c r="A506" s="7"/>
      <c r="E506" s="7"/>
      <c r="F506" s="7"/>
    </row>
    <row r="507" spans="1:6" ht="13.2" x14ac:dyDescent="0.25">
      <c r="A507" s="7"/>
      <c r="E507" s="7"/>
      <c r="F507" s="7"/>
    </row>
    <row r="508" spans="1:6" ht="13.2" x14ac:dyDescent="0.25">
      <c r="A508" s="7"/>
      <c r="E508" s="7"/>
      <c r="F508" s="7"/>
    </row>
    <row r="509" spans="1:6" ht="13.2" x14ac:dyDescent="0.25">
      <c r="A509" s="7"/>
      <c r="E509" s="7"/>
      <c r="F509" s="7"/>
    </row>
    <row r="510" spans="1:6" ht="13.2" x14ac:dyDescent="0.25">
      <c r="A510" s="7"/>
      <c r="E510" s="7"/>
      <c r="F510" s="7"/>
    </row>
    <row r="511" spans="1:6" ht="13.2" x14ac:dyDescent="0.25">
      <c r="A511" s="7"/>
      <c r="E511" s="7"/>
      <c r="F511" s="7"/>
    </row>
    <row r="512" spans="1:6" ht="13.2" x14ac:dyDescent="0.25">
      <c r="A512" s="7"/>
      <c r="E512" s="7"/>
      <c r="F512" s="7"/>
    </row>
    <row r="513" spans="1:6" ht="13.2" x14ac:dyDescent="0.25">
      <c r="A513" s="7"/>
      <c r="E513" s="7"/>
      <c r="F513" s="7"/>
    </row>
    <row r="514" spans="1:6" ht="13.2" x14ac:dyDescent="0.25">
      <c r="A514" s="7"/>
      <c r="E514" s="7"/>
      <c r="F514" s="7"/>
    </row>
    <row r="515" spans="1:6" ht="13.2" x14ac:dyDescent="0.25">
      <c r="A515" s="7"/>
      <c r="E515" s="7"/>
      <c r="F515" s="7"/>
    </row>
    <row r="516" spans="1:6" ht="13.2" x14ac:dyDescent="0.25">
      <c r="A516" s="7"/>
      <c r="E516" s="7"/>
      <c r="F516" s="7"/>
    </row>
    <row r="517" spans="1:6" ht="13.2" x14ac:dyDescent="0.25">
      <c r="A517" s="7"/>
      <c r="E517" s="7"/>
      <c r="F517" s="7"/>
    </row>
    <row r="518" spans="1:6" ht="13.2" x14ac:dyDescent="0.25">
      <c r="A518" s="7"/>
      <c r="E518" s="7"/>
      <c r="F518" s="7"/>
    </row>
    <row r="519" spans="1:6" ht="13.2" x14ac:dyDescent="0.25">
      <c r="A519" s="7"/>
      <c r="E519" s="7"/>
      <c r="F519" s="7"/>
    </row>
    <row r="520" spans="1:6" ht="13.2" x14ac:dyDescent="0.25">
      <c r="A520" s="7"/>
      <c r="E520" s="7"/>
      <c r="F520" s="7"/>
    </row>
    <row r="521" spans="1:6" ht="13.2" x14ac:dyDescent="0.25">
      <c r="A521" s="7"/>
      <c r="E521" s="7"/>
      <c r="F521" s="7"/>
    </row>
    <row r="522" spans="1:6" ht="13.2" x14ac:dyDescent="0.25">
      <c r="A522" s="7"/>
      <c r="E522" s="7"/>
      <c r="F522" s="7"/>
    </row>
    <row r="523" spans="1:6" ht="13.2" x14ac:dyDescent="0.25">
      <c r="A523" s="7"/>
      <c r="E523" s="7"/>
      <c r="F523" s="7"/>
    </row>
    <row r="524" spans="1:6" ht="13.2" x14ac:dyDescent="0.25">
      <c r="A524" s="7"/>
      <c r="E524" s="7"/>
      <c r="F524" s="7"/>
    </row>
    <row r="525" spans="1:6" ht="13.2" x14ac:dyDescent="0.25">
      <c r="A525" s="7"/>
      <c r="E525" s="7"/>
      <c r="F525" s="7"/>
    </row>
    <row r="526" spans="1:6" ht="13.2" x14ac:dyDescent="0.25">
      <c r="A526" s="7"/>
      <c r="E526" s="7"/>
      <c r="F526" s="7"/>
    </row>
    <row r="527" spans="1:6" ht="13.2" x14ac:dyDescent="0.25">
      <c r="A527" s="7"/>
      <c r="E527" s="7"/>
      <c r="F527" s="7"/>
    </row>
    <row r="528" spans="1:6" ht="13.2" x14ac:dyDescent="0.25">
      <c r="A528" s="7"/>
      <c r="E528" s="7"/>
      <c r="F528" s="7"/>
    </row>
    <row r="529" spans="1:6" ht="13.2" x14ac:dyDescent="0.25">
      <c r="A529" s="7"/>
      <c r="E529" s="7"/>
      <c r="F529" s="7"/>
    </row>
    <row r="530" spans="1:6" ht="13.2" x14ac:dyDescent="0.25">
      <c r="A530" s="7"/>
      <c r="E530" s="7"/>
      <c r="F530" s="7"/>
    </row>
    <row r="531" spans="1:6" ht="13.2" x14ac:dyDescent="0.25">
      <c r="A531" s="7"/>
      <c r="E531" s="7"/>
      <c r="F531" s="7"/>
    </row>
    <row r="532" spans="1:6" ht="13.2" x14ac:dyDescent="0.25">
      <c r="A532" s="7"/>
      <c r="E532" s="7"/>
      <c r="F532" s="7"/>
    </row>
    <row r="533" spans="1:6" ht="13.2" x14ac:dyDescent="0.25">
      <c r="A533" s="7"/>
      <c r="E533" s="7"/>
      <c r="F533" s="7"/>
    </row>
    <row r="534" spans="1:6" ht="13.2" x14ac:dyDescent="0.25">
      <c r="A534" s="7"/>
      <c r="E534" s="7"/>
      <c r="F534" s="7"/>
    </row>
    <row r="535" spans="1:6" ht="13.2" x14ac:dyDescent="0.25">
      <c r="A535" s="7"/>
      <c r="E535" s="7"/>
      <c r="F535" s="7"/>
    </row>
    <row r="536" spans="1:6" ht="13.2" x14ac:dyDescent="0.25">
      <c r="A536" s="7"/>
      <c r="E536" s="7"/>
      <c r="F536" s="7"/>
    </row>
    <row r="537" spans="1:6" ht="13.2" x14ac:dyDescent="0.25">
      <c r="A537" s="7"/>
      <c r="E537" s="7"/>
      <c r="F537" s="7"/>
    </row>
    <row r="538" spans="1:6" ht="13.2" x14ac:dyDescent="0.25">
      <c r="A538" s="7"/>
      <c r="E538" s="7"/>
      <c r="F538" s="7"/>
    </row>
    <row r="539" spans="1:6" ht="13.2" x14ac:dyDescent="0.25">
      <c r="A539" s="7"/>
      <c r="E539" s="7"/>
      <c r="F539" s="7"/>
    </row>
    <row r="540" spans="1:6" ht="13.2" x14ac:dyDescent="0.25">
      <c r="A540" s="7"/>
      <c r="E540" s="7"/>
      <c r="F540" s="7"/>
    </row>
    <row r="541" spans="1:6" ht="13.2" x14ac:dyDescent="0.25">
      <c r="A541" s="7"/>
      <c r="E541" s="7"/>
      <c r="F541" s="7"/>
    </row>
    <row r="542" spans="1:6" ht="13.2" x14ac:dyDescent="0.25">
      <c r="A542" s="7"/>
      <c r="E542" s="7"/>
      <c r="F542" s="7"/>
    </row>
    <row r="543" spans="1:6" ht="13.2" x14ac:dyDescent="0.25">
      <c r="A543" s="7"/>
      <c r="E543" s="7"/>
      <c r="F543" s="7"/>
    </row>
    <row r="544" spans="1:6" ht="13.2" x14ac:dyDescent="0.25">
      <c r="A544" s="7"/>
      <c r="E544" s="7"/>
      <c r="F544" s="7"/>
    </row>
    <row r="545" spans="1:6" ht="13.2" x14ac:dyDescent="0.25">
      <c r="A545" s="7"/>
      <c r="E545" s="7"/>
      <c r="F545" s="7"/>
    </row>
    <row r="546" spans="1:6" ht="13.2" x14ac:dyDescent="0.25">
      <c r="A546" s="7"/>
      <c r="E546" s="7"/>
      <c r="F546" s="7"/>
    </row>
    <row r="547" spans="1:6" ht="13.2" x14ac:dyDescent="0.25">
      <c r="A547" s="7"/>
      <c r="E547" s="7"/>
      <c r="F547" s="7"/>
    </row>
    <row r="548" spans="1:6" ht="13.2" x14ac:dyDescent="0.25">
      <c r="A548" s="7"/>
      <c r="E548" s="7"/>
      <c r="F548" s="7"/>
    </row>
    <row r="549" spans="1:6" ht="13.2" x14ac:dyDescent="0.25">
      <c r="A549" s="7"/>
      <c r="E549" s="7"/>
      <c r="F549" s="7"/>
    </row>
    <row r="550" spans="1:6" ht="13.2" x14ac:dyDescent="0.25">
      <c r="A550" s="7"/>
      <c r="E550" s="7"/>
      <c r="F550" s="7"/>
    </row>
    <row r="551" spans="1:6" ht="13.2" x14ac:dyDescent="0.25">
      <c r="A551" s="7"/>
      <c r="E551" s="7"/>
      <c r="F551" s="7"/>
    </row>
    <row r="552" spans="1:6" ht="13.2" x14ac:dyDescent="0.25">
      <c r="A552" s="7"/>
      <c r="E552" s="7"/>
      <c r="F552" s="7"/>
    </row>
    <row r="553" spans="1:6" ht="13.2" x14ac:dyDescent="0.25">
      <c r="A553" s="7"/>
      <c r="E553" s="7"/>
      <c r="F553" s="7"/>
    </row>
    <row r="554" spans="1:6" ht="13.2" x14ac:dyDescent="0.25">
      <c r="A554" s="7"/>
      <c r="E554" s="7"/>
      <c r="F554" s="7"/>
    </row>
    <row r="555" spans="1:6" ht="13.2" x14ac:dyDescent="0.25">
      <c r="A555" s="7"/>
      <c r="E555" s="7"/>
      <c r="F555" s="7"/>
    </row>
    <row r="556" spans="1:6" ht="13.2" x14ac:dyDescent="0.25">
      <c r="A556" s="7"/>
      <c r="E556" s="7"/>
      <c r="F556" s="7"/>
    </row>
    <row r="557" spans="1:6" ht="13.2" x14ac:dyDescent="0.25">
      <c r="A557" s="7"/>
      <c r="E557" s="7"/>
      <c r="F557" s="7"/>
    </row>
    <row r="558" spans="1:6" ht="13.2" x14ac:dyDescent="0.25">
      <c r="A558" s="7"/>
      <c r="E558" s="7"/>
      <c r="F558" s="7"/>
    </row>
    <row r="559" spans="1:6" ht="13.2" x14ac:dyDescent="0.25">
      <c r="A559" s="7"/>
      <c r="E559" s="7"/>
      <c r="F559" s="7"/>
    </row>
    <row r="560" spans="1:6" ht="13.2" x14ac:dyDescent="0.25">
      <c r="A560" s="7"/>
      <c r="E560" s="7"/>
      <c r="F560" s="7"/>
    </row>
    <row r="561" spans="1:6" ht="13.2" x14ac:dyDescent="0.25">
      <c r="A561" s="7"/>
      <c r="E561" s="7"/>
      <c r="F561" s="7"/>
    </row>
    <row r="562" spans="1:6" ht="13.2" x14ac:dyDescent="0.25">
      <c r="A562" s="7"/>
      <c r="E562" s="7"/>
      <c r="F562" s="7"/>
    </row>
    <row r="563" spans="1:6" ht="13.2" x14ac:dyDescent="0.25">
      <c r="A563" s="7"/>
      <c r="E563" s="7"/>
      <c r="F563" s="7"/>
    </row>
    <row r="564" spans="1:6" ht="13.2" x14ac:dyDescent="0.25">
      <c r="A564" s="7"/>
      <c r="E564" s="7"/>
      <c r="F564" s="7"/>
    </row>
    <row r="565" spans="1:6" ht="13.2" x14ac:dyDescent="0.25">
      <c r="A565" s="7"/>
      <c r="E565" s="7"/>
      <c r="F565" s="7"/>
    </row>
    <row r="566" spans="1:6" ht="13.2" x14ac:dyDescent="0.25">
      <c r="A566" s="7"/>
      <c r="E566" s="7"/>
      <c r="F566" s="7"/>
    </row>
    <row r="567" spans="1:6" ht="13.2" x14ac:dyDescent="0.25">
      <c r="A567" s="7"/>
      <c r="E567" s="7"/>
      <c r="F567" s="7"/>
    </row>
    <row r="568" spans="1:6" ht="13.2" x14ac:dyDescent="0.25">
      <c r="A568" s="7"/>
      <c r="E568" s="7"/>
      <c r="F568" s="7"/>
    </row>
    <row r="569" spans="1:6" ht="13.2" x14ac:dyDescent="0.25">
      <c r="A569" s="7"/>
      <c r="E569" s="7"/>
      <c r="F569" s="7"/>
    </row>
    <row r="570" spans="1:6" ht="13.2" x14ac:dyDescent="0.25">
      <c r="A570" s="7"/>
      <c r="E570" s="7"/>
      <c r="F570" s="7"/>
    </row>
    <row r="571" spans="1:6" ht="13.2" x14ac:dyDescent="0.25">
      <c r="A571" s="7"/>
      <c r="E571" s="7"/>
      <c r="F571" s="7"/>
    </row>
    <row r="572" spans="1:6" ht="13.2" x14ac:dyDescent="0.25">
      <c r="A572" s="7"/>
      <c r="E572" s="7"/>
      <c r="F572" s="7"/>
    </row>
    <row r="573" spans="1:6" ht="13.2" x14ac:dyDescent="0.25">
      <c r="A573" s="7"/>
      <c r="E573" s="7"/>
      <c r="F573" s="7"/>
    </row>
    <row r="574" spans="1:6" ht="13.2" x14ac:dyDescent="0.25">
      <c r="A574" s="7"/>
      <c r="E574" s="7"/>
      <c r="F574" s="7"/>
    </row>
    <row r="575" spans="1:6" ht="13.2" x14ac:dyDescent="0.25">
      <c r="A575" s="7"/>
      <c r="E575" s="7"/>
      <c r="F575" s="7"/>
    </row>
    <row r="576" spans="1:6" ht="13.2" x14ac:dyDescent="0.25">
      <c r="A576" s="7"/>
      <c r="E576" s="7"/>
      <c r="F576" s="7"/>
    </row>
    <row r="577" spans="1:6" ht="13.2" x14ac:dyDescent="0.25">
      <c r="A577" s="7"/>
      <c r="E577" s="7"/>
      <c r="F577" s="7"/>
    </row>
    <row r="578" spans="1:6" ht="13.2" x14ac:dyDescent="0.25">
      <c r="A578" s="7"/>
      <c r="E578" s="7"/>
      <c r="F578" s="7"/>
    </row>
    <row r="579" spans="1:6" ht="13.2" x14ac:dyDescent="0.25">
      <c r="A579" s="7"/>
      <c r="E579" s="7"/>
      <c r="F579" s="7"/>
    </row>
    <row r="580" spans="1:6" ht="13.2" x14ac:dyDescent="0.25">
      <c r="A580" s="7"/>
      <c r="E580" s="7"/>
      <c r="F580" s="7"/>
    </row>
    <row r="581" spans="1:6" ht="13.2" x14ac:dyDescent="0.25">
      <c r="A581" s="7"/>
      <c r="E581" s="7"/>
      <c r="F581" s="7"/>
    </row>
    <row r="582" spans="1:6" ht="13.2" x14ac:dyDescent="0.25">
      <c r="A582" s="7"/>
      <c r="E582" s="7"/>
      <c r="F582" s="7"/>
    </row>
    <row r="583" spans="1:6" ht="13.2" x14ac:dyDescent="0.25">
      <c r="A583" s="7"/>
      <c r="E583" s="7"/>
      <c r="F583" s="7"/>
    </row>
    <row r="584" spans="1:6" ht="13.2" x14ac:dyDescent="0.25">
      <c r="A584" s="7"/>
      <c r="E584" s="7"/>
      <c r="F584" s="7"/>
    </row>
    <row r="585" spans="1:6" ht="13.2" x14ac:dyDescent="0.25">
      <c r="A585" s="7"/>
      <c r="E585" s="7"/>
      <c r="F585" s="7"/>
    </row>
    <row r="586" spans="1:6" ht="13.2" x14ac:dyDescent="0.25">
      <c r="A586" s="7"/>
      <c r="E586" s="7"/>
      <c r="F586" s="7"/>
    </row>
    <row r="587" spans="1:6" ht="13.2" x14ac:dyDescent="0.25">
      <c r="A587" s="7"/>
      <c r="E587" s="7"/>
      <c r="F587" s="7"/>
    </row>
    <row r="588" spans="1:6" ht="13.2" x14ac:dyDescent="0.25">
      <c r="A588" s="7"/>
      <c r="E588" s="7"/>
      <c r="F588" s="7"/>
    </row>
    <row r="589" spans="1:6" ht="13.2" x14ac:dyDescent="0.25">
      <c r="A589" s="7"/>
      <c r="E589" s="7"/>
      <c r="F589" s="7"/>
    </row>
    <row r="590" spans="1:6" ht="13.2" x14ac:dyDescent="0.25">
      <c r="A590" s="7"/>
      <c r="E590" s="7"/>
      <c r="F590" s="7"/>
    </row>
    <row r="591" spans="1:6" ht="13.2" x14ac:dyDescent="0.25">
      <c r="A591" s="7"/>
      <c r="E591" s="7"/>
      <c r="F591" s="7"/>
    </row>
    <row r="592" spans="1:6" ht="13.2" x14ac:dyDescent="0.25">
      <c r="A592" s="7"/>
      <c r="E592" s="7"/>
      <c r="F592" s="7"/>
    </row>
    <row r="593" spans="1:6" ht="13.2" x14ac:dyDescent="0.25">
      <c r="A593" s="7"/>
      <c r="E593" s="7"/>
      <c r="F593" s="7"/>
    </row>
    <row r="594" spans="1:6" ht="13.2" x14ac:dyDescent="0.25">
      <c r="A594" s="7"/>
      <c r="E594" s="7"/>
      <c r="F594" s="7"/>
    </row>
    <row r="595" spans="1:6" ht="13.2" x14ac:dyDescent="0.25">
      <c r="A595" s="7"/>
      <c r="E595" s="7"/>
      <c r="F595" s="7"/>
    </row>
    <row r="596" spans="1:6" ht="13.2" x14ac:dyDescent="0.25">
      <c r="A596" s="7"/>
      <c r="E596" s="7"/>
      <c r="F596" s="7"/>
    </row>
    <row r="597" spans="1:6" ht="13.2" x14ac:dyDescent="0.25">
      <c r="A597" s="7"/>
      <c r="E597" s="7"/>
      <c r="F597" s="7"/>
    </row>
    <row r="598" spans="1:6" ht="13.2" x14ac:dyDescent="0.25">
      <c r="A598" s="7"/>
      <c r="E598" s="7"/>
      <c r="F598" s="7"/>
    </row>
    <row r="599" spans="1:6" ht="13.2" x14ac:dyDescent="0.25">
      <c r="A599" s="7"/>
      <c r="E599" s="7"/>
      <c r="F599" s="7"/>
    </row>
    <row r="600" spans="1:6" ht="13.2" x14ac:dyDescent="0.25">
      <c r="A600" s="7"/>
      <c r="E600" s="7"/>
      <c r="F600" s="7"/>
    </row>
    <row r="601" spans="1:6" ht="13.2" x14ac:dyDescent="0.25">
      <c r="A601" s="7"/>
      <c r="E601" s="7"/>
      <c r="F601" s="7"/>
    </row>
    <row r="602" spans="1:6" ht="13.2" x14ac:dyDescent="0.25">
      <c r="A602" s="7"/>
      <c r="E602" s="7"/>
      <c r="F602" s="7"/>
    </row>
    <row r="603" spans="1:6" ht="13.2" x14ac:dyDescent="0.25">
      <c r="A603" s="7"/>
      <c r="E603" s="7"/>
      <c r="F603" s="7"/>
    </row>
    <row r="604" spans="1:6" ht="13.2" x14ac:dyDescent="0.25">
      <c r="A604" s="7"/>
      <c r="E604" s="7"/>
      <c r="F604" s="7"/>
    </row>
    <row r="605" spans="1:6" ht="13.2" x14ac:dyDescent="0.25">
      <c r="A605" s="7"/>
      <c r="E605" s="7"/>
      <c r="F605" s="7"/>
    </row>
    <row r="606" spans="1:6" ht="13.2" x14ac:dyDescent="0.25">
      <c r="A606" s="7"/>
      <c r="E606" s="7"/>
      <c r="F606" s="7"/>
    </row>
    <row r="607" spans="1:6" ht="13.2" x14ac:dyDescent="0.25">
      <c r="A607" s="7"/>
      <c r="E607" s="7"/>
      <c r="F607" s="7"/>
    </row>
    <row r="608" spans="1:6" ht="13.2" x14ac:dyDescent="0.25">
      <c r="A608" s="7"/>
      <c r="E608" s="7"/>
      <c r="F608" s="7"/>
    </row>
    <row r="609" spans="1:6" ht="13.2" x14ac:dyDescent="0.25">
      <c r="A609" s="7"/>
      <c r="E609" s="7"/>
      <c r="F609" s="7"/>
    </row>
    <row r="610" spans="1:6" ht="13.2" x14ac:dyDescent="0.25">
      <c r="A610" s="7"/>
      <c r="E610" s="7"/>
      <c r="F610" s="7"/>
    </row>
    <row r="611" spans="1:6" ht="13.2" x14ac:dyDescent="0.25">
      <c r="A611" s="7"/>
      <c r="E611" s="7"/>
      <c r="F611" s="7"/>
    </row>
    <row r="612" spans="1:6" ht="13.2" x14ac:dyDescent="0.25">
      <c r="A612" s="7"/>
      <c r="E612" s="7"/>
      <c r="F612" s="7"/>
    </row>
    <row r="613" spans="1:6" ht="13.2" x14ac:dyDescent="0.25">
      <c r="A613" s="7"/>
      <c r="E613" s="7"/>
      <c r="F613" s="7"/>
    </row>
    <row r="614" spans="1:6" ht="13.2" x14ac:dyDescent="0.25">
      <c r="A614" s="7"/>
      <c r="E614" s="7"/>
      <c r="F614" s="7"/>
    </row>
    <row r="615" spans="1:6" ht="13.2" x14ac:dyDescent="0.25">
      <c r="A615" s="7"/>
      <c r="E615" s="7"/>
      <c r="F615" s="7"/>
    </row>
    <row r="616" spans="1:6" ht="13.2" x14ac:dyDescent="0.25">
      <c r="A616" s="7"/>
      <c r="E616" s="7"/>
      <c r="F616" s="7"/>
    </row>
    <row r="617" spans="1:6" ht="13.2" x14ac:dyDescent="0.25">
      <c r="A617" s="7"/>
      <c r="E617" s="7"/>
      <c r="F617" s="7"/>
    </row>
    <row r="618" spans="1:6" ht="13.2" x14ac:dyDescent="0.25">
      <c r="A618" s="7"/>
      <c r="E618" s="7"/>
      <c r="F618" s="7"/>
    </row>
    <row r="619" spans="1:6" ht="13.2" x14ac:dyDescent="0.25">
      <c r="A619" s="7"/>
      <c r="E619" s="7"/>
      <c r="F619" s="7"/>
    </row>
    <row r="620" spans="1:6" ht="13.2" x14ac:dyDescent="0.25">
      <c r="A620" s="7"/>
      <c r="E620" s="7"/>
      <c r="F620" s="7"/>
    </row>
    <row r="621" spans="1:6" ht="13.2" x14ac:dyDescent="0.25">
      <c r="A621" s="7"/>
      <c r="E621" s="7"/>
      <c r="F621" s="7"/>
    </row>
    <row r="622" spans="1:6" ht="13.2" x14ac:dyDescent="0.25">
      <c r="A622" s="7"/>
      <c r="E622" s="7"/>
      <c r="F622" s="7"/>
    </row>
    <row r="623" spans="1:6" ht="13.2" x14ac:dyDescent="0.25">
      <c r="A623" s="7"/>
      <c r="E623" s="7"/>
      <c r="F623" s="7"/>
    </row>
    <row r="624" spans="1:6" ht="13.2" x14ac:dyDescent="0.25">
      <c r="A624" s="7"/>
      <c r="E624" s="7"/>
      <c r="F624" s="7"/>
    </row>
    <row r="625" spans="1:6" ht="13.2" x14ac:dyDescent="0.25">
      <c r="A625" s="7"/>
      <c r="E625" s="7"/>
      <c r="F625" s="7"/>
    </row>
    <row r="626" spans="1:6" ht="13.2" x14ac:dyDescent="0.25">
      <c r="A626" s="7"/>
      <c r="E626" s="7"/>
      <c r="F626" s="7"/>
    </row>
    <row r="627" spans="1:6" ht="13.2" x14ac:dyDescent="0.25">
      <c r="A627" s="7"/>
      <c r="E627" s="7"/>
      <c r="F627" s="7"/>
    </row>
    <row r="628" spans="1:6" ht="13.2" x14ac:dyDescent="0.25">
      <c r="A628" s="7"/>
      <c r="E628" s="7"/>
      <c r="F628" s="7"/>
    </row>
    <row r="629" spans="1:6" ht="13.2" x14ac:dyDescent="0.25">
      <c r="A629" s="7"/>
      <c r="E629" s="7"/>
      <c r="F629" s="7"/>
    </row>
    <row r="630" spans="1:6" ht="13.2" x14ac:dyDescent="0.25">
      <c r="A630" s="7"/>
      <c r="E630" s="7"/>
      <c r="F630" s="7"/>
    </row>
    <row r="631" spans="1:6" ht="13.2" x14ac:dyDescent="0.25">
      <c r="A631" s="7"/>
      <c r="E631" s="7"/>
      <c r="F631" s="7"/>
    </row>
    <row r="632" spans="1:6" ht="13.2" x14ac:dyDescent="0.25">
      <c r="A632" s="7"/>
      <c r="E632" s="7"/>
      <c r="F632" s="7"/>
    </row>
    <row r="633" spans="1:6" ht="13.2" x14ac:dyDescent="0.25">
      <c r="A633" s="7"/>
      <c r="E633" s="7"/>
      <c r="F633" s="7"/>
    </row>
    <row r="634" spans="1:6" ht="13.2" x14ac:dyDescent="0.25">
      <c r="A634" s="7"/>
      <c r="E634" s="7"/>
      <c r="F634" s="7"/>
    </row>
    <row r="635" spans="1:6" ht="13.2" x14ac:dyDescent="0.25">
      <c r="A635" s="7"/>
      <c r="E635" s="7"/>
      <c r="F635" s="7"/>
    </row>
    <row r="636" spans="1:6" ht="13.2" x14ac:dyDescent="0.25">
      <c r="A636" s="7"/>
      <c r="E636" s="7"/>
      <c r="F636" s="7"/>
    </row>
    <row r="637" spans="1:6" ht="13.2" x14ac:dyDescent="0.25">
      <c r="A637" s="7"/>
      <c r="E637" s="7"/>
      <c r="F637" s="7"/>
    </row>
    <row r="638" spans="1:6" ht="13.2" x14ac:dyDescent="0.25">
      <c r="A638" s="7"/>
      <c r="E638" s="7"/>
      <c r="F638" s="7"/>
    </row>
    <row r="639" spans="1:6" ht="13.2" x14ac:dyDescent="0.25">
      <c r="A639" s="7"/>
      <c r="E639" s="7"/>
      <c r="F639" s="7"/>
    </row>
    <row r="640" spans="1:6" ht="13.2" x14ac:dyDescent="0.25">
      <c r="A640" s="7"/>
      <c r="E640" s="7"/>
      <c r="F640" s="7"/>
    </row>
    <row r="641" spans="1:6" ht="13.2" x14ac:dyDescent="0.25">
      <c r="A641" s="7"/>
      <c r="E641" s="7"/>
      <c r="F641" s="7"/>
    </row>
    <row r="642" spans="1:6" ht="13.2" x14ac:dyDescent="0.25">
      <c r="A642" s="7"/>
      <c r="E642" s="7"/>
      <c r="F642" s="7"/>
    </row>
    <row r="643" spans="1:6" ht="13.2" x14ac:dyDescent="0.25">
      <c r="A643" s="7"/>
      <c r="E643" s="7"/>
      <c r="F643" s="7"/>
    </row>
    <row r="644" spans="1:6" ht="13.2" x14ac:dyDescent="0.25">
      <c r="A644" s="7"/>
      <c r="E644" s="7"/>
      <c r="F644" s="7"/>
    </row>
    <row r="645" spans="1:6" ht="13.2" x14ac:dyDescent="0.25">
      <c r="A645" s="7"/>
      <c r="E645" s="7"/>
      <c r="F645" s="7"/>
    </row>
    <row r="646" spans="1:6" ht="13.2" x14ac:dyDescent="0.25">
      <c r="A646" s="7"/>
      <c r="E646" s="7"/>
      <c r="F646" s="7"/>
    </row>
    <row r="647" spans="1:6" ht="13.2" x14ac:dyDescent="0.25">
      <c r="A647" s="7"/>
      <c r="E647" s="7"/>
      <c r="F647" s="7"/>
    </row>
    <row r="648" spans="1:6" ht="13.2" x14ac:dyDescent="0.25">
      <c r="A648" s="7"/>
      <c r="E648" s="7"/>
      <c r="F648" s="7"/>
    </row>
    <row r="649" spans="1:6" ht="13.2" x14ac:dyDescent="0.25">
      <c r="A649" s="7"/>
      <c r="E649" s="7"/>
      <c r="F649" s="7"/>
    </row>
    <row r="650" spans="1:6" ht="13.2" x14ac:dyDescent="0.25">
      <c r="A650" s="7"/>
      <c r="E650" s="7"/>
      <c r="F650" s="7"/>
    </row>
    <row r="651" spans="1:6" ht="13.2" x14ac:dyDescent="0.25">
      <c r="A651" s="7"/>
      <c r="E651" s="7"/>
      <c r="F651" s="7"/>
    </row>
    <row r="652" spans="1:6" ht="13.2" x14ac:dyDescent="0.25">
      <c r="A652" s="7"/>
      <c r="E652" s="7"/>
      <c r="F652" s="7"/>
    </row>
    <row r="653" spans="1:6" ht="13.2" x14ac:dyDescent="0.25">
      <c r="A653" s="7"/>
      <c r="E653" s="7"/>
      <c r="F653" s="7"/>
    </row>
    <row r="654" spans="1:6" ht="13.2" x14ac:dyDescent="0.25">
      <c r="A654" s="7"/>
      <c r="E654" s="7"/>
      <c r="F654" s="7"/>
    </row>
    <row r="655" spans="1:6" ht="13.2" x14ac:dyDescent="0.25">
      <c r="A655" s="7"/>
      <c r="E655" s="7"/>
      <c r="F655" s="7"/>
    </row>
    <row r="656" spans="1:6" ht="13.2" x14ac:dyDescent="0.25">
      <c r="A656" s="7"/>
      <c r="E656" s="7"/>
      <c r="F656" s="7"/>
    </row>
    <row r="657" spans="1:6" ht="13.2" x14ac:dyDescent="0.25">
      <c r="A657" s="7"/>
      <c r="E657" s="7"/>
      <c r="F657" s="7"/>
    </row>
    <row r="658" spans="1:6" ht="13.2" x14ac:dyDescent="0.25">
      <c r="A658" s="7"/>
      <c r="E658" s="7"/>
      <c r="F658" s="7"/>
    </row>
    <row r="659" spans="1:6" ht="13.2" x14ac:dyDescent="0.25">
      <c r="A659" s="7"/>
      <c r="E659" s="7"/>
      <c r="F659" s="7"/>
    </row>
    <row r="660" spans="1:6" ht="13.2" x14ac:dyDescent="0.25">
      <c r="A660" s="7"/>
      <c r="E660" s="7"/>
      <c r="F660" s="7"/>
    </row>
    <row r="661" spans="1:6" ht="13.2" x14ac:dyDescent="0.25">
      <c r="A661" s="7"/>
      <c r="E661" s="7"/>
      <c r="F661" s="7"/>
    </row>
    <row r="662" spans="1:6" ht="13.2" x14ac:dyDescent="0.25">
      <c r="A662" s="7"/>
      <c r="E662" s="7"/>
      <c r="F662" s="7"/>
    </row>
    <row r="663" spans="1:6" ht="13.2" x14ac:dyDescent="0.25">
      <c r="A663" s="7"/>
      <c r="E663" s="7"/>
      <c r="F663" s="7"/>
    </row>
    <row r="664" spans="1:6" ht="13.2" x14ac:dyDescent="0.25">
      <c r="A664" s="7"/>
      <c r="E664" s="7"/>
      <c r="F664" s="7"/>
    </row>
    <row r="665" spans="1:6" ht="13.2" x14ac:dyDescent="0.25">
      <c r="A665" s="7"/>
      <c r="E665" s="7"/>
      <c r="F665" s="7"/>
    </row>
    <row r="666" spans="1:6" ht="13.2" x14ac:dyDescent="0.25">
      <c r="A666" s="7"/>
      <c r="E666" s="7"/>
      <c r="F666" s="7"/>
    </row>
    <row r="667" spans="1:6" ht="13.2" x14ac:dyDescent="0.25">
      <c r="A667" s="7"/>
      <c r="E667" s="7"/>
      <c r="F667" s="7"/>
    </row>
    <row r="668" spans="1:6" ht="13.2" x14ac:dyDescent="0.25">
      <c r="A668" s="7"/>
      <c r="E668" s="7"/>
      <c r="F668" s="7"/>
    </row>
    <row r="669" spans="1:6" ht="13.2" x14ac:dyDescent="0.25">
      <c r="A669" s="7"/>
      <c r="E669" s="7"/>
      <c r="F669" s="7"/>
    </row>
    <row r="670" spans="1:6" ht="13.2" x14ac:dyDescent="0.25">
      <c r="A670" s="7"/>
      <c r="E670" s="7"/>
      <c r="F670" s="7"/>
    </row>
    <row r="671" spans="1:6" ht="13.2" x14ac:dyDescent="0.25">
      <c r="A671" s="7"/>
      <c r="E671" s="7"/>
      <c r="F671" s="7"/>
    </row>
    <row r="672" spans="1:6" ht="13.2" x14ac:dyDescent="0.25">
      <c r="A672" s="7"/>
      <c r="E672" s="7"/>
      <c r="F672" s="7"/>
    </row>
    <row r="673" spans="1:6" ht="13.2" x14ac:dyDescent="0.25">
      <c r="A673" s="7"/>
      <c r="E673" s="7"/>
      <c r="F673" s="7"/>
    </row>
    <row r="674" spans="1:6" ht="13.2" x14ac:dyDescent="0.25">
      <c r="A674" s="7"/>
      <c r="E674" s="7"/>
      <c r="F674" s="7"/>
    </row>
    <row r="675" spans="1:6" ht="13.2" x14ac:dyDescent="0.25">
      <c r="A675" s="7"/>
      <c r="E675" s="7"/>
      <c r="F675" s="7"/>
    </row>
    <row r="676" spans="1:6" ht="13.2" x14ac:dyDescent="0.25">
      <c r="A676" s="7"/>
      <c r="E676" s="7"/>
      <c r="F676" s="7"/>
    </row>
    <row r="677" spans="1:6" ht="13.2" x14ac:dyDescent="0.25">
      <c r="A677" s="7"/>
      <c r="E677" s="7"/>
      <c r="F677" s="7"/>
    </row>
    <row r="678" spans="1:6" ht="13.2" x14ac:dyDescent="0.25">
      <c r="A678" s="7"/>
      <c r="E678" s="7"/>
      <c r="F678" s="7"/>
    </row>
    <row r="679" spans="1:6" ht="13.2" x14ac:dyDescent="0.25">
      <c r="A679" s="7"/>
      <c r="E679" s="7"/>
      <c r="F679" s="7"/>
    </row>
    <row r="680" spans="1:6" ht="13.2" x14ac:dyDescent="0.25">
      <c r="A680" s="7"/>
      <c r="E680" s="7"/>
      <c r="F680" s="7"/>
    </row>
    <row r="681" spans="1:6" ht="13.2" x14ac:dyDescent="0.25">
      <c r="A681" s="7"/>
      <c r="E681" s="7"/>
      <c r="F681" s="7"/>
    </row>
    <row r="682" spans="1:6" ht="13.2" x14ac:dyDescent="0.25">
      <c r="A682" s="7"/>
      <c r="E682" s="7"/>
      <c r="F682" s="7"/>
    </row>
    <row r="683" spans="1:6" ht="13.2" x14ac:dyDescent="0.25">
      <c r="A683" s="7"/>
      <c r="E683" s="7"/>
      <c r="F683" s="7"/>
    </row>
    <row r="684" spans="1:6" ht="13.2" x14ac:dyDescent="0.25">
      <c r="A684" s="7"/>
      <c r="E684" s="7"/>
      <c r="F684" s="7"/>
    </row>
    <row r="685" spans="1:6" ht="13.2" x14ac:dyDescent="0.25">
      <c r="A685" s="7"/>
      <c r="E685" s="7"/>
      <c r="F685" s="7"/>
    </row>
    <row r="686" spans="1:6" ht="13.2" x14ac:dyDescent="0.25">
      <c r="A686" s="7"/>
      <c r="E686" s="7"/>
      <c r="F686" s="7"/>
    </row>
    <row r="687" spans="1:6" ht="13.2" x14ac:dyDescent="0.25">
      <c r="A687" s="7"/>
      <c r="E687" s="7"/>
      <c r="F687" s="7"/>
    </row>
    <row r="688" spans="1:6" ht="13.2" x14ac:dyDescent="0.25">
      <c r="A688" s="7"/>
      <c r="E688" s="7"/>
      <c r="F688" s="7"/>
    </row>
    <row r="689" spans="1:6" ht="13.2" x14ac:dyDescent="0.25">
      <c r="A689" s="7"/>
      <c r="E689" s="7"/>
      <c r="F689" s="7"/>
    </row>
    <row r="690" spans="1:6" ht="13.2" x14ac:dyDescent="0.25">
      <c r="A690" s="7"/>
      <c r="E690" s="7"/>
      <c r="F690" s="7"/>
    </row>
    <row r="691" spans="1:6" ht="13.2" x14ac:dyDescent="0.25">
      <c r="A691" s="7"/>
      <c r="E691" s="7"/>
      <c r="F691" s="7"/>
    </row>
    <row r="692" spans="1:6" ht="13.2" x14ac:dyDescent="0.25">
      <c r="A692" s="7"/>
      <c r="E692" s="7"/>
      <c r="F692" s="7"/>
    </row>
    <row r="693" spans="1:6" ht="13.2" x14ac:dyDescent="0.25">
      <c r="A693" s="7"/>
      <c r="E693" s="7"/>
      <c r="F693" s="7"/>
    </row>
    <row r="694" spans="1:6" ht="13.2" x14ac:dyDescent="0.25">
      <c r="A694" s="7"/>
      <c r="E694" s="7"/>
      <c r="F694" s="7"/>
    </row>
    <row r="695" spans="1:6" ht="13.2" x14ac:dyDescent="0.25">
      <c r="A695" s="7"/>
      <c r="E695" s="7"/>
      <c r="F695" s="7"/>
    </row>
    <row r="696" spans="1:6" ht="13.2" x14ac:dyDescent="0.25">
      <c r="A696" s="7"/>
      <c r="E696" s="7"/>
      <c r="F696" s="7"/>
    </row>
    <row r="697" spans="1:6" ht="13.2" x14ac:dyDescent="0.25">
      <c r="A697" s="7"/>
      <c r="E697" s="7"/>
      <c r="F697" s="7"/>
    </row>
    <row r="698" spans="1:6" ht="13.2" x14ac:dyDescent="0.25">
      <c r="A698" s="7"/>
      <c r="E698" s="7"/>
      <c r="F698" s="7"/>
    </row>
    <row r="699" spans="1:6" ht="13.2" x14ac:dyDescent="0.25">
      <c r="A699" s="7"/>
      <c r="E699" s="7"/>
      <c r="F699" s="7"/>
    </row>
    <row r="700" spans="1:6" ht="13.2" x14ac:dyDescent="0.25">
      <c r="A700" s="7"/>
      <c r="E700" s="7"/>
      <c r="F700" s="7"/>
    </row>
    <row r="701" spans="1:6" ht="13.2" x14ac:dyDescent="0.25">
      <c r="A701" s="7"/>
      <c r="E701" s="7"/>
      <c r="F701" s="7"/>
    </row>
    <row r="702" spans="1:6" ht="13.2" x14ac:dyDescent="0.25">
      <c r="A702" s="7"/>
      <c r="E702" s="7"/>
      <c r="F702" s="7"/>
    </row>
    <row r="703" spans="1:6" ht="13.2" x14ac:dyDescent="0.25">
      <c r="A703" s="7"/>
      <c r="E703" s="7"/>
      <c r="F703" s="7"/>
    </row>
    <row r="704" spans="1:6" ht="13.2" x14ac:dyDescent="0.25">
      <c r="A704" s="7"/>
      <c r="E704" s="7"/>
      <c r="F704" s="7"/>
    </row>
    <row r="705" spans="1:6" ht="13.2" x14ac:dyDescent="0.25">
      <c r="A705" s="7"/>
      <c r="E705" s="7"/>
      <c r="F705" s="7"/>
    </row>
    <row r="706" spans="1:6" ht="13.2" x14ac:dyDescent="0.25">
      <c r="A706" s="7"/>
      <c r="E706" s="7"/>
      <c r="F706" s="7"/>
    </row>
    <row r="707" spans="1:6" ht="13.2" x14ac:dyDescent="0.25">
      <c r="A707" s="7"/>
      <c r="E707" s="7"/>
      <c r="F707" s="7"/>
    </row>
    <row r="708" spans="1:6" ht="13.2" x14ac:dyDescent="0.25">
      <c r="A708" s="7"/>
      <c r="E708" s="7"/>
      <c r="F708" s="7"/>
    </row>
    <row r="709" spans="1:6" ht="13.2" x14ac:dyDescent="0.25">
      <c r="A709" s="7"/>
      <c r="E709" s="7"/>
      <c r="F709" s="7"/>
    </row>
    <row r="710" spans="1:6" ht="13.2" x14ac:dyDescent="0.25">
      <c r="A710" s="7"/>
      <c r="E710" s="7"/>
      <c r="F710" s="7"/>
    </row>
    <row r="711" spans="1:6" ht="13.2" x14ac:dyDescent="0.25">
      <c r="A711" s="7"/>
      <c r="E711" s="7"/>
      <c r="F711" s="7"/>
    </row>
    <row r="712" spans="1:6" ht="13.2" x14ac:dyDescent="0.25">
      <c r="A712" s="7"/>
      <c r="E712" s="7"/>
      <c r="F712" s="7"/>
    </row>
    <row r="713" spans="1:6" ht="13.2" x14ac:dyDescent="0.25">
      <c r="A713" s="7"/>
      <c r="E713" s="7"/>
      <c r="F713" s="7"/>
    </row>
    <row r="714" spans="1:6" ht="13.2" x14ac:dyDescent="0.25">
      <c r="A714" s="7"/>
      <c r="E714" s="7"/>
      <c r="F714" s="7"/>
    </row>
    <row r="715" spans="1:6" ht="13.2" x14ac:dyDescent="0.25">
      <c r="A715" s="7"/>
      <c r="E715" s="7"/>
      <c r="F715" s="7"/>
    </row>
    <row r="716" spans="1:6" ht="13.2" x14ac:dyDescent="0.25">
      <c r="A716" s="7"/>
      <c r="E716" s="7"/>
      <c r="F716" s="7"/>
    </row>
    <row r="717" spans="1:6" ht="13.2" x14ac:dyDescent="0.25">
      <c r="A717" s="7"/>
      <c r="E717" s="7"/>
      <c r="F717" s="7"/>
    </row>
    <row r="718" spans="1:6" ht="13.2" x14ac:dyDescent="0.25">
      <c r="A718" s="7"/>
      <c r="E718" s="7"/>
      <c r="F718" s="7"/>
    </row>
    <row r="719" spans="1:6" ht="13.2" x14ac:dyDescent="0.25">
      <c r="A719" s="7"/>
      <c r="E719" s="7"/>
      <c r="F719" s="7"/>
    </row>
    <row r="720" spans="1:6" ht="13.2" x14ac:dyDescent="0.25">
      <c r="A720" s="7"/>
      <c r="E720" s="7"/>
      <c r="F720" s="7"/>
    </row>
    <row r="721" spans="1:6" ht="13.2" x14ac:dyDescent="0.25">
      <c r="A721" s="7"/>
      <c r="E721" s="7"/>
      <c r="F721" s="7"/>
    </row>
    <row r="722" spans="1:6" ht="13.2" x14ac:dyDescent="0.25">
      <c r="A722" s="7"/>
      <c r="E722" s="7"/>
      <c r="F722" s="7"/>
    </row>
    <row r="723" spans="1:6" ht="13.2" x14ac:dyDescent="0.25">
      <c r="A723" s="7"/>
      <c r="E723" s="7"/>
      <c r="F723" s="7"/>
    </row>
    <row r="724" spans="1:6" ht="13.2" x14ac:dyDescent="0.25">
      <c r="A724" s="7"/>
      <c r="E724" s="7"/>
      <c r="F724" s="7"/>
    </row>
    <row r="725" spans="1:6" ht="13.2" x14ac:dyDescent="0.25">
      <c r="A725" s="7"/>
      <c r="E725" s="7"/>
      <c r="F725" s="7"/>
    </row>
    <row r="726" spans="1:6" ht="13.2" x14ac:dyDescent="0.25">
      <c r="A726" s="7"/>
      <c r="E726" s="7"/>
      <c r="F726" s="7"/>
    </row>
    <row r="727" spans="1:6" ht="13.2" x14ac:dyDescent="0.25">
      <c r="A727" s="7"/>
      <c r="E727" s="7"/>
      <c r="F727" s="7"/>
    </row>
    <row r="728" spans="1:6" ht="13.2" x14ac:dyDescent="0.25">
      <c r="A728" s="7"/>
      <c r="E728" s="7"/>
      <c r="F728" s="7"/>
    </row>
    <row r="729" spans="1:6" ht="13.2" x14ac:dyDescent="0.25">
      <c r="A729" s="7"/>
      <c r="E729" s="7"/>
      <c r="F729" s="7"/>
    </row>
    <row r="730" spans="1:6" ht="13.2" x14ac:dyDescent="0.25">
      <c r="A730" s="7"/>
      <c r="E730" s="7"/>
      <c r="F730" s="7"/>
    </row>
    <row r="731" spans="1:6" ht="13.2" x14ac:dyDescent="0.25">
      <c r="A731" s="7"/>
      <c r="E731" s="7"/>
      <c r="F731" s="7"/>
    </row>
    <row r="732" spans="1:6" ht="13.2" x14ac:dyDescent="0.25">
      <c r="A732" s="7"/>
      <c r="E732" s="7"/>
      <c r="F732" s="7"/>
    </row>
    <row r="733" spans="1:6" ht="13.2" x14ac:dyDescent="0.25">
      <c r="A733" s="7"/>
      <c r="E733" s="7"/>
      <c r="F733" s="7"/>
    </row>
    <row r="734" spans="1:6" ht="13.2" x14ac:dyDescent="0.25">
      <c r="A734" s="7"/>
      <c r="E734" s="7"/>
      <c r="F734" s="7"/>
    </row>
    <row r="735" spans="1:6" ht="13.2" x14ac:dyDescent="0.25">
      <c r="A735" s="7"/>
      <c r="E735" s="7"/>
      <c r="F735" s="7"/>
    </row>
    <row r="736" spans="1:6" ht="13.2" x14ac:dyDescent="0.25">
      <c r="A736" s="7"/>
      <c r="E736" s="7"/>
      <c r="F736" s="7"/>
    </row>
    <row r="737" spans="1:6" ht="13.2" x14ac:dyDescent="0.25">
      <c r="A737" s="7"/>
      <c r="E737" s="7"/>
      <c r="F737" s="7"/>
    </row>
    <row r="738" spans="1:6" ht="13.2" x14ac:dyDescent="0.25">
      <c r="A738" s="7"/>
      <c r="E738" s="7"/>
      <c r="F738" s="7"/>
    </row>
    <row r="739" spans="1:6" ht="13.2" x14ac:dyDescent="0.25">
      <c r="A739" s="7"/>
      <c r="E739" s="7"/>
      <c r="F739" s="7"/>
    </row>
    <row r="740" spans="1:6" ht="13.2" x14ac:dyDescent="0.25">
      <c r="A740" s="7"/>
      <c r="E740" s="7"/>
      <c r="F740" s="7"/>
    </row>
    <row r="741" spans="1:6" ht="13.2" x14ac:dyDescent="0.25">
      <c r="A741" s="7"/>
      <c r="E741" s="7"/>
      <c r="F741" s="7"/>
    </row>
    <row r="742" spans="1:6" ht="13.2" x14ac:dyDescent="0.25">
      <c r="A742" s="7"/>
      <c r="E742" s="7"/>
      <c r="F742" s="7"/>
    </row>
    <row r="743" spans="1:6" ht="13.2" x14ac:dyDescent="0.25">
      <c r="A743" s="7"/>
      <c r="E743" s="7"/>
      <c r="F743" s="7"/>
    </row>
    <row r="744" spans="1:6" ht="13.2" x14ac:dyDescent="0.25">
      <c r="A744" s="7"/>
      <c r="E744" s="7"/>
      <c r="F744" s="7"/>
    </row>
    <row r="745" spans="1:6" ht="13.2" x14ac:dyDescent="0.25">
      <c r="A745" s="7"/>
      <c r="E745" s="7"/>
      <c r="F745" s="7"/>
    </row>
    <row r="746" spans="1:6" ht="13.2" x14ac:dyDescent="0.25">
      <c r="A746" s="7"/>
      <c r="E746" s="7"/>
      <c r="F746" s="7"/>
    </row>
    <row r="747" spans="1:6" ht="13.2" x14ac:dyDescent="0.25">
      <c r="A747" s="7"/>
      <c r="E747" s="7"/>
      <c r="F747" s="7"/>
    </row>
    <row r="748" spans="1:6" ht="13.2" x14ac:dyDescent="0.25">
      <c r="A748" s="7"/>
      <c r="E748" s="7"/>
      <c r="F748" s="7"/>
    </row>
    <row r="749" spans="1:6" ht="13.2" x14ac:dyDescent="0.25">
      <c r="A749" s="7"/>
      <c r="E749" s="7"/>
      <c r="F749" s="7"/>
    </row>
    <row r="750" spans="1:6" ht="13.2" x14ac:dyDescent="0.25">
      <c r="A750" s="7"/>
      <c r="E750" s="7"/>
      <c r="F750" s="7"/>
    </row>
    <row r="751" spans="1:6" ht="13.2" x14ac:dyDescent="0.25">
      <c r="A751" s="7"/>
      <c r="E751" s="7"/>
      <c r="F751" s="7"/>
    </row>
    <row r="752" spans="1:6" ht="13.2" x14ac:dyDescent="0.25">
      <c r="A752" s="7"/>
      <c r="E752" s="7"/>
      <c r="F752" s="7"/>
    </row>
    <row r="753" spans="1:6" ht="13.2" x14ac:dyDescent="0.25">
      <c r="A753" s="7"/>
      <c r="E753" s="7"/>
      <c r="F753" s="7"/>
    </row>
    <row r="754" spans="1:6" ht="13.2" x14ac:dyDescent="0.25">
      <c r="A754" s="7"/>
      <c r="E754" s="7"/>
      <c r="F754" s="7"/>
    </row>
    <row r="755" spans="1:6" ht="13.2" x14ac:dyDescent="0.25">
      <c r="A755" s="7"/>
      <c r="E755" s="7"/>
      <c r="F755" s="7"/>
    </row>
    <row r="756" spans="1:6" ht="13.2" x14ac:dyDescent="0.25">
      <c r="A756" s="7"/>
      <c r="E756" s="7"/>
      <c r="F756" s="7"/>
    </row>
    <row r="757" spans="1:6" ht="13.2" x14ac:dyDescent="0.25">
      <c r="A757" s="7"/>
      <c r="E757" s="7"/>
      <c r="F757" s="7"/>
    </row>
    <row r="758" spans="1:6" ht="13.2" x14ac:dyDescent="0.25">
      <c r="A758" s="7"/>
      <c r="E758" s="7"/>
      <c r="F758" s="7"/>
    </row>
    <row r="759" spans="1:6" ht="13.2" x14ac:dyDescent="0.25">
      <c r="A759" s="7"/>
      <c r="E759" s="7"/>
      <c r="F759" s="7"/>
    </row>
    <row r="760" spans="1:6" ht="13.2" x14ac:dyDescent="0.25">
      <c r="A760" s="7"/>
      <c r="E760" s="7"/>
      <c r="F760" s="7"/>
    </row>
    <row r="761" spans="1:6" ht="13.2" x14ac:dyDescent="0.25">
      <c r="A761" s="7"/>
      <c r="E761" s="7"/>
      <c r="F761" s="7"/>
    </row>
    <row r="762" spans="1:6" ht="13.2" x14ac:dyDescent="0.25">
      <c r="A762" s="7"/>
      <c r="E762" s="7"/>
      <c r="F762" s="7"/>
    </row>
    <row r="763" spans="1:6" ht="13.2" x14ac:dyDescent="0.25">
      <c r="A763" s="7"/>
      <c r="E763" s="7"/>
      <c r="F763" s="7"/>
    </row>
    <row r="764" spans="1:6" ht="13.2" x14ac:dyDescent="0.25">
      <c r="A764" s="7"/>
      <c r="E764" s="7"/>
      <c r="F764" s="7"/>
    </row>
    <row r="765" spans="1:6" ht="13.2" x14ac:dyDescent="0.25">
      <c r="A765" s="7"/>
      <c r="E765" s="7"/>
      <c r="F765" s="7"/>
    </row>
    <row r="766" spans="1:6" ht="13.2" x14ac:dyDescent="0.25">
      <c r="A766" s="7"/>
      <c r="E766" s="7"/>
      <c r="F766" s="7"/>
    </row>
    <row r="767" spans="1:6" ht="13.2" x14ac:dyDescent="0.25">
      <c r="A767" s="7"/>
      <c r="E767" s="7"/>
      <c r="F767" s="7"/>
    </row>
    <row r="768" spans="1:6" ht="13.2" x14ac:dyDescent="0.25">
      <c r="A768" s="7"/>
      <c r="E768" s="7"/>
      <c r="F768" s="7"/>
    </row>
    <row r="769" spans="1:6" ht="13.2" x14ac:dyDescent="0.25">
      <c r="A769" s="7"/>
      <c r="E769" s="7"/>
      <c r="F769" s="7"/>
    </row>
    <row r="770" spans="1:6" ht="13.2" x14ac:dyDescent="0.25">
      <c r="A770" s="7"/>
      <c r="E770" s="7"/>
      <c r="F770" s="7"/>
    </row>
    <row r="771" spans="1:6" ht="13.2" x14ac:dyDescent="0.25">
      <c r="A771" s="7"/>
      <c r="E771" s="7"/>
      <c r="F771" s="7"/>
    </row>
    <row r="772" spans="1:6" ht="13.2" x14ac:dyDescent="0.25">
      <c r="A772" s="7"/>
      <c r="E772" s="7"/>
      <c r="F772" s="7"/>
    </row>
    <row r="773" spans="1:6" ht="13.2" x14ac:dyDescent="0.25">
      <c r="A773" s="7"/>
      <c r="E773" s="7"/>
      <c r="F773" s="7"/>
    </row>
    <row r="774" spans="1:6" ht="13.2" x14ac:dyDescent="0.25">
      <c r="A774" s="7"/>
      <c r="E774" s="7"/>
      <c r="F774" s="7"/>
    </row>
    <row r="775" spans="1:6" ht="13.2" x14ac:dyDescent="0.25">
      <c r="A775" s="7"/>
      <c r="E775" s="7"/>
      <c r="F775" s="7"/>
    </row>
    <row r="776" spans="1:6" ht="13.2" x14ac:dyDescent="0.25">
      <c r="A776" s="7"/>
      <c r="E776" s="7"/>
      <c r="F776" s="7"/>
    </row>
    <row r="777" spans="1:6" ht="13.2" x14ac:dyDescent="0.25">
      <c r="A777" s="7"/>
      <c r="E777" s="7"/>
      <c r="F777" s="7"/>
    </row>
    <row r="778" spans="1:6" ht="13.2" x14ac:dyDescent="0.25">
      <c r="A778" s="7"/>
      <c r="E778" s="7"/>
      <c r="F778" s="7"/>
    </row>
    <row r="779" spans="1:6" ht="13.2" x14ac:dyDescent="0.25">
      <c r="A779" s="7"/>
      <c r="E779" s="7"/>
      <c r="F779" s="7"/>
    </row>
    <row r="780" spans="1:6" ht="13.2" x14ac:dyDescent="0.25">
      <c r="A780" s="7"/>
      <c r="E780" s="7"/>
      <c r="F780" s="7"/>
    </row>
    <row r="781" spans="1:6" ht="13.2" x14ac:dyDescent="0.25">
      <c r="A781" s="7"/>
      <c r="E781" s="7"/>
      <c r="F781" s="7"/>
    </row>
    <row r="782" spans="1:6" ht="13.2" x14ac:dyDescent="0.25">
      <c r="A782" s="7"/>
      <c r="E782" s="7"/>
      <c r="F782" s="7"/>
    </row>
    <row r="783" spans="1:6" ht="13.2" x14ac:dyDescent="0.25">
      <c r="A783" s="7"/>
      <c r="E783" s="7"/>
      <c r="F783" s="7"/>
    </row>
    <row r="784" spans="1:6" ht="13.2" x14ac:dyDescent="0.25">
      <c r="A784" s="7"/>
      <c r="E784" s="7"/>
      <c r="F784" s="7"/>
    </row>
    <row r="785" spans="1:6" ht="13.2" x14ac:dyDescent="0.25">
      <c r="A785" s="7"/>
      <c r="E785" s="7"/>
      <c r="F785" s="7"/>
    </row>
    <row r="786" spans="1:6" ht="13.2" x14ac:dyDescent="0.25">
      <c r="A786" s="7"/>
      <c r="E786" s="7"/>
      <c r="F786" s="7"/>
    </row>
    <row r="787" spans="1:6" ht="13.2" x14ac:dyDescent="0.25">
      <c r="A787" s="7"/>
      <c r="E787" s="7"/>
      <c r="F787" s="7"/>
    </row>
    <row r="788" spans="1:6" ht="13.2" x14ac:dyDescent="0.25">
      <c r="A788" s="7"/>
      <c r="E788" s="7"/>
      <c r="F788" s="7"/>
    </row>
    <row r="789" spans="1:6" ht="13.2" x14ac:dyDescent="0.25">
      <c r="A789" s="7"/>
      <c r="E789" s="7"/>
      <c r="F789" s="7"/>
    </row>
    <row r="790" spans="1:6" ht="13.2" x14ac:dyDescent="0.25">
      <c r="A790" s="7"/>
      <c r="E790" s="7"/>
      <c r="F790" s="7"/>
    </row>
    <row r="791" spans="1:6" ht="13.2" x14ac:dyDescent="0.25">
      <c r="A791" s="7"/>
      <c r="E791" s="7"/>
      <c r="F791" s="7"/>
    </row>
    <row r="792" spans="1:6" ht="13.2" x14ac:dyDescent="0.25">
      <c r="A792" s="7"/>
      <c r="E792" s="7"/>
      <c r="F792" s="7"/>
    </row>
    <row r="793" spans="1:6" ht="13.2" x14ac:dyDescent="0.25">
      <c r="A793" s="7"/>
      <c r="E793" s="7"/>
      <c r="F793" s="7"/>
    </row>
    <row r="794" spans="1:6" ht="13.2" x14ac:dyDescent="0.25">
      <c r="A794" s="7"/>
      <c r="E794" s="7"/>
      <c r="F794" s="7"/>
    </row>
    <row r="795" spans="1:6" ht="13.2" x14ac:dyDescent="0.25">
      <c r="A795" s="7"/>
      <c r="E795" s="7"/>
      <c r="F795" s="7"/>
    </row>
    <row r="796" spans="1:6" ht="13.2" x14ac:dyDescent="0.25">
      <c r="A796" s="7"/>
      <c r="E796" s="7"/>
      <c r="F796" s="7"/>
    </row>
    <row r="797" spans="1:6" ht="13.2" x14ac:dyDescent="0.25">
      <c r="A797" s="7"/>
      <c r="E797" s="7"/>
      <c r="F797" s="7"/>
    </row>
    <row r="798" spans="1:6" ht="13.2" x14ac:dyDescent="0.25">
      <c r="A798" s="7"/>
      <c r="E798" s="7"/>
      <c r="F798" s="7"/>
    </row>
    <row r="799" spans="1:6" ht="13.2" x14ac:dyDescent="0.25">
      <c r="A799" s="7"/>
      <c r="E799" s="7"/>
      <c r="F799" s="7"/>
    </row>
    <row r="800" spans="1:6" ht="13.2" x14ac:dyDescent="0.25">
      <c r="A800" s="7"/>
      <c r="E800" s="7"/>
      <c r="F800" s="7"/>
    </row>
    <row r="801" spans="1:6" ht="13.2" x14ac:dyDescent="0.25">
      <c r="A801" s="7"/>
      <c r="E801" s="7"/>
      <c r="F801" s="7"/>
    </row>
    <row r="802" spans="1:6" ht="13.2" x14ac:dyDescent="0.25">
      <c r="A802" s="7"/>
      <c r="E802" s="7"/>
      <c r="F802" s="7"/>
    </row>
    <row r="803" spans="1:6" ht="13.2" x14ac:dyDescent="0.25">
      <c r="A803" s="7"/>
      <c r="E803" s="7"/>
      <c r="F803" s="7"/>
    </row>
    <row r="804" spans="1:6" ht="13.2" x14ac:dyDescent="0.25">
      <c r="A804" s="7"/>
      <c r="E804" s="7"/>
      <c r="F804" s="7"/>
    </row>
    <row r="805" spans="1:6" ht="13.2" x14ac:dyDescent="0.25">
      <c r="A805" s="7"/>
      <c r="E805" s="7"/>
      <c r="F805" s="7"/>
    </row>
    <row r="806" spans="1:6" ht="13.2" x14ac:dyDescent="0.25">
      <c r="A806" s="7"/>
      <c r="E806" s="7"/>
      <c r="F806" s="7"/>
    </row>
    <row r="807" spans="1:6" ht="13.2" x14ac:dyDescent="0.25">
      <c r="A807" s="7"/>
      <c r="E807" s="7"/>
      <c r="F807" s="7"/>
    </row>
    <row r="808" spans="1:6" ht="13.2" x14ac:dyDescent="0.25">
      <c r="A808" s="7"/>
      <c r="E808" s="7"/>
      <c r="F808" s="7"/>
    </row>
    <row r="809" spans="1:6" ht="13.2" x14ac:dyDescent="0.25">
      <c r="A809" s="7"/>
      <c r="E809" s="7"/>
      <c r="F809" s="7"/>
    </row>
    <row r="810" spans="1:6" ht="13.2" x14ac:dyDescent="0.25">
      <c r="A810" s="7"/>
      <c r="E810" s="7"/>
      <c r="F810" s="7"/>
    </row>
    <row r="811" spans="1:6" ht="13.2" x14ac:dyDescent="0.25">
      <c r="A811" s="7"/>
      <c r="E811" s="7"/>
      <c r="F811" s="7"/>
    </row>
    <row r="812" spans="1:6" ht="13.2" x14ac:dyDescent="0.25">
      <c r="A812" s="7"/>
      <c r="E812" s="7"/>
      <c r="F812" s="7"/>
    </row>
    <row r="813" spans="1:6" ht="13.2" x14ac:dyDescent="0.25">
      <c r="A813" s="7"/>
      <c r="E813" s="7"/>
      <c r="F813" s="7"/>
    </row>
    <row r="814" spans="1:6" ht="13.2" x14ac:dyDescent="0.25">
      <c r="A814" s="7"/>
      <c r="E814" s="7"/>
      <c r="F814" s="7"/>
    </row>
    <row r="815" spans="1:6" ht="13.2" x14ac:dyDescent="0.25">
      <c r="A815" s="7"/>
      <c r="E815" s="7"/>
      <c r="F815" s="7"/>
    </row>
    <row r="816" spans="1:6" ht="13.2" x14ac:dyDescent="0.25">
      <c r="A816" s="7"/>
      <c r="E816" s="7"/>
      <c r="F816" s="7"/>
    </row>
    <row r="817" spans="1:6" ht="13.2" x14ac:dyDescent="0.25">
      <c r="A817" s="7"/>
      <c r="E817" s="7"/>
      <c r="F817" s="7"/>
    </row>
    <row r="818" spans="1:6" ht="13.2" x14ac:dyDescent="0.25">
      <c r="A818" s="7"/>
      <c r="E818" s="7"/>
      <c r="F818" s="7"/>
    </row>
    <row r="819" spans="1:6" ht="13.2" x14ac:dyDescent="0.25">
      <c r="A819" s="7"/>
      <c r="E819" s="7"/>
      <c r="F819" s="7"/>
    </row>
    <row r="820" spans="1:6" ht="13.2" x14ac:dyDescent="0.25">
      <c r="A820" s="7"/>
      <c r="E820" s="7"/>
      <c r="F820" s="7"/>
    </row>
    <row r="821" spans="1:6" ht="13.2" x14ac:dyDescent="0.25">
      <c r="A821" s="7"/>
      <c r="E821" s="7"/>
      <c r="F821" s="7"/>
    </row>
    <row r="822" spans="1:6" ht="13.2" x14ac:dyDescent="0.25">
      <c r="A822" s="7"/>
      <c r="E822" s="7"/>
      <c r="F822" s="7"/>
    </row>
    <row r="823" spans="1:6" ht="13.2" x14ac:dyDescent="0.25">
      <c r="A823" s="7"/>
      <c r="E823" s="7"/>
      <c r="F823" s="7"/>
    </row>
    <row r="824" spans="1:6" ht="13.2" x14ac:dyDescent="0.25">
      <c r="A824" s="7"/>
      <c r="E824" s="7"/>
      <c r="F824" s="7"/>
    </row>
    <row r="825" spans="1:6" ht="13.2" x14ac:dyDescent="0.25">
      <c r="A825" s="7"/>
      <c r="E825" s="7"/>
      <c r="F825" s="7"/>
    </row>
    <row r="826" spans="1:6" ht="13.2" x14ac:dyDescent="0.25">
      <c r="A826" s="7"/>
      <c r="E826" s="7"/>
      <c r="F826" s="7"/>
    </row>
    <row r="827" spans="1:6" ht="13.2" x14ac:dyDescent="0.25">
      <c r="A827" s="7"/>
      <c r="E827" s="7"/>
      <c r="F827" s="7"/>
    </row>
    <row r="828" spans="1:6" ht="13.2" x14ac:dyDescent="0.25">
      <c r="A828" s="7"/>
      <c r="E828" s="7"/>
      <c r="F828" s="7"/>
    </row>
    <row r="829" spans="1:6" ht="13.2" x14ac:dyDescent="0.25">
      <c r="A829" s="7"/>
      <c r="E829" s="7"/>
      <c r="F829" s="7"/>
    </row>
    <row r="830" spans="1:6" ht="13.2" x14ac:dyDescent="0.25">
      <c r="A830" s="7"/>
      <c r="E830" s="7"/>
      <c r="F830" s="7"/>
    </row>
    <row r="831" spans="1:6" ht="13.2" x14ac:dyDescent="0.25">
      <c r="A831" s="7"/>
      <c r="E831" s="7"/>
      <c r="F831" s="7"/>
    </row>
    <row r="832" spans="1:6" ht="13.2" x14ac:dyDescent="0.25">
      <c r="A832" s="7"/>
      <c r="E832" s="7"/>
      <c r="F832" s="7"/>
    </row>
    <row r="833" spans="1:6" ht="13.2" x14ac:dyDescent="0.25">
      <c r="A833" s="7"/>
      <c r="E833" s="7"/>
      <c r="F833" s="7"/>
    </row>
    <row r="834" spans="1:6" ht="13.2" x14ac:dyDescent="0.25">
      <c r="A834" s="7"/>
      <c r="E834" s="7"/>
      <c r="F834" s="7"/>
    </row>
    <row r="835" spans="1:6" ht="13.2" x14ac:dyDescent="0.25">
      <c r="A835" s="7"/>
      <c r="E835" s="7"/>
      <c r="F835" s="7"/>
    </row>
    <row r="836" spans="1:6" ht="13.2" x14ac:dyDescent="0.25">
      <c r="A836" s="7"/>
      <c r="E836" s="7"/>
      <c r="F836" s="7"/>
    </row>
    <row r="837" spans="1:6" ht="13.2" x14ac:dyDescent="0.25">
      <c r="A837" s="7"/>
      <c r="E837" s="7"/>
      <c r="F837" s="7"/>
    </row>
    <row r="838" spans="1:6" ht="13.2" x14ac:dyDescent="0.25">
      <c r="A838" s="7"/>
      <c r="E838" s="7"/>
      <c r="F838" s="7"/>
    </row>
    <row r="839" spans="1:6" ht="13.2" x14ac:dyDescent="0.25">
      <c r="A839" s="7"/>
      <c r="E839" s="7"/>
      <c r="F839" s="7"/>
    </row>
    <row r="840" spans="1:6" ht="13.2" x14ac:dyDescent="0.25">
      <c r="A840" s="7"/>
      <c r="E840" s="7"/>
      <c r="F840" s="7"/>
    </row>
    <row r="841" spans="1:6" ht="13.2" x14ac:dyDescent="0.25">
      <c r="A841" s="7"/>
      <c r="E841" s="7"/>
      <c r="F841" s="7"/>
    </row>
    <row r="842" spans="1:6" ht="13.2" x14ac:dyDescent="0.25">
      <c r="A842" s="7"/>
      <c r="E842" s="7"/>
      <c r="F842" s="7"/>
    </row>
    <row r="843" spans="1:6" ht="13.2" x14ac:dyDescent="0.25">
      <c r="A843" s="7"/>
      <c r="E843" s="7"/>
      <c r="F843" s="7"/>
    </row>
    <row r="844" spans="1:6" ht="13.2" x14ac:dyDescent="0.25">
      <c r="A844" s="7"/>
      <c r="E844" s="7"/>
      <c r="F844" s="7"/>
    </row>
    <row r="845" spans="1:6" ht="13.2" x14ac:dyDescent="0.25">
      <c r="A845" s="7"/>
      <c r="E845" s="7"/>
      <c r="F845" s="7"/>
    </row>
    <row r="846" spans="1:6" ht="13.2" x14ac:dyDescent="0.25">
      <c r="A846" s="7"/>
      <c r="E846" s="7"/>
      <c r="F846" s="7"/>
    </row>
    <row r="847" spans="1:6" ht="13.2" x14ac:dyDescent="0.25">
      <c r="A847" s="7"/>
      <c r="E847" s="7"/>
      <c r="F847" s="7"/>
    </row>
    <row r="848" spans="1:6" ht="13.2" x14ac:dyDescent="0.25">
      <c r="A848" s="7"/>
      <c r="E848" s="7"/>
      <c r="F848" s="7"/>
    </row>
    <row r="849" spans="1:6" ht="13.2" x14ac:dyDescent="0.25">
      <c r="A849" s="7"/>
      <c r="E849" s="7"/>
      <c r="F849" s="7"/>
    </row>
    <row r="850" spans="1:6" ht="13.2" x14ac:dyDescent="0.25">
      <c r="A850" s="7"/>
      <c r="E850" s="7"/>
      <c r="F850" s="7"/>
    </row>
    <row r="851" spans="1:6" ht="13.2" x14ac:dyDescent="0.25">
      <c r="A851" s="7"/>
      <c r="E851" s="7"/>
      <c r="F851" s="7"/>
    </row>
    <row r="852" spans="1:6" ht="13.2" x14ac:dyDescent="0.25">
      <c r="A852" s="7"/>
      <c r="E852" s="7"/>
      <c r="F852" s="7"/>
    </row>
    <row r="853" spans="1:6" ht="13.2" x14ac:dyDescent="0.25">
      <c r="A853" s="7"/>
      <c r="E853" s="7"/>
      <c r="F853" s="7"/>
    </row>
    <row r="854" spans="1:6" ht="13.2" x14ac:dyDescent="0.25">
      <c r="A854" s="7"/>
      <c r="E854" s="7"/>
      <c r="F854" s="7"/>
    </row>
    <row r="855" spans="1:6" ht="13.2" x14ac:dyDescent="0.25">
      <c r="A855" s="7"/>
      <c r="E855" s="7"/>
      <c r="F855" s="7"/>
    </row>
    <row r="856" spans="1:6" ht="13.2" x14ac:dyDescent="0.25">
      <c r="A856" s="7"/>
      <c r="E856" s="7"/>
      <c r="F856" s="7"/>
    </row>
    <row r="857" spans="1:6" ht="13.2" x14ac:dyDescent="0.25">
      <c r="A857" s="7"/>
      <c r="E857" s="7"/>
      <c r="F857" s="7"/>
    </row>
    <row r="858" spans="1:6" ht="13.2" x14ac:dyDescent="0.25">
      <c r="A858" s="7"/>
      <c r="E858" s="7"/>
      <c r="F858" s="7"/>
    </row>
    <row r="859" spans="1:6" ht="13.2" x14ac:dyDescent="0.25">
      <c r="A859" s="7"/>
      <c r="E859" s="7"/>
      <c r="F859" s="7"/>
    </row>
    <row r="860" spans="1:6" ht="13.2" x14ac:dyDescent="0.25">
      <c r="A860" s="7"/>
      <c r="E860" s="7"/>
      <c r="F860" s="7"/>
    </row>
    <row r="861" spans="1:6" ht="13.2" x14ac:dyDescent="0.25">
      <c r="A861" s="7"/>
      <c r="E861" s="7"/>
      <c r="F861" s="7"/>
    </row>
    <row r="862" spans="1:6" ht="13.2" x14ac:dyDescent="0.25">
      <c r="A862" s="7"/>
      <c r="E862" s="7"/>
      <c r="F862" s="7"/>
    </row>
    <row r="863" spans="1:6" ht="13.2" x14ac:dyDescent="0.25">
      <c r="A863" s="7"/>
      <c r="E863" s="7"/>
      <c r="F863" s="7"/>
    </row>
    <row r="864" spans="1:6" ht="13.2" x14ac:dyDescent="0.25">
      <c r="A864" s="7"/>
      <c r="E864" s="7"/>
      <c r="F864" s="7"/>
    </row>
    <row r="865" spans="1:6" ht="13.2" x14ac:dyDescent="0.25">
      <c r="A865" s="7"/>
      <c r="E865" s="7"/>
      <c r="F865" s="7"/>
    </row>
    <row r="866" spans="1:6" ht="13.2" x14ac:dyDescent="0.25">
      <c r="A866" s="7"/>
      <c r="E866" s="7"/>
      <c r="F866" s="7"/>
    </row>
    <row r="867" spans="1:6" ht="13.2" x14ac:dyDescent="0.25">
      <c r="A867" s="7"/>
      <c r="E867" s="7"/>
      <c r="F867" s="7"/>
    </row>
    <row r="868" spans="1:6" ht="13.2" x14ac:dyDescent="0.25">
      <c r="A868" s="7"/>
      <c r="E868" s="7"/>
      <c r="F868" s="7"/>
    </row>
    <row r="869" spans="1:6" ht="13.2" x14ac:dyDescent="0.25">
      <c r="A869" s="7"/>
      <c r="E869" s="7"/>
      <c r="F869" s="7"/>
    </row>
    <row r="870" spans="1:6" ht="13.2" x14ac:dyDescent="0.25">
      <c r="A870" s="7"/>
      <c r="E870" s="7"/>
      <c r="F870" s="7"/>
    </row>
    <row r="871" spans="1:6" ht="13.2" x14ac:dyDescent="0.25">
      <c r="A871" s="7"/>
      <c r="E871" s="7"/>
      <c r="F871" s="7"/>
    </row>
    <row r="872" spans="1:6" ht="13.2" x14ac:dyDescent="0.25">
      <c r="A872" s="7"/>
      <c r="E872" s="7"/>
      <c r="F872" s="7"/>
    </row>
    <row r="873" spans="1:6" ht="13.2" x14ac:dyDescent="0.25">
      <c r="A873" s="7"/>
      <c r="E873" s="7"/>
      <c r="F873" s="7"/>
    </row>
    <row r="874" spans="1:6" ht="13.2" x14ac:dyDescent="0.25">
      <c r="A874" s="7"/>
      <c r="E874" s="7"/>
      <c r="F874" s="7"/>
    </row>
    <row r="875" spans="1:6" ht="13.2" x14ac:dyDescent="0.25">
      <c r="A875" s="7"/>
      <c r="E875" s="7"/>
      <c r="F875" s="7"/>
    </row>
    <row r="876" spans="1:6" ht="13.2" x14ac:dyDescent="0.25">
      <c r="A876" s="7"/>
      <c r="E876" s="7"/>
      <c r="F876" s="7"/>
    </row>
    <row r="877" spans="1:6" ht="13.2" x14ac:dyDescent="0.25">
      <c r="A877" s="7"/>
      <c r="E877" s="7"/>
      <c r="F877" s="7"/>
    </row>
    <row r="878" spans="1:6" ht="13.2" x14ac:dyDescent="0.25">
      <c r="A878" s="7"/>
      <c r="E878" s="7"/>
      <c r="F878" s="7"/>
    </row>
    <row r="879" spans="1:6" ht="13.2" x14ac:dyDescent="0.25">
      <c r="A879" s="7"/>
      <c r="E879" s="7"/>
      <c r="F879" s="7"/>
    </row>
    <row r="880" spans="1:6" ht="13.2" x14ac:dyDescent="0.25">
      <c r="A880" s="7"/>
      <c r="E880" s="7"/>
      <c r="F880" s="7"/>
    </row>
    <row r="881" spans="1:6" ht="13.2" x14ac:dyDescent="0.25">
      <c r="A881" s="7"/>
      <c r="E881" s="7"/>
      <c r="F881" s="7"/>
    </row>
    <row r="882" spans="1:6" ht="13.2" x14ac:dyDescent="0.25">
      <c r="A882" s="7"/>
      <c r="E882" s="7"/>
      <c r="F882" s="7"/>
    </row>
    <row r="883" spans="1:6" ht="13.2" x14ac:dyDescent="0.25">
      <c r="A883" s="7"/>
      <c r="E883" s="7"/>
      <c r="F883" s="7"/>
    </row>
    <row r="884" spans="1:6" ht="13.2" x14ac:dyDescent="0.25">
      <c r="A884" s="7"/>
      <c r="E884" s="7"/>
      <c r="F884" s="7"/>
    </row>
    <row r="885" spans="1:6" ht="13.2" x14ac:dyDescent="0.25">
      <c r="A885" s="7"/>
      <c r="E885" s="7"/>
      <c r="F885" s="7"/>
    </row>
    <row r="886" spans="1:6" ht="13.2" x14ac:dyDescent="0.25">
      <c r="A886" s="7"/>
      <c r="E886" s="7"/>
      <c r="F886" s="7"/>
    </row>
    <row r="887" spans="1:6" ht="13.2" x14ac:dyDescent="0.25">
      <c r="A887" s="7"/>
      <c r="E887" s="7"/>
      <c r="F887" s="7"/>
    </row>
    <row r="888" spans="1:6" ht="13.2" x14ac:dyDescent="0.25">
      <c r="A888" s="7"/>
      <c r="E888" s="7"/>
      <c r="F888" s="7"/>
    </row>
    <row r="889" spans="1:6" ht="13.2" x14ac:dyDescent="0.25">
      <c r="A889" s="7"/>
      <c r="E889" s="7"/>
      <c r="F889" s="7"/>
    </row>
    <row r="890" spans="1:6" ht="13.2" x14ac:dyDescent="0.25">
      <c r="A890" s="7"/>
      <c r="E890" s="7"/>
      <c r="F890" s="7"/>
    </row>
    <row r="891" spans="1:6" ht="13.2" x14ac:dyDescent="0.25">
      <c r="A891" s="7"/>
      <c r="E891" s="7"/>
      <c r="F891" s="7"/>
    </row>
    <row r="892" spans="1:6" ht="13.2" x14ac:dyDescent="0.25">
      <c r="A892" s="7"/>
      <c r="E892" s="7"/>
      <c r="F892" s="7"/>
    </row>
    <row r="893" spans="1:6" ht="13.2" x14ac:dyDescent="0.25">
      <c r="A893" s="7"/>
      <c r="E893" s="7"/>
      <c r="F893" s="7"/>
    </row>
    <row r="894" spans="1:6" ht="13.2" x14ac:dyDescent="0.25">
      <c r="A894" s="7"/>
      <c r="E894" s="7"/>
      <c r="F894" s="7"/>
    </row>
    <row r="895" spans="1:6" ht="13.2" x14ac:dyDescent="0.25">
      <c r="A895" s="7"/>
      <c r="E895" s="7"/>
      <c r="F895" s="7"/>
    </row>
    <row r="896" spans="1:6" ht="13.2" x14ac:dyDescent="0.25">
      <c r="A896" s="7"/>
      <c r="E896" s="7"/>
      <c r="F896" s="7"/>
    </row>
    <row r="897" spans="1:6" ht="13.2" x14ac:dyDescent="0.25">
      <c r="A897" s="7"/>
      <c r="E897" s="7"/>
      <c r="F897" s="7"/>
    </row>
    <row r="898" spans="1:6" ht="13.2" x14ac:dyDescent="0.25">
      <c r="A898" s="7"/>
      <c r="E898" s="7"/>
      <c r="F898" s="7"/>
    </row>
    <row r="899" spans="1:6" ht="13.2" x14ac:dyDescent="0.25">
      <c r="A899" s="7"/>
      <c r="E899" s="7"/>
      <c r="F899" s="7"/>
    </row>
    <row r="900" spans="1:6" ht="13.2" x14ac:dyDescent="0.25">
      <c r="A900" s="7"/>
      <c r="E900" s="7"/>
      <c r="F900" s="7"/>
    </row>
    <row r="901" spans="1:6" ht="13.2" x14ac:dyDescent="0.25">
      <c r="A901" s="7"/>
      <c r="E901" s="7"/>
      <c r="F901" s="7"/>
    </row>
    <row r="902" spans="1:6" ht="13.2" x14ac:dyDescent="0.25">
      <c r="A902" s="7"/>
      <c r="E902" s="7"/>
      <c r="F902" s="7"/>
    </row>
    <row r="903" spans="1:6" ht="13.2" x14ac:dyDescent="0.25">
      <c r="A903" s="7"/>
      <c r="E903" s="7"/>
      <c r="F903" s="7"/>
    </row>
    <row r="904" spans="1:6" ht="13.2" x14ac:dyDescent="0.25">
      <c r="A904" s="7"/>
      <c r="E904" s="7"/>
      <c r="F904" s="7"/>
    </row>
    <row r="905" spans="1:6" ht="13.2" x14ac:dyDescent="0.25">
      <c r="A905" s="7"/>
      <c r="E905" s="7"/>
      <c r="F905" s="7"/>
    </row>
    <row r="906" spans="1:6" ht="13.2" x14ac:dyDescent="0.25">
      <c r="A906" s="7"/>
      <c r="E906" s="7"/>
      <c r="F906" s="7"/>
    </row>
    <row r="907" spans="1:6" ht="13.2" x14ac:dyDescent="0.25">
      <c r="A907" s="7"/>
      <c r="E907" s="7"/>
      <c r="F907" s="7"/>
    </row>
    <row r="908" spans="1:6" ht="13.2" x14ac:dyDescent="0.25">
      <c r="A908" s="7"/>
      <c r="E908" s="7"/>
      <c r="F908" s="7"/>
    </row>
    <row r="909" spans="1:6" ht="13.2" x14ac:dyDescent="0.25">
      <c r="A909" s="7"/>
      <c r="E909" s="7"/>
      <c r="F909" s="7"/>
    </row>
    <row r="910" spans="1:6" ht="13.2" x14ac:dyDescent="0.25">
      <c r="A910" s="7"/>
      <c r="E910" s="7"/>
      <c r="F910" s="7"/>
    </row>
    <row r="911" spans="1:6" ht="13.2" x14ac:dyDescent="0.25">
      <c r="A911" s="7"/>
      <c r="E911" s="7"/>
      <c r="F911" s="7"/>
    </row>
    <row r="912" spans="1:6" ht="13.2" x14ac:dyDescent="0.25">
      <c r="A912" s="7"/>
      <c r="E912" s="7"/>
      <c r="F912" s="7"/>
    </row>
    <row r="913" spans="1:6" ht="13.2" x14ac:dyDescent="0.25">
      <c r="A913" s="7"/>
      <c r="E913" s="7"/>
      <c r="F913" s="7"/>
    </row>
    <row r="914" spans="1:6" ht="13.2" x14ac:dyDescent="0.25">
      <c r="A914" s="7"/>
      <c r="E914" s="7"/>
      <c r="F914" s="7"/>
    </row>
    <row r="915" spans="1:6" ht="13.2" x14ac:dyDescent="0.25">
      <c r="A915" s="7"/>
      <c r="E915" s="7"/>
      <c r="F915" s="7"/>
    </row>
    <row r="916" spans="1:6" ht="13.2" x14ac:dyDescent="0.25">
      <c r="A916" s="7"/>
      <c r="E916" s="7"/>
      <c r="F916" s="7"/>
    </row>
    <row r="917" spans="1:6" ht="13.2" x14ac:dyDescent="0.25">
      <c r="A917" s="7"/>
      <c r="E917" s="7"/>
      <c r="F917" s="7"/>
    </row>
    <row r="918" spans="1:6" ht="13.2" x14ac:dyDescent="0.25">
      <c r="A918" s="7"/>
      <c r="E918" s="7"/>
      <c r="F918" s="7"/>
    </row>
    <row r="919" spans="1:6" ht="13.2" x14ac:dyDescent="0.25">
      <c r="A919" s="7"/>
      <c r="E919" s="7"/>
      <c r="F919" s="7"/>
    </row>
    <row r="920" spans="1:6" ht="13.2" x14ac:dyDescent="0.25">
      <c r="A920" s="7"/>
      <c r="E920" s="7"/>
      <c r="F920" s="7"/>
    </row>
    <row r="921" spans="1:6" ht="13.2" x14ac:dyDescent="0.25">
      <c r="A921" s="7"/>
      <c r="E921" s="7"/>
      <c r="F921" s="7"/>
    </row>
    <row r="922" spans="1:6" ht="13.2" x14ac:dyDescent="0.25">
      <c r="A922" s="7"/>
      <c r="E922" s="7"/>
      <c r="F922" s="7"/>
    </row>
    <row r="923" spans="1:6" ht="13.2" x14ac:dyDescent="0.25">
      <c r="A923" s="7"/>
      <c r="E923" s="7"/>
      <c r="F923" s="7"/>
    </row>
    <row r="924" spans="1:6" ht="13.2" x14ac:dyDescent="0.25">
      <c r="A924" s="7"/>
      <c r="E924" s="7"/>
      <c r="F924" s="7"/>
    </row>
    <row r="925" spans="1:6" ht="13.2" x14ac:dyDescent="0.25">
      <c r="A925" s="7"/>
      <c r="E925" s="7"/>
      <c r="F925" s="7"/>
    </row>
    <row r="926" spans="1:6" ht="13.2" x14ac:dyDescent="0.25">
      <c r="A926" s="7"/>
      <c r="E926" s="7"/>
      <c r="F926" s="7"/>
    </row>
    <row r="927" spans="1:6" ht="13.2" x14ac:dyDescent="0.25">
      <c r="A927" s="7"/>
      <c r="E927" s="7"/>
      <c r="F927" s="7"/>
    </row>
    <row r="928" spans="1:6" ht="13.2" x14ac:dyDescent="0.25">
      <c r="A928" s="7"/>
      <c r="E928" s="7"/>
      <c r="F928" s="7"/>
    </row>
    <row r="929" spans="1:6" ht="13.2" x14ac:dyDescent="0.25">
      <c r="A929" s="7"/>
      <c r="E929" s="7"/>
      <c r="F929" s="7"/>
    </row>
    <row r="930" spans="1:6" ht="13.2" x14ac:dyDescent="0.25">
      <c r="A930" s="7"/>
      <c r="E930" s="7"/>
      <c r="F930" s="7"/>
    </row>
    <row r="931" spans="1:6" ht="13.2" x14ac:dyDescent="0.25">
      <c r="A931" s="7"/>
      <c r="E931" s="7"/>
      <c r="F931" s="7"/>
    </row>
    <row r="932" spans="1:6" ht="13.2" x14ac:dyDescent="0.25">
      <c r="A932" s="7"/>
      <c r="E932" s="7"/>
      <c r="F932" s="7"/>
    </row>
    <row r="933" spans="1:6" ht="13.2" x14ac:dyDescent="0.25">
      <c r="A933" s="7"/>
      <c r="E933" s="7"/>
      <c r="F933" s="7"/>
    </row>
    <row r="934" spans="1:6" ht="13.2" x14ac:dyDescent="0.25">
      <c r="A934" s="7"/>
      <c r="E934" s="7"/>
      <c r="F934" s="7"/>
    </row>
    <row r="935" spans="1:6" ht="13.2" x14ac:dyDescent="0.25">
      <c r="A935" s="7"/>
      <c r="E935" s="7"/>
      <c r="F935" s="7"/>
    </row>
    <row r="936" spans="1:6" ht="13.2" x14ac:dyDescent="0.25">
      <c r="A936" s="7"/>
      <c r="E936" s="7"/>
      <c r="F936" s="7"/>
    </row>
    <row r="937" spans="1:6" ht="13.2" x14ac:dyDescent="0.25">
      <c r="A937" s="7"/>
      <c r="E937" s="7"/>
      <c r="F937" s="7"/>
    </row>
    <row r="938" spans="1:6" ht="13.2" x14ac:dyDescent="0.25">
      <c r="A938" s="7"/>
      <c r="E938" s="7"/>
      <c r="F938" s="7"/>
    </row>
    <row r="939" spans="1:6" ht="13.2" x14ac:dyDescent="0.25">
      <c r="A939" s="7"/>
      <c r="E939" s="7"/>
      <c r="F939" s="7"/>
    </row>
    <row r="940" spans="1:6" ht="13.2" x14ac:dyDescent="0.25">
      <c r="A940" s="7"/>
      <c r="E940" s="7"/>
      <c r="F940" s="7"/>
    </row>
    <row r="941" spans="1:6" ht="13.2" x14ac:dyDescent="0.25">
      <c r="A941" s="7"/>
      <c r="E941" s="7"/>
      <c r="F941" s="7"/>
    </row>
    <row r="942" spans="1:6" ht="13.2" x14ac:dyDescent="0.25">
      <c r="A942" s="7"/>
      <c r="E942" s="7"/>
      <c r="F942" s="7"/>
    </row>
    <row r="943" spans="1:6" ht="13.2" x14ac:dyDescent="0.25">
      <c r="A943" s="7"/>
      <c r="E943" s="7"/>
      <c r="F943" s="7"/>
    </row>
    <row r="944" spans="1:6" ht="13.2" x14ac:dyDescent="0.25">
      <c r="A944" s="7"/>
      <c r="E944" s="7"/>
      <c r="F944" s="7"/>
    </row>
    <row r="945" spans="1:6" ht="13.2" x14ac:dyDescent="0.25">
      <c r="A945" s="7"/>
      <c r="E945" s="7"/>
      <c r="F945" s="7"/>
    </row>
    <row r="946" spans="1:6" ht="13.2" x14ac:dyDescent="0.25">
      <c r="A946" s="7"/>
      <c r="E946" s="7"/>
      <c r="F946" s="7"/>
    </row>
    <row r="947" spans="1:6" ht="13.2" x14ac:dyDescent="0.25">
      <c r="A947" s="7"/>
      <c r="E947" s="7"/>
      <c r="F947" s="7"/>
    </row>
    <row r="948" spans="1:6" ht="13.2" x14ac:dyDescent="0.25">
      <c r="A948" s="7"/>
      <c r="E948" s="7"/>
      <c r="F948" s="7"/>
    </row>
    <row r="949" spans="1:6" ht="13.2" x14ac:dyDescent="0.25">
      <c r="A949" s="7"/>
      <c r="E949" s="7"/>
      <c r="F949" s="7"/>
    </row>
    <row r="950" spans="1:6" ht="13.2" x14ac:dyDescent="0.25">
      <c r="A950" s="7"/>
      <c r="E950" s="7"/>
      <c r="F950" s="7"/>
    </row>
    <row r="951" spans="1:6" ht="13.2" x14ac:dyDescent="0.25">
      <c r="A951" s="7"/>
      <c r="E951" s="7"/>
      <c r="F951" s="7"/>
    </row>
    <row r="952" spans="1:6" ht="13.2" x14ac:dyDescent="0.25">
      <c r="A952" s="7"/>
      <c r="E952" s="7"/>
      <c r="F952" s="7"/>
    </row>
    <row r="953" spans="1:6" ht="13.2" x14ac:dyDescent="0.25">
      <c r="A953" s="7"/>
      <c r="E953" s="7"/>
      <c r="F953" s="7"/>
    </row>
    <row r="954" spans="1:6" ht="13.2" x14ac:dyDescent="0.25">
      <c r="A954" s="7"/>
      <c r="E954" s="7"/>
      <c r="F954" s="7"/>
    </row>
    <row r="955" spans="1:6" ht="13.2" x14ac:dyDescent="0.25">
      <c r="A955" s="7"/>
      <c r="E955" s="7"/>
      <c r="F955" s="7"/>
    </row>
    <row r="956" spans="1:6" ht="13.2" x14ac:dyDescent="0.25">
      <c r="A956" s="7"/>
      <c r="E956" s="7"/>
      <c r="F956" s="7"/>
    </row>
    <row r="957" spans="1:6" ht="13.2" x14ac:dyDescent="0.25">
      <c r="A957" s="7"/>
      <c r="E957" s="7"/>
      <c r="F957" s="7"/>
    </row>
    <row r="958" spans="1:6" ht="13.2" x14ac:dyDescent="0.25">
      <c r="A958" s="7"/>
      <c r="E958" s="7"/>
      <c r="F958" s="7"/>
    </row>
    <row r="959" spans="1:6" ht="13.2" x14ac:dyDescent="0.25">
      <c r="A959" s="7"/>
      <c r="E959" s="7"/>
      <c r="F959" s="7"/>
    </row>
    <row r="960" spans="1:6" ht="13.2" x14ac:dyDescent="0.25">
      <c r="A960" s="7"/>
      <c r="E960" s="7"/>
      <c r="F960" s="7"/>
    </row>
    <row r="961" spans="1:6" ht="13.2" x14ac:dyDescent="0.25">
      <c r="A961" s="7"/>
      <c r="E961" s="7"/>
      <c r="F961" s="7"/>
    </row>
    <row r="962" spans="1:6" ht="13.2" x14ac:dyDescent="0.25">
      <c r="A962" s="7"/>
      <c r="E962" s="7"/>
      <c r="F962" s="7"/>
    </row>
    <row r="963" spans="1:6" ht="13.2" x14ac:dyDescent="0.25">
      <c r="A963" s="7"/>
      <c r="E963" s="7"/>
      <c r="F963" s="7"/>
    </row>
    <row r="964" spans="1:6" ht="13.2" x14ac:dyDescent="0.25">
      <c r="A964" s="7"/>
      <c r="E964" s="7"/>
      <c r="F964" s="7"/>
    </row>
    <row r="965" spans="1:6" ht="13.2" x14ac:dyDescent="0.25">
      <c r="A965" s="7"/>
      <c r="E965" s="7"/>
      <c r="F965" s="7"/>
    </row>
    <row r="966" spans="1:6" ht="13.2" x14ac:dyDescent="0.25">
      <c r="A966" s="7"/>
      <c r="E966" s="7"/>
      <c r="F966" s="7"/>
    </row>
    <row r="967" spans="1:6" ht="13.2" x14ac:dyDescent="0.25">
      <c r="A967" s="7"/>
      <c r="E967" s="7"/>
      <c r="F967" s="7"/>
    </row>
    <row r="968" spans="1:6" ht="13.2" x14ac:dyDescent="0.25">
      <c r="A968" s="7"/>
      <c r="E968" s="7"/>
      <c r="F968" s="7"/>
    </row>
    <row r="969" spans="1:6" ht="13.2" x14ac:dyDescent="0.25">
      <c r="A969" s="7"/>
      <c r="E969" s="7"/>
      <c r="F969" s="7"/>
    </row>
    <row r="970" spans="1:6" ht="13.2" x14ac:dyDescent="0.25">
      <c r="A970" s="7"/>
      <c r="E970" s="7"/>
      <c r="F970" s="7"/>
    </row>
    <row r="971" spans="1:6" ht="13.2" x14ac:dyDescent="0.25">
      <c r="A971" s="7"/>
      <c r="E971" s="7"/>
      <c r="F971" s="7"/>
    </row>
    <row r="972" spans="1:6" ht="13.2" x14ac:dyDescent="0.25">
      <c r="A972" s="7"/>
      <c r="E972" s="7"/>
      <c r="F972" s="7"/>
    </row>
    <row r="973" spans="1:6" ht="13.2" x14ac:dyDescent="0.25">
      <c r="A973" s="7"/>
      <c r="E973" s="7"/>
      <c r="F973" s="7"/>
    </row>
    <row r="974" spans="1:6" ht="13.2" x14ac:dyDescent="0.25">
      <c r="A974" s="7"/>
      <c r="E974" s="7"/>
      <c r="F974" s="7"/>
    </row>
    <row r="975" spans="1:6" ht="13.2" x14ac:dyDescent="0.25">
      <c r="A975" s="7"/>
      <c r="E975" s="7"/>
      <c r="F975" s="7"/>
    </row>
    <row r="976" spans="1:6" ht="13.2" x14ac:dyDescent="0.25">
      <c r="A976" s="7"/>
      <c r="E976" s="7"/>
      <c r="F976" s="7"/>
    </row>
    <row r="977" spans="1:6" ht="13.2" x14ac:dyDescent="0.25">
      <c r="A977" s="7"/>
      <c r="E977" s="7"/>
      <c r="F977" s="7"/>
    </row>
    <row r="978" spans="1:6" ht="13.2" x14ac:dyDescent="0.25">
      <c r="A978" s="7"/>
      <c r="E978" s="7"/>
      <c r="F978" s="7"/>
    </row>
    <row r="979" spans="1:6" ht="13.2" x14ac:dyDescent="0.25">
      <c r="A979" s="7"/>
      <c r="E979" s="7"/>
      <c r="F979" s="7"/>
    </row>
    <row r="980" spans="1:6" ht="13.2" x14ac:dyDescent="0.25">
      <c r="A980" s="7"/>
      <c r="E980" s="7"/>
      <c r="F980" s="7"/>
    </row>
    <row r="981" spans="1:6" ht="13.2" x14ac:dyDescent="0.25">
      <c r="A981" s="7"/>
      <c r="E981" s="7"/>
      <c r="F981" s="7"/>
    </row>
    <row r="982" spans="1:6" ht="13.2" x14ac:dyDescent="0.25">
      <c r="A982" s="7"/>
      <c r="E982" s="7"/>
      <c r="F982" s="7"/>
    </row>
    <row r="983" spans="1:6" ht="13.2" x14ac:dyDescent="0.25">
      <c r="A983" s="7"/>
      <c r="E983" s="7"/>
      <c r="F983" s="7"/>
    </row>
    <row r="984" spans="1:6" ht="13.2" x14ac:dyDescent="0.25">
      <c r="A984" s="7"/>
      <c r="E984" s="7"/>
      <c r="F984" s="7"/>
    </row>
    <row r="985" spans="1:6" ht="13.2" x14ac:dyDescent="0.25">
      <c r="A985" s="7"/>
      <c r="E985" s="7"/>
      <c r="F985" s="7"/>
    </row>
    <row r="986" spans="1:6" ht="13.2" x14ac:dyDescent="0.25">
      <c r="A986" s="7"/>
      <c r="E986" s="7"/>
      <c r="F986" s="7"/>
    </row>
    <row r="987" spans="1:6" ht="13.2" x14ac:dyDescent="0.25">
      <c r="A987" s="7"/>
      <c r="E987" s="7"/>
      <c r="F987" s="7"/>
    </row>
    <row r="988" spans="1:6" ht="13.2" x14ac:dyDescent="0.25">
      <c r="A988" s="7"/>
      <c r="E988" s="7"/>
      <c r="F988" s="7"/>
    </row>
    <row r="989" spans="1:6" ht="13.2" x14ac:dyDescent="0.25">
      <c r="A989" s="7"/>
      <c r="E989" s="7"/>
      <c r="F989" s="7"/>
    </row>
    <row r="990" spans="1:6" ht="13.2" x14ac:dyDescent="0.25">
      <c r="A990" s="7"/>
      <c r="E990" s="7"/>
      <c r="F990" s="7"/>
    </row>
    <row r="991" spans="1:6" ht="13.2" x14ac:dyDescent="0.25">
      <c r="A991" s="7"/>
      <c r="E991" s="7"/>
      <c r="F991" s="7"/>
    </row>
    <row r="992" spans="1:6" ht="13.2" x14ac:dyDescent="0.25">
      <c r="A992" s="7"/>
      <c r="E992" s="7"/>
      <c r="F992" s="7"/>
    </row>
    <row r="993" spans="1:6" ht="13.2" x14ac:dyDescent="0.25">
      <c r="A993" s="7"/>
      <c r="E993" s="7"/>
      <c r="F993" s="7"/>
    </row>
    <row r="994" spans="1:6" ht="13.2" x14ac:dyDescent="0.25">
      <c r="A994" s="7"/>
      <c r="E994" s="7"/>
      <c r="F994" s="7"/>
    </row>
    <row r="995" spans="1:6" ht="13.2" x14ac:dyDescent="0.25">
      <c r="A995" s="7"/>
      <c r="E995" s="7"/>
      <c r="F995" s="7"/>
    </row>
    <row r="996" spans="1:6" ht="13.2" x14ac:dyDescent="0.25">
      <c r="A996" s="7"/>
      <c r="E996" s="7"/>
      <c r="F996" s="7"/>
    </row>
    <row r="997" spans="1:6" ht="13.2" x14ac:dyDescent="0.25">
      <c r="A997" s="7"/>
      <c r="E997" s="7"/>
      <c r="F997" s="7"/>
    </row>
    <row r="998" spans="1:6" ht="13.2" x14ac:dyDescent="0.25">
      <c r="A998" s="7"/>
      <c r="E998" s="7"/>
      <c r="F998" s="7"/>
    </row>
    <row r="999" spans="1:6" ht="13.2" x14ac:dyDescent="0.25">
      <c r="A999" s="7"/>
      <c r="E999" s="7"/>
      <c r="F999" s="7"/>
    </row>
    <row r="1000" spans="1:6" ht="13.2" x14ac:dyDescent="0.25">
      <c r="A1000" s="7"/>
      <c r="E1000" s="7"/>
      <c r="F1000" s="7"/>
    </row>
    <row r="1001" spans="1:6" ht="13.2" x14ac:dyDescent="0.25">
      <c r="A1001" s="7"/>
      <c r="E1001" s="7"/>
      <c r="F1001" s="7"/>
    </row>
    <row r="1002" spans="1:6" ht="13.2" x14ac:dyDescent="0.25">
      <c r="A1002" s="7"/>
      <c r="E1002" s="7"/>
      <c r="F1002" s="7"/>
    </row>
    <row r="1003" spans="1:6" ht="13.2" x14ac:dyDescent="0.25">
      <c r="A1003" s="7"/>
      <c r="E1003" s="7"/>
      <c r="F1003" s="7"/>
    </row>
    <row r="1004" spans="1:6" ht="13.2" x14ac:dyDescent="0.25">
      <c r="A1004" s="7"/>
      <c r="E1004" s="7"/>
      <c r="F1004" s="7"/>
    </row>
    <row r="1005" spans="1:6" ht="13.2" x14ac:dyDescent="0.25">
      <c r="A1005" s="7"/>
      <c r="E1005" s="7"/>
      <c r="F1005" s="7"/>
    </row>
    <row r="1006" spans="1:6" ht="13.2" x14ac:dyDescent="0.25">
      <c r="A1006" s="7"/>
      <c r="E1006" s="7"/>
      <c r="F1006" s="7"/>
    </row>
  </sheetData>
  <mergeCells count="8">
    <mergeCell ref="A20:I20"/>
    <mergeCell ref="A1:I1"/>
    <mergeCell ref="A2:I2"/>
    <mergeCell ref="B3:C3"/>
    <mergeCell ref="A16:A17"/>
    <mergeCell ref="B16:B17"/>
    <mergeCell ref="C16:C17"/>
    <mergeCell ref="D16:D17"/>
  </mergeCells>
  <printOptions horizontalCentered="1" gridLines="1"/>
  <pageMargins left="0.7" right="0.7" top="0.75" bottom="0.75" header="0" footer="0"/>
  <pageSetup fitToHeight="0" pageOrder="overThenDown" orientation="landscape" cellComments="atEnd"/>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pageSetUpPr fitToPage="1"/>
  </sheetPr>
  <dimension ref="A1:W1004"/>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46.33203125" customWidth="1"/>
    <col min="2" max="2" width="7.33203125" customWidth="1"/>
    <col min="3" max="4" width="7.88671875" customWidth="1"/>
    <col min="5" max="5" width="22.21875" customWidth="1"/>
    <col min="6" max="6" width="14.6640625" customWidth="1"/>
  </cols>
  <sheetData>
    <row r="1" spans="1:23" x14ac:dyDescent="0.25">
      <c r="A1" s="141" t="s">
        <v>514</v>
      </c>
      <c r="B1" s="142"/>
      <c r="C1" s="142"/>
      <c r="D1" s="142"/>
      <c r="E1" s="142"/>
      <c r="F1" s="142"/>
      <c r="G1" s="142"/>
      <c r="H1" s="142"/>
      <c r="I1" s="143"/>
    </row>
    <row r="2" spans="1:23" x14ac:dyDescent="0.25">
      <c r="A2" s="144" t="s">
        <v>515</v>
      </c>
      <c r="B2" s="142"/>
      <c r="C2" s="142"/>
      <c r="D2" s="142"/>
      <c r="E2" s="142"/>
      <c r="F2" s="142"/>
      <c r="G2" s="142"/>
      <c r="H2" s="142"/>
      <c r="I2" s="143"/>
    </row>
    <row r="3" spans="1:23" x14ac:dyDescent="0.25">
      <c r="A3" s="43" t="s">
        <v>374</v>
      </c>
      <c r="B3" s="145" t="s">
        <v>408</v>
      </c>
      <c r="C3" s="143"/>
      <c r="D3" s="49" t="s">
        <v>370</v>
      </c>
      <c r="E3" s="50" t="s">
        <v>371</v>
      </c>
      <c r="F3" s="51" t="s">
        <v>372</v>
      </c>
      <c r="G3" s="52" t="s">
        <v>373</v>
      </c>
      <c r="H3" s="53" t="s">
        <v>409</v>
      </c>
      <c r="I3" s="53" t="s">
        <v>410</v>
      </c>
      <c r="J3" s="7"/>
      <c r="K3" s="7"/>
      <c r="L3" s="7"/>
      <c r="M3" s="7"/>
      <c r="N3" s="7"/>
      <c r="O3" s="7"/>
      <c r="P3" s="7"/>
      <c r="Q3" s="7"/>
      <c r="R3" s="7"/>
      <c r="S3" s="7"/>
      <c r="T3" s="7"/>
      <c r="U3" s="7"/>
      <c r="V3" s="7"/>
      <c r="W3" s="7"/>
    </row>
    <row r="4" spans="1:23" x14ac:dyDescent="0.25">
      <c r="A4" s="41" t="s">
        <v>411</v>
      </c>
      <c r="B4" s="54">
        <f>SUM(B5:B9)/5</f>
        <v>1</v>
      </c>
      <c r="C4" s="55">
        <f>D4*B4</f>
        <v>0.7</v>
      </c>
      <c r="D4" s="56">
        <v>0.7</v>
      </c>
      <c r="E4" s="57"/>
      <c r="F4" s="57"/>
      <c r="G4" s="58"/>
      <c r="H4" s="58"/>
      <c r="I4" s="58"/>
    </row>
    <row r="5" spans="1:23" x14ac:dyDescent="0.25">
      <c r="A5" s="42" t="s">
        <v>516</v>
      </c>
      <c r="B5" s="59">
        <v>1</v>
      </c>
      <c r="C5" s="60"/>
      <c r="D5" s="60"/>
      <c r="E5" s="42" t="s">
        <v>517</v>
      </c>
      <c r="F5" s="61"/>
      <c r="G5" s="59">
        <v>0.8</v>
      </c>
      <c r="H5" s="59">
        <v>0.8</v>
      </c>
      <c r="I5" s="59">
        <v>1</v>
      </c>
    </row>
    <row r="6" spans="1:23" x14ac:dyDescent="0.25">
      <c r="A6" s="42" t="s">
        <v>518</v>
      </c>
      <c r="B6" s="59">
        <v>1</v>
      </c>
      <c r="C6" s="60"/>
      <c r="D6" s="60"/>
      <c r="E6" s="42" t="s">
        <v>519</v>
      </c>
      <c r="F6" s="61"/>
      <c r="G6" s="59">
        <v>0.8</v>
      </c>
      <c r="H6" s="59">
        <v>0.8</v>
      </c>
      <c r="I6" s="59">
        <v>1</v>
      </c>
    </row>
    <row r="7" spans="1:23" x14ac:dyDescent="0.25">
      <c r="A7" s="42" t="s">
        <v>520</v>
      </c>
      <c r="B7" s="59">
        <v>1</v>
      </c>
      <c r="C7" s="60"/>
      <c r="D7" s="60"/>
      <c r="E7" s="42"/>
      <c r="F7" s="61"/>
      <c r="G7" s="59">
        <v>0.8</v>
      </c>
      <c r="H7" s="59">
        <v>0.8</v>
      </c>
      <c r="I7" s="59">
        <v>1</v>
      </c>
    </row>
    <row r="8" spans="1:23" x14ac:dyDescent="0.25">
      <c r="A8" s="42" t="s">
        <v>521</v>
      </c>
      <c r="B8" s="59">
        <v>1</v>
      </c>
      <c r="C8" s="60"/>
      <c r="D8" s="60"/>
      <c r="E8" s="42" t="s">
        <v>522</v>
      </c>
      <c r="F8" s="42"/>
      <c r="G8" s="59">
        <v>0.8</v>
      </c>
      <c r="H8" s="59">
        <v>0.8</v>
      </c>
      <c r="I8" s="59">
        <v>1</v>
      </c>
    </row>
    <row r="9" spans="1:23" x14ac:dyDescent="0.25">
      <c r="A9" s="42" t="s">
        <v>523</v>
      </c>
      <c r="B9" s="59">
        <v>1</v>
      </c>
      <c r="C9" s="60"/>
      <c r="D9" s="60"/>
      <c r="E9" s="42" t="s">
        <v>524</v>
      </c>
      <c r="F9" s="42"/>
      <c r="G9" s="59">
        <v>0.8</v>
      </c>
      <c r="H9" s="59">
        <v>0.8</v>
      </c>
      <c r="I9" s="59">
        <v>1</v>
      </c>
    </row>
    <row r="10" spans="1:23" x14ac:dyDescent="0.25">
      <c r="A10" s="42"/>
      <c r="B10" s="62"/>
      <c r="C10" s="60"/>
      <c r="D10" s="60"/>
      <c r="E10" s="42"/>
      <c r="F10" s="42"/>
      <c r="G10" s="60"/>
      <c r="H10" s="60"/>
      <c r="I10" s="60"/>
    </row>
    <row r="11" spans="1:23" x14ac:dyDescent="0.25">
      <c r="A11" s="41" t="s">
        <v>415</v>
      </c>
      <c r="B11" s="54">
        <f>SUM(B12:B13)/1</f>
        <v>1</v>
      </c>
      <c r="C11" s="55">
        <f>D11*B11</f>
        <v>0.2</v>
      </c>
      <c r="D11" s="56">
        <v>0.2</v>
      </c>
      <c r="E11" s="57"/>
      <c r="F11" s="57"/>
      <c r="G11" s="58"/>
      <c r="H11" s="58"/>
      <c r="I11" s="58"/>
    </row>
    <row r="12" spans="1:23" x14ac:dyDescent="0.25">
      <c r="A12" s="79" t="s">
        <v>525</v>
      </c>
      <c r="B12" s="59">
        <v>1</v>
      </c>
      <c r="C12" s="60"/>
      <c r="D12" s="60"/>
      <c r="E12" s="42" t="s">
        <v>526</v>
      </c>
      <c r="F12" s="42" t="s">
        <v>425</v>
      </c>
      <c r="G12" s="59">
        <v>1</v>
      </c>
      <c r="H12" s="59"/>
      <c r="I12" s="59"/>
    </row>
    <row r="13" spans="1:23" x14ac:dyDescent="0.25">
      <c r="A13" s="43"/>
      <c r="B13" s="62"/>
      <c r="C13" s="60"/>
      <c r="D13" s="60"/>
      <c r="E13" s="42"/>
      <c r="F13" s="61"/>
      <c r="G13" s="59"/>
      <c r="H13" s="59"/>
      <c r="I13" s="59"/>
    </row>
    <row r="14" spans="1:23" x14ac:dyDescent="0.25">
      <c r="A14" s="41" t="s">
        <v>385</v>
      </c>
      <c r="B14" s="54">
        <f>SUM(B15:B16)/2</f>
        <v>1</v>
      </c>
      <c r="C14" s="55">
        <f>D14*B14</f>
        <v>0.1</v>
      </c>
      <c r="D14" s="56">
        <v>0.1</v>
      </c>
      <c r="E14" s="57"/>
      <c r="F14" s="57"/>
      <c r="G14" s="58"/>
      <c r="H14" s="58"/>
      <c r="I14" s="58"/>
    </row>
    <row r="15" spans="1:23" x14ac:dyDescent="0.25">
      <c r="A15" s="42" t="s">
        <v>386</v>
      </c>
      <c r="B15" s="59">
        <v>1</v>
      </c>
      <c r="C15" s="60"/>
      <c r="D15" s="53"/>
      <c r="E15" s="42" t="s">
        <v>527</v>
      </c>
      <c r="F15" s="42" t="s">
        <v>418</v>
      </c>
      <c r="G15" s="59">
        <v>0.8</v>
      </c>
      <c r="H15" s="59">
        <v>0.8</v>
      </c>
      <c r="I15" s="59">
        <v>1</v>
      </c>
    </row>
    <row r="16" spans="1:23" x14ac:dyDescent="0.25">
      <c r="A16" s="42" t="s">
        <v>387</v>
      </c>
      <c r="B16" s="59">
        <v>1</v>
      </c>
      <c r="C16" s="53"/>
      <c r="D16" s="53"/>
      <c r="E16" s="42" t="s">
        <v>528</v>
      </c>
      <c r="F16" s="42" t="s">
        <v>419</v>
      </c>
      <c r="G16" s="59">
        <v>0.8</v>
      </c>
      <c r="H16" s="59">
        <v>0.8</v>
      </c>
      <c r="I16" s="59">
        <v>1</v>
      </c>
    </row>
    <row r="17" spans="1:9" x14ac:dyDescent="0.25">
      <c r="A17" s="42"/>
      <c r="B17" s="60"/>
      <c r="C17" s="64">
        <f t="shared" ref="C17:D17" si="0">SUM(C4+C11+C14)</f>
        <v>0.99999999999999989</v>
      </c>
      <c r="D17" s="64">
        <f t="shared" si="0"/>
        <v>0.99999999999999989</v>
      </c>
      <c r="E17" s="42"/>
      <c r="F17" s="42"/>
      <c r="G17" s="60"/>
      <c r="H17" s="60"/>
      <c r="I17" s="60"/>
    </row>
    <row r="18" spans="1:9" x14ac:dyDescent="0.25">
      <c r="A18" s="152" t="s">
        <v>529</v>
      </c>
      <c r="B18" s="142"/>
      <c r="C18" s="142"/>
      <c r="D18" s="142"/>
      <c r="E18" s="142"/>
      <c r="F18" s="142"/>
      <c r="G18" s="142"/>
      <c r="H18" s="142"/>
      <c r="I18" s="143"/>
    </row>
    <row r="19" spans="1:9" x14ac:dyDescent="0.25">
      <c r="A19" s="66" t="s">
        <v>530</v>
      </c>
      <c r="B19" s="67" t="s">
        <v>423</v>
      </c>
      <c r="C19" s="64"/>
      <c r="D19" s="64"/>
      <c r="E19" s="7" t="s">
        <v>531</v>
      </c>
      <c r="F19" s="42" t="s">
        <v>425</v>
      </c>
      <c r="G19" s="42"/>
      <c r="H19" s="60"/>
      <c r="I19" s="60"/>
    </row>
    <row r="20" spans="1:9" x14ac:dyDescent="0.25">
      <c r="A20" s="66" t="s">
        <v>532</v>
      </c>
      <c r="B20" s="67" t="s">
        <v>423</v>
      </c>
      <c r="C20" s="64"/>
      <c r="D20" s="64"/>
      <c r="E20" s="68" t="s">
        <v>533</v>
      </c>
      <c r="F20" s="42" t="s">
        <v>425</v>
      </c>
      <c r="G20" s="42"/>
      <c r="H20" s="60"/>
      <c r="I20" s="60"/>
    </row>
    <row r="21" spans="1:9" x14ac:dyDescent="0.25">
      <c r="A21" s="66" t="s">
        <v>534</v>
      </c>
      <c r="B21" s="67"/>
      <c r="C21" s="64"/>
      <c r="D21" s="64"/>
      <c r="E21" s="68" t="s">
        <v>535</v>
      </c>
      <c r="F21" s="42"/>
      <c r="G21" s="42"/>
      <c r="H21" s="60"/>
      <c r="I21" s="60"/>
    </row>
    <row r="22" spans="1:9" x14ac:dyDescent="0.25">
      <c r="A22" s="7"/>
      <c r="E22" s="7"/>
      <c r="F22" s="7"/>
    </row>
    <row r="23" spans="1:9" x14ac:dyDescent="0.25">
      <c r="A23" s="7"/>
      <c r="E23" s="7"/>
      <c r="F23" s="7"/>
    </row>
    <row r="24" spans="1:9" x14ac:dyDescent="0.25">
      <c r="A24" s="7"/>
      <c r="E24" s="7"/>
      <c r="F24" s="7"/>
    </row>
    <row r="25" spans="1:9" x14ac:dyDescent="0.25">
      <c r="A25" s="7"/>
      <c r="E25" s="7"/>
      <c r="F25" s="7"/>
    </row>
    <row r="26" spans="1:9" x14ac:dyDescent="0.25">
      <c r="A26" s="7"/>
      <c r="E26" s="7"/>
      <c r="F26" s="7"/>
    </row>
    <row r="27" spans="1:9" x14ac:dyDescent="0.25">
      <c r="A27" s="7"/>
      <c r="E27" s="7"/>
      <c r="F27" s="7"/>
    </row>
    <row r="28" spans="1:9" x14ac:dyDescent="0.25">
      <c r="A28" s="7"/>
      <c r="E28" s="7"/>
      <c r="F28" s="7"/>
    </row>
    <row r="29" spans="1:9" x14ac:dyDescent="0.25">
      <c r="A29" s="7"/>
      <c r="E29" s="7"/>
      <c r="F29" s="7"/>
    </row>
    <row r="30" spans="1:9" x14ac:dyDescent="0.25">
      <c r="A30" s="7"/>
      <c r="E30" s="7"/>
      <c r="F30" s="7"/>
    </row>
    <row r="31" spans="1:9" x14ac:dyDescent="0.25">
      <c r="A31" s="7"/>
      <c r="E31" s="7"/>
      <c r="F31" s="7"/>
    </row>
    <row r="32" spans="1:9" x14ac:dyDescent="0.25">
      <c r="A32" s="7"/>
      <c r="E32" s="7"/>
      <c r="F32" s="7"/>
    </row>
    <row r="33" spans="1:6" x14ac:dyDescent="0.25">
      <c r="A33" s="7"/>
      <c r="E33" s="7"/>
      <c r="F33" s="7"/>
    </row>
    <row r="34" spans="1:6" x14ac:dyDescent="0.25">
      <c r="A34" s="7"/>
      <c r="E34" s="7"/>
      <c r="F34" s="7"/>
    </row>
    <row r="35" spans="1:6" x14ac:dyDescent="0.25">
      <c r="A35" s="7"/>
      <c r="E35" s="7"/>
      <c r="F35" s="7"/>
    </row>
    <row r="36" spans="1:6" x14ac:dyDescent="0.25">
      <c r="A36" s="7"/>
      <c r="E36" s="7"/>
      <c r="F36" s="7"/>
    </row>
    <row r="37" spans="1:6" x14ac:dyDescent="0.25">
      <c r="A37" s="7"/>
      <c r="E37" s="7"/>
      <c r="F37" s="7"/>
    </row>
    <row r="38" spans="1:6" x14ac:dyDescent="0.25">
      <c r="A38" s="7"/>
      <c r="E38" s="7"/>
      <c r="F38" s="7"/>
    </row>
    <row r="39" spans="1:6" x14ac:dyDescent="0.25">
      <c r="A39" s="7"/>
      <c r="E39" s="7"/>
      <c r="F39" s="7"/>
    </row>
    <row r="40" spans="1:6" x14ac:dyDescent="0.25">
      <c r="A40" s="7"/>
      <c r="E40" s="7"/>
      <c r="F40" s="7"/>
    </row>
    <row r="41" spans="1:6" x14ac:dyDescent="0.25">
      <c r="A41" s="7"/>
      <c r="E41" s="7"/>
      <c r="F41" s="7"/>
    </row>
    <row r="42" spans="1:6" x14ac:dyDescent="0.25">
      <c r="A42" s="7"/>
      <c r="E42" s="7"/>
      <c r="F42" s="7"/>
    </row>
    <row r="43" spans="1:6" x14ac:dyDescent="0.25">
      <c r="A43" s="7"/>
      <c r="E43" s="7"/>
      <c r="F43" s="7"/>
    </row>
    <row r="44" spans="1:6" x14ac:dyDescent="0.25">
      <c r="A44" s="7"/>
      <c r="E44" s="7"/>
      <c r="F44" s="7"/>
    </row>
    <row r="45" spans="1:6" x14ac:dyDescent="0.25">
      <c r="A45" s="7"/>
      <c r="E45" s="7"/>
      <c r="F45" s="7"/>
    </row>
    <row r="46" spans="1:6" x14ac:dyDescent="0.25">
      <c r="A46" s="7"/>
      <c r="E46" s="7"/>
      <c r="F46" s="7"/>
    </row>
    <row r="47" spans="1:6" x14ac:dyDescent="0.25">
      <c r="A47" s="7"/>
      <c r="E47" s="7"/>
      <c r="F47" s="7"/>
    </row>
    <row r="48" spans="1:6" x14ac:dyDescent="0.25">
      <c r="A48" s="7"/>
      <c r="E48" s="7"/>
      <c r="F48" s="7"/>
    </row>
    <row r="49" spans="1:6" x14ac:dyDescent="0.25">
      <c r="A49" s="7"/>
      <c r="E49" s="7"/>
      <c r="F49" s="7"/>
    </row>
    <row r="50" spans="1:6" x14ac:dyDescent="0.25">
      <c r="A50" s="7"/>
      <c r="E50" s="7"/>
      <c r="F50" s="7"/>
    </row>
    <row r="51" spans="1:6" x14ac:dyDescent="0.25">
      <c r="A51" s="7"/>
      <c r="E51" s="7"/>
      <c r="F51" s="7"/>
    </row>
    <row r="52" spans="1:6" x14ac:dyDescent="0.25">
      <c r="A52" s="7"/>
      <c r="E52" s="7"/>
      <c r="F52" s="7"/>
    </row>
    <row r="53" spans="1:6" x14ac:dyDescent="0.25">
      <c r="A53" s="7"/>
      <c r="E53" s="7"/>
      <c r="F53" s="7"/>
    </row>
    <row r="54" spans="1:6" x14ac:dyDescent="0.25">
      <c r="A54" s="7"/>
      <c r="E54" s="7"/>
      <c r="F54" s="7"/>
    </row>
    <row r="55" spans="1:6" x14ac:dyDescent="0.25">
      <c r="A55" s="7"/>
      <c r="E55" s="7"/>
      <c r="F55" s="7"/>
    </row>
    <row r="56" spans="1:6" x14ac:dyDescent="0.25">
      <c r="A56" s="7"/>
      <c r="E56" s="7"/>
      <c r="F56" s="7"/>
    </row>
    <row r="57" spans="1:6" x14ac:dyDescent="0.25">
      <c r="A57" s="7"/>
      <c r="E57" s="7"/>
      <c r="F57" s="7"/>
    </row>
    <row r="58" spans="1:6" x14ac:dyDescent="0.25">
      <c r="A58" s="7"/>
      <c r="E58" s="7"/>
      <c r="F58" s="7"/>
    </row>
    <row r="59" spans="1:6" x14ac:dyDescent="0.25">
      <c r="A59" s="7"/>
      <c r="E59" s="7"/>
      <c r="F59" s="7"/>
    </row>
    <row r="60" spans="1:6" x14ac:dyDescent="0.25">
      <c r="A60" s="7"/>
      <c r="E60" s="7"/>
      <c r="F60" s="7"/>
    </row>
    <row r="61" spans="1:6" x14ac:dyDescent="0.25">
      <c r="A61" s="7"/>
      <c r="E61" s="7"/>
      <c r="F61" s="7"/>
    </row>
    <row r="62" spans="1:6" x14ac:dyDescent="0.25">
      <c r="A62" s="7"/>
      <c r="E62" s="7"/>
      <c r="F62" s="7"/>
    </row>
    <row r="63" spans="1:6" x14ac:dyDescent="0.25">
      <c r="A63" s="7"/>
      <c r="E63" s="7"/>
      <c r="F63" s="7"/>
    </row>
    <row r="64" spans="1:6" x14ac:dyDescent="0.25">
      <c r="A64" s="7"/>
      <c r="E64" s="7"/>
      <c r="F64" s="7"/>
    </row>
    <row r="65" spans="1:6" x14ac:dyDescent="0.25">
      <c r="A65" s="7"/>
      <c r="E65" s="7"/>
      <c r="F65" s="7"/>
    </row>
    <row r="66" spans="1:6" x14ac:dyDescent="0.25">
      <c r="A66" s="7"/>
      <c r="E66" s="7"/>
      <c r="F66" s="7"/>
    </row>
    <row r="67" spans="1:6" x14ac:dyDescent="0.25">
      <c r="A67" s="7"/>
      <c r="E67" s="7"/>
      <c r="F67" s="7"/>
    </row>
    <row r="68" spans="1:6" x14ac:dyDescent="0.25">
      <c r="A68" s="7"/>
      <c r="E68" s="7"/>
      <c r="F68" s="7"/>
    </row>
    <row r="69" spans="1:6" x14ac:dyDescent="0.25">
      <c r="A69" s="7"/>
      <c r="E69" s="7"/>
      <c r="F69" s="7"/>
    </row>
    <row r="70" spans="1:6" x14ac:dyDescent="0.25">
      <c r="A70" s="7"/>
      <c r="E70" s="7"/>
      <c r="F70" s="7"/>
    </row>
    <row r="71" spans="1:6" x14ac:dyDescent="0.25">
      <c r="A71" s="7"/>
      <c r="E71" s="7"/>
      <c r="F71" s="7"/>
    </row>
    <row r="72" spans="1:6" x14ac:dyDescent="0.25">
      <c r="A72" s="7"/>
      <c r="E72" s="7"/>
      <c r="F72" s="7"/>
    </row>
    <row r="73" spans="1:6" x14ac:dyDescent="0.25">
      <c r="A73" s="7"/>
      <c r="E73" s="7"/>
      <c r="F73" s="7"/>
    </row>
    <row r="74" spans="1:6" x14ac:dyDescent="0.25">
      <c r="A74" s="7"/>
      <c r="E74" s="7"/>
      <c r="F74" s="7"/>
    </row>
    <row r="75" spans="1:6" x14ac:dyDescent="0.25">
      <c r="A75" s="7"/>
      <c r="E75" s="7"/>
      <c r="F75" s="7"/>
    </row>
    <row r="76" spans="1:6" x14ac:dyDescent="0.25">
      <c r="A76" s="7"/>
      <c r="E76" s="7"/>
      <c r="F76" s="7"/>
    </row>
    <row r="77" spans="1:6" x14ac:dyDescent="0.25">
      <c r="A77" s="7"/>
      <c r="E77" s="7"/>
      <c r="F77" s="7"/>
    </row>
    <row r="78" spans="1:6" x14ac:dyDescent="0.25">
      <c r="A78" s="7"/>
      <c r="E78" s="7"/>
      <c r="F78" s="7"/>
    </row>
    <row r="79" spans="1:6" x14ac:dyDescent="0.25">
      <c r="A79" s="7"/>
      <c r="E79" s="7"/>
      <c r="F79" s="7"/>
    </row>
    <row r="80" spans="1:6" x14ac:dyDescent="0.25">
      <c r="A80" s="7"/>
      <c r="E80" s="7"/>
      <c r="F80" s="7"/>
    </row>
    <row r="81" spans="1:6" x14ac:dyDescent="0.25">
      <c r="A81" s="7"/>
      <c r="E81" s="7"/>
      <c r="F81" s="7"/>
    </row>
    <row r="82" spans="1:6" x14ac:dyDescent="0.25">
      <c r="A82" s="7"/>
      <c r="E82" s="7"/>
      <c r="F82" s="7"/>
    </row>
    <row r="83" spans="1:6" x14ac:dyDescent="0.25">
      <c r="A83" s="7"/>
      <c r="E83" s="7"/>
      <c r="F83" s="7"/>
    </row>
    <row r="84" spans="1:6" x14ac:dyDescent="0.25">
      <c r="A84" s="7"/>
      <c r="E84" s="7"/>
      <c r="F84" s="7"/>
    </row>
    <row r="85" spans="1:6" x14ac:dyDescent="0.25">
      <c r="A85" s="7"/>
      <c r="E85" s="7"/>
      <c r="F85" s="7"/>
    </row>
    <row r="86" spans="1:6" x14ac:dyDescent="0.25">
      <c r="A86" s="7"/>
      <c r="E86" s="7"/>
      <c r="F86" s="7"/>
    </row>
    <row r="87" spans="1:6" x14ac:dyDescent="0.25">
      <c r="A87" s="7"/>
      <c r="E87" s="7"/>
      <c r="F87" s="7"/>
    </row>
    <row r="88" spans="1:6" x14ac:dyDescent="0.25">
      <c r="A88" s="7"/>
      <c r="E88" s="7"/>
      <c r="F88" s="7"/>
    </row>
    <row r="89" spans="1:6" x14ac:dyDescent="0.25">
      <c r="A89" s="7"/>
      <c r="E89" s="7"/>
      <c r="F89" s="7"/>
    </row>
    <row r="90" spans="1:6" x14ac:dyDescent="0.25">
      <c r="A90" s="7"/>
      <c r="E90" s="7"/>
      <c r="F90" s="7"/>
    </row>
    <row r="91" spans="1:6" x14ac:dyDescent="0.25">
      <c r="A91" s="7"/>
      <c r="E91" s="7"/>
      <c r="F91" s="7"/>
    </row>
    <row r="92" spans="1:6" x14ac:dyDescent="0.25">
      <c r="A92" s="7"/>
      <c r="E92" s="7"/>
      <c r="F92" s="7"/>
    </row>
    <row r="93" spans="1:6" x14ac:dyDescent="0.25">
      <c r="A93" s="7"/>
      <c r="E93" s="7"/>
      <c r="F93" s="7"/>
    </row>
    <row r="94" spans="1:6" x14ac:dyDescent="0.25">
      <c r="A94" s="7"/>
      <c r="E94" s="7"/>
      <c r="F94" s="7"/>
    </row>
    <row r="95" spans="1:6" x14ac:dyDescent="0.25">
      <c r="A95" s="7"/>
      <c r="E95" s="7"/>
      <c r="F95" s="7"/>
    </row>
    <row r="96" spans="1:6" x14ac:dyDescent="0.25">
      <c r="A96" s="7"/>
      <c r="E96" s="7"/>
      <c r="F96" s="7"/>
    </row>
    <row r="97" spans="1:6" x14ac:dyDescent="0.25">
      <c r="A97" s="7"/>
      <c r="E97" s="7"/>
      <c r="F97" s="7"/>
    </row>
    <row r="98" spans="1:6" x14ac:dyDescent="0.25">
      <c r="A98" s="7"/>
      <c r="E98" s="7"/>
      <c r="F98" s="7"/>
    </row>
    <row r="99" spans="1:6" x14ac:dyDescent="0.25">
      <c r="A99" s="7"/>
      <c r="E99" s="7"/>
      <c r="F99" s="7"/>
    </row>
    <row r="100" spans="1:6" x14ac:dyDescent="0.25">
      <c r="A100" s="7"/>
      <c r="E100" s="7"/>
      <c r="F100" s="7"/>
    </row>
    <row r="101" spans="1:6" x14ac:dyDescent="0.25">
      <c r="A101" s="7"/>
      <c r="E101" s="7"/>
      <c r="F101" s="7"/>
    </row>
    <row r="102" spans="1:6" x14ac:dyDescent="0.25">
      <c r="A102" s="7"/>
      <c r="E102" s="7"/>
      <c r="F102" s="7"/>
    </row>
    <row r="103" spans="1:6" x14ac:dyDescent="0.25">
      <c r="A103" s="7"/>
      <c r="E103" s="7"/>
      <c r="F103" s="7"/>
    </row>
    <row r="104" spans="1:6" x14ac:dyDescent="0.25">
      <c r="A104" s="7"/>
      <c r="E104" s="7"/>
      <c r="F104" s="7"/>
    </row>
    <row r="105" spans="1:6" x14ac:dyDescent="0.25">
      <c r="A105" s="7"/>
      <c r="E105" s="7"/>
      <c r="F105" s="7"/>
    </row>
    <row r="106" spans="1:6" x14ac:dyDescent="0.25">
      <c r="A106" s="7"/>
      <c r="E106" s="7"/>
      <c r="F106" s="7"/>
    </row>
    <row r="107" spans="1:6" x14ac:dyDescent="0.25">
      <c r="A107" s="7"/>
      <c r="E107" s="7"/>
      <c r="F107" s="7"/>
    </row>
    <row r="108" spans="1:6" x14ac:dyDescent="0.25">
      <c r="A108" s="7"/>
      <c r="E108" s="7"/>
      <c r="F108" s="7"/>
    </row>
    <row r="109" spans="1:6" x14ac:dyDescent="0.25">
      <c r="A109" s="7"/>
      <c r="E109" s="7"/>
      <c r="F109" s="7"/>
    </row>
    <row r="110" spans="1:6" x14ac:dyDescent="0.25">
      <c r="A110" s="7"/>
      <c r="E110" s="7"/>
      <c r="F110" s="7"/>
    </row>
    <row r="111" spans="1:6" x14ac:dyDescent="0.25">
      <c r="A111" s="7"/>
      <c r="E111" s="7"/>
      <c r="F111" s="7"/>
    </row>
    <row r="112" spans="1:6" x14ac:dyDescent="0.25">
      <c r="A112" s="7"/>
      <c r="E112" s="7"/>
      <c r="F112" s="7"/>
    </row>
    <row r="113" spans="1:6" x14ac:dyDescent="0.25">
      <c r="A113" s="7"/>
      <c r="E113" s="7"/>
      <c r="F113" s="7"/>
    </row>
    <row r="114" spans="1:6" x14ac:dyDescent="0.25">
      <c r="A114" s="7"/>
      <c r="E114" s="7"/>
      <c r="F114" s="7"/>
    </row>
    <row r="115" spans="1:6" x14ac:dyDescent="0.25">
      <c r="A115" s="7"/>
      <c r="E115" s="7"/>
      <c r="F115" s="7"/>
    </row>
    <row r="116" spans="1:6" x14ac:dyDescent="0.25">
      <c r="A116" s="7"/>
      <c r="E116" s="7"/>
      <c r="F116" s="7"/>
    </row>
    <row r="117" spans="1:6" x14ac:dyDescent="0.25">
      <c r="A117" s="7"/>
      <c r="E117" s="7"/>
      <c r="F117" s="7"/>
    </row>
    <row r="118" spans="1:6" x14ac:dyDescent="0.25">
      <c r="A118" s="7"/>
      <c r="E118" s="7"/>
      <c r="F118" s="7"/>
    </row>
    <row r="119" spans="1:6" x14ac:dyDescent="0.25">
      <c r="A119" s="7"/>
      <c r="E119" s="7"/>
      <c r="F119" s="7"/>
    </row>
    <row r="120" spans="1:6" x14ac:dyDescent="0.25">
      <c r="A120" s="7"/>
      <c r="E120" s="7"/>
      <c r="F120" s="7"/>
    </row>
    <row r="121" spans="1:6" x14ac:dyDescent="0.25">
      <c r="A121" s="7"/>
      <c r="E121" s="7"/>
      <c r="F121" s="7"/>
    </row>
    <row r="122" spans="1:6" x14ac:dyDescent="0.25">
      <c r="A122" s="7"/>
      <c r="E122" s="7"/>
      <c r="F122" s="7"/>
    </row>
    <row r="123" spans="1:6" x14ac:dyDescent="0.25">
      <c r="A123" s="7"/>
      <c r="E123" s="7"/>
      <c r="F123" s="7"/>
    </row>
    <row r="124" spans="1:6" x14ac:dyDescent="0.25">
      <c r="A124" s="7"/>
      <c r="E124" s="7"/>
      <c r="F124" s="7"/>
    </row>
    <row r="125" spans="1:6" x14ac:dyDescent="0.25">
      <c r="A125" s="7"/>
      <c r="E125" s="7"/>
      <c r="F125" s="7"/>
    </row>
    <row r="126" spans="1:6" x14ac:dyDescent="0.25">
      <c r="A126" s="7"/>
      <c r="E126" s="7"/>
      <c r="F126" s="7"/>
    </row>
    <row r="127" spans="1:6" x14ac:dyDescent="0.25">
      <c r="A127" s="7"/>
      <c r="E127" s="7"/>
      <c r="F127" s="7"/>
    </row>
    <row r="128" spans="1:6" x14ac:dyDescent="0.25">
      <c r="A128" s="7"/>
      <c r="E128" s="7"/>
      <c r="F128" s="7"/>
    </row>
    <row r="129" spans="1:6" x14ac:dyDescent="0.25">
      <c r="A129" s="7"/>
      <c r="E129" s="7"/>
      <c r="F129" s="7"/>
    </row>
    <row r="130" spans="1:6" x14ac:dyDescent="0.25">
      <c r="A130" s="7"/>
      <c r="E130" s="7"/>
      <c r="F130" s="7"/>
    </row>
    <row r="131" spans="1:6" x14ac:dyDescent="0.25">
      <c r="A131" s="7"/>
      <c r="E131" s="7"/>
      <c r="F131" s="7"/>
    </row>
    <row r="132" spans="1:6" x14ac:dyDescent="0.25">
      <c r="A132" s="7"/>
      <c r="E132" s="7"/>
      <c r="F132" s="7"/>
    </row>
    <row r="133" spans="1:6" x14ac:dyDescent="0.25">
      <c r="A133" s="7"/>
      <c r="E133" s="7"/>
      <c r="F133" s="7"/>
    </row>
    <row r="134" spans="1:6" x14ac:dyDescent="0.25">
      <c r="A134" s="7"/>
      <c r="E134" s="7"/>
      <c r="F134" s="7"/>
    </row>
    <row r="135" spans="1:6" x14ac:dyDescent="0.25">
      <c r="A135" s="7"/>
      <c r="E135" s="7"/>
      <c r="F135" s="7"/>
    </row>
    <row r="136" spans="1:6" x14ac:dyDescent="0.25">
      <c r="A136" s="7"/>
      <c r="E136" s="7"/>
      <c r="F136" s="7"/>
    </row>
    <row r="137" spans="1:6" x14ac:dyDescent="0.25">
      <c r="A137" s="7"/>
      <c r="E137" s="7"/>
      <c r="F137" s="7"/>
    </row>
    <row r="138" spans="1:6" x14ac:dyDescent="0.25">
      <c r="A138" s="7"/>
      <c r="E138" s="7"/>
      <c r="F138" s="7"/>
    </row>
    <row r="139" spans="1:6" x14ac:dyDescent="0.25">
      <c r="A139" s="7"/>
      <c r="E139" s="7"/>
      <c r="F139" s="7"/>
    </row>
    <row r="140" spans="1:6" x14ac:dyDescent="0.25">
      <c r="A140" s="7"/>
      <c r="E140" s="7"/>
      <c r="F140" s="7"/>
    </row>
    <row r="141" spans="1:6" x14ac:dyDescent="0.25">
      <c r="A141" s="7"/>
      <c r="E141" s="7"/>
      <c r="F141" s="7"/>
    </row>
    <row r="142" spans="1:6" x14ac:dyDescent="0.25">
      <c r="A142" s="7"/>
      <c r="E142" s="7"/>
      <c r="F142" s="7"/>
    </row>
    <row r="143" spans="1:6" x14ac:dyDescent="0.25">
      <c r="A143" s="7"/>
      <c r="E143" s="7"/>
      <c r="F143" s="7"/>
    </row>
    <row r="144" spans="1:6" x14ac:dyDescent="0.25">
      <c r="A144" s="7"/>
      <c r="E144" s="7"/>
      <c r="F144" s="7"/>
    </row>
    <row r="145" spans="1:6" x14ac:dyDescent="0.25">
      <c r="A145" s="7"/>
      <c r="E145" s="7"/>
      <c r="F145" s="7"/>
    </row>
    <row r="146" spans="1:6" x14ac:dyDescent="0.25">
      <c r="A146" s="7"/>
      <c r="E146" s="7"/>
      <c r="F146" s="7"/>
    </row>
    <row r="147" spans="1:6" x14ac:dyDescent="0.25">
      <c r="A147" s="7"/>
      <c r="E147" s="7"/>
      <c r="F147" s="7"/>
    </row>
    <row r="148" spans="1:6" x14ac:dyDescent="0.25">
      <c r="A148" s="7"/>
      <c r="E148" s="7"/>
      <c r="F148" s="7"/>
    </row>
    <row r="149" spans="1:6" x14ac:dyDescent="0.25">
      <c r="A149" s="7"/>
      <c r="E149" s="7"/>
      <c r="F149" s="7"/>
    </row>
    <row r="150" spans="1:6" x14ac:dyDescent="0.25">
      <c r="A150" s="7"/>
      <c r="E150" s="7"/>
      <c r="F150" s="7"/>
    </row>
    <row r="151" spans="1:6" x14ac:dyDescent="0.25">
      <c r="A151" s="7"/>
      <c r="E151" s="7"/>
      <c r="F151" s="7"/>
    </row>
    <row r="152" spans="1:6" x14ac:dyDescent="0.25">
      <c r="A152" s="7"/>
      <c r="E152" s="7"/>
      <c r="F152" s="7"/>
    </row>
    <row r="153" spans="1:6" x14ac:dyDescent="0.25">
      <c r="A153" s="7"/>
      <c r="E153" s="7"/>
      <c r="F153" s="7"/>
    </row>
    <row r="154" spans="1:6" x14ac:dyDescent="0.25">
      <c r="A154" s="7"/>
      <c r="E154" s="7"/>
      <c r="F154" s="7"/>
    </row>
    <row r="155" spans="1:6" x14ac:dyDescent="0.25">
      <c r="A155" s="7"/>
      <c r="E155" s="7"/>
      <c r="F155" s="7"/>
    </row>
    <row r="156" spans="1:6" x14ac:dyDescent="0.25">
      <c r="A156" s="7"/>
      <c r="E156" s="7"/>
      <c r="F156" s="7"/>
    </row>
    <row r="157" spans="1:6" x14ac:dyDescent="0.25">
      <c r="A157" s="7"/>
      <c r="E157" s="7"/>
      <c r="F157" s="7"/>
    </row>
    <row r="158" spans="1:6" x14ac:dyDescent="0.25">
      <c r="A158" s="7"/>
      <c r="E158" s="7"/>
      <c r="F158" s="7"/>
    </row>
    <row r="159" spans="1:6" x14ac:dyDescent="0.25">
      <c r="A159" s="7"/>
      <c r="E159" s="7"/>
      <c r="F159" s="7"/>
    </row>
    <row r="160" spans="1:6" x14ac:dyDescent="0.25">
      <c r="A160" s="7"/>
      <c r="E160" s="7"/>
      <c r="F160" s="7"/>
    </row>
    <row r="161" spans="1:6" x14ac:dyDescent="0.25">
      <c r="A161" s="7"/>
      <c r="E161" s="7"/>
      <c r="F161" s="7"/>
    </row>
    <row r="162" spans="1:6" x14ac:dyDescent="0.25">
      <c r="A162" s="7"/>
      <c r="E162" s="7"/>
      <c r="F162" s="7"/>
    </row>
    <row r="163" spans="1:6" x14ac:dyDescent="0.25">
      <c r="A163" s="7"/>
      <c r="E163" s="7"/>
      <c r="F163" s="7"/>
    </row>
    <row r="164" spans="1:6" x14ac:dyDescent="0.25">
      <c r="A164" s="7"/>
      <c r="E164" s="7"/>
      <c r="F164" s="7"/>
    </row>
    <row r="165" spans="1:6" x14ac:dyDescent="0.25">
      <c r="A165" s="7"/>
      <c r="E165" s="7"/>
      <c r="F165" s="7"/>
    </row>
    <row r="166" spans="1:6" x14ac:dyDescent="0.25">
      <c r="A166" s="7"/>
      <c r="E166" s="7"/>
      <c r="F166" s="7"/>
    </row>
    <row r="167" spans="1:6" x14ac:dyDescent="0.25">
      <c r="A167" s="7"/>
      <c r="E167" s="7"/>
      <c r="F167" s="7"/>
    </row>
    <row r="168" spans="1:6" x14ac:dyDescent="0.25">
      <c r="A168" s="7"/>
      <c r="E168" s="7"/>
      <c r="F168" s="7"/>
    </row>
    <row r="169" spans="1:6" x14ac:dyDescent="0.25">
      <c r="A169" s="7"/>
      <c r="E169" s="7"/>
      <c r="F169" s="7"/>
    </row>
    <row r="170" spans="1:6" x14ac:dyDescent="0.25">
      <c r="A170" s="7"/>
      <c r="E170" s="7"/>
      <c r="F170" s="7"/>
    </row>
    <row r="171" spans="1:6" x14ac:dyDescent="0.25">
      <c r="A171" s="7"/>
      <c r="E171" s="7"/>
      <c r="F171" s="7"/>
    </row>
    <row r="172" spans="1:6" x14ac:dyDescent="0.25">
      <c r="A172" s="7"/>
      <c r="E172" s="7"/>
      <c r="F172" s="7"/>
    </row>
    <row r="173" spans="1:6" x14ac:dyDescent="0.25">
      <c r="A173" s="7"/>
      <c r="E173" s="7"/>
      <c r="F173" s="7"/>
    </row>
    <row r="174" spans="1:6" x14ac:dyDescent="0.25">
      <c r="A174" s="7"/>
      <c r="E174" s="7"/>
      <c r="F174" s="7"/>
    </row>
    <row r="175" spans="1:6" x14ac:dyDescent="0.25">
      <c r="A175" s="7"/>
      <c r="E175" s="7"/>
      <c r="F175" s="7"/>
    </row>
    <row r="176" spans="1:6" x14ac:dyDescent="0.25">
      <c r="A176" s="7"/>
      <c r="E176" s="7"/>
      <c r="F176" s="7"/>
    </row>
    <row r="177" spans="1:6" x14ac:dyDescent="0.25">
      <c r="A177" s="7"/>
      <c r="E177" s="7"/>
      <c r="F177" s="7"/>
    </row>
    <row r="178" spans="1:6" x14ac:dyDescent="0.25">
      <c r="A178" s="7"/>
      <c r="E178" s="7"/>
      <c r="F178" s="7"/>
    </row>
    <row r="179" spans="1:6" x14ac:dyDescent="0.25">
      <c r="A179" s="7"/>
      <c r="E179" s="7"/>
      <c r="F179" s="7"/>
    </row>
    <row r="180" spans="1:6" x14ac:dyDescent="0.25">
      <c r="A180" s="7"/>
      <c r="E180" s="7"/>
      <c r="F180" s="7"/>
    </row>
    <row r="181" spans="1:6" x14ac:dyDescent="0.25">
      <c r="A181" s="7"/>
      <c r="E181" s="7"/>
      <c r="F181" s="7"/>
    </row>
    <row r="182" spans="1:6" x14ac:dyDescent="0.25">
      <c r="A182" s="7"/>
      <c r="E182" s="7"/>
      <c r="F182" s="7"/>
    </row>
    <row r="183" spans="1:6" x14ac:dyDescent="0.25">
      <c r="A183" s="7"/>
      <c r="E183" s="7"/>
      <c r="F183" s="7"/>
    </row>
    <row r="184" spans="1:6" x14ac:dyDescent="0.25">
      <c r="A184" s="7"/>
      <c r="E184" s="7"/>
      <c r="F184" s="7"/>
    </row>
    <row r="185" spans="1:6" x14ac:dyDescent="0.25">
      <c r="A185" s="7"/>
      <c r="E185" s="7"/>
      <c r="F185" s="7"/>
    </row>
    <row r="186" spans="1:6" x14ac:dyDescent="0.25">
      <c r="A186" s="7"/>
      <c r="E186" s="7"/>
      <c r="F186" s="7"/>
    </row>
    <row r="187" spans="1:6" x14ac:dyDescent="0.25">
      <c r="A187" s="7"/>
      <c r="E187" s="7"/>
      <c r="F187" s="7"/>
    </row>
    <row r="188" spans="1:6" x14ac:dyDescent="0.25">
      <c r="A188" s="7"/>
      <c r="E188" s="7"/>
      <c r="F188" s="7"/>
    </row>
    <row r="189" spans="1:6" x14ac:dyDescent="0.25">
      <c r="A189" s="7"/>
      <c r="E189" s="7"/>
      <c r="F189" s="7"/>
    </row>
    <row r="190" spans="1:6" x14ac:dyDescent="0.25">
      <c r="A190" s="7"/>
      <c r="E190" s="7"/>
      <c r="F190" s="7"/>
    </row>
    <row r="191" spans="1:6" x14ac:dyDescent="0.25">
      <c r="A191" s="7"/>
      <c r="E191" s="7"/>
      <c r="F191" s="7"/>
    </row>
    <row r="192" spans="1:6" x14ac:dyDescent="0.25">
      <c r="A192" s="7"/>
      <c r="E192" s="7"/>
      <c r="F192" s="7"/>
    </row>
    <row r="193" spans="1:6" x14ac:dyDescent="0.25">
      <c r="A193" s="7"/>
      <c r="E193" s="7"/>
      <c r="F193" s="7"/>
    </row>
    <row r="194" spans="1:6" x14ac:dyDescent="0.25">
      <c r="A194" s="7"/>
      <c r="E194" s="7"/>
      <c r="F194" s="7"/>
    </row>
    <row r="195" spans="1:6" x14ac:dyDescent="0.25">
      <c r="A195" s="7"/>
      <c r="E195" s="7"/>
      <c r="F195" s="7"/>
    </row>
    <row r="196" spans="1:6" x14ac:dyDescent="0.25">
      <c r="A196" s="7"/>
      <c r="E196" s="7"/>
      <c r="F196" s="7"/>
    </row>
    <row r="197" spans="1:6" x14ac:dyDescent="0.25">
      <c r="A197" s="7"/>
      <c r="E197" s="7"/>
      <c r="F197" s="7"/>
    </row>
    <row r="198" spans="1:6" x14ac:dyDescent="0.25">
      <c r="A198" s="7"/>
      <c r="E198" s="7"/>
      <c r="F198" s="7"/>
    </row>
    <row r="199" spans="1:6" x14ac:dyDescent="0.25">
      <c r="A199" s="7"/>
      <c r="E199" s="7"/>
      <c r="F199" s="7"/>
    </row>
    <row r="200" spans="1:6" x14ac:dyDescent="0.25">
      <c r="A200" s="7"/>
      <c r="E200" s="7"/>
      <c r="F200" s="7"/>
    </row>
    <row r="201" spans="1:6" x14ac:dyDescent="0.25">
      <c r="A201" s="7"/>
      <c r="E201" s="7"/>
      <c r="F201" s="7"/>
    </row>
    <row r="202" spans="1:6" x14ac:dyDescent="0.25">
      <c r="A202" s="7"/>
      <c r="E202" s="7"/>
      <c r="F202" s="7"/>
    </row>
    <row r="203" spans="1:6" x14ac:dyDescent="0.25">
      <c r="A203" s="7"/>
      <c r="E203" s="7"/>
      <c r="F203" s="7"/>
    </row>
    <row r="204" spans="1:6" x14ac:dyDescent="0.25">
      <c r="A204" s="7"/>
      <c r="E204" s="7"/>
      <c r="F204" s="7"/>
    </row>
    <row r="205" spans="1:6" x14ac:dyDescent="0.25">
      <c r="A205" s="7"/>
      <c r="E205" s="7"/>
      <c r="F205" s="7"/>
    </row>
    <row r="206" spans="1:6" x14ac:dyDescent="0.25">
      <c r="A206" s="7"/>
      <c r="E206" s="7"/>
      <c r="F206" s="7"/>
    </row>
    <row r="207" spans="1:6" x14ac:dyDescent="0.25">
      <c r="A207" s="7"/>
      <c r="E207" s="7"/>
      <c r="F207" s="7"/>
    </row>
    <row r="208" spans="1:6" x14ac:dyDescent="0.25">
      <c r="A208" s="7"/>
      <c r="E208" s="7"/>
      <c r="F208" s="7"/>
    </row>
    <row r="209" spans="1:6" x14ac:dyDescent="0.25">
      <c r="A209" s="7"/>
      <c r="E209" s="7"/>
      <c r="F209" s="7"/>
    </row>
    <row r="210" spans="1:6" x14ac:dyDescent="0.25">
      <c r="A210" s="7"/>
      <c r="E210" s="7"/>
      <c r="F210" s="7"/>
    </row>
    <row r="211" spans="1:6" x14ac:dyDescent="0.25">
      <c r="A211" s="7"/>
      <c r="E211" s="7"/>
      <c r="F211" s="7"/>
    </row>
    <row r="212" spans="1:6" x14ac:dyDescent="0.25">
      <c r="A212" s="7"/>
      <c r="E212" s="7"/>
      <c r="F212" s="7"/>
    </row>
    <row r="213" spans="1:6" x14ac:dyDescent="0.25">
      <c r="A213" s="7"/>
      <c r="E213" s="7"/>
      <c r="F213" s="7"/>
    </row>
    <row r="214" spans="1:6" x14ac:dyDescent="0.25">
      <c r="A214" s="7"/>
      <c r="E214" s="7"/>
      <c r="F214" s="7"/>
    </row>
    <row r="215" spans="1:6" x14ac:dyDescent="0.25">
      <c r="A215" s="7"/>
      <c r="E215" s="7"/>
      <c r="F215" s="7"/>
    </row>
    <row r="216" spans="1:6" x14ac:dyDescent="0.25">
      <c r="A216" s="7"/>
      <c r="E216" s="7"/>
      <c r="F216" s="7"/>
    </row>
    <row r="217" spans="1:6" x14ac:dyDescent="0.25">
      <c r="A217" s="7"/>
      <c r="E217" s="7"/>
      <c r="F217" s="7"/>
    </row>
    <row r="218" spans="1:6" x14ac:dyDescent="0.25">
      <c r="A218" s="7"/>
      <c r="E218" s="7"/>
      <c r="F218" s="7"/>
    </row>
    <row r="219" spans="1:6" x14ac:dyDescent="0.25">
      <c r="A219" s="7"/>
      <c r="E219" s="7"/>
      <c r="F219" s="7"/>
    </row>
    <row r="220" spans="1:6" x14ac:dyDescent="0.25">
      <c r="A220" s="7"/>
      <c r="E220" s="7"/>
      <c r="F220" s="7"/>
    </row>
    <row r="221" spans="1:6" x14ac:dyDescent="0.25">
      <c r="A221" s="7"/>
      <c r="E221" s="7"/>
      <c r="F221" s="7"/>
    </row>
    <row r="222" spans="1:6" x14ac:dyDescent="0.25">
      <c r="A222" s="7"/>
      <c r="E222" s="7"/>
      <c r="F222" s="7"/>
    </row>
    <row r="223" spans="1:6" x14ac:dyDescent="0.25">
      <c r="A223" s="7"/>
      <c r="E223" s="7"/>
      <c r="F223" s="7"/>
    </row>
    <row r="224" spans="1:6" x14ac:dyDescent="0.25">
      <c r="A224" s="7"/>
      <c r="E224" s="7"/>
      <c r="F224" s="7"/>
    </row>
    <row r="225" spans="1:6" x14ac:dyDescent="0.25">
      <c r="A225" s="7"/>
      <c r="E225" s="7"/>
      <c r="F225" s="7"/>
    </row>
    <row r="226" spans="1:6" x14ac:dyDescent="0.25">
      <c r="A226" s="7"/>
      <c r="E226" s="7"/>
      <c r="F226" s="7"/>
    </row>
    <row r="227" spans="1:6" x14ac:dyDescent="0.25">
      <c r="A227" s="7"/>
      <c r="E227" s="7"/>
      <c r="F227" s="7"/>
    </row>
    <row r="228" spans="1:6" x14ac:dyDescent="0.25">
      <c r="A228" s="7"/>
      <c r="E228" s="7"/>
      <c r="F228" s="7"/>
    </row>
    <row r="229" spans="1:6" x14ac:dyDescent="0.25">
      <c r="A229" s="7"/>
      <c r="E229" s="7"/>
      <c r="F229" s="7"/>
    </row>
    <row r="230" spans="1:6" x14ac:dyDescent="0.25">
      <c r="A230" s="7"/>
      <c r="E230" s="7"/>
      <c r="F230" s="7"/>
    </row>
    <row r="231" spans="1:6" x14ac:dyDescent="0.25">
      <c r="A231" s="7"/>
      <c r="E231" s="7"/>
      <c r="F231" s="7"/>
    </row>
    <row r="232" spans="1:6" x14ac:dyDescent="0.25">
      <c r="A232" s="7"/>
      <c r="E232" s="7"/>
      <c r="F232" s="7"/>
    </row>
    <row r="233" spans="1:6" x14ac:dyDescent="0.25">
      <c r="A233" s="7"/>
      <c r="E233" s="7"/>
      <c r="F233" s="7"/>
    </row>
    <row r="234" spans="1:6" x14ac:dyDescent="0.25">
      <c r="A234" s="7"/>
      <c r="E234" s="7"/>
      <c r="F234" s="7"/>
    </row>
    <row r="235" spans="1:6" x14ac:dyDescent="0.25">
      <c r="A235" s="7"/>
      <c r="E235" s="7"/>
      <c r="F235" s="7"/>
    </row>
    <row r="236" spans="1:6" x14ac:dyDescent="0.25">
      <c r="A236" s="7"/>
      <c r="E236" s="7"/>
      <c r="F236" s="7"/>
    </row>
    <row r="237" spans="1:6" x14ac:dyDescent="0.25">
      <c r="A237" s="7"/>
      <c r="E237" s="7"/>
      <c r="F237" s="7"/>
    </row>
    <row r="238" spans="1:6" x14ac:dyDescent="0.25">
      <c r="A238" s="7"/>
      <c r="E238" s="7"/>
      <c r="F238" s="7"/>
    </row>
    <row r="239" spans="1:6" x14ac:dyDescent="0.25">
      <c r="A239" s="7"/>
      <c r="E239" s="7"/>
      <c r="F239" s="7"/>
    </row>
    <row r="240" spans="1:6" x14ac:dyDescent="0.25">
      <c r="A240" s="7"/>
      <c r="E240" s="7"/>
      <c r="F240" s="7"/>
    </row>
    <row r="241" spans="1:6" x14ac:dyDescent="0.25">
      <c r="A241" s="7"/>
      <c r="E241" s="7"/>
      <c r="F241" s="7"/>
    </row>
    <row r="242" spans="1:6" x14ac:dyDescent="0.25">
      <c r="A242" s="7"/>
      <c r="E242" s="7"/>
      <c r="F242" s="7"/>
    </row>
    <row r="243" spans="1:6" x14ac:dyDescent="0.25">
      <c r="A243" s="7"/>
      <c r="E243" s="7"/>
      <c r="F243" s="7"/>
    </row>
    <row r="244" spans="1:6" x14ac:dyDescent="0.25">
      <c r="A244" s="7"/>
      <c r="E244" s="7"/>
      <c r="F244" s="7"/>
    </row>
    <row r="245" spans="1:6" x14ac:dyDescent="0.25">
      <c r="A245" s="7"/>
      <c r="E245" s="7"/>
      <c r="F245" s="7"/>
    </row>
    <row r="246" spans="1:6" x14ac:dyDescent="0.25">
      <c r="A246" s="7"/>
      <c r="E246" s="7"/>
      <c r="F246" s="7"/>
    </row>
    <row r="247" spans="1:6" x14ac:dyDescent="0.25">
      <c r="A247" s="7"/>
      <c r="E247" s="7"/>
      <c r="F247" s="7"/>
    </row>
    <row r="248" spans="1:6" x14ac:dyDescent="0.25">
      <c r="A248" s="7"/>
      <c r="E248" s="7"/>
      <c r="F248" s="7"/>
    </row>
    <row r="249" spans="1:6" x14ac:dyDescent="0.25">
      <c r="A249" s="7"/>
      <c r="E249" s="7"/>
      <c r="F249" s="7"/>
    </row>
    <row r="250" spans="1:6" x14ac:dyDescent="0.25">
      <c r="A250" s="7"/>
      <c r="E250" s="7"/>
      <c r="F250" s="7"/>
    </row>
    <row r="251" spans="1:6" x14ac:dyDescent="0.25">
      <c r="A251" s="7"/>
      <c r="E251" s="7"/>
      <c r="F251" s="7"/>
    </row>
    <row r="252" spans="1:6" x14ac:dyDescent="0.25">
      <c r="A252" s="7"/>
      <c r="E252" s="7"/>
      <c r="F252" s="7"/>
    </row>
    <row r="253" spans="1:6" x14ac:dyDescent="0.25">
      <c r="A253" s="7"/>
      <c r="E253" s="7"/>
      <c r="F253" s="7"/>
    </row>
    <row r="254" spans="1:6" x14ac:dyDescent="0.25">
      <c r="A254" s="7"/>
      <c r="E254" s="7"/>
      <c r="F254" s="7"/>
    </row>
    <row r="255" spans="1:6" x14ac:dyDescent="0.25">
      <c r="A255" s="7"/>
      <c r="E255" s="7"/>
      <c r="F255" s="7"/>
    </row>
    <row r="256" spans="1:6" x14ac:dyDescent="0.25">
      <c r="A256" s="7"/>
      <c r="E256" s="7"/>
      <c r="F256" s="7"/>
    </row>
    <row r="257" spans="1:6" x14ac:dyDescent="0.25">
      <c r="A257" s="7"/>
      <c r="E257" s="7"/>
      <c r="F257" s="7"/>
    </row>
    <row r="258" spans="1:6" x14ac:dyDescent="0.25">
      <c r="A258" s="7"/>
      <c r="E258" s="7"/>
      <c r="F258" s="7"/>
    </row>
    <row r="259" spans="1:6" x14ac:dyDescent="0.25">
      <c r="A259" s="7"/>
      <c r="E259" s="7"/>
      <c r="F259" s="7"/>
    </row>
    <row r="260" spans="1:6" x14ac:dyDescent="0.25">
      <c r="A260" s="7"/>
      <c r="E260" s="7"/>
      <c r="F260" s="7"/>
    </row>
    <row r="261" spans="1:6" x14ac:dyDescent="0.25">
      <c r="A261" s="7"/>
      <c r="E261" s="7"/>
      <c r="F261" s="7"/>
    </row>
    <row r="262" spans="1:6" x14ac:dyDescent="0.25">
      <c r="A262" s="7"/>
      <c r="E262" s="7"/>
      <c r="F262" s="7"/>
    </row>
    <row r="263" spans="1:6" x14ac:dyDescent="0.25">
      <c r="A263" s="7"/>
      <c r="E263" s="7"/>
      <c r="F263" s="7"/>
    </row>
    <row r="264" spans="1:6" x14ac:dyDescent="0.25">
      <c r="A264" s="7"/>
      <c r="E264" s="7"/>
      <c r="F264" s="7"/>
    </row>
    <row r="265" spans="1:6" x14ac:dyDescent="0.25">
      <c r="A265" s="7"/>
      <c r="E265" s="7"/>
      <c r="F265" s="7"/>
    </row>
    <row r="266" spans="1:6" x14ac:dyDescent="0.25">
      <c r="A266" s="7"/>
      <c r="E266" s="7"/>
      <c r="F266" s="7"/>
    </row>
    <row r="267" spans="1:6" x14ac:dyDescent="0.25">
      <c r="A267" s="7"/>
      <c r="E267" s="7"/>
      <c r="F267" s="7"/>
    </row>
    <row r="268" spans="1:6" x14ac:dyDescent="0.25">
      <c r="A268" s="7"/>
      <c r="E268" s="7"/>
      <c r="F268" s="7"/>
    </row>
    <row r="269" spans="1:6" x14ac:dyDescent="0.25">
      <c r="A269" s="7"/>
      <c r="E269" s="7"/>
      <c r="F269" s="7"/>
    </row>
    <row r="270" spans="1:6" x14ac:dyDescent="0.25">
      <c r="A270" s="7"/>
      <c r="E270" s="7"/>
      <c r="F270" s="7"/>
    </row>
    <row r="271" spans="1:6" x14ac:dyDescent="0.25">
      <c r="A271" s="7"/>
      <c r="E271" s="7"/>
      <c r="F271" s="7"/>
    </row>
    <row r="272" spans="1:6" x14ac:dyDescent="0.25">
      <c r="A272" s="7"/>
      <c r="E272" s="7"/>
      <c r="F272" s="7"/>
    </row>
    <row r="273" spans="1:6" x14ac:dyDescent="0.25">
      <c r="A273" s="7"/>
      <c r="E273" s="7"/>
      <c r="F273" s="7"/>
    </row>
    <row r="274" spans="1:6" x14ac:dyDescent="0.25">
      <c r="A274" s="7"/>
      <c r="E274" s="7"/>
      <c r="F274" s="7"/>
    </row>
    <row r="275" spans="1:6" x14ac:dyDescent="0.25">
      <c r="A275" s="7"/>
      <c r="E275" s="7"/>
      <c r="F275" s="7"/>
    </row>
    <row r="276" spans="1:6" x14ac:dyDescent="0.25">
      <c r="A276" s="7"/>
      <c r="E276" s="7"/>
      <c r="F276" s="7"/>
    </row>
    <row r="277" spans="1:6" x14ac:dyDescent="0.25">
      <c r="A277" s="7"/>
      <c r="E277" s="7"/>
      <c r="F277" s="7"/>
    </row>
    <row r="278" spans="1:6" x14ac:dyDescent="0.25">
      <c r="A278" s="7"/>
      <c r="E278" s="7"/>
      <c r="F278" s="7"/>
    </row>
    <row r="279" spans="1:6" x14ac:dyDescent="0.25">
      <c r="A279" s="7"/>
      <c r="E279" s="7"/>
      <c r="F279" s="7"/>
    </row>
    <row r="280" spans="1:6" x14ac:dyDescent="0.25">
      <c r="A280" s="7"/>
      <c r="E280" s="7"/>
      <c r="F280" s="7"/>
    </row>
    <row r="281" spans="1:6" x14ac:dyDescent="0.25">
      <c r="A281" s="7"/>
      <c r="E281" s="7"/>
      <c r="F281" s="7"/>
    </row>
    <row r="282" spans="1:6" x14ac:dyDescent="0.25">
      <c r="A282" s="7"/>
      <c r="E282" s="7"/>
      <c r="F282" s="7"/>
    </row>
    <row r="283" spans="1:6" x14ac:dyDescent="0.25">
      <c r="A283" s="7"/>
      <c r="E283" s="7"/>
      <c r="F283" s="7"/>
    </row>
    <row r="284" spans="1:6" x14ac:dyDescent="0.25">
      <c r="A284" s="7"/>
      <c r="E284" s="7"/>
      <c r="F284" s="7"/>
    </row>
    <row r="285" spans="1:6" x14ac:dyDescent="0.25">
      <c r="A285" s="7"/>
      <c r="E285" s="7"/>
      <c r="F285" s="7"/>
    </row>
    <row r="286" spans="1:6" x14ac:dyDescent="0.25">
      <c r="A286" s="7"/>
      <c r="E286" s="7"/>
      <c r="F286" s="7"/>
    </row>
    <row r="287" spans="1:6" x14ac:dyDescent="0.25">
      <c r="A287" s="7"/>
      <c r="E287" s="7"/>
      <c r="F287" s="7"/>
    </row>
    <row r="288" spans="1:6" x14ac:dyDescent="0.25">
      <c r="A288" s="7"/>
      <c r="E288" s="7"/>
      <c r="F288" s="7"/>
    </row>
    <row r="289" spans="1:6" x14ac:dyDescent="0.25">
      <c r="A289" s="7"/>
      <c r="E289" s="7"/>
      <c r="F289" s="7"/>
    </row>
    <row r="290" spans="1:6" x14ac:dyDescent="0.25">
      <c r="A290" s="7"/>
      <c r="E290" s="7"/>
      <c r="F290" s="7"/>
    </row>
    <row r="291" spans="1:6" x14ac:dyDescent="0.25">
      <c r="A291" s="7"/>
      <c r="E291" s="7"/>
      <c r="F291" s="7"/>
    </row>
    <row r="292" spans="1:6" x14ac:dyDescent="0.25">
      <c r="A292" s="7"/>
      <c r="E292" s="7"/>
      <c r="F292" s="7"/>
    </row>
    <row r="293" spans="1:6" x14ac:dyDescent="0.25">
      <c r="A293" s="7"/>
      <c r="E293" s="7"/>
      <c r="F293" s="7"/>
    </row>
    <row r="294" spans="1:6" x14ac:dyDescent="0.25">
      <c r="A294" s="7"/>
      <c r="E294" s="7"/>
      <c r="F294" s="7"/>
    </row>
    <row r="295" spans="1:6" x14ac:dyDescent="0.25">
      <c r="A295" s="7"/>
      <c r="E295" s="7"/>
      <c r="F295" s="7"/>
    </row>
    <row r="296" spans="1:6" x14ac:dyDescent="0.25">
      <c r="A296" s="7"/>
      <c r="E296" s="7"/>
      <c r="F296" s="7"/>
    </row>
    <row r="297" spans="1:6" x14ac:dyDescent="0.25">
      <c r="A297" s="7"/>
      <c r="E297" s="7"/>
      <c r="F297" s="7"/>
    </row>
    <row r="298" spans="1:6" x14ac:dyDescent="0.25">
      <c r="A298" s="7"/>
      <c r="E298" s="7"/>
      <c r="F298" s="7"/>
    </row>
    <row r="299" spans="1:6" x14ac:dyDescent="0.25">
      <c r="A299" s="7"/>
      <c r="E299" s="7"/>
      <c r="F299" s="7"/>
    </row>
    <row r="300" spans="1:6" x14ac:dyDescent="0.25">
      <c r="A300" s="7"/>
      <c r="E300" s="7"/>
      <c r="F300" s="7"/>
    </row>
    <row r="301" spans="1:6" x14ac:dyDescent="0.25">
      <c r="A301" s="7"/>
      <c r="E301" s="7"/>
      <c r="F301" s="7"/>
    </row>
    <row r="302" spans="1:6" x14ac:dyDescent="0.25">
      <c r="A302" s="7"/>
      <c r="E302" s="7"/>
      <c r="F302" s="7"/>
    </row>
    <row r="303" spans="1:6" x14ac:dyDescent="0.25">
      <c r="A303" s="7"/>
      <c r="E303" s="7"/>
      <c r="F303" s="7"/>
    </row>
    <row r="304" spans="1:6" x14ac:dyDescent="0.25">
      <c r="A304" s="7"/>
      <c r="E304" s="7"/>
      <c r="F304" s="7"/>
    </row>
    <row r="305" spans="1:6" x14ac:dyDescent="0.25">
      <c r="A305" s="7"/>
      <c r="E305" s="7"/>
      <c r="F305" s="7"/>
    </row>
    <row r="306" spans="1:6" x14ac:dyDescent="0.25">
      <c r="A306" s="7"/>
      <c r="E306" s="7"/>
      <c r="F306" s="7"/>
    </row>
    <row r="307" spans="1:6" x14ac:dyDescent="0.25">
      <c r="A307" s="7"/>
      <c r="E307" s="7"/>
      <c r="F307" s="7"/>
    </row>
    <row r="308" spans="1:6" x14ac:dyDescent="0.25">
      <c r="A308" s="7"/>
      <c r="E308" s="7"/>
      <c r="F308" s="7"/>
    </row>
    <row r="309" spans="1:6" x14ac:dyDescent="0.25">
      <c r="A309" s="7"/>
      <c r="E309" s="7"/>
      <c r="F309" s="7"/>
    </row>
    <row r="310" spans="1:6" x14ac:dyDescent="0.25">
      <c r="A310" s="7"/>
      <c r="E310" s="7"/>
      <c r="F310" s="7"/>
    </row>
    <row r="311" spans="1:6" x14ac:dyDescent="0.25">
      <c r="A311" s="7"/>
      <c r="E311" s="7"/>
      <c r="F311" s="7"/>
    </row>
    <row r="312" spans="1:6" x14ac:dyDescent="0.25">
      <c r="A312" s="7"/>
      <c r="E312" s="7"/>
      <c r="F312" s="7"/>
    </row>
    <row r="313" spans="1:6" x14ac:dyDescent="0.25">
      <c r="A313" s="7"/>
      <c r="E313" s="7"/>
      <c r="F313" s="7"/>
    </row>
    <row r="314" spans="1:6" x14ac:dyDescent="0.25">
      <c r="A314" s="7"/>
      <c r="E314" s="7"/>
      <c r="F314" s="7"/>
    </row>
    <row r="315" spans="1:6" x14ac:dyDescent="0.25">
      <c r="A315" s="7"/>
      <c r="E315" s="7"/>
      <c r="F315" s="7"/>
    </row>
    <row r="316" spans="1:6" x14ac:dyDescent="0.25">
      <c r="A316" s="7"/>
      <c r="E316" s="7"/>
      <c r="F316" s="7"/>
    </row>
    <row r="317" spans="1:6" x14ac:dyDescent="0.25">
      <c r="A317" s="7"/>
      <c r="E317" s="7"/>
      <c r="F317" s="7"/>
    </row>
    <row r="318" spans="1:6" x14ac:dyDescent="0.25">
      <c r="A318" s="7"/>
      <c r="E318" s="7"/>
      <c r="F318" s="7"/>
    </row>
    <row r="319" spans="1:6" x14ac:dyDescent="0.25">
      <c r="A319" s="7"/>
      <c r="E319" s="7"/>
      <c r="F319" s="7"/>
    </row>
    <row r="320" spans="1:6" x14ac:dyDescent="0.25">
      <c r="A320" s="7"/>
      <c r="E320" s="7"/>
      <c r="F320" s="7"/>
    </row>
    <row r="321" spans="1:6" x14ac:dyDescent="0.25">
      <c r="A321" s="7"/>
      <c r="E321" s="7"/>
      <c r="F321" s="7"/>
    </row>
    <row r="322" spans="1:6" x14ac:dyDescent="0.25">
      <c r="A322" s="7"/>
      <c r="E322" s="7"/>
      <c r="F322" s="7"/>
    </row>
    <row r="323" spans="1:6" x14ac:dyDescent="0.25">
      <c r="A323" s="7"/>
      <c r="E323" s="7"/>
      <c r="F323" s="7"/>
    </row>
    <row r="324" spans="1:6" x14ac:dyDescent="0.25">
      <c r="A324" s="7"/>
      <c r="E324" s="7"/>
      <c r="F324" s="7"/>
    </row>
    <row r="325" spans="1:6" x14ac:dyDescent="0.25">
      <c r="A325" s="7"/>
      <c r="E325" s="7"/>
      <c r="F325" s="7"/>
    </row>
    <row r="326" spans="1:6" x14ac:dyDescent="0.25">
      <c r="A326" s="7"/>
      <c r="E326" s="7"/>
      <c r="F326" s="7"/>
    </row>
    <row r="327" spans="1:6" x14ac:dyDescent="0.25">
      <c r="A327" s="7"/>
      <c r="E327" s="7"/>
      <c r="F327" s="7"/>
    </row>
    <row r="328" spans="1:6" x14ac:dyDescent="0.25">
      <c r="A328" s="7"/>
      <c r="E328" s="7"/>
      <c r="F328" s="7"/>
    </row>
    <row r="329" spans="1:6" x14ac:dyDescent="0.25">
      <c r="A329" s="7"/>
      <c r="E329" s="7"/>
      <c r="F329" s="7"/>
    </row>
    <row r="330" spans="1:6" x14ac:dyDescent="0.25">
      <c r="A330" s="7"/>
      <c r="E330" s="7"/>
      <c r="F330" s="7"/>
    </row>
    <row r="331" spans="1:6" x14ac:dyDescent="0.25">
      <c r="A331" s="7"/>
      <c r="E331" s="7"/>
      <c r="F331" s="7"/>
    </row>
    <row r="332" spans="1:6" x14ac:dyDescent="0.25">
      <c r="A332" s="7"/>
      <c r="E332" s="7"/>
      <c r="F332" s="7"/>
    </row>
    <row r="333" spans="1:6" x14ac:dyDescent="0.25">
      <c r="A333" s="7"/>
      <c r="E333" s="7"/>
      <c r="F333" s="7"/>
    </row>
    <row r="334" spans="1:6" x14ac:dyDescent="0.25">
      <c r="A334" s="7"/>
      <c r="E334" s="7"/>
      <c r="F334" s="7"/>
    </row>
    <row r="335" spans="1:6" x14ac:dyDescent="0.25">
      <c r="A335" s="7"/>
      <c r="E335" s="7"/>
      <c r="F335" s="7"/>
    </row>
    <row r="336" spans="1:6" x14ac:dyDescent="0.25">
      <c r="A336" s="7"/>
      <c r="E336" s="7"/>
      <c r="F336" s="7"/>
    </row>
    <row r="337" spans="1:6" x14ac:dyDescent="0.25">
      <c r="A337" s="7"/>
      <c r="E337" s="7"/>
      <c r="F337" s="7"/>
    </row>
    <row r="338" spans="1:6" x14ac:dyDescent="0.25">
      <c r="A338" s="7"/>
      <c r="E338" s="7"/>
      <c r="F338" s="7"/>
    </row>
    <row r="339" spans="1:6" x14ac:dyDescent="0.25">
      <c r="A339" s="7"/>
      <c r="E339" s="7"/>
      <c r="F339" s="7"/>
    </row>
    <row r="340" spans="1:6" x14ac:dyDescent="0.25">
      <c r="A340" s="7"/>
      <c r="E340" s="7"/>
      <c r="F340" s="7"/>
    </row>
    <row r="341" spans="1:6" x14ac:dyDescent="0.25">
      <c r="A341" s="7"/>
      <c r="E341" s="7"/>
      <c r="F341" s="7"/>
    </row>
    <row r="342" spans="1:6" x14ac:dyDescent="0.25">
      <c r="A342" s="7"/>
      <c r="E342" s="7"/>
      <c r="F342" s="7"/>
    </row>
    <row r="343" spans="1:6" x14ac:dyDescent="0.25">
      <c r="A343" s="7"/>
      <c r="E343" s="7"/>
      <c r="F343" s="7"/>
    </row>
    <row r="344" spans="1:6" x14ac:dyDescent="0.25">
      <c r="A344" s="7"/>
      <c r="E344" s="7"/>
      <c r="F344" s="7"/>
    </row>
    <row r="345" spans="1:6" x14ac:dyDescent="0.25">
      <c r="A345" s="7"/>
      <c r="E345" s="7"/>
      <c r="F345" s="7"/>
    </row>
    <row r="346" spans="1:6" x14ac:dyDescent="0.25">
      <c r="A346" s="7"/>
      <c r="E346" s="7"/>
      <c r="F346" s="7"/>
    </row>
    <row r="347" spans="1:6" x14ac:dyDescent="0.25">
      <c r="A347" s="7"/>
      <c r="E347" s="7"/>
      <c r="F347" s="7"/>
    </row>
    <row r="348" spans="1:6" x14ac:dyDescent="0.25">
      <c r="A348" s="7"/>
      <c r="E348" s="7"/>
      <c r="F348" s="7"/>
    </row>
    <row r="349" spans="1:6" x14ac:dyDescent="0.25">
      <c r="A349" s="7"/>
      <c r="E349" s="7"/>
      <c r="F349" s="7"/>
    </row>
    <row r="350" spans="1:6" x14ac:dyDescent="0.25">
      <c r="A350" s="7"/>
      <c r="E350" s="7"/>
      <c r="F350" s="7"/>
    </row>
    <row r="351" spans="1:6" x14ac:dyDescent="0.25">
      <c r="A351" s="7"/>
      <c r="E351" s="7"/>
      <c r="F351" s="7"/>
    </row>
    <row r="352" spans="1:6" x14ac:dyDescent="0.25">
      <c r="A352" s="7"/>
      <c r="E352" s="7"/>
      <c r="F352" s="7"/>
    </row>
    <row r="353" spans="1:6" x14ac:dyDescent="0.25">
      <c r="A353" s="7"/>
      <c r="E353" s="7"/>
      <c r="F353" s="7"/>
    </row>
    <row r="354" spans="1:6" x14ac:dyDescent="0.25">
      <c r="A354" s="7"/>
      <c r="E354" s="7"/>
      <c r="F354" s="7"/>
    </row>
    <row r="355" spans="1:6" x14ac:dyDescent="0.25">
      <c r="A355" s="7"/>
      <c r="E355" s="7"/>
      <c r="F355" s="7"/>
    </row>
    <row r="356" spans="1:6" x14ac:dyDescent="0.25">
      <c r="A356" s="7"/>
      <c r="E356" s="7"/>
      <c r="F356" s="7"/>
    </row>
    <row r="357" spans="1:6" x14ac:dyDescent="0.25">
      <c r="A357" s="7"/>
      <c r="E357" s="7"/>
      <c r="F357" s="7"/>
    </row>
    <row r="358" spans="1:6" x14ac:dyDescent="0.25">
      <c r="A358" s="7"/>
      <c r="E358" s="7"/>
      <c r="F358" s="7"/>
    </row>
    <row r="359" spans="1:6" x14ac:dyDescent="0.25">
      <c r="A359" s="7"/>
      <c r="E359" s="7"/>
      <c r="F359" s="7"/>
    </row>
    <row r="360" spans="1:6" x14ac:dyDescent="0.25">
      <c r="A360" s="7"/>
      <c r="E360" s="7"/>
      <c r="F360" s="7"/>
    </row>
    <row r="361" spans="1:6" x14ac:dyDescent="0.25">
      <c r="A361" s="7"/>
      <c r="E361" s="7"/>
      <c r="F361" s="7"/>
    </row>
    <row r="362" spans="1:6" x14ac:dyDescent="0.25">
      <c r="A362" s="7"/>
      <c r="E362" s="7"/>
      <c r="F362" s="7"/>
    </row>
    <row r="363" spans="1:6" x14ac:dyDescent="0.25">
      <c r="A363" s="7"/>
      <c r="E363" s="7"/>
      <c r="F363" s="7"/>
    </row>
    <row r="364" spans="1:6" x14ac:dyDescent="0.25">
      <c r="A364" s="7"/>
      <c r="E364" s="7"/>
      <c r="F364" s="7"/>
    </row>
    <row r="365" spans="1:6" x14ac:dyDescent="0.25">
      <c r="A365" s="7"/>
      <c r="E365" s="7"/>
      <c r="F365" s="7"/>
    </row>
    <row r="366" spans="1:6" x14ac:dyDescent="0.25">
      <c r="A366" s="7"/>
      <c r="E366" s="7"/>
      <c r="F366" s="7"/>
    </row>
    <row r="367" spans="1:6" x14ac:dyDescent="0.25">
      <c r="A367" s="7"/>
      <c r="E367" s="7"/>
      <c r="F367" s="7"/>
    </row>
    <row r="368" spans="1:6" x14ac:dyDescent="0.25">
      <c r="A368" s="7"/>
      <c r="E368" s="7"/>
      <c r="F368" s="7"/>
    </row>
    <row r="369" spans="1:6" x14ac:dyDescent="0.25">
      <c r="A369" s="7"/>
      <c r="E369" s="7"/>
      <c r="F369" s="7"/>
    </row>
    <row r="370" spans="1:6" x14ac:dyDescent="0.25">
      <c r="A370" s="7"/>
      <c r="E370" s="7"/>
      <c r="F370" s="7"/>
    </row>
    <row r="371" spans="1:6" x14ac:dyDescent="0.25">
      <c r="A371" s="7"/>
      <c r="E371" s="7"/>
      <c r="F371" s="7"/>
    </row>
    <row r="372" spans="1:6" x14ac:dyDescent="0.25">
      <c r="A372" s="7"/>
      <c r="E372" s="7"/>
      <c r="F372" s="7"/>
    </row>
    <row r="373" spans="1:6" x14ac:dyDescent="0.25">
      <c r="A373" s="7"/>
      <c r="E373" s="7"/>
      <c r="F373" s="7"/>
    </row>
    <row r="374" spans="1:6" x14ac:dyDescent="0.25">
      <c r="A374" s="7"/>
      <c r="E374" s="7"/>
      <c r="F374" s="7"/>
    </row>
    <row r="375" spans="1:6" x14ac:dyDescent="0.25">
      <c r="A375" s="7"/>
      <c r="E375" s="7"/>
      <c r="F375" s="7"/>
    </row>
    <row r="376" spans="1:6" x14ac:dyDescent="0.25">
      <c r="A376" s="7"/>
      <c r="E376" s="7"/>
      <c r="F376" s="7"/>
    </row>
    <row r="377" spans="1:6" x14ac:dyDescent="0.25">
      <c r="A377" s="7"/>
      <c r="E377" s="7"/>
      <c r="F377" s="7"/>
    </row>
    <row r="378" spans="1:6" x14ac:dyDescent="0.25">
      <c r="A378" s="7"/>
      <c r="E378" s="7"/>
      <c r="F378" s="7"/>
    </row>
    <row r="379" spans="1:6" x14ac:dyDescent="0.25">
      <c r="A379" s="7"/>
      <c r="E379" s="7"/>
      <c r="F379" s="7"/>
    </row>
    <row r="380" spans="1:6" x14ac:dyDescent="0.25">
      <c r="A380" s="7"/>
      <c r="E380" s="7"/>
      <c r="F380" s="7"/>
    </row>
    <row r="381" spans="1:6" x14ac:dyDescent="0.25">
      <c r="A381" s="7"/>
      <c r="E381" s="7"/>
      <c r="F381" s="7"/>
    </row>
    <row r="382" spans="1:6" x14ac:dyDescent="0.25">
      <c r="A382" s="7"/>
      <c r="E382" s="7"/>
      <c r="F382" s="7"/>
    </row>
    <row r="383" spans="1:6" x14ac:dyDescent="0.25">
      <c r="A383" s="7"/>
      <c r="E383" s="7"/>
      <c r="F383" s="7"/>
    </row>
    <row r="384" spans="1:6" x14ac:dyDescent="0.25">
      <c r="A384" s="7"/>
      <c r="E384" s="7"/>
      <c r="F384" s="7"/>
    </row>
    <row r="385" spans="1:6" x14ac:dyDescent="0.25">
      <c r="A385" s="7"/>
      <c r="E385" s="7"/>
      <c r="F385" s="7"/>
    </row>
    <row r="386" spans="1:6" x14ac:dyDescent="0.25">
      <c r="A386" s="7"/>
      <c r="E386" s="7"/>
      <c r="F386" s="7"/>
    </row>
    <row r="387" spans="1:6" x14ac:dyDescent="0.25">
      <c r="A387" s="7"/>
      <c r="E387" s="7"/>
      <c r="F387" s="7"/>
    </row>
    <row r="388" spans="1:6" x14ac:dyDescent="0.25">
      <c r="A388" s="7"/>
      <c r="E388" s="7"/>
      <c r="F388" s="7"/>
    </row>
    <row r="389" spans="1:6" x14ac:dyDescent="0.25">
      <c r="A389" s="7"/>
      <c r="E389" s="7"/>
      <c r="F389" s="7"/>
    </row>
    <row r="390" spans="1:6" x14ac:dyDescent="0.25">
      <c r="A390" s="7"/>
      <c r="E390" s="7"/>
      <c r="F390" s="7"/>
    </row>
    <row r="391" spans="1:6" x14ac:dyDescent="0.25">
      <c r="A391" s="7"/>
      <c r="E391" s="7"/>
      <c r="F391" s="7"/>
    </row>
    <row r="392" spans="1:6" x14ac:dyDescent="0.25">
      <c r="A392" s="7"/>
      <c r="E392" s="7"/>
      <c r="F392" s="7"/>
    </row>
    <row r="393" spans="1:6" x14ac:dyDescent="0.25">
      <c r="A393" s="7"/>
      <c r="E393" s="7"/>
      <c r="F393" s="7"/>
    </row>
    <row r="394" spans="1:6" x14ac:dyDescent="0.25">
      <c r="A394" s="7"/>
      <c r="E394" s="7"/>
      <c r="F394" s="7"/>
    </row>
    <row r="395" spans="1:6" x14ac:dyDescent="0.25">
      <c r="A395" s="7"/>
      <c r="E395" s="7"/>
      <c r="F395" s="7"/>
    </row>
    <row r="396" spans="1:6" x14ac:dyDescent="0.25">
      <c r="A396" s="7"/>
      <c r="E396" s="7"/>
      <c r="F396" s="7"/>
    </row>
    <row r="397" spans="1:6" x14ac:dyDescent="0.25">
      <c r="A397" s="7"/>
      <c r="E397" s="7"/>
      <c r="F397" s="7"/>
    </row>
    <row r="398" spans="1:6" x14ac:dyDescent="0.25">
      <c r="A398" s="7"/>
      <c r="E398" s="7"/>
      <c r="F398" s="7"/>
    </row>
    <row r="399" spans="1:6" x14ac:dyDescent="0.25">
      <c r="A399" s="7"/>
      <c r="E399" s="7"/>
      <c r="F399" s="7"/>
    </row>
    <row r="400" spans="1:6" x14ac:dyDescent="0.25">
      <c r="A400" s="7"/>
      <c r="E400" s="7"/>
      <c r="F400" s="7"/>
    </row>
    <row r="401" spans="1:6" x14ac:dyDescent="0.25">
      <c r="A401" s="7"/>
      <c r="E401" s="7"/>
      <c r="F401" s="7"/>
    </row>
    <row r="402" spans="1:6" x14ac:dyDescent="0.25">
      <c r="A402" s="7"/>
      <c r="E402" s="7"/>
      <c r="F402" s="7"/>
    </row>
    <row r="403" spans="1:6" x14ac:dyDescent="0.25">
      <c r="A403" s="7"/>
      <c r="E403" s="7"/>
      <c r="F403" s="7"/>
    </row>
    <row r="404" spans="1:6" x14ac:dyDescent="0.25">
      <c r="A404" s="7"/>
      <c r="E404" s="7"/>
      <c r="F404" s="7"/>
    </row>
    <row r="405" spans="1:6" x14ac:dyDescent="0.25">
      <c r="A405" s="7"/>
      <c r="E405" s="7"/>
      <c r="F405" s="7"/>
    </row>
    <row r="406" spans="1:6" x14ac:dyDescent="0.25">
      <c r="A406" s="7"/>
      <c r="E406" s="7"/>
      <c r="F406" s="7"/>
    </row>
    <row r="407" spans="1:6" x14ac:dyDescent="0.25">
      <c r="A407" s="7"/>
      <c r="E407" s="7"/>
      <c r="F407" s="7"/>
    </row>
    <row r="408" spans="1:6" x14ac:dyDescent="0.25">
      <c r="A408" s="7"/>
      <c r="E408" s="7"/>
      <c r="F408" s="7"/>
    </row>
    <row r="409" spans="1:6" x14ac:dyDescent="0.25">
      <c r="A409" s="7"/>
      <c r="E409" s="7"/>
      <c r="F409" s="7"/>
    </row>
    <row r="410" spans="1:6" x14ac:dyDescent="0.25">
      <c r="A410" s="7"/>
      <c r="E410" s="7"/>
      <c r="F410" s="7"/>
    </row>
    <row r="411" spans="1:6" x14ac:dyDescent="0.25">
      <c r="A411" s="7"/>
      <c r="E411" s="7"/>
      <c r="F411" s="7"/>
    </row>
    <row r="412" spans="1:6" x14ac:dyDescent="0.25">
      <c r="A412" s="7"/>
      <c r="E412" s="7"/>
      <c r="F412" s="7"/>
    </row>
    <row r="413" spans="1:6" x14ac:dyDescent="0.25">
      <c r="A413" s="7"/>
      <c r="E413" s="7"/>
      <c r="F413" s="7"/>
    </row>
    <row r="414" spans="1:6" x14ac:dyDescent="0.25">
      <c r="A414" s="7"/>
      <c r="E414" s="7"/>
      <c r="F414" s="7"/>
    </row>
    <row r="415" spans="1:6" x14ac:dyDescent="0.25">
      <c r="A415" s="7"/>
      <c r="E415" s="7"/>
      <c r="F415" s="7"/>
    </row>
    <row r="416" spans="1:6" x14ac:dyDescent="0.25">
      <c r="A416" s="7"/>
      <c r="E416" s="7"/>
      <c r="F416" s="7"/>
    </row>
    <row r="417" spans="1:6" x14ac:dyDescent="0.25">
      <c r="A417" s="7"/>
      <c r="E417" s="7"/>
      <c r="F417" s="7"/>
    </row>
    <row r="418" spans="1:6" x14ac:dyDescent="0.25">
      <c r="A418" s="7"/>
      <c r="E418" s="7"/>
      <c r="F418" s="7"/>
    </row>
    <row r="419" spans="1:6" x14ac:dyDescent="0.25">
      <c r="A419" s="7"/>
      <c r="E419" s="7"/>
      <c r="F419" s="7"/>
    </row>
    <row r="420" spans="1:6" x14ac:dyDescent="0.25">
      <c r="A420" s="7"/>
      <c r="E420" s="7"/>
      <c r="F420" s="7"/>
    </row>
    <row r="421" spans="1:6" x14ac:dyDescent="0.25">
      <c r="A421" s="7"/>
      <c r="E421" s="7"/>
      <c r="F421" s="7"/>
    </row>
    <row r="422" spans="1:6" x14ac:dyDescent="0.25">
      <c r="A422" s="7"/>
      <c r="E422" s="7"/>
      <c r="F422" s="7"/>
    </row>
    <row r="423" spans="1:6" x14ac:dyDescent="0.25">
      <c r="A423" s="7"/>
      <c r="E423" s="7"/>
      <c r="F423" s="7"/>
    </row>
    <row r="424" spans="1:6" x14ac:dyDescent="0.25">
      <c r="A424" s="7"/>
      <c r="E424" s="7"/>
      <c r="F424" s="7"/>
    </row>
    <row r="425" spans="1:6" x14ac:dyDescent="0.25">
      <c r="A425" s="7"/>
      <c r="E425" s="7"/>
      <c r="F425" s="7"/>
    </row>
    <row r="426" spans="1:6" x14ac:dyDescent="0.25">
      <c r="A426" s="7"/>
      <c r="E426" s="7"/>
      <c r="F426" s="7"/>
    </row>
    <row r="427" spans="1:6" x14ac:dyDescent="0.25">
      <c r="A427" s="7"/>
      <c r="E427" s="7"/>
      <c r="F427" s="7"/>
    </row>
    <row r="428" spans="1:6" x14ac:dyDescent="0.25">
      <c r="A428" s="7"/>
      <c r="E428" s="7"/>
      <c r="F428" s="7"/>
    </row>
    <row r="429" spans="1:6" x14ac:dyDescent="0.25">
      <c r="A429" s="7"/>
      <c r="E429" s="7"/>
      <c r="F429" s="7"/>
    </row>
    <row r="430" spans="1:6" x14ac:dyDescent="0.25">
      <c r="A430" s="7"/>
      <c r="E430" s="7"/>
      <c r="F430" s="7"/>
    </row>
    <row r="431" spans="1:6" x14ac:dyDescent="0.25">
      <c r="A431" s="7"/>
      <c r="E431" s="7"/>
      <c r="F431" s="7"/>
    </row>
    <row r="432" spans="1:6" x14ac:dyDescent="0.25">
      <c r="A432" s="7"/>
      <c r="E432" s="7"/>
      <c r="F432" s="7"/>
    </row>
    <row r="433" spans="1:6" x14ac:dyDescent="0.25">
      <c r="A433" s="7"/>
      <c r="E433" s="7"/>
      <c r="F433" s="7"/>
    </row>
    <row r="434" spans="1:6" x14ac:dyDescent="0.25">
      <c r="A434" s="7"/>
      <c r="E434" s="7"/>
      <c r="F434" s="7"/>
    </row>
    <row r="435" spans="1:6" x14ac:dyDescent="0.25">
      <c r="A435" s="7"/>
      <c r="E435" s="7"/>
      <c r="F435" s="7"/>
    </row>
    <row r="436" spans="1:6" x14ac:dyDescent="0.25">
      <c r="A436" s="7"/>
      <c r="E436" s="7"/>
      <c r="F436" s="7"/>
    </row>
    <row r="437" spans="1:6" x14ac:dyDescent="0.25">
      <c r="A437" s="7"/>
      <c r="E437" s="7"/>
      <c r="F437" s="7"/>
    </row>
    <row r="438" spans="1:6" x14ac:dyDescent="0.25">
      <c r="A438" s="7"/>
      <c r="E438" s="7"/>
      <c r="F438" s="7"/>
    </row>
    <row r="439" spans="1:6" x14ac:dyDescent="0.25">
      <c r="A439" s="7"/>
      <c r="E439" s="7"/>
      <c r="F439" s="7"/>
    </row>
    <row r="440" spans="1:6" x14ac:dyDescent="0.25">
      <c r="A440" s="7"/>
      <c r="E440" s="7"/>
      <c r="F440" s="7"/>
    </row>
    <row r="441" spans="1:6" x14ac:dyDescent="0.25">
      <c r="A441" s="7"/>
      <c r="E441" s="7"/>
      <c r="F441" s="7"/>
    </row>
    <row r="442" spans="1:6" x14ac:dyDescent="0.25">
      <c r="A442" s="7"/>
      <c r="E442" s="7"/>
      <c r="F442" s="7"/>
    </row>
    <row r="443" spans="1:6" x14ac:dyDescent="0.25">
      <c r="A443" s="7"/>
      <c r="E443" s="7"/>
      <c r="F443" s="7"/>
    </row>
    <row r="444" spans="1:6" x14ac:dyDescent="0.25">
      <c r="A444" s="7"/>
      <c r="E444" s="7"/>
      <c r="F444" s="7"/>
    </row>
    <row r="445" spans="1:6" x14ac:dyDescent="0.25">
      <c r="A445" s="7"/>
      <c r="E445" s="7"/>
      <c r="F445" s="7"/>
    </row>
    <row r="446" spans="1:6" x14ac:dyDescent="0.25">
      <c r="A446" s="7"/>
      <c r="E446" s="7"/>
      <c r="F446" s="7"/>
    </row>
    <row r="447" spans="1:6" x14ac:dyDescent="0.25">
      <c r="A447" s="7"/>
      <c r="E447" s="7"/>
      <c r="F447" s="7"/>
    </row>
    <row r="448" spans="1:6" x14ac:dyDescent="0.25">
      <c r="A448" s="7"/>
      <c r="E448" s="7"/>
      <c r="F448" s="7"/>
    </row>
    <row r="449" spans="1:6" x14ac:dyDescent="0.25">
      <c r="A449" s="7"/>
      <c r="E449" s="7"/>
      <c r="F449" s="7"/>
    </row>
    <row r="450" spans="1:6" x14ac:dyDescent="0.25">
      <c r="A450" s="7"/>
      <c r="E450" s="7"/>
      <c r="F450" s="7"/>
    </row>
    <row r="451" spans="1:6" x14ac:dyDescent="0.25">
      <c r="A451" s="7"/>
      <c r="E451" s="7"/>
      <c r="F451" s="7"/>
    </row>
    <row r="452" spans="1:6" x14ac:dyDescent="0.25">
      <c r="A452" s="7"/>
      <c r="E452" s="7"/>
      <c r="F452" s="7"/>
    </row>
    <row r="453" spans="1:6" x14ac:dyDescent="0.25">
      <c r="A453" s="7"/>
      <c r="E453" s="7"/>
      <c r="F453" s="7"/>
    </row>
    <row r="454" spans="1:6" x14ac:dyDescent="0.25">
      <c r="A454" s="7"/>
      <c r="E454" s="7"/>
      <c r="F454" s="7"/>
    </row>
    <row r="455" spans="1:6" x14ac:dyDescent="0.25">
      <c r="A455" s="7"/>
      <c r="E455" s="7"/>
      <c r="F455" s="7"/>
    </row>
    <row r="456" spans="1:6" x14ac:dyDescent="0.25">
      <c r="A456" s="7"/>
      <c r="E456" s="7"/>
      <c r="F456" s="7"/>
    </row>
    <row r="457" spans="1:6" x14ac:dyDescent="0.25">
      <c r="A457" s="7"/>
      <c r="E457" s="7"/>
      <c r="F457" s="7"/>
    </row>
    <row r="458" spans="1:6" x14ac:dyDescent="0.25">
      <c r="A458" s="7"/>
      <c r="E458" s="7"/>
      <c r="F458" s="7"/>
    </row>
    <row r="459" spans="1:6" x14ac:dyDescent="0.25">
      <c r="A459" s="7"/>
      <c r="E459" s="7"/>
      <c r="F459" s="7"/>
    </row>
    <row r="460" spans="1:6" x14ac:dyDescent="0.25">
      <c r="A460" s="7"/>
      <c r="E460" s="7"/>
      <c r="F460" s="7"/>
    </row>
    <row r="461" spans="1:6" x14ac:dyDescent="0.25">
      <c r="A461" s="7"/>
      <c r="E461" s="7"/>
      <c r="F461" s="7"/>
    </row>
    <row r="462" spans="1:6" x14ac:dyDescent="0.25">
      <c r="A462" s="7"/>
      <c r="E462" s="7"/>
      <c r="F462" s="7"/>
    </row>
    <row r="463" spans="1:6" x14ac:dyDescent="0.25">
      <c r="A463" s="7"/>
      <c r="E463" s="7"/>
      <c r="F463" s="7"/>
    </row>
    <row r="464" spans="1:6" x14ac:dyDescent="0.25">
      <c r="A464" s="7"/>
      <c r="E464" s="7"/>
      <c r="F464" s="7"/>
    </row>
    <row r="465" spans="1:6" x14ac:dyDescent="0.25">
      <c r="A465" s="7"/>
      <c r="E465" s="7"/>
      <c r="F465" s="7"/>
    </row>
    <row r="466" spans="1:6" x14ac:dyDescent="0.25">
      <c r="A466" s="7"/>
      <c r="E466" s="7"/>
      <c r="F466" s="7"/>
    </row>
    <row r="467" spans="1:6" x14ac:dyDescent="0.25">
      <c r="A467" s="7"/>
      <c r="E467" s="7"/>
      <c r="F467" s="7"/>
    </row>
    <row r="468" spans="1:6" x14ac:dyDescent="0.25">
      <c r="A468" s="7"/>
      <c r="E468" s="7"/>
      <c r="F468" s="7"/>
    </row>
    <row r="469" spans="1:6" x14ac:dyDescent="0.25">
      <c r="A469" s="7"/>
      <c r="E469" s="7"/>
      <c r="F469" s="7"/>
    </row>
    <row r="470" spans="1:6" x14ac:dyDescent="0.25">
      <c r="A470" s="7"/>
      <c r="E470" s="7"/>
      <c r="F470" s="7"/>
    </row>
    <row r="471" spans="1:6" x14ac:dyDescent="0.25">
      <c r="A471" s="7"/>
      <c r="E471" s="7"/>
      <c r="F471" s="7"/>
    </row>
    <row r="472" spans="1:6" x14ac:dyDescent="0.25">
      <c r="A472" s="7"/>
      <c r="E472" s="7"/>
      <c r="F472" s="7"/>
    </row>
    <row r="473" spans="1:6" x14ac:dyDescent="0.25">
      <c r="A473" s="7"/>
      <c r="E473" s="7"/>
      <c r="F473" s="7"/>
    </row>
    <row r="474" spans="1:6" x14ac:dyDescent="0.25">
      <c r="A474" s="7"/>
      <c r="E474" s="7"/>
      <c r="F474" s="7"/>
    </row>
    <row r="475" spans="1:6" x14ac:dyDescent="0.25">
      <c r="A475" s="7"/>
      <c r="E475" s="7"/>
      <c r="F475" s="7"/>
    </row>
    <row r="476" spans="1:6" x14ac:dyDescent="0.25">
      <c r="A476" s="7"/>
      <c r="E476" s="7"/>
      <c r="F476" s="7"/>
    </row>
    <row r="477" spans="1:6" x14ac:dyDescent="0.25">
      <c r="A477" s="7"/>
      <c r="E477" s="7"/>
      <c r="F477" s="7"/>
    </row>
    <row r="478" spans="1:6" x14ac:dyDescent="0.25">
      <c r="A478" s="7"/>
      <c r="E478" s="7"/>
      <c r="F478" s="7"/>
    </row>
    <row r="479" spans="1:6" x14ac:dyDescent="0.25">
      <c r="A479" s="7"/>
      <c r="E479" s="7"/>
      <c r="F479" s="7"/>
    </row>
    <row r="480" spans="1:6" x14ac:dyDescent="0.25">
      <c r="A480" s="7"/>
      <c r="E480" s="7"/>
      <c r="F480" s="7"/>
    </row>
    <row r="481" spans="1:6" x14ac:dyDescent="0.25">
      <c r="A481" s="7"/>
      <c r="E481" s="7"/>
      <c r="F481" s="7"/>
    </row>
    <row r="482" spans="1:6" x14ac:dyDescent="0.25">
      <c r="A482" s="7"/>
      <c r="E482" s="7"/>
      <c r="F482" s="7"/>
    </row>
    <row r="483" spans="1:6" x14ac:dyDescent="0.25">
      <c r="A483" s="7"/>
      <c r="E483" s="7"/>
      <c r="F483" s="7"/>
    </row>
    <row r="484" spans="1:6" x14ac:dyDescent="0.25">
      <c r="A484" s="7"/>
      <c r="E484" s="7"/>
      <c r="F484" s="7"/>
    </row>
    <row r="485" spans="1:6" x14ac:dyDescent="0.25">
      <c r="A485" s="7"/>
      <c r="E485" s="7"/>
      <c r="F485" s="7"/>
    </row>
    <row r="486" spans="1:6" x14ac:dyDescent="0.25">
      <c r="A486" s="7"/>
      <c r="E486" s="7"/>
      <c r="F486" s="7"/>
    </row>
    <row r="487" spans="1:6" x14ac:dyDescent="0.25">
      <c r="A487" s="7"/>
      <c r="E487" s="7"/>
      <c r="F487" s="7"/>
    </row>
    <row r="488" spans="1:6" x14ac:dyDescent="0.25">
      <c r="A488" s="7"/>
      <c r="E488" s="7"/>
      <c r="F488" s="7"/>
    </row>
    <row r="489" spans="1:6" x14ac:dyDescent="0.25">
      <c r="A489" s="7"/>
      <c r="E489" s="7"/>
      <c r="F489" s="7"/>
    </row>
    <row r="490" spans="1:6" x14ac:dyDescent="0.25">
      <c r="A490" s="7"/>
      <c r="E490" s="7"/>
      <c r="F490" s="7"/>
    </row>
    <row r="491" spans="1:6" x14ac:dyDescent="0.25">
      <c r="A491" s="7"/>
      <c r="E491" s="7"/>
      <c r="F491" s="7"/>
    </row>
    <row r="492" spans="1:6" x14ac:dyDescent="0.25">
      <c r="A492" s="7"/>
      <c r="E492" s="7"/>
      <c r="F492" s="7"/>
    </row>
    <row r="493" spans="1:6" x14ac:dyDescent="0.25">
      <c r="A493" s="7"/>
      <c r="E493" s="7"/>
      <c r="F493" s="7"/>
    </row>
    <row r="494" spans="1:6" x14ac:dyDescent="0.25">
      <c r="A494" s="7"/>
      <c r="E494" s="7"/>
      <c r="F494" s="7"/>
    </row>
    <row r="495" spans="1:6" x14ac:dyDescent="0.25">
      <c r="A495" s="7"/>
      <c r="E495" s="7"/>
      <c r="F495" s="7"/>
    </row>
    <row r="496" spans="1:6" x14ac:dyDescent="0.25">
      <c r="A496" s="7"/>
      <c r="E496" s="7"/>
      <c r="F496" s="7"/>
    </row>
    <row r="497" spans="1:6" x14ac:dyDescent="0.25">
      <c r="A497" s="7"/>
      <c r="E497" s="7"/>
      <c r="F497" s="7"/>
    </row>
    <row r="498" spans="1:6" x14ac:dyDescent="0.25">
      <c r="A498" s="7"/>
      <c r="E498" s="7"/>
      <c r="F498" s="7"/>
    </row>
    <row r="499" spans="1:6" x14ac:dyDescent="0.25">
      <c r="A499" s="7"/>
      <c r="E499" s="7"/>
      <c r="F499" s="7"/>
    </row>
    <row r="500" spans="1:6" x14ac:dyDescent="0.25">
      <c r="A500" s="7"/>
      <c r="E500" s="7"/>
      <c r="F500" s="7"/>
    </row>
    <row r="501" spans="1:6" x14ac:dyDescent="0.25">
      <c r="A501" s="7"/>
      <c r="E501" s="7"/>
      <c r="F501" s="7"/>
    </row>
    <row r="502" spans="1:6" x14ac:dyDescent="0.25">
      <c r="A502" s="7"/>
      <c r="E502" s="7"/>
      <c r="F502" s="7"/>
    </row>
    <row r="503" spans="1:6" x14ac:dyDescent="0.25">
      <c r="A503" s="7"/>
      <c r="E503" s="7"/>
      <c r="F503" s="7"/>
    </row>
    <row r="504" spans="1:6" x14ac:dyDescent="0.25">
      <c r="A504" s="7"/>
      <c r="E504" s="7"/>
      <c r="F504" s="7"/>
    </row>
    <row r="505" spans="1:6" x14ac:dyDescent="0.25">
      <c r="A505" s="7"/>
      <c r="E505" s="7"/>
      <c r="F505" s="7"/>
    </row>
    <row r="506" spans="1:6" x14ac:dyDescent="0.25">
      <c r="A506" s="7"/>
      <c r="E506" s="7"/>
      <c r="F506" s="7"/>
    </row>
    <row r="507" spans="1:6" x14ac:dyDescent="0.25">
      <c r="A507" s="7"/>
      <c r="E507" s="7"/>
      <c r="F507" s="7"/>
    </row>
    <row r="508" spans="1:6" x14ac:dyDescent="0.25">
      <c r="A508" s="7"/>
      <c r="E508" s="7"/>
      <c r="F508" s="7"/>
    </row>
    <row r="509" spans="1:6" x14ac:dyDescent="0.25">
      <c r="A509" s="7"/>
      <c r="E509" s="7"/>
      <c r="F509" s="7"/>
    </row>
    <row r="510" spans="1:6" x14ac:dyDescent="0.25">
      <c r="A510" s="7"/>
      <c r="E510" s="7"/>
      <c r="F510" s="7"/>
    </row>
    <row r="511" spans="1:6" x14ac:dyDescent="0.25">
      <c r="A511" s="7"/>
      <c r="E511" s="7"/>
      <c r="F511" s="7"/>
    </row>
    <row r="512" spans="1:6" x14ac:dyDescent="0.25">
      <c r="A512" s="7"/>
      <c r="E512" s="7"/>
      <c r="F512" s="7"/>
    </row>
    <row r="513" spans="1:6" x14ac:dyDescent="0.25">
      <c r="A513" s="7"/>
      <c r="E513" s="7"/>
      <c r="F513" s="7"/>
    </row>
    <row r="514" spans="1:6" x14ac:dyDescent="0.25">
      <c r="A514" s="7"/>
      <c r="E514" s="7"/>
      <c r="F514" s="7"/>
    </row>
    <row r="515" spans="1:6" x14ac:dyDescent="0.25">
      <c r="A515" s="7"/>
      <c r="E515" s="7"/>
      <c r="F515" s="7"/>
    </row>
    <row r="516" spans="1:6" x14ac:dyDescent="0.25">
      <c r="A516" s="7"/>
      <c r="E516" s="7"/>
      <c r="F516" s="7"/>
    </row>
    <row r="517" spans="1:6" x14ac:dyDescent="0.25">
      <c r="A517" s="7"/>
      <c r="E517" s="7"/>
      <c r="F517" s="7"/>
    </row>
    <row r="518" spans="1:6" x14ac:dyDescent="0.25">
      <c r="A518" s="7"/>
      <c r="E518" s="7"/>
      <c r="F518" s="7"/>
    </row>
    <row r="519" spans="1:6" x14ac:dyDescent="0.25">
      <c r="A519" s="7"/>
      <c r="E519" s="7"/>
      <c r="F519" s="7"/>
    </row>
    <row r="520" spans="1:6" x14ac:dyDescent="0.25">
      <c r="A520" s="7"/>
      <c r="E520" s="7"/>
      <c r="F520" s="7"/>
    </row>
    <row r="521" spans="1:6" x14ac:dyDescent="0.25">
      <c r="A521" s="7"/>
      <c r="E521" s="7"/>
      <c r="F521" s="7"/>
    </row>
    <row r="522" spans="1:6" x14ac:dyDescent="0.25">
      <c r="A522" s="7"/>
      <c r="E522" s="7"/>
      <c r="F522" s="7"/>
    </row>
    <row r="523" spans="1:6" x14ac:dyDescent="0.25">
      <c r="A523" s="7"/>
      <c r="E523" s="7"/>
      <c r="F523" s="7"/>
    </row>
    <row r="524" spans="1:6" x14ac:dyDescent="0.25">
      <c r="A524" s="7"/>
      <c r="E524" s="7"/>
      <c r="F524" s="7"/>
    </row>
    <row r="525" spans="1:6" x14ac:dyDescent="0.25">
      <c r="A525" s="7"/>
      <c r="E525" s="7"/>
      <c r="F525" s="7"/>
    </row>
    <row r="526" spans="1:6" x14ac:dyDescent="0.25">
      <c r="A526" s="7"/>
      <c r="E526" s="7"/>
      <c r="F526" s="7"/>
    </row>
    <row r="527" spans="1:6" x14ac:dyDescent="0.25">
      <c r="A527" s="7"/>
      <c r="E527" s="7"/>
      <c r="F527" s="7"/>
    </row>
    <row r="528" spans="1:6" x14ac:dyDescent="0.25">
      <c r="A528" s="7"/>
      <c r="E528" s="7"/>
      <c r="F528" s="7"/>
    </row>
    <row r="529" spans="1:6" x14ac:dyDescent="0.25">
      <c r="A529" s="7"/>
      <c r="E529" s="7"/>
      <c r="F529" s="7"/>
    </row>
    <row r="530" spans="1:6" x14ac:dyDescent="0.25">
      <c r="A530" s="7"/>
      <c r="E530" s="7"/>
      <c r="F530" s="7"/>
    </row>
    <row r="531" spans="1:6" x14ac:dyDescent="0.25">
      <c r="A531" s="7"/>
      <c r="E531" s="7"/>
      <c r="F531" s="7"/>
    </row>
    <row r="532" spans="1:6" x14ac:dyDescent="0.25">
      <c r="A532" s="7"/>
      <c r="E532" s="7"/>
      <c r="F532" s="7"/>
    </row>
    <row r="533" spans="1:6" x14ac:dyDescent="0.25">
      <c r="A533" s="7"/>
      <c r="E533" s="7"/>
      <c r="F533" s="7"/>
    </row>
    <row r="534" spans="1:6" x14ac:dyDescent="0.25">
      <c r="A534" s="7"/>
      <c r="E534" s="7"/>
      <c r="F534" s="7"/>
    </row>
    <row r="535" spans="1:6" x14ac:dyDescent="0.25">
      <c r="A535" s="7"/>
      <c r="E535" s="7"/>
      <c r="F535" s="7"/>
    </row>
    <row r="536" spans="1:6" x14ac:dyDescent="0.25">
      <c r="A536" s="7"/>
      <c r="E536" s="7"/>
      <c r="F536" s="7"/>
    </row>
    <row r="537" spans="1:6" x14ac:dyDescent="0.25">
      <c r="A537" s="7"/>
      <c r="E537" s="7"/>
      <c r="F537" s="7"/>
    </row>
    <row r="538" spans="1:6" x14ac:dyDescent="0.25">
      <c r="A538" s="7"/>
      <c r="E538" s="7"/>
      <c r="F538" s="7"/>
    </row>
    <row r="539" spans="1:6" x14ac:dyDescent="0.25">
      <c r="A539" s="7"/>
      <c r="E539" s="7"/>
      <c r="F539" s="7"/>
    </row>
    <row r="540" spans="1:6" x14ac:dyDescent="0.25">
      <c r="A540" s="7"/>
      <c r="E540" s="7"/>
      <c r="F540" s="7"/>
    </row>
    <row r="541" spans="1:6" x14ac:dyDescent="0.25">
      <c r="A541" s="7"/>
      <c r="E541" s="7"/>
      <c r="F541" s="7"/>
    </row>
    <row r="542" spans="1:6" x14ac:dyDescent="0.25">
      <c r="A542" s="7"/>
      <c r="E542" s="7"/>
      <c r="F542" s="7"/>
    </row>
    <row r="543" spans="1:6" x14ac:dyDescent="0.25">
      <c r="A543" s="7"/>
      <c r="E543" s="7"/>
      <c r="F543" s="7"/>
    </row>
    <row r="544" spans="1:6" x14ac:dyDescent="0.25">
      <c r="A544" s="7"/>
      <c r="E544" s="7"/>
      <c r="F544" s="7"/>
    </row>
    <row r="545" spans="1:6" x14ac:dyDescent="0.25">
      <c r="A545" s="7"/>
      <c r="E545" s="7"/>
      <c r="F545" s="7"/>
    </row>
    <row r="546" spans="1:6" x14ac:dyDescent="0.25">
      <c r="A546" s="7"/>
      <c r="E546" s="7"/>
      <c r="F546" s="7"/>
    </row>
    <row r="547" spans="1:6" x14ac:dyDescent="0.25">
      <c r="A547" s="7"/>
      <c r="E547" s="7"/>
      <c r="F547" s="7"/>
    </row>
    <row r="548" spans="1:6" x14ac:dyDescent="0.25">
      <c r="A548" s="7"/>
      <c r="E548" s="7"/>
      <c r="F548" s="7"/>
    </row>
    <row r="549" spans="1:6" x14ac:dyDescent="0.25">
      <c r="A549" s="7"/>
      <c r="E549" s="7"/>
      <c r="F549" s="7"/>
    </row>
    <row r="550" spans="1:6" x14ac:dyDescent="0.25">
      <c r="A550" s="7"/>
      <c r="E550" s="7"/>
      <c r="F550" s="7"/>
    </row>
    <row r="551" spans="1:6" x14ac:dyDescent="0.25">
      <c r="A551" s="7"/>
      <c r="E551" s="7"/>
      <c r="F551" s="7"/>
    </row>
    <row r="552" spans="1:6" x14ac:dyDescent="0.25">
      <c r="A552" s="7"/>
      <c r="E552" s="7"/>
      <c r="F552" s="7"/>
    </row>
    <row r="553" spans="1:6" x14ac:dyDescent="0.25">
      <c r="A553" s="7"/>
      <c r="E553" s="7"/>
      <c r="F553" s="7"/>
    </row>
    <row r="554" spans="1:6" x14ac:dyDescent="0.25">
      <c r="A554" s="7"/>
      <c r="E554" s="7"/>
      <c r="F554" s="7"/>
    </row>
    <row r="555" spans="1:6" x14ac:dyDescent="0.25">
      <c r="A555" s="7"/>
      <c r="E555" s="7"/>
      <c r="F555" s="7"/>
    </row>
    <row r="556" spans="1:6" x14ac:dyDescent="0.25">
      <c r="A556" s="7"/>
      <c r="E556" s="7"/>
      <c r="F556" s="7"/>
    </row>
    <row r="557" spans="1:6" x14ac:dyDescent="0.25">
      <c r="A557" s="7"/>
      <c r="E557" s="7"/>
      <c r="F557" s="7"/>
    </row>
    <row r="558" spans="1:6" x14ac:dyDescent="0.25">
      <c r="A558" s="7"/>
      <c r="E558" s="7"/>
      <c r="F558" s="7"/>
    </row>
    <row r="559" spans="1:6" x14ac:dyDescent="0.25">
      <c r="A559" s="7"/>
      <c r="E559" s="7"/>
      <c r="F559" s="7"/>
    </row>
    <row r="560" spans="1:6" x14ac:dyDescent="0.25">
      <c r="A560" s="7"/>
      <c r="E560" s="7"/>
      <c r="F560" s="7"/>
    </row>
    <row r="561" spans="1:6" x14ac:dyDescent="0.25">
      <c r="A561" s="7"/>
      <c r="E561" s="7"/>
      <c r="F561" s="7"/>
    </row>
    <row r="562" spans="1:6" x14ac:dyDescent="0.25">
      <c r="A562" s="7"/>
      <c r="E562" s="7"/>
      <c r="F562" s="7"/>
    </row>
    <row r="563" spans="1:6" x14ac:dyDescent="0.25">
      <c r="A563" s="7"/>
      <c r="E563" s="7"/>
      <c r="F563" s="7"/>
    </row>
    <row r="564" spans="1:6" x14ac:dyDescent="0.25">
      <c r="A564" s="7"/>
      <c r="E564" s="7"/>
      <c r="F564" s="7"/>
    </row>
    <row r="565" spans="1:6" x14ac:dyDescent="0.25">
      <c r="A565" s="7"/>
      <c r="E565" s="7"/>
      <c r="F565" s="7"/>
    </row>
    <row r="566" spans="1:6" x14ac:dyDescent="0.25">
      <c r="A566" s="7"/>
      <c r="E566" s="7"/>
      <c r="F566" s="7"/>
    </row>
    <row r="567" spans="1:6" x14ac:dyDescent="0.25">
      <c r="A567" s="7"/>
      <c r="E567" s="7"/>
      <c r="F567" s="7"/>
    </row>
    <row r="568" spans="1:6" x14ac:dyDescent="0.25">
      <c r="A568" s="7"/>
      <c r="E568" s="7"/>
      <c r="F568" s="7"/>
    </row>
    <row r="569" spans="1:6" x14ac:dyDescent="0.25">
      <c r="A569" s="7"/>
      <c r="E569" s="7"/>
      <c r="F569" s="7"/>
    </row>
    <row r="570" spans="1:6" x14ac:dyDescent="0.25">
      <c r="A570" s="7"/>
      <c r="E570" s="7"/>
      <c r="F570" s="7"/>
    </row>
    <row r="571" spans="1:6" x14ac:dyDescent="0.25">
      <c r="A571" s="7"/>
      <c r="E571" s="7"/>
      <c r="F571" s="7"/>
    </row>
    <row r="572" spans="1:6" x14ac:dyDescent="0.25">
      <c r="A572" s="7"/>
      <c r="E572" s="7"/>
      <c r="F572" s="7"/>
    </row>
    <row r="573" spans="1:6" x14ac:dyDescent="0.25">
      <c r="A573" s="7"/>
      <c r="E573" s="7"/>
      <c r="F573" s="7"/>
    </row>
    <row r="574" spans="1:6" x14ac:dyDescent="0.25">
      <c r="A574" s="7"/>
      <c r="E574" s="7"/>
      <c r="F574" s="7"/>
    </row>
    <row r="575" spans="1:6" x14ac:dyDescent="0.25">
      <c r="A575" s="7"/>
      <c r="E575" s="7"/>
      <c r="F575" s="7"/>
    </row>
    <row r="576" spans="1:6" x14ac:dyDescent="0.25">
      <c r="A576" s="7"/>
      <c r="E576" s="7"/>
      <c r="F576" s="7"/>
    </row>
    <row r="577" spans="1:6" x14ac:dyDescent="0.25">
      <c r="A577" s="7"/>
      <c r="E577" s="7"/>
      <c r="F577" s="7"/>
    </row>
    <row r="578" spans="1:6" x14ac:dyDescent="0.25">
      <c r="A578" s="7"/>
      <c r="E578" s="7"/>
      <c r="F578" s="7"/>
    </row>
    <row r="579" spans="1:6" x14ac:dyDescent="0.25">
      <c r="A579" s="7"/>
      <c r="E579" s="7"/>
      <c r="F579" s="7"/>
    </row>
    <row r="580" spans="1:6" x14ac:dyDescent="0.25">
      <c r="A580" s="7"/>
      <c r="E580" s="7"/>
      <c r="F580" s="7"/>
    </row>
    <row r="581" spans="1:6" x14ac:dyDescent="0.25">
      <c r="A581" s="7"/>
      <c r="E581" s="7"/>
      <c r="F581" s="7"/>
    </row>
    <row r="582" spans="1:6" x14ac:dyDescent="0.25">
      <c r="A582" s="7"/>
      <c r="E582" s="7"/>
      <c r="F582" s="7"/>
    </row>
    <row r="583" spans="1:6" x14ac:dyDescent="0.25">
      <c r="A583" s="7"/>
      <c r="E583" s="7"/>
      <c r="F583" s="7"/>
    </row>
    <row r="584" spans="1:6" x14ac:dyDescent="0.25">
      <c r="A584" s="7"/>
      <c r="E584" s="7"/>
      <c r="F584" s="7"/>
    </row>
    <row r="585" spans="1:6" x14ac:dyDescent="0.25">
      <c r="A585" s="7"/>
      <c r="E585" s="7"/>
      <c r="F585" s="7"/>
    </row>
    <row r="586" spans="1:6" x14ac:dyDescent="0.25">
      <c r="A586" s="7"/>
      <c r="E586" s="7"/>
      <c r="F586" s="7"/>
    </row>
    <row r="587" spans="1:6" x14ac:dyDescent="0.25">
      <c r="A587" s="7"/>
      <c r="E587" s="7"/>
      <c r="F587" s="7"/>
    </row>
    <row r="588" spans="1:6" x14ac:dyDescent="0.25">
      <c r="A588" s="7"/>
      <c r="E588" s="7"/>
      <c r="F588" s="7"/>
    </row>
    <row r="589" spans="1:6" x14ac:dyDescent="0.25">
      <c r="A589" s="7"/>
      <c r="E589" s="7"/>
      <c r="F589" s="7"/>
    </row>
    <row r="590" spans="1:6" x14ac:dyDescent="0.25">
      <c r="A590" s="7"/>
      <c r="E590" s="7"/>
      <c r="F590" s="7"/>
    </row>
    <row r="591" spans="1:6" x14ac:dyDescent="0.25">
      <c r="A591" s="7"/>
      <c r="E591" s="7"/>
      <c r="F591" s="7"/>
    </row>
    <row r="592" spans="1:6" x14ac:dyDescent="0.25">
      <c r="A592" s="7"/>
      <c r="E592" s="7"/>
      <c r="F592" s="7"/>
    </row>
    <row r="593" spans="1:6" x14ac:dyDescent="0.25">
      <c r="A593" s="7"/>
      <c r="E593" s="7"/>
      <c r="F593" s="7"/>
    </row>
    <row r="594" spans="1:6" x14ac:dyDescent="0.25">
      <c r="A594" s="7"/>
      <c r="E594" s="7"/>
      <c r="F594" s="7"/>
    </row>
    <row r="595" spans="1:6" x14ac:dyDescent="0.25">
      <c r="A595" s="7"/>
      <c r="E595" s="7"/>
      <c r="F595" s="7"/>
    </row>
    <row r="596" spans="1:6" x14ac:dyDescent="0.25">
      <c r="A596" s="7"/>
      <c r="E596" s="7"/>
      <c r="F596" s="7"/>
    </row>
    <row r="597" spans="1:6" x14ac:dyDescent="0.25">
      <c r="A597" s="7"/>
      <c r="E597" s="7"/>
      <c r="F597" s="7"/>
    </row>
    <row r="598" spans="1:6" x14ac:dyDescent="0.25">
      <c r="A598" s="7"/>
      <c r="E598" s="7"/>
      <c r="F598" s="7"/>
    </row>
    <row r="599" spans="1:6" x14ac:dyDescent="0.25">
      <c r="A599" s="7"/>
      <c r="E599" s="7"/>
      <c r="F599" s="7"/>
    </row>
    <row r="600" spans="1:6" x14ac:dyDescent="0.25">
      <c r="A600" s="7"/>
      <c r="E600" s="7"/>
      <c r="F600" s="7"/>
    </row>
    <row r="601" spans="1:6" x14ac:dyDescent="0.25">
      <c r="A601" s="7"/>
      <c r="E601" s="7"/>
      <c r="F601" s="7"/>
    </row>
    <row r="602" spans="1:6" x14ac:dyDescent="0.25">
      <c r="A602" s="7"/>
      <c r="E602" s="7"/>
      <c r="F602" s="7"/>
    </row>
    <row r="603" spans="1:6" x14ac:dyDescent="0.25">
      <c r="A603" s="7"/>
      <c r="E603" s="7"/>
      <c r="F603" s="7"/>
    </row>
    <row r="604" spans="1:6" x14ac:dyDescent="0.25">
      <c r="A604" s="7"/>
      <c r="E604" s="7"/>
      <c r="F604" s="7"/>
    </row>
    <row r="605" spans="1:6" x14ac:dyDescent="0.25">
      <c r="A605" s="7"/>
      <c r="E605" s="7"/>
      <c r="F605" s="7"/>
    </row>
    <row r="606" spans="1:6" x14ac:dyDescent="0.25">
      <c r="A606" s="7"/>
      <c r="E606" s="7"/>
      <c r="F606" s="7"/>
    </row>
    <row r="607" spans="1:6" x14ac:dyDescent="0.25">
      <c r="A607" s="7"/>
      <c r="E607" s="7"/>
      <c r="F607" s="7"/>
    </row>
    <row r="608" spans="1:6" x14ac:dyDescent="0.25">
      <c r="A608" s="7"/>
      <c r="E608" s="7"/>
      <c r="F608" s="7"/>
    </row>
    <row r="609" spans="1:6" x14ac:dyDescent="0.25">
      <c r="A609" s="7"/>
      <c r="E609" s="7"/>
      <c r="F609" s="7"/>
    </row>
    <row r="610" spans="1:6" x14ac:dyDescent="0.25">
      <c r="A610" s="7"/>
      <c r="E610" s="7"/>
      <c r="F610" s="7"/>
    </row>
    <row r="611" spans="1:6" x14ac:dyDescent="0.25">
      <c r="A611" s="7"/>
      <c r="E611" s="7"/>
      <c r="F611" s="7"/>
    </row>
    <row r="612" spans="1:6" x14ac:dyDescent="0.25">
      <c r="A612" s="7"/>
      <c r="E612" s="7"/>
      <c r="F612" s="7"/>
    </row>
    <row r="613" spans="1:6" x14ac:dyDescent="0.25">
      <c r="A613" s="7"/>
      <c r="E613" s="7"/>
      <c r="F613" s="7"/>
    </row>
    <row r="614" spans="1:6" x14ac:dyDescent="0.25">
      <c r="A614" s="7"/>
      <c r="E614" s="7"/>
      <c r="F614" s="7"/>
    </row>
    <row r="615" spans="1:6" x14ac:dyDescent="0.25">
      <c r="A615" s="7"/>
      <c r="E615" s="7"/>
      <c r="F615" s="7"/>
    </row>
    <row r="616" spans="1:6" x14ac:dyDescent="0.25">
      <c r="A616" s="7"/>
      <c r="E616" s="7"/>
      <c r="F616" s="7"/>
    </row>
    <row r="617" spans="1:6" x14ac:dyDescent="0.25">
      <c r="A617" s="7"/>
      <c r="E617" s="7"/>
      <c r="F617" s="7"/>
    </row>
    <row r="618" spans="1:6" x14ac:dyDescent="0.25">
      <c r="A618" s="7"/>
      <c r="E618" s="7"/>
      <c r="F618" s="7"/>
    </row>
    <row r="619" spans="1:6" x14ac:dyDescent="0.25">
      <c r="A619" s="7"/>
      <c r="E619" s="7"/>
      <c r="F619" s="7"/>
    </row>
    <row r="620" spans="1:6" x14ac:dyDescent="0.25">
      <c r="A620" s="7"/>
      <c r="E620" s="7"/>
      <c r="F620" s="7"/>
    </row>
    <row r="621" spans="1:6" x14ac:dyDescent="0.25">
      <c r="A621" s="7"/>
      <c r="E621" s="7"/>
      <c r="F621" s="7"/>
    </row>
    <row r="622" spans="1:6" x14ac:dyDescent="0.25">
      <c r="A622" s="7"/>
      <c r="E622" s="7"/>
      <c r="F622" s="7"/>
    </row>
    <row r="623" spans="1:6" x14ac:dyDescent="0.25">
      <c r="A623" s="7"/>
      <c r="E623" s="7"/>
      <c r="F623" s="7"/>
    </row>
    <row r="624" spans="1:6" x14ac:dyDescent="0.25">
      <c r="A624" s="7"/>
      <c r="E624" s="7"/>
      <c r="F624" s="7"/>
    </row>
    <row r="625" spans="1:6" x14ac:dyDescent="0.25">
      <c r="A625" s="7"/>
      <c r="E625" s="7"/>
      <c r="F625" s="7"/>
    </row>
    <row r="626" spans="1:6" x14ac:dyDescent="0.25">
      <c r="A626" s="7"/>
      <c r="E626" s="7"/>
      <c r="F626" s="7"/>
    </row>
    <row r="627" spans="1:6" x14ac:dyDescent="0.25">
      <c r="A627" s="7"/>
      <c r="E627" s="7"/>
      <c r="F627" s="7"/>
    </row>
    <row r="628" spans="1:6" x14ac:dyDescent="0.25">
      <c r="A628" s="7"/>
      <c r="E628" s="7"/>
      <c r="F628" s="7"/>
    </row>
    <row r="629" spans="1:6" x14ac:dyDescent="0.25">
      <c r="A629" s="7"/>
      <c r="E629" s="7"/>
      <c r="F629" s="7"/>
    </row>
    <row r="630" spans="1:6" x14ac:dyDescent="0.25">
      <c r="A630" s="7"/>
      <c r="E630" s="7"/>
      <c r="F630" s="7"/>
    </row>
    <row r="631" spans="1:6" x14ac:dyDescent="0.25">
      <c r="A631" s="7"/>
      <c r="E631" s="7"/>
      <c r="F631" s="7"/>
    </row>
    <row r="632" spans="1:6" x14ac:dyDescent="0.25">
      <c r="A632" s="7"/>
      <c r="E632" s="7"/>
      <c r="F632" s="7"/>
    </row>
    <row r="633" spans="1:6" x14ac:dyDescent="0.25">
      <c r="A633" s="7"/>
      <c r="E633" s="7"/>
      <c r="F633" s="7"/>
    </row>
    <row r="634" spans="1:6" x14ac:dyDescent="0.25">
      <c r="A634" s="7"/>
      <c r="E634" s="7"/>
      <c r="F634" s="7"/>
    </row>
    <row r="635" spans="1:6" x14ac:dyDescent="0.25">
      <c r="A635" s="7"/>
      <c r="E635" s="7"/>
      <c r="F635" s="7"/>
    </row>
    <row r="636" spans="1:6" x14ac:dyDescent="0.25">
      <c r="A636" s="7"/>
      <c r="E636" s="7"/>
      <c r="F636" s="7"/>
    </row>
    <row r="637" spans="1:6" x14ac:dyDescent="0.25">
      <c r="A637" s="7"/>
      <c r="E637" s="7"/>
      <c r="F637" s="7"/>
    </row>
    <row r="638" spans="1:6" x14ac:dyDescent="0.25">
      <c r="A638" s="7"/>
      <c r="E638" s="7"/>
      <c r="F638" s="7"/>
    </row>
    <row r="639" spans="1:6" x14ac:dyDescent="0.25">
      <c r="A639" s="7"/>
      <c r="E639" s="7"/>
      <c r="F639" s="7"/>
    </row>
    <row r="640" spans="1:6" x14ac:dyDescent="0.25">
      <c r="A640" s="7"/>
      <c r="E640" s="7"/>
      <c r="F640" s="7"/>
    </row>
    <row r="641" spans="1:6" x14ac:dyDescent="0.25">
      <c r="A641" s="7"/>
      <c r="E641" s="7"/>
      <c r="F641" s="7"/>
    </row>
    <row r="642" spans="1:6" x14ac:dyDescent="0.25">
      <c r="A642" s="7"/>
      <c r="E642" s="7"/>
      <c r="F642" s="7"/>
    </row>
    <row r="643" spans="1:6" x14ac:dyDescent="0.25">
      <c r="A643" s="7"/>
      <c r="E643" s="7"/>
      <c r="F643" s="7"/>
    </row>
    <row r="644" spans="1:6" x14ac:dyDescent="0.25">
      <c r="A644" s="7"/>
      <c r="E644" s="7"/>
      <c r="F644" s="7"/>
    </row>
    <row r="645" spans="1:6" x14ac:dyDescent="0.25">
      <c r="A645" s="7"/>
      <c r="E645" s="7"/>
      <c r="F645" s="7"/>
    </row>
    <row r="646" spans="1:6" x14ac:dyDescent="0.25">
      <c r="A646" s="7"/>
      <c r="E646" s="7"/>
      <c r="F646" s="7"/>
    </row>
    <row r="647" spans="1:6" x14ac:dyDescent="0.25">
      <c r="A647" s="7"/>
      <c r="E647" s="7"/>
      <c r="F647" s="7"/>
    </row>
    <row r="648" spans="1:6" x14ac:dyDescent="0.25">
      <c r="A648" s="7"/>
      <c r="E648" s="7"/>
      <c r="F648" s="7"/>
    </row>
    <row r="649" spans="1:6" x14ac:dyDescent="0.25">
      <c r="A649" s="7"/>
      <c r="E649" s="7"/>
      <c r="F649" s="7"/>
    </row>
    <row r="650" spans="1:6" x14ac:dyDescent="0.25">
      <c r="A650" s="7"/>
      <c r="E650" s="7"/>
      <c r="F650" s="7"/>
    </row>
    <row r="651" spans="1:6" x14ac:dyDescent="0.25">
      <c r="A651" s="7"/>
      <c r="E651" s="7"/>
      <c r="F651" s="7"/>
    </row>
    <row r="652" spans="1:6" x14ac:dyDescent="0.25">
      <c r="A652" s="7"/>
      <c r="E652" s="7"/>
      <c r="F652" s="7"/>
    </row>
    <row r="653" spans="1:6" x14ac:dyDescent="0.25">
      <c r="A653" s="7"/>
      <c r="E653" s="7"/>
      <c r="F653" s="7"/>
    </row>
    <row r="654" spans="1:6" x14ac:dyDescent="0.25">
      <c r="A654" s="7"/>
      <c r="E654" s="7"/>
      <c r="F654" s="7"/>
    </row>
    <row r="655" spans="1:6" x14ac:dyDescent="0.25">
      <c r="A655" s="7"/>
      <c r="E655" s="7"/>
      <c r="F655" s="7"/>
    </row>
    <row r="656" spans="1:6" x14ac:dyDescent="0.25">
      <c r="A656" s="7"/>
      <c r="E656" s="7"/>
      <c r="F656" s="7"/>
    </row>
    <row r="657" spans="1:6" x14ac:dyDescent="0.25">
      <c r="A657" s="7"/>
      <c r="E657" s="7"/>
      <c r="F657" s="7"/>
    </row>
    <row r="658" spans="1:6" x14ac:dyDescent="0.25">
      <c r="A658" s="7"/>
      <c r="E658" s="7"/>
      <c r="F658" s="7"/>
    </row>
    <row r="659" spans="1:6" x14ac:dyDescent="0.25">
      <c r="A659" s="7"/>
      <c r="E659" s="7"/>
      <c r="F659" s="7"/>
    </row>
    <row r="660" spans="1:6" x14ac:dyDescent="0.25">
      <c r="A660" s="7"/>
      <c r="E660" s="7"/>
      <c r="F660" s="7"/>
    </row>
    <row r="661" spans="1:6" x14ac:dyDescent="0.25">
      <c r="A661" s="7"/>
      <c r="E661" s="7"/>
      <c r="F661" s="7"/>
    </row>
    <row r="662" spans="1:6" x14ac:dyDescent="0.25">
      <c r="A662" s="7"/>
      <c r="E662" s="7"/>
      <c r="F662" s="7"/>
    </row>
    <row r="663" spans="1:6" x14ac:dyDescent="0.25">
      <c r="A663" s="7"/>
      <c r="E663" s="7"/>
      <c r="F663" s="7"/>
    </row>
    <row r="664" spans="1:6" x14ac:dyDescent="0.25">
      <c r="A664" s="7"/>
      <c r="E664" s="7"/>
      <c r="F664" s="7"/>
    </row>
    <row r="665" spans="1:6" x14ac:dyDescent="0.25">
      <c r="A665" s="7"/>
      <c r="E665" s="7"/>
      <c r="F665" s="7"/>
    </row>
    <row r="666" spans="1:6" x14ac:dyDescent="0.25">
      <c r="A666" s="7"/>
      <c r="E666" s="7"/>
      <c r="F666" s="7"/>
    </row>
    <row r="667" spans="1:6" x14ac:dyDescent="0.25">
      <c r="A667" s="7"/>
      <c r="E667" s="7"/>
      <c r="F667" s="7"/>
    </row>
    <row r="668" spans="1:6" x14ac:dyDescent="0.25">
      <c r="A668" s="7"/>
      <c r="E668" s="7"/>
      <c r="F668" s="7"/>
    </row>
    <row r="669" spans="1:6" x14ac:dyDescent="0.25">
      <c r="A669" s="7"/>
      <c r="E669" s="7"/>
      <c r="F669" s="7"/>
    </row>
    <row r="670" spans="1:6" x14ac:dyDescent="0.25">
      <c r="A670" s="7"/>
      <c r="E670" s="7"/>
      <c r="F670" s="7"/>
    </row>
    <row r="671" spans="1:6" x14ac:dyDescent="0.25">
      <c r="A671" s="7"/>
      <c r="E671" s="7"/>
      <c r="F671" s="7"/>
    </row>
    <row r="672" spans="1:6" x14ac:dyDescent="0.25">
      <c r="A672" s="7"/>
      <c r="E672" s="7"/>
      <c r="F672" s="7"/>
    </row>
    <row r="673" spans="1:6" x14ac:dyDescent="0.25">
      <c r="A673" s="7"/>
      <c r="E673" s="7"/>
      <c r="F673" s="7"/>
    </row>
    <row r="674" spans="1:6" x14ac:dyDescent="0.25">
      <c r="A674" s="7"/>
      <c r="E674" s="7"/>
      <c r="F674" s="7"/>
    </row>
    <row r="675" spans="1:6" x14ac:dyDescent="0.25">
      <c r="A675" s="7"/>
      <c r="E675" s="7"/>
      <c r="F675" s="7"/>
    </row>
    <row r="676" spans="1:6" x14ac:dyDescent="0.25">
      <c r="A676" s="7"/>
      <c r="E676" s="7"/>
      <c r="F676" s="7"/>
    </row>
    <row r="677" spans="1:6" x14ac:dyDescent="0.25">
      <c r="A677" s="7"/>
      <c r="E677" s="7"/>
      <c r="F677" s="7"/>
    </row>
    <row r="678" spans="1:6" x14ac:dyDescent="0.25">
      <c r="A678" s="7"/>
      <c r="E678" s="7"/>
      <c r="F678" s="7"/>
    </row>
    <row r="679" spans="1:6" x14ac:dyDescent="0.25">
      <c r="A679" s="7"/>
      <c r="E679" s="7"/>
      <c r="F679" s="7"/>
    </row>
    <row r="680" spans="1:6" x14ac:dyDescent="0.25">
      <c r="A680" s="7"/>
      <c r="E680" s="7"/>
      <c r="F680" s="7"/>
    </row>
    <row r="681" spans="1:6" x14ac:dyDescent="0.25">
      <c r="A681" s="7"/>
      <c r="E681" s="7"/>
      <c r="F681" s="7"/>
    </row>
    <row r="682" spans="1:6" x14ac:dyDescent="0.25">
      <c r="A682" s="7"/>
      <c r="E682" s="7"/>
      <c r="F682" s="7"/>
    </row>
    <row r="683" spans="1:6" x14ac:dyDescent="0.25">
      <c r="A683" s="7"/>
      <c r="E683" s="7"/>
      <c r="F683" s="7"/>
    </row>
    <row r="684" spans="1:6" x14ac:dyDescent="0.25">
      <c r="A684" s="7"/>
      <c r="E684" s="7"/>
      <c r="F684" s="7"/>
    </row>
    <row r="685" spans="1:6" x14ac:dyDescent="0.25">
      <c r="A685" s="7"/>
      <c r="E685" s="7"/>
      <c r="F685" s="7"/>
    </row>
    <row r="686" spans="1:6" x14ac:dyDescent="0.25">
      <c r="A686" s="7"/>
      <c r="E686" s="7"/>
      <c r="F686" s="7"/>
    </row>
    <row r="687" spans="1:6" x14ac:dyDescent="0.25">
      <c r="A687" s="7"/>
      <c r="E687" s="7"/>
      <c r="F687" s="7"/>
    </row>
    <row r="688" spans="1:6" x14ac:dyDescent="0.25">
      <c r="A688" s="7"/>
      <c r="E688" s="7"/>
      <c r="F688" s="7"/>
    </row>
    <row r="689" spans="1:6" x14ac:dyDescent="0.25">
      <c r="A689" s="7"/>
      <c r="E689" s="7"/>
      <c r="F689" s="7"/>
    </row>
    <row r="690" spans="1:6" x14ac:dyDescent="0.25">
      <c r="A690" s="7"/>
      <c r="E690" s="7"/>
      <c r="F690" s="7"/>
    </row>
    <row r="691" spans="1:6" x14ac:dyDescent="0.25">
      <c r="A691" s="7"/>
      <c r="E691" s="7"/>
      <c r="F691" s="7"/>
    </row>
    <row r="692" spans="1:6" x14ac:dyDescent="0.25">
      <c r="A692" s="7"/>
      <c r="E692" s="7"/>
      <c r="F692" s="7"/>
    </row>
    <row r="693" spans="1:6" x14ac:dyDescent="0.25">
      <c r="A693" s="7"/>
      <c r="E693" s="7"/>
      <c r="F693" s="7"/>
    </row>
    <row r="694" spans="1:6" x14ac:dyDescent="0.25">
      <c r="A694" s="7"/>
      <c r="E694" s="7"/>
      <c r="F694" s="7"/>
    </row>
    <row r="695" spans="1:6" x14ac:dyDescent="0.25">
      <c r="A695" s="7"/>
      <c r="E695" s="7"/>
      <c r="F695" s="7"/>
    </row>
    <row r="696" spans="1:6" x14ac:dyDescent="0.25">
      <c r="A696" s="7"/>
      <c r="E696" s="7"/>
      <c r="F696" s="7"/>
    </row>
    <row r="697" spans="1:6" x14ac:dyDescent="0.25">
      <c r="A697" s="7"/>
      <c r="E697" s="7"/>
      <c r="F697" s="7"/>
    </row>
    <row r="698" spans="1:6" x14ac:dyDescent="0.25">
      <c r="A698" s="7"/>
      <c r="E698" s="7"/>
      <c r="F698" s="7"/>
    </row>
    <row r="699" spans="1:6" x14ac:dyDescent="0.25">
      <c r="A699" s="7"/>
      <c r="E699" s="7"/>
      <c r="F699" s="7"/>
    </row>
    <row r="700" spans="1:6" x14ac:dyDescent="0.25">
      <c r="A700" s="7"/>
      <c r="E700" s="7"/>
      <c r="F700" s="7"/>
    </row>
    <row r="701" spans="1:6" x14ac:dyDescent="0.25">
      <c r="A701" s="7"/>
      <c r="E701" s="7"/>
      <c r="F701" s="7"/>
    </row>
    <row r="702" spans="1:6" x14ac:dyDescent="0.25">
      <c r="A702" s="7"/>
      <c r="E702" s="7"/>
      <c r="F702" s="7"/>
    </row>
    <row r="703" spans="1:6" x14ac:dyDescent="0.25">
      <c r="A703" s="7"/>
      <c r="E703" s="7"/>
      <c r="F703" s="7"/>
    </row>
    <row r="704" spans="1:6" x14ac:dyDescent="0.25">
      <c r="A704" s="7"/>
      <c r="E704" s="7"/>
      <c r="F704" s="7"/>
    </row>
    <row r="705" spans="1:6" x14ac:dyDescent="0.25">
      <c r="A705" s="7"/>
      <c r="E705" s="7"/>
      <c r="F705" s="7"/>
    </row>
    <row r="706" spans="1:6" x14ac:dyDescent="0.25">
      <c r="A706" s="7"/>
      <c r="E706" s="7"/>
      <c r="F706" s="7"/>
    </row>
    <row r="707" spans="1:6" x14ac:dyDescent="0.25">
      <c r="A707" s="7"/>
      <c r="E707" s="7"/>
      <c r="F707" s="7"/>
    </row>
    <row r="708" spans="1:6" x14ac:dyDescent="0.25">
      <c r="A708" s="7"/>
      <c r="E708" s="7"/>
      <c r="F708" s="7"/>
    </row>
    <row r="709" spans="1:6" x14ac:dyDescent="0.25">
      <c r="A709" s="7"/>
      <c r="E709" s="7"/>
      <c r="F709" s="7"/>
    </row>
    <row r="710" spans="1:6" x14ac:dyDescent="0.25">
      <c r="A710" s="7"/>
      <c r="E710" s="7"/>
      <c r="F710" s="7"/>
    </row>
    <row r="711" spans="1:6" x14ac:dyDescent="0.25">
      <c r="A711" s="7"/>
      <c r="E711" s="7"/>
      <c r="F711" s="7"/>
    </row>
    <row r="712" spans="1:6" x14ac:dyDescent="0.25">
      <c r="A712" s="7"/>
      <c r="E712" s="7"/>
      <c r="F712" s="7"/>
    </row>
    <row r="713" spans="1:6" x14ac:dyDescent="0.25">
      <c r="A713" s="7"/>
      <c r="E713" s="7"/>
      <c r="F713" s="7"/>
    </row>
    <row r="714" spans="1:6" x14ac:dyDescent="0.25">
      <c r="A714" s="7"/>
      <c r="E714" s="7"/>
      <c r="F714" s="7"/>
    </row>
    <row r="715" spans="1:6" x14ac:dyDescent="0.25">
      <c r="A715" s="7"/>
      <c r="E715" s="7"/>
      <c r="F715" s="7"/>
    </row>
    <row r="716" spans="1:6" x14ac:dyDescent="0.25">
      <c r="A716" s="7"/>
      <c r="E716" s="7"/>
      <c r="F716" s="7"/>
    </row>
    <row r="717" spans="1:6" x14ac:dyDescent="0.25">
      <c r="A717" s="7"/>
      <c r="E717" s="7"/>
      <c r="F717" s="7"/>
    </row>
    <row r="718" spans="1:6" x14ac:dyDescent="0.25">
      <c r="A718" s="7"/>
      <c r="E718" s="7"/>
      <c r="F718" s="7"/>
    </row>
    <row r="719" spans="1:6" x14ac:dyDescent="0.25">
      <c r="A719" s="7"/>
      <c r="E719" s="7"/>
      <c r="F719" s="7"/>
    </row>
    <row r="720" spans="1:6" x14ac:dyDescent="0.25">
      <c r="A720" s="7"/>
      <c r="E720" s="7"/>
      <c r="F720" s="7"/>
    </row>
    <row r="721" spans="1:6" x14ac:dyDescent="0.25">
      <c r="A721" s="7"/>
      <c r="E721" s="7"/>
      <c r="F721" s="7"/>
    </row>
    <row r="722" spans="1:6" x14ac:dyDescent="0.25">
      <c r="A722" s="7"/>
      <c r="E722" s="7"/>
      <c r="F722" s="7"/>
    </row>
    <row r="723" spans="1:6" x14ac:dyDescent="0.25">
      <c r="A723" s="7"/>
      <c r="E723" s="7"/>
      <c r="F723" s="7"/>
    </row>
    <row r="724" spans="1:6" x14ac:dyDescent="0.25">
      <c r="A724" s="7"/>
      <c r="E724" s="7"/>
      <c r="F724" s="7"/>
    </row>
    <row r="725" spans="1:6" x14ac:dyDescent="0.25">
      <c r="A725" s="7"/>
      <c r="E725" s="7"/>
      <c r="F725" s="7"/>
    </row>
    <row r="726" spans="1:6" x14ac:dyDescent="0.25">
      <c r="A726" s="7"/>
      <c r="E726" s="7"/>
      <c r="F726" s="7"/>
    </row>
    <row r="727" spans="1:6" x14ac:dyDescent="0.25">
      <c r="A727" s="7"/>
      <c r="E727" s="7"/>
      <c r="F727" s="7"/>
    </row>
    <row r="728" spans="1:6" x14ac:dyDescent="0.25">
      <c r="A728" s="7"/>
      <c r="E728" s="7"/>
      <c r="F728" s="7"/>
    </row>
    <row r="729" spans="1:6" x14ac:dyDescent="0.25">
      <c r="A729" s="7"/>
      <c r="E729" s="7"/>
      <c r="F729" s="7"/>
    </row>
    <row r="730" spans="1:6" x14ac:dyDescent="0.25">
      <c r="A730" s="7"/>
      <c r="E730" s="7"/>
      <c r="F730" s="7"/>
    </row>
    <row r="731" spans="1:6" x14ac:dyDescent="0.25">
      <c r="A731" s="7"/>
      <c r="E731" s="7"/>
      <c r="F731" s="7"/>
    </row>
    <row r="732" spans="1:6" x14ac:dyDescent="0.25">
      <c r="A732" s="7"/>
      <c r="E732" s="7"/>
      <c r="F732" s="7"/>
    </row>
    <row r="733" spans="1:6" x14ac:dyDescent="0.25">
      <c r="A733" s="7"/>
      <c r="E733" s="7"/>
      <c r="F733" s="7"/>
    </row>
    <row r="734" spans="1:6" x14ac:dyDescent="0.25">
      <c r="A734" s="7"/>
      <c r="E734" s="7"/>
      <c r="F734" s="7"/>
    </row>
    <row r="735" spans="1:6" x14ac:dyDescent="0.25">
      <c r="A735" s="7"/>
      <c r="E735" s="7"/>
      <c r="F735" s="7"/>
    </row>
    <row r="736" spans="1:6" x14ac:dyDescent="0.25">
      <c r="A736" s="7"/>
      <c r="E736" s="7"/>
      <c r="F736" s="7"/>
    </row>
    <row r="737" spans="1:6" x14ac:dyDescent="0.25">
      <c r="A737" s="7"/>
      <c r="E737" s="7"/>
      <c r="F737" s="7"/>
    </row>
    <row r="738" spans="1:6" x14ac:dyDescent="0.25">
      <c r="A738" s="7"/>
      <c r="E738" s="7"/>
      <c r="F738" s="7"/>
    </row>
    <row r="739" spans="1:6" x14ac:dyDescent="0.25">
      <c r="A739" s="7"/>
      <c r="E739" s="7"/>
      <c r="F739" s="7"/>
    </row>
    <row r="740" spans="1:6" x14ac:dyDescent="0.25">
      <c r="A740" s="7"/>
      <c r="E740" s="7"/>
      <c r="F740" s="7"/>
    </row>
    <row r="741" spans="1:6" x14ac:dyDescent="0.25">
      <c r="A741" s="7"/>
      <c r="E741" s="7"/>
      <c r="F741" s="7"/>
    </row>
    <row r="742" spans="1:6" x14ac:dyDescent="0.25">
      <c r="A742" s="7"/>
      <c r="E742" s="7"/>
      <c r="F742" s="7"/>
    </row>
    <row r="743" spans="1:6" x14ac:dyDescent="0.25">
      <c r="A743" s="7"/>
      <c r="E743" s="7"/>
      <c r="F743" s="7"/>
    </row>
    <row r="744" spans="1:6" x14ac:dyDescent="0.25">
      <c r="A744" s="7"/>
      <c r="E744" s="7"/>
      <c r="F744" s="7"/>
    </row>
    <row r="745" spans="1:6" x14ac:dyDescent="0.25">
      <c r="A745" s="7"/>
      <c r="E745" s="7"/>
      <c r="F745" s="7"/>
    </row>
    <row r="746" spans="1:6" x14ac:dyDescent="0.25">
      <c r="A746" s="7"/>
      <c r="E746" s="7"/>
      <c r="F746" s="7"/>
    </row>
    <row r="747" spans="1:6" x14ac:dyDescent="0.25">
      <c r="A747" s="7"/>
      <c r="E747" s="7"/>
      <c r="F747" s="7"/>
    </row>
    <row r="748" spans="1:6" x14ac:dyDescent="0.25">
      <c r="A748" s="7"/>
      <c r="E748" s="7"/>
      <c r="F748" s="7"/>
    </row>
    <row r="749" spans="1:6" x14ac:dyDescent="0.25">
      <c r="A749" s="7"/>
      <c r="E749" s="7"/>
      <c r="F749" s="7"/>
    </row>
    <row r="750" spans="1:6" x14ac:dyDescent="0.25">
      <c r="A750" s="7"/>
      <c r="E750" s="7"/>
      <c r="F750" s="7"/>
    </row>
    <row r="751" spans="1:6" x14ac:dyDescent="0.25">
      <c r="A751" s="7"/>
      <c r="E751" s="7"/>
      <c r="F751" s="7"/>
    </row>
    <row r="752" spans="1:6" x14ac:dyDescent="0.25">
      <c r="A752" s="7"/>
      <c r="E752" s="7"/>
      <c r="F752" s="7"/>
    </row>
    <row r="753" spans="1:6" x14ac:dyDescent="0.25">
      <c r="A753" s="7"/>
      <c r="E753" s="7"/>
      <c r="F753" s="7"/>
    </row>
    <row r="754" spans="1:6" x14ac:dyDescent="0.25">
      <c r="A754" s="7"/>
      <c r="E754" s="7"/>
      <c r="F754" s="7"/>
    </row>
    <row r="755" spans="1:6" x14ac:dyDescent="0.25">
      <c r="A755" s="7"/>
      <c r="E755" s="7"/>
      <c r="F755" s="7"/>
    </row>
    <row r="756" spans="1:6" x14ac:dyDescent="0.25">
      <c r="A756" s="7"/>
      <c r="E756" s="7"/>
      <c r="F756" s="7"/>
    </row>
    <row r="757" spans="1:6" x14ac:dyDescent="0.25">
      <c r="A757" s="7"/>
      <c r="E757" s="7"/>
      <c r="F757" s="7"/>
    </row>
    <row r="758" spans="1:6" x14ac:dyDescent="0.25">
      <c r="A758" s="7"/>
      <c r="E758" s="7"/>
      <c r="F758" s="7"/>
    </row>
    <row r="759" spans="1:6" x14ac:dyDescent="0.25">
      <c r="A759" s="7"/>
      <c r="E759" s="7"/>
      <c r="F759" s="7"/>
    </row>
    <row r="760" spans="1:6" x14ac:dyDescent="0.25">
      <c r="A760" s="7"/>
      <c r="E760" s="7"/>
      <c r="F760" s="7"/>
    </row>
    <row r="761" spans="1:6" x14ac:dyDescent="0.25">
      <c r="A761" s="7"/>
      <c r="E761" s="7"/>
      <c r="F761" s="7"/>
    </row>
    <row r="762" spans="1:6" x14ac:dyDescent="0.25">
      <c r="A762" s="7"/>
      <c r="E762" s="7"/>
      <c r="F762" s="7"/>
    </row>
    <row r="763" spans="1:6" x14ac:dyDescent="0.25">
      <c r="A763" s="7"/>
      <c r="E763" s="7"/>
      <c r="F763" s="7"/>
    </row>
    <row r="764" spans="1:6" x14ac:dyDescent="0.25">
      <c r="A764" s="7"/>
      <c r="E764" s="7"/>
      <c r="F764" s="7"/>
    </row>
    <row r="765" spans="1:6" x14ac:dyDescent="0.25">
      <c r="A765" s="7"/>
      <c r="E765" s="7"/>
      <c r="F765" s="7"/>
    </row>
    <row r="766" spans="1:6" x14ac:dyDescent="0.25">
      <c r="A766" s="7"/>
      <c r="E766" s="7"/>
      <c r="F766" s="7"/>
    </row>
    <row r="767" spans="1:6" x14ac:dyDescent="0.25">
      <c r="A767" s="7"/>
      <c r="E767" s="7"/>
      <c r="F767" s="7"/>
    </row>
    <row r="768" spans="1:6" x14ac:dyDescent="0.25">
      <c r="A768" s="7"/>
      <c r="E768" s="7"/>
      <c r="F768" s="7"/>
    </row>
    <row r="769" spans="1:6" x14ac:dyDescent="0.25">
      <c r="A769" s="7"/>
      <c r="E769" s="7"/>
      <c r="F769" s="7"/>
    </row>
    <row r="770" spans="1:6" x14ac:dyDescent="0.25">
      <c r="A770" s="7"/>
      <c r="E770" s="7"/>
      <c r="F770" s="7"/>
    </row>
    <row r="771" spans="1:6" x14ac:dyDescent="0.25">
      <c r="A771" s="7"/>
      <c r="E771" s="7"/>
      <c r="F771" s="7"/>
    </row>
    <row r="772" spans="1:6" x14ac:dyDescent="0.25">
      <c r="A772" s="7"/>
      <c r="E772" s="7"/>
      <c r="F772" s="7"/>
    </row>
    <row r="773" spans="1:6" x14ac:dyDescent="0.25">
      <c r="A773" s="7"/>
      <c r="E773" s="7"/>
      <c r="F773" s="7"/>
    </row>
    <row r="774" spans="1:6" x14ac:dyDescent="0.25">
      <c r="A774" s="7"/>
      <c r="E774" s="7"/>
      <c r="F774" s="7"/>
    </row>
    <row r="775" spans="1:6" x14ac:dyDescent="0.25">
      <c r="A775" s="7"/>
      <c r="E775" s="7"/>
      <c r="F775" s="7"/>
    </row>
    <row r="776" spans="1:6" x14ac:dyDescent="0.25">
      <c r="A776" s="7"/>
      <c r="E776" s="7"/>
      <c r="F776" s="7"/>
    </row>
    <row r="777" spans="1:6" x14ac:dyDescent="0.25">
      <c r="A777" s="7"/>
      <c r="E777" s="7"/>
      <c r="F777" s="7"/>
    </row>
    <row r="778" spans="1:6" x14ac:dyDescent="0.25">
      <c r="A778" s="7"/>
      <c r="E778" s="7"/>
      <c r="F778" s="7"/>
    </row>
    <row r="779" spans="1:6" x14ac:dyDescent="0.25">
      <c r="A779" s="7"/>
      <c r="E779" s="7"/>
      <c r="F779" s="7"/>
    </row>
    <row r="780" spans="1:6" x14ac:dyDescent="0.25">
      <c r="A780" s="7"/>
      <c r="E780" s="7"/>
      <c r="F780" s="7"/>
    </row>
    <row r="781" spans="1:6" x14ac:dyDescent="0.25">
      <c r="A781" s="7"/>
      <c r="E781" s="7"/>
      <c r="F781" s="7"/>
    </row>
    <row r="782" spans="1:6" x14ac:dyDescent="0.25">
      <c r="A782" s="7"/>
      <c r="E782" s="7"/>
      <c r="F782" s="7"/>
    </row>
    <row r="783" spans="1:6" x14ac:dyDescent="0.25">
      <c r="A783" s="7"/>
      <c r="E783" s="7"/>
      <c r="F783" s="7"/>
    </row>
    <row r="784" spans="1:6" x14ac:dyDescent="0.25">
      <c r="A784" s="7"/>
      <c r="E784" s="7"/>
      <c r="F784" s="7"/>
    </row>
    <row r="785" spans="1:6" x14ac:dyDescent="0.25">
      <c r="A785" s="7"/>
      <c r="E785" s="7"/>
      <c r="F785" s="7"/>
    </row>
    <row r="786" spans="1:6" x14ac:dyDescent="0.25">
      <c r="A786" s="7"/>
      <c r="E786" s="7"/>
      <c r="F786" s="7"/>
    </row>
    <row r="787" spans="1:6" x14ac:dyDescent="0.25">
      <c r="A787" s="7"/>
      <c r="E787" s="7"/>
      <c r="F787" s="7"/>
    </row>
    <row r="788" spans="1:6" x14ac:dyDescent="0.25">
      <c r="A788" s="7"/>
      <c r="E788" s="7"/>
      <c r="F788" s="7"/>
    </row>
    <row r="789" spans="1:6" x14ac:dyDescent="0.25">
      <c r="A789" s="7"/>
      <c r="E789" s="7"/>
      <c r="F789" s="7"/>
    </row>
    <row r="790" spans="1:6" x14ac:dyDescent="0.25">
      <c r="A790" s="7"/>
      <c r="E790" s="7"/>
      <c r="F790" s="7"/>
    </row>
    <row r="791" spans="1:6" x14ac:dyDescent="0.25">
      <c r="A791" s="7"/>
      <c r="E791" s="7"/>
      <c r="F791" s="7"/>
    </row>
    <row r="792" spans="1:6" x14ac:dyDescent="0.25">
      <c r="A792" s="7"/>
      <c r="E792" s="7"/>
      <c r="F792" s="7"/>
    </row>
    <row r="793" spans="1:6" x14ac:dyDescent="0.25">
      <c r="A793" s="7"/>
      <c r="E793" s="7"/>
      <c r="F793" s="7"/>
    </row>
    <row r="794" spans="1:6" x14ac:dyDescent="0.25">
      <c r="A794" s="7"/>
      <c r="E794" s="7"/>
      <c r="F794" s="7"/>
    </row>
    <row r="795" spans="1:6" x14ac:dyDescent="0.25">
      <c r="A795" s="7"/>
      <c r="E795" s="7"/>
      <c r="F795" s="7"/>
    </row>
    <row r="796" spans="1:6" x14ac:dyDescent="0.25">
      <c r="A796" s="7"/>
      <c r="E796" s="7"/>
      <c r="F796" s="7"/>
    </row>
    <row r="797" spans="1:6" x14ac:dyDescent="0.25">
      <c r="A797" s="7"/>
      <c r="E797" s="7"/>
      <c r="F797" s="7"/>
    </row>
    <row r="798" spans="1:6" x14ac:dyDescent="0.25">
      <c r="A798" s="7"/>
      <c r="E798" s="7"/>
      <c r="F798" s="7"/>
    </row>
    <row r="799" spans="1:6" x14ac:dyDescent="0.25">
      <c r="A799" s="7"/>
      <c r="E799" s="7"/>
      <c r="F799" s="7"/>
    </row>
    <row r="800" spans="1:6" x14ac:dyDescent="0.25">
      <c r="A800" s="7"/>
      <c r="E800" s="7"/>
      <c r="F800" s="7"/>
    </row>
    <row r="801" spans="1:6" x14ac:dyDescent="0.25">
      <c r="A801" s="7"/>
      <c r="E801" s="7"/>
      <c r="F801" s="7"/>
    </row>
    <row r="802" spans="1:6" x14ac:dyDescent="0.25">
      <c r="A802" s="7"/>
      <c r="E802" s="7"/>
      <c r="F802" s="7"/>
    </row>
    <row r="803" spans="1:6" x14ac:dyDescent="0.25">
      <c r="A803" s="7"/>
      <c r="E803" s="7"/>
      <c r="F803" s="7"/>
    </row>
    <row r="804" spans="1:6" x14ac:dyDescent="0.25">
      <c r="A804" s="7"/>
      <c r="E804" s="7"/>
      <c r="F804" s="7"/>
    </row>
    <row r="805" spans="1:6" x14ac:dyDescent="0.25">
      <c r="A805" s="7"/>
      <c r="E805" s="7"/>
      <c r="F805" s="7"/>
    </row>
    <row r="806" spans="1:6" x14ac:dyDescent="0.25">
      <c r="A806" s="7"/>
      <c r="E806" s="7"/>
      <c r="F806" s="7"/>
    </row>
    <row r="807" spans="1:6" x14ac:dyDescent="0.25">
      <c r="A807" s="7"/>
      <c r="E807" s="7"/>
      <c r="F807" s="7"/>
    </row>
    <row r="808" spans="1:6" x14ac:dyDescent="0.25">
      <c r="A808" s="7"/>
      <c r="E808" s="7"/>
      <c r="F808" s="7"/>
    </row>
    <row r="809" spans="1:6" x14ac:dyDescent="0.25">
      <c r="A809" s="7"/>
      <c r="E809" s="7"/>
      <c r="F809" s="7"/>
    </row>
    <row r="810" spans="1:6" x14ac:dyDescent="0.25">
      <c r="A810" s="7"/>
      <c r="E810" s="7"/>
      <c r="F810" s="7"/>
    </row>
    <row r="811" spans="1:6" x14ac:dyDescent="0.25">
      <c r="A811" s="7"/>
      <c r="E811" s="7"/>
      <c r="F811" s="7"/>
    </row>
    <row r="812" spans="1:6" x14ac:dyDescent="0.25">
      <c r="A812" s="7"/>
      <c r="E812" s="7"/>
      <c r="F812" s="7"/>
    </row>
    <row r="813" spans="1:6" x14ac:dyDescent="0.25">
      <c r="A813" s="7"/>
      <c r="E813" s="7"/>
      <c r="F813" s="7"/>
    </row>
    <row r="814" spans="1:6" x14ac:dyDescent="0.25">
      <c r="A814" s="7"/>
      <c r="E814" s="7"/>
      <c r="F814" s="7"/>
    </row>
    <row r="815" spans="1:6" x14ac:dyDescent="0.25">
      <c r="A815" s="7"/>
      <c r="E815" s="7"/>
      <c r="F815" s="7"/>
    </row>
    <row r="816" spans="1:6" x14ac:dyDescent="0.25">
      <c r="A816" s="7"/>
      <c r="E816" s="7"/>
      <c r="F816" s="7"/>
    </row>
    <row r="817" spans="1:6" x14ac:dyDescent="0.25">
      <c r="A817" s="7"/>
      <c r="E817" s="7"/>
      <c r="F817" s="7"/>
    </row>
    <row r="818" spans="1:6" x14ac:dyDescent="0.25">
      <c r="A818" s="7"/>
      <c r="E818" s="7"/>
      <c r="F818" s="7"/>
    </row>
    <row r="819" spans="1:6" x14ac:dyDescent="0.25">
      <c r="A819" s="7"/>
      <c r="E819" s="7"/>
      <c r="F819" s="7"/>
    </row>
    <row r="820" spans="1:6" x14ac:dyDescent="0.25">
      <c r="A820" s="7"/>
      <c r="E820" s="7"/>
      <c r="F820" s="7"/>
    </row>
    <row r="821" spans="1:6" x14ac:dyDescent="0.25">
      <c r="A821" s="7"/>
      <c r="E821" s="7"/>
      <c r="F821" s="7"/>
    </row>
    <row r="822" spans="1:6" x14ac:dyDescent="0.25">
      <c r="A822" s="7"/>
      <c r="E822" s="7"/>
      <c r="F822" s="7"/>
    </row>
    <row r="823" spans="1:6" x14ac:dyDescent="0.25">
      <c r="A823" s="7"/>
      <c r="E823" s="7"/>
      <c r="F823" s="7"/>
    </row>
    <row r="824" spans="1:6" x14ac:dyDescent="0.25">
      <c r="A824" s="7"/>
      <c r="E824" s="7"/>
      <c r="F824" s="7"/>
    </row>
    <row r="825" spans="1:6" x14ac:dyDescent="0.25">
      <c r="A825" s="7"/>
      <c r="E825" s="7"/>
      <c r="F825" s="7"/>
    </row>
    <row r="826" spans="1:6" x14ac:dyDescent="0.25">
      <c r="A826" s="7"/>
      <c r="E826" s="7"/>
      <c r="F826" s="7"/>
    </row>
    <row r="827" spans="1:6" x14ac:dyDescent="0.25">
      <c r="A827" s="7"/>
      <c r="E827" s="7"/>
      <c r="F827" s="7"/>
    </row>
    <row r="828" spans="1:6" x14ac:dyDescent="0.25">
      <c r="A828" s="7"/>
      <c r="E828" s="7"/>
      <c r="F828" s="7"/>
    </row>
    <row r="829" spans="1:6" x14ac:dyDescent="0.25">
      <c r="A829" s="7"/>
      <c r="E829" s="7"/>
      <c r="F829" s="7"/>
    </row>
    <row r="830" spans="1:6" x14ac:dyDescent="0.25">
      <c r="A830" s="7"/>
      <c r="E830" s="7"/>
      <c r="F830" s="7"/>
    </row>
    <row r="831" spans="1:6" x14ac:dyDescent="0.25">
      <c r="A831" s="7"/>
      <c r="E831" s="7"/>
      <c r="F831" s="7"/>
    </row>
    <row r="832" spans="1:6" x14ac:dyDescent="0.25">
      <c r="A832" s="7"/>
      <c r="E832" s="7"/>
      <c r="F832" s="7"/>
    </row>
    <row r="833" spans="1:6" x14ac:dyDescent="0.25">
      <c r="A833" s="7"/>
      <c r="E833" s="7"/>
      <c r="F833" s="7"/>
    </row>
    <row r="834" spans="1:6" x14ac:dyDescent="0.25">
      <c r="A834" s="7"/>
      <c r="E834" s="7"/>
      <c r="F834" s="7"/>
    </row>
    <row r="835" spans="1:6" x14ac:dyDescent="0.25">
      <c r="A835" s="7"/>
      <c r="E835" s="7"/>
      <c r="F835" s="7"/>
    </row>
    <row r="836" spans="1:6" x14ac:dyDescent="0.25">
      <c r="A836" s="7"/>
      <c r="E836" s="7"/>
      <c r="F836" s="7"/>
    </row>
    <row r="837" spans="1:6" x14ac:dyDescent="0.25">
      <c r="A837" s="7"/>
      <c r="E837" s="7"/>
      <c r="F837" s="7"/>
    </row>
    <row r="838" spans="1:6" x14ac:dyDescent="0.25">
      <c r="A838" s="7"/>
      <c r="E838" s="7"/>
      <c r="F838" s="7"/>
    </row>
    <row r="839" spans="1:6" x14ac:dyDescent="0.25">
      <c r="A839" s="7"/>
      <c r="E839" s="7"/>
      <c r="F839" s="7"/>
    </row>
    <row r="840" spans="1:6" x14ac:dyDescent="0.25">
      <c r="A840" s="7"/>
      <c r="E840" s="7"/>
      <c r="F840" s="7"/>
    </row>
    <row r="841" spans="1:6" x14ac:dyDescent="0.25">
      <c r="A841" s="7"/>
      <c r="E841" s="7"/>
      <c r="F841" s="7"/>
    </row>
    <row r="842" spans="1:6" x14ac:dyDescent="0.25">
      <c r="A842" s="7"/>
      <c r="E842" s="7"/>
      <c r="F842" s="7"/>
    </row>
    <row r="843" spans="1:6" x14ac:dyDescent="0.25">
      <c r="A843" s="7"/>
      <c r="E843" s="7"/>
      <c r="F843" s="7"/>
    </row>
    <row r="844" spans="1:6" x14ac:dyDescent="0.25">
      <c r="A844" s="7"/>
      <c r="E844" s="7"/>
      <c r="F844" s="7"/>
    </row>
    <row r="845" spans="1:6" x14ac:dyDescent="0.25">
      <c r="A845" s="7"/>
      <c r="E845" s="7"/>
      <c r="F845" s="7"/>
    </row>
    <row r="846" spans="1:6" x14ac:dyDescent="0.25">
      <c r="A846" s="7"/>
      <c r="E846" s="7"/>
      <c r="F846" s="7"/>
    </row>
    <row r="847" spans="1:6" x14ac:dyDescent="0.25">
      <c r="A847" s="7"/>
      <c r="E847" s="7"/>
      <c r="F847" s="7"/>
    </row>
    <row r="848" spans="1:6" x14ac:dyDescent="0.25">
      <c r="A848" s="7"/>
      <c r="E848" s="7"/>
      <c r="F848" s="7"/>
    </row>
    <row r="849" spans="1:6" x14ac:dyDescent="0.25">
      <c r="A849" s="7"/>
      <c r="E849" s="7"/>
      <c r="F849" s="7"/>
    </row>
    <row r="850" spans="1:6" x14ac:dyDescent="0.25">
      <c r="A850" s="7"/>
      <c r="E850" s="7"/>
      <c r="F850" s="7"/>
    </row>
    <row r="851" spans="1:6" x14ac:dyDescent="0.25">
      <c r="A851" s="7"/>
      <c r="E851" s="7"/>
      <c r="F851" s="7"/>
    </row>
    <row r="852" spans="1:6" x14ac:dyDescent="0.25">
      <c r="A852" s="7"/>
      <c r="E852" s="7"/>
      <c r="F852" s="7"/>
    </row>
    <row r="853" spans="1:6" x14ac:dyDescent="0.25">
      <c r="A853" s="7"/>
      <c r="E853" s="7"/>
      <c r="F853" s="7"/>
    </row>
    <row r="854" spans="1:6" x14ac:dyDescent="0.25">
      <c r="A854" s="7"/>
      <c r="E854" s="7"/>
      <c r="F854" s="7"/>
    </row>
    <row r="855" spans="1:6" x14ac:dyDescent="0.25">
      <c r="A855" s="7"/>
      <c r="E855" s="7"/>
      <c r="F855" s="7"/>
    </row>
    <row r="856" spans="1:6" x14ac:dyDescent="0.25">
      <c r="A856" s="7"/>
      <c r="E856" s="7"/>
      <c r="F856" s="7"/>
    </row>
    <row r="857" spans="1:6" x14ac:dyDescent="0.25">
      <c r="A857" s="7"/>
      <c r="E857" s="7"/>
      <c r="F857" s="7"/>
    </row>
    <row r="858" spans="1:6" x14ac:dyDescent="0.25">
      <c r="A858" s="7"/>
      <c r="E858" s="7"/>
      <c r="F858" s="7"/>
    </row>
    <row r="859" spans="1:6" x14ac:dyDescent="0.25">
      <c r="A859" s="7"/>
      <c r="E859" s="7"/>
      <c r="F859" s="7"/>
    </row>
    <row r="860" spans="1:6" x14ac:dyDescent="0.25">
      <c r="A860" s="7"/>
      <c r="E860" s="7"/>
      <c r="F860" s="7"/>
    </row>
    <row r="861" spans="1:6" x14ac:dyDescent="0.25">
      <c r="A861" s="7"/>
      <c r="E861" s="7"/>
      <c r="F861" s="7"/>
    </row>
    <row r="862" spans="1:6" x14ac:dyDescent="0.25">
      <c r="A862" s="7"/>
      <c r="E862" s="7"/>
      <c r="F862" s="7"/>
    </row>
    <row r="863" spans="1:6" x14ac:dyDescent="0.25">
      <c r="A863" s="7"/>
      <c r="E863" s="7"/>
      <c r="F863" s="7"/>
    </row>
    <row r="864" spans="1:6" x14ac:dyDescent="0.25">
      <c r="A864" s="7"/>
      <c r="E864" s="7"/>
      <c r="F864" s="7"/>
    </row>
    <row r="865" spans="1:6" x14ac:dyDescent="0.25">
      <c r="A865" s="7"/>
      <c r="E865" s="7"/>
      <c r="F865" s="7"/>
    </row>
    <row r="866" spans="1:6" x14ac:dyDescent="0.25">
      <c r="A866" s="7"/>
      <c r="E866" s="7"/>
      <c r="F866" s="7"/>
    </row>
    <row r="867" spans="1:6" x14ac:dyDescent="0.25">
      <c r="A867" s="7"/>
      <c r="E867" s="7"/>
      <c r="F867" s="7"/>
    </row>
    <row r="868" spans="1:6" x14ac:dyDescent="0.25">
      <c r="A868" s="7"/>
      <c r="E868" s="7"/>
      <c r="F868" s="7"/>
    </row>
    <row r="869" spans="1:6" x14ac:dyDescent="0.25">
      <c r="A869" s="7"/>
      <c r="E869" s="7"/>
      <c r="F869" s="7"/>
    </row>
    <row r="870" spans="1:6" x14ac:dyDescent="0.25">
      <c r="A870" s="7"/>
      <c r="E870" s="7"/>
      <c r="F870" s="7"/>
    </row>
    <row r="871" spans="1:6" x14ac:dyDescent="0.25">
      <c r="A871" s="7"/>
      <c r="E871" s="7"/>
      <c r="F871" s="7"/>
    </row>
    <row r="872" spans="1:6" x14ac:dyDescent="0.25">
      <c r="A872" s="7"/>
      <c r="E872" s="7"/>
      <c r="F872" s="7"/>
    </row>
    <row r="873" spans="1:6" x14ac:dyDescent="0.25">
      <c r="A873" s="7"/>
      <c r="E873" s="7"/>
      <c r="F873" s="7"/>
    </row>
    <row r="874" spans="1:6" x14ac:dyDescent="0.25">
      <c r="A874" s="7"/>
      <c r="E874" s="7"/>
      <c r="F874" s="7"/>
    </row>
    <row r="875" spans="1:6" x14ac:dyDescent="0.25">
      <c r="A875" s="7"/>
      <c r="E875" s="7"/>
      <c r="F875" s="7"/>
    </row>
    <row r="876" spans="1:6" x14ac:dyDescent="0.25">
      <c r="A876" s="7"/>
      <c r="E876" s="7"/>
      <c r="F876" s="7"/>
    </row>
    <row r="877" spans="1:6" x14ac:dyDescent="0.25">
      <c r="A877" s="7"/>
      <c r="E877" s="7"/>
      <c r="F877" s="7"/>
    </row>
    <row r="878" spans="1:6" x14ac:dyDescent="0.25">
      <c r="A878" s="7"/>
      <c r="E878" s="7"/>
      <c r="F878" s="7"/>
    </row>
    <row r="879" spans="1:6" x14ac:dyDescent="0.25">
      <c r="A879" s="7"/>
      <c r="E879" s="7"/>
      <c r="F879" s="7"/>
    </row>
    <row r="880" spans="1:6" x14ac:dyDescent="0.25">
      <c r="A880" s="7"/>
      <c r="E880" s="7"/>
      <c r="F880" s="7"/>
    </row>
    <row r="881" spans="1:6" x14ac:dyDescent="0.25">
      <c r="A881" s="7"/>
      <c r="E881" s="7"/>
      <c r="F881" s="7"/>
    </row>
    <row r="882" spans="1:6" x14ac:dyDescent="0.25">
      <c r="A882" s="7"/>
      <c r="E882" s="7"/>
      <c r="F882" s="7"/>
    </row>
    <row r="883" spans="1:6" x14ac:dyDescent="0.25">
      <c r="A883" s="7"/>
      <c r="E883" s="7"/>
      <c r="F883" s="7"/>
    </row>
    <row r="884" spans="1:6" x14ac:dyDescent="0.25">
      <c r="A884" s="7"/>
      <c r="E884" s="7"/>
      <c r="F884" s="7"/>
    </row>
    <row r="885" spans="1:6" x14ac:dyDescent="0.25">
      <c r="A885" s="7"/>
      <c r="E885" s="7"/>
      <c r="F885" s="7"/>
    </row>
    <row r="886" spans="1:6" x14ac:dyDescent="0.25">
      <c r="A886" s="7"/>
      <c r="E886" s="7"/>
      <c r="F886" s="7"/>
    </row>
    <row r="887" spans="1:6" x14ac:dyDescent="0.25">
      <c r="A887" s="7"/>
      <c r="E887" s="7"/>
      <c r="F887" s="7"/>
    </row>
    <row r="888" spans="1:6" x14ac:dyDescent="0.25">
      <c r="A888" s="7"/>
      <c r="E888" s="7"/>
      <c r="F888" s="7"/>
    </row>
    <row r="889" spans="1:6" x14ac:dyDescent="0.25">
      <c r="A889" s="7"/>
      <c r="E889" s="7"/>
      <c r="F889" s="7"/>
    </row>
    <row r="890" spans="1:6" x14ac:dyDescent="0.25">
      <c r="A890" s="7"/>
      <c r="E890" s="7"/>
      <c r="F890" s="7"/>
    </row>
    <row r="891" spans="1:6" x14ac:dyDescent="0.25">
      <c r="A891" s="7"/>
      <c r="E891" s="7"/>
      <c r="F891" s="7"/>
    </row>
    <row r="892" spans="1:6" x14ac:dyDescent="0.25">
      <c r="A892" s="7"/>
      <c r="E892" s="7"/>
      <c r="F892" s="7"/>
    </row>
    <row r="893" spans="1:6" x14ac:dyDescent="0.25">
      <c r="A893" s="7"/>
      <c r="E893" s="7"/>
      <c r="F893" s="7"/>
    </row>
    <row r="894" spans="1:6" x14ac:dyDescent="0.25">
      <c r="A894" s="7"/>
      <c r="E894" s="7"/>
      <c r="F894" s="7"/>
    </row>
    <row r="895" spans="1:6" x14ac:dyDescent="0.25">
      <c r="A895" s="7"/>
      <c r="E895" s="7"/>
      <c r="F895" s="7"/>
    </row>
    <row r="896" spans="1:6" x14ac:dyDescent="0.25">
      <c r="A896" s="7"/>
      <c r="E896" s="7"/>
      <c r="F896" s="7"/>
    </row>
    <row r="897" spans="1:6" x14ac:dyDescent="0.25">
      <c r="A897" s="7"/>
      <c r="E897" s="7"/>
      <c r="F897" s="7"/>
    </row>
    <row r="898" spans="1:6" x14ac:dyDescent="0.25">
      <c r="A898" s="7"/>
      <c r="E898" s="7"/>
      <c r="F898" s="7"/>
    </row>
    <row r="899" spans="1:6" x14ac:dyDescent="0.25">
      <c r="A899" s="7"/>
      <c r="E899" s="7"/>
      <c r="F899" s="7"/>
    </row>
    <row r="900" spans="1:6" x14ac:dyDescent="0.25">
      <c r="A900" s="7"/>
      <c r="E900" s="7"/>
      <c r="F900" s="7"/>
    </row>
    <row r="901" spans="1:6" x14ac:dyDescent="0.25">
      <c r="A901" s="7"/>
      <c r="E901" s="7"/>
      <c r="F901" s="7"/>
    </row>
    <row r="902" spans="1:6" x14ac:dyDescent="0.25">
      <c r="A902" s="7"/>
      <c r="E902" s="7"/>
      <c r="F902" s="7"/>
    </row>
    <row r="903" spans="1:6" x14ac:dyDescent="0.25">
      <c r="A903" s="7"/>
      <c r="E903" s="7"/>
      <c r="F903" s="7"/>
    </row>
    <row r="904" spans="1:6" x14ac:dyDescent="0.25">
      <c r="A904" s="7"/>
      <c r="E904" s="7"/>
      <c r="F904" s="7"/>
    </row>
    <row r="905" spans="1:6" x14ac:dyDescent="0.25">
      <c r="A905" s="7"/>
      <c r="E905" s="7"/>
      <c r="F905" s="7"/>
    </row>
    <row r="906" spans="1:6" x14ac:dyDescent="0.25">
      <c r="A906" s="7"/>
      <c r="E906" s="7"/>
      <c r="F906" s="7"/>
    </row>
    <row r="907" spans="1:6" x14ac:dyDescent="0.25">
      <c r="A907" s="7"/>
      <c r="E907" s="7"/>
      <c r="F907" s="7"/>
    </row>
    <row r="908" spans="1:6" x14ac:dyDescent="0.25">
      <c r="A908" s="7"/>
      <c r="E908" s="7"/>
      <c r="F908" s="7"/>
    </row>
    <row r="909" spans="1:6" x14ac:dyDescent="0.25">
      <c r="A909" s="7"/>
      <c r="E909" s="7"/>
      <c r="F909" s="7"/>
    </row>
    <row r="910" spans="1:6" x14ac:dyDescent="0.25">
      <c r="A910" s="7"/>
      <c r="E910" s="7"/>
      <c r="F910" s="7"/>
    </row>
    <row r="911" spans="1:6" x14ac:dyDescent="0.25">
      <c r="A911" s="7"/>
      <c r="E911" s="7"/>
      <c r="F911" s="7"/>
    </row>
    <row r="912" spans="1:6" x14ac:dyDescent="0.25">
      <c r="A912" s="7"/>
      <c r="E912" s="7"/>
      <c r="F912" s="7"/>
    </row>
    <row r="913" spans="1:6" x14ac:dyDescent="0.25">
      <c r="A913" s="7"/>
      <c r="E913" s="7"/>
      <c r="F913" s="7"/>
    </row>
    <row r="914" spans="1:6" x14ac:dyDescent="0.25">
      <c r="A914" s="7"/>
      <c r="E914" s="7"/>
      <c r="F914" s="7"/>
    </row>
    <row r="915" spans="1:6" x14ac:dyDescent="0.25">
      <c r="A915" s="7"/>
      <c r="E915" s="7"/>
      <c r="F915" s="7"/>
    </row>
    <row r="916" spans="1:6" x14ac:dyDescent="0.25">
      <c r="A916" s="7"/>
      <c r="E916" s="7"/>
      <c r="F916" s="7"/>
    </row>
    <row r="917" spans="1:6" x14ac:dyDescent="0.25">
      <c r="A917" s="7"/>
      <c r="E917" s="7"/>
      <c r="F917" s="7"/>
    </row>
    <row r="918" spans="1:6" x14ac:dyDescent="0.25">
      <c r="A918" s="7"/>
      <c r="E918" s="7"/>
      <c r="F918" s="7"/>
    </row>
    <row r="919" spans="1:6" x14ac:dyDescent="0.25">
      <c r="A919" s="7"/>
      <c r="E919" s="7"/>
      <c r="F919" s="7"/>
    </row>
    <row r="920" spans="1:6" x14ac:dyDescent="0.25">
      <c r="A920" s="7"/>
      <c r="E920" s="7"/>
      <c r="F920" s="7"/>
    </row>
    <row r="921" spans="1:6" x14ac:dyDescent="0.25">
      <c r="A921" s="7"/>
      <c r="E921" s="7"/>
      <c r="F921" s="7"/>
    </row>
    <row r="922" spans="1:6" x14ac:dyDescent="0.25">
      <c r="A922" s="7"/>
      <c r="E922" s="7"/>
      <c r="F922" s="7"/>
    </row>
    <row r="923" spans="1:6" x14ac:dyDescent="0.25">
      <c r="A923" s="7"/>
      <c r="E923" s="7"/>
      <c r="F923" s="7"/>
    </row>
    <row r="924" spans="1:6" x14ac:dyDescent="0.25">
      <c r="A924" s="7"/>
      <c r="E924" s="7"/>
      <c r="F924" s="7"/>
    </row>
    <row r="925" spans="1:6" x14ac:dyDescent="0.25">
      <c r="A925" s="7"/>
      <c r="E925" s="7"/>
      <c r="F925" s="7"/>
    </row>
    <row r="926" spans="1:6" x14ac:dyDescent="0.25">
      <c r="A926" s="7"/>
      <c r="E926" s="7"/>
      <c r="F926" s="7"/>
    </row>
    <row r="927" spans="1:6" x14ac:dyDescent="0.25">
      <c r="A927" s="7"/>
      <c r="E927" s="7"/>
      <c r="F927" s="7"/>
    </row>
    <row r="928" spans="1:6" x14ac:dyDescent="0.25">
      <c r="A928" s="7"/>
      <c r="E928" s="7"/>
      <c r="F928" s="7"/>
    </row>
    <row r="929" spans="1:6" x14ac:dyDescent="0.25">
      <c r="A929" s="7"/>
      <c r="E929" s="7"/>
      <c r="F929" s="7"/>
    </row>
    <row r="930" spans="1:6" x14ac:dyDescent="0.25">
      <c r="A930" s="7"/>
      <c r="E930" s="7"/>
      <c r="F930" s="7"/>
    </row>
    <row r="931" spans="1:6" x14ac:dyDescent="0.25">
      <c r="A931" s="7"/>
      <c r="E931" s="7"/>
      <c r="F931" s="7"/>
    </row>
    <row r="932" spans="1:6" x14ac:dyDescent="0.25">
      <c r="A932" s="7"/>
      <c r="E932" s="7"/>
      <c r="F932" s="7"/>
    </row>
    <row r="933" spans="1:6" x14ac:dyDescent="0.25">
      <c r="A933" s="7"/>
      <c r="E933" s="7"/>
      <c r="F933" s="7"/>
    </row>
    <row r="934" spans="1:6" x14ac:dyDescent="0.25">
      <c r="A934" s="7"/>
      <c r="E934" s="7"/>
      <c r="F934" s="7"/>
    </row>
    <row r="935" spans="1:6" x14ac:dyDescent="0.25">
      <c r="A935" s="7"/>
      <c r="E935" s="7"/>
      <c r="F935" s="7"/>
    </row>
    <row r="936" spans="1:6" x14ac:dyDescent="0.25">
      <c r="A936" s="7"/>
      <c r="E936" s="7"/>
      <c r="F936" s="7"/>
    </row>
    <row r="937" spans="1:6" x14ac:dyDescent="0.25">
      <c r="A937" s="7"/>
      <c r="E937" s="7"/>
      <c r="F937" s="7"/>
    </row>
    <row r="938" spans="1:6" x14ac:dyDescent="0.25">
      <c r="A938" s="7"/>
      <c r="E938" s="7"/>
      <c r="F938" s="7"/>
    </row>
    <row r="939" spans="1:6" x14ac:dyDescent="0.25">
      <c r="A939" s="7"/>
      <c r="E939" s="7"/>
      <c r="F939" s="7"/>
    </row>
    <row r="940" spans="1:6" x14ac:dyDescent="0.25">
      <c r="A940" s="7"/>
      <c r="E940" s="7"/>
      <c r="F940" s="7"/>
    </row>
    <row r="941" spans="1:6" x14ac:dyDescent="0.25">
      <c r="A941" s="7"/>
      <c r="E941" s="7"/>
      <c r="F941" s="7"/>
    </row>
    <row r="942" spans="1:6" x14ac:dyDescent="0.25">
      <c r="A942" s="7"/>
      <c r="E942" s="7"/>
      <c r="F942" s="7"/>
    </row>
    <row r="943" spans="1:6" x14ac:dyDescent="0.25">
      <c r="A943" s="7"/>
      <c r="E943" s="7"/>
      <c r="F943" s="7"/>
    </row>
    <row r="944" spans="1:6" x14ac:dyDescent="0.25">
      <c r="A944" s="7"/>
      <c r="E944" s="7"/>
      <c r="F944" s="7"/>
    </row>
    <row r="945" spans="1:6" x14ac:dyDescent="0.25">
      <c r="A945" s="7"/>
      <c r="E945" s="7"/>
      <c r="F945" s="7"/>
    </row>
    <row r="946" spans="1:6" x14ac:dyDescent="0.25">
      <c r="A946" s="7"/>
      <c r="E946" s="7"/>
      <c r="F946" s="7"/>
    </row>
    <row r="947" spans="1:6" x14ac:dyDescent="0.25">
      <c r="A947" s="7"/>
      <c r="E947" s="7"/>
      <c r="F947" s="7"/>
    </row>
    <row r="948" spans="1:6" x14ac:dyDescent="0.25">
      <c r="A948" s="7"/>
      <c r="E948" s="7"/>
      <c r="F948" s="7"/>
    </row>
    <row r="949" spans="1:6" x14ac:dyDescent="0.25">
      <c r="A949" s="7"/>
      <c r="E949" s="7"/>
      <c r="F949" s="7"/>
    </row>
    <row r="950" spans="1:6" x14ac:dyDescent="0.25">
      <c r="A950" s="7"/>
      <c r="E950" s="7"/>
      <c r="F950" s="7"/>
    </row>
    <row r="951" spans="1:6" x14ac:dyDescent="0.25">
      <c r="A951" s="7"/>
      <c r="E951" s="7"/>
      <c r="F951" s="7"/>
    </row>
    <row r="952" spans="1:6" x14ac:dyDescent="0.25">
      <c r="A952" s="7"/>
      <c r="E952" s="7"/>
      <c r="F952" s="7"/>
    </row>
    <row r="953" spans="1:6" x14ac:dyDescent="0.25">
      <c r="A953" s="7"/>
      <c r="E953" s="7"/>
      <c r="F953" s="7"/>
    </row>
    <row r="954" spans="1:6" x14ac:dyDescent="0.25">
      <c r="A954" s="7"/>
      <c r="E954" s="7"/>
      <c r="F954" s="7"/>
    </row>
    <row r="955" spans="1:6" x14ac:dyDescent="0.25">
      <c r="A955" s="7"/>
      <c r="E955" s="7"/>
      <c r="F955" s="7"/>
    </row>
    <row r="956" spans="1:6" x14ac:dyDescent="0.25">
      <c r="A956" s="7"/>
      <c r="E956" s="7"/>
      <c r="F956" s="7"/>
    </row>
    <row r="957" spans="1:6" x14ac:dyDescent="0.25">
      <c r="A957" s="7"/>
      <c r="E957" s="7"/>
      <c r="F957" s="7"/>
    </row>
    <row r="958" spans="1:6" x14ac:dyDescent="0.25">
      <c r="A958" s="7"/>
      <c r="E958" s="7"/>
      <c r="F958" s="7"/>
    </row>
    <row r="959" spans="1:6" x14ac:dyDescent="0.25">
      <c r="A959" s="7"/>
      <c r="E959" s="7"/>
      <c r="F959" s="7"/>
    </row>
    <row r="960" spans="1:6" x14ac:dyDescent="0.25">
      <c r="A960" s="7"/>
      <c r="E960" s="7"/>
      <c r="F960" s="7"/>
    </row>
    <row r="961" spans="1:6" x14ac:dyDescent="0.25">
      <c r="A961" s="7"/>
      <c r="E961" s="7"/>
      <c r="F961" s="7"/>
    </row>
    <row r="962" spans="1:6" x14ac:dyDescent="0.25">
      <c r="A962" s="7"/>
      <c r="E962" s="7"/>
      <c r="F962" s="7"/>
    </row>
    <row r="963" spans="1:6" x14ac:dyDescent="0.25">
      <c r="A963" s="7"/>
      <c r="E963" s="7"/>
      <c r="F963" s="7"/>
    </row>
    <row r="964" spans="1:6" x14ac:dyDescent="0.25">
      <c r="A964" s="7"/>
      <c r="E964" s="7"/>
      <c r="F964" s="7"/>
    </row>
    <row r="965" spans="1:6" x14ac:dyDescent="0.25">
      <c r="A965" s="7"/>
      <c r="E965" s="7"/>
      <c r="F965" s="7"/>
    </row>
    <row r="966" spans="1:6" x14ac:dyDescent="0.25">
      <c r="A966" s="7"/>
      <c r="E966" s="7"/>
      <c r="F966" s="7"/>
    </row>
    <row r="967" spans="1:6" x14ac:dyDescent="0.25">
      <c r="A967" s="7"/>
      <c r="E967" s="7"/>
      <c r="F967" s="7"/>
    </row>
    <row r="968" spans="1:6" x14ac:dyDescent="0.25">
      <c r="A968" s="7"/>
      <c r="E968" s="7"/>
      <c r="F968" s="7"/>
    </row>
    <row r="969" spans="1:6" x14ac:dyDescent="0.25">
      <c r="A969" s="7"/>
      <c r="E969" s="7"/>
      <c r="F969" s="7"/>
    </row>
    <row r="970" spans="1:6" x14ac:dyDescent="0.25">
      <c r="A970" s="7"/>
      <c r="E970" s="7"/>
      <c r="F970" s="7"/>
    </row>
    <row r="971" spans="1:6" x14ac:dyDescent="0.25">
      <c r="A971" s="7"/>
      <c r="E971" s="7"/>
      <c r="F971" s="7"/>
    </row>
    <row r="972" spans="1:6" x14ac:dyDescent="0.25">
      <c r="A972" s="7"/>
      <c r="E972" s="7"/>
      <c r="F972" s="7"/>
    </row>
    <row r="973" spans="1:6" x14ac:dyDescent="0.25">
      <c r="A973" s="7"/>
      <c r="E973" s="7"/>
      <c r="F973" s="7"/>
    </row>
    <row r="974" spans="1:6" x14ac:dyDescent="0.25">
      <c r="A974" s="7"/>
      <c r="E974" s="7"/>
      <c r="F974" s="7"/>
    </row>
    <row r="975" spans="1:6" x14ac:dyDescent="0.25">
      <c r="A975" s="7"/>
      <c r="E975" s="7"/>
      <c r="F975" s="7"/>
    </row>
    <row r="976" spans="1:6" x14ac:dyDescent="0.25">
      <c r="A976" s="7"/>
      <c r="E976" s="7"/>
      <c r="F976" s="7"/>
    </row>
    <row r="977" spans="1:6" x14ac:dyDescent="0.25">
      <c r="A977" s="7"/>
      <c r="E977" s="7"/>
      <c r="F977" s="7"/>
    </row>
    <row r="978" spans="1:6" x14ac:dyDescent="0.25">
      <c r="A978" s="7"/>
      <c r="E978" s="7"/>
      <c r="F978" s="7"/>
    </row>
    <row r="979" spans="1:6" x14ac:dyDescent="0.25">
      <c r="A979" s="7"/>
      <c r="E979" s="7"/>
      <c r="F979" s="7"/>
    </row>
    <row r="980" spans="1:6" x14ac:dyDescent="0.25">
      <c r="A980" s="7"/>
      <c r="E980" s="7"/>
      <c r="F980" s="7"/>
    </row>
    <row r="981" spans="1:6" x14ac:dyDescent="0.25">
      <c r="A981" s="7"/>
      <c r="E981" s="7"/>
      <c r="F981" s="7"/>
    </row>
    <row r="982" spans="1:6" x14ac:dyDescent="0.25">
      <c r="A982" s="7"/>
      <c r="E982" s="7"/>
      <c r="F982" s="7"/>
    </row>
    <row r="983" spans="1:6" x14ac:dyDescent="0.25">
      <c r="A983" s="7"/>
      <c r="E983" s="7"/>
      <c r="F983" s="7"/>
    </row>
    <row r="984" spans="1:6" x14ac:dyDescent="0.25">
      <c r="A984" s="7"/>
      <c r="E984" s="7"/>
      <c r="F984" s="7"/>
    </row>
    <row r="985" spans="1:6" x14ac:dyDescent="0.25">
      <c r="A985" s="7"/>
      <c r="E985" s="7"/>
      <c r="F985" s="7"/>
    </row>
    <row r="986" spans="1:6" x14ac:dyDescent="0.25">
      <c r="A986" s="7"/>
      <c r="E986" s="7"/>
      <c r="F986" s="7"/>
    </row>
    <row r="987" spans="1:6" x14ac:dyDescent="0.25">
      <c r="A987" s="7"/>
      <c r="E987" s="7"/>
      <c r="F987" s="7"/>
    </row>
    <row r="988" spans="1:6" x14ac:dyDescent="0.25">
      <c r="A988" s="7"/>
      <c r="E988" s="7"/>
      <c r="F988" s="7"/>
    </row>
    <row r="989" spans="1:6" x14ac:dyDescent="0.25">
      <c r="A989" s="7"/>
      <c r="E989" s="7"/>
      <c r="F989" s="7"/>
    </row>
    <row r="990" spans="1:6" x14ac:dyDescent="0.25">
      <c r="A990" s="7"/>
      <c r="E990" s="7"/>
      <c r="F990" s="7"/>
    </row>
    <row r="991" spans="1:6" x14ac:dyDescent="0.25">
      <c r="A991" s="7"/>
      <c r="E991" s="7"/>
      <c r="F991" s="7"/>
    </row>
    <row r="992" spans="1:6" x14ac:dyDescent="0.25">
      <c r="A992" s="7"/>
      <c r="E992" s="7"/>
      <c r="F992" s="7"/>
    </row>
    <row r="993" spans="1:6" x14ac:dyDescent="0.25">
      <c r="A993" s="7"/>
      <c r="E993" s="7"/>
      <c r="F993" s="7"/>
    </row>
    <row r="994" spans="1:6" x14ac:dyDescent="0.25">
      <c r="A994" s="7"/>
      <c r="E994" s="7"/>
      <c r="F994" s="7"/>
    </row>
    <row r="995" spans="1:6" x14ac:dyDescent="0.25">
      <c r="A995" s="7"/>
      <c r="E995" s="7"/>
      <c r="F995" s="7"/>
    </row>
    <row r="996" spans="1:6" x14ac:dyDescent="0.25">
      <c r="A996" s="7"/>
      <c r="E996" s="7"/>
      <c r="F996" s="7"/>
    </row>
    <row r="997" spans="1:6" x14ac:dyDescent="0.25">
      <c r="A997" s="7"/>
      <c r="E997" s="7"/>
      <c r="F997" s="7"/>
    </row>
    <row r="998" spans="1:6" x14ac:dyDescent="0.25">
      <c r="A998" s="7"/>
      <c r="E998" s="7"/>
      <c r="F998" s="7"/>
    </row>
    <row r="999" spans="1:6" x14ac:dyDescent="0.25">
      <c r="A999" s="7"/>
      <c r="E999" s="7"/>
      <c r="F999" s="7"/>
    </row>
    <row r="1000" spans="1:6" x14ac:dyDescent="0.25">
      <c r="A1000" s="7"/>
      <c r="E1000" s="7"/>
      <c r="F1000" s="7"/>
    </row>
    <row r="1001" spans="1:6" x14ac:dyDescent="0.25">
      <c r="A1001" s="7"/>
      <c r="E1001" s="7"/>
      <c r="F1001" s="7"/>
    </row>
    <row r="1002" spans="1:6" x14ac:dyDescent="0.25">
      <c r="A1002" s="7"/>
      <c r="E1002" s="7"/>
      <c r="F1002" s="7"/>
    </row>
    <row r="1003" spans="1:6" x14ac:dyDescent="0.25">
      <c r="A1003" s="7"/>
      <c r="E1003" s="7"/>
      <c r="F1003" s="7"/>
    </row>
    <row r="1004" spans="1:6" x14ac:dyDescent="0.25">
      <c r="A1004" s="7"/>
      <c r="E1004" s="7"/>
      <c r="F1004" s="7"/>
    </row>
  </sheetData>
  <mergeCells count="4">
    <mergeCell ref="A1:I1"/>
    <mergeCell ref="A2:I2"/>
    <mergeCell ref="B3:C3"/>
    <mergeCell ref="A18:I18"/>
  </mergeCells>
  <printOptions horizontalCentered="1" gridLines="1"/>
  <pageMargins left="0.7" right="0.7" top="0.75" bottom="0.75" header="0" footer="0"/>
  <pageSetup paperSize="3" fitToHeight="0" pageOrder="overThenDown" orientation="landscape" cellComments="atEnd"/>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B6D7A8"/>
    <outlinePr summaryBelow="0" summaryRight="0"/>
    <pageSetUpPr fitToPage="1"/>
  </sheetPr>
  <dimension ref="A1:W1003"/>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46.33203125" customWidth="1"/>
    <col min="2" max="2" width="7.33203125" customWidth="1"/>
    <col min="3" max="4" width="7.88671875" customWidth="1"/>
    <col min="5" max="5" width="22.21875" customWidth="1"/>
    <col min="6" max="6" width="14.6640625" customWidth="1"/>
  </cols>
  <sheetData>
    <row r="1" spans="1:23" x14ac:dyDescent="0.25">
      <c r="A1" s="141" t="s">
        <v>536</v>
      </c>
      <c r="B1" s="142"/>
      <c r="C1" s="142"/>
      <c r="D1" s="142"/>
      <c r="E1" s="142"/>
      <c r="F1" s="142"/>
      <c r="G1" s="142"/>
      <c r="H1" s="142"/>
      <c r="I1" s="143"/>
    </row>
    <row r="2" spans="1:23" x14ac:dyDescent="0.25">
      <c r="A2" s="144" t="s">
        <v>537</v>
      </c>
      <c r="B2" s="142"/>
      <c r="C2" s="142"/>
      <c r="D2" s="142"/>
      <c r="E2" s="142"/>
      <c r="F2" s="142"/>
      <c r="G2" s="142"/>
      <c r="H2" s="142"/>
      <c r="I2" s="143"/>
    </row>
    <row r="3" spans="1:23" x14ac:dyDescent="0.25">
      <c r="A3" s="43" t="s">
        <v>374</v>
      </c>
      <c r="B3" s="145" t="s">
        <v>408</v>
      </c>
      <c r="C3" s="143"/>
      <c r="D3" s="49" t="s">
        <v>370</v>
      </c>
      <c r="E3" s="50" t="s">
        <v>371</v>
      </c>
      <c r="F3" s="51" t="s">
        <v>372</v>
      </c>
      <c r="G3" s="52" t="s">
        <v>373</v>
      </c>
      <c r="H3" s="53" t="s">
        <v>409</v>
      </c>
      <c r="I3" s="53" t="s">
        <v>410</v>
      </c>
      <c r="J3" s="7"/>
      <c r="K3" s="7"/>
      <c r="L3" s="7"/>
      <c r="M3" s="7"/>
      <c r="N3" s="7"/>
      <c r="O3" s="7"/>
      <c r="P3" s="7"/>
      <c r="Q3" s="7"/>
      <c r="R3" s="7"/>
      <c r="S3" s="7"/>
      <c r="T3" s="7"/>
      <c r="U3" s="7"/>
      <c r="V3" s="7"/>
      <c r="W3" s="7"/>
    </row>
    <row r="4" spans="1:23" x14ac:dyDescent="0.25">
      <c r="A4" s="41" t="s">
        <v>411</v>
      </c>
      <c r="B4" s="54">
        <f>SUM(B5:B7)/2</f>
        <v>1</v>
      </c>
      <c r="C4" s="55">
        <v>0.7</v>
      </c>
      <c r="D4" s="56">
        <v>0.7</v>
      </c>
      <c r="E4" s="57"/>
      <c r="F4" s="57"/>
      <c r="G4" s="58"/>
      <c r="H4" s="58"/>
      <c r="I4" s="58"/>
    </row>
    <row r="5" spans="1:23" x14ac:dyDescent="0.25">
      <c r="A5" s="42" t="s">
        <v>538</v>
      </c>
      <c r="B5" s="59">
        <v>1</v>
      </c>
      <c r="C5" s="60"/>
      <c r="D5" s="60"/>
      <c r="E5" s="42"/>
      <c r="F5" s="61"/>
      <c r="G5" s="59">
        <v>0.8</v>
      </c>
      <c r="H5" s="59">
        <v>0.8</v>
      </c>
      <c r="I5" s="59">
        <v>1</v>
      </c>
    </row>
    <row r="6" spans="1:23" x14ac:dyDescent="0.25">
      <c r="A6" s="42" t="s">
        <v>539</v>
      </c>
      <c r="B6" s="59">
        <v>1</v>
      </c>
      <c r="C6" s="60"/>
      <c r="D6" s="60"/>
      <c r="E6" s="42"/>
      <c r="F6" s="61"/>
      <c r="G6" s="59">
        <v>0.8</v>
      </c>
      <c r="H6" s="59">
        <v>0.8</v>
      </c>
      <c r="I6" s="59">
        <v>1</v>
      </c>
    </row>
    <row r="7" spans="1:23" x14ac:dyDescent="0.25">
      <c r="A7" s="42"/>
      <c r="B7" s="62"/>
      <c r="C7" s="60"/>
      <c r="D7" s="60"/>
      <c r="E7" s="42"/>
      <c r="F7" s="42"/>
      <c r="G7" s="60"/>
      <c r="H7" s="60"/>
      <c r="I7" s="60"/>
    </row>
    <row r="8" spans="1:23" x14ac:dyDescent="0.25">
      <c r="A8" s="41" t="s">
        <v>415</v>
      </c>
      <c r="B8" s="54">
        <f>SUM(B9:B10)/1</f>
        <v>1</v>
      </c>
      <c r="C8" s="55">
        <f>D8*B8</f>
        <v>0.2</v>
      </c>
      <c r="D8" s="56">
        <v>0.2</v>
      </c>
      <c r="E8" s="57"/>
      <c r="F8" s="57"/>
      <c r="G8" s="58"/>
      <c r="H8" s="58"/>
      <c r="I8" s="58"/>
    </row>
    <row r="9" spans="1:23" x14ac:dyDescent="0.25">
      <c r="A9" s="42" t="s">
        <v>540</v>
      </c>
      <c r="B9" s="59">
        <v>1</v>
      </c>
      <c r="C9" s="60"/>
      <c r="D9" s="60"/>
      <c r="E9" s="42" t="s">
        <v>541</v>
      </c>
      <c r="F9" s="42" t="s">
        <v>425</v>
      </c>
      <c r="G9" s="59">
        <v>1</v>
      </c>
      <c r="H9" s="59"/>
      <c r="I9" s="59"/>
    </row>
    <row r="10" spans="1:23" x14ac:dyDescent="0.25">
      <c r="A10" s="43"/>
      <c r="B10" s="62"/>
      <c r="C10" s="60"/>
      <c r="D10" s="60"/>
      <c r="E10" s="42"/>
      <c r="F10" s="61"/>
      <c r="G10" s="59"/>
      <c r="H10" s="59"/>
      <c r="I10" s="59"/>
    </row>
    <row r="11" spans="1:23" x14ac:dyDescent="0.25">
      <c r="A11" s="41" t="s">
        <v>385</v>
      </c>
      <c r="B11" s="54">
        <f>SUM(B12:B14)/2</f>
        <v>1</v>
      </c>
      <c r="C11" s="55">
        <f>D11*B11</f>
        <v>0.1</v>
      </c>
      <c r="D11" s="56">
        <v>0.1</v>
      </c>
      <c r="E11" s="57"/>
      <c r="F11" s="57"/>
      <c r="G11" s="58"/>
      <c r="H11" s="58"/>
      <c r="I11" s="58"/>
    </row>
    <row r="12" spans="1:23" x14ac:dyDescent="0.25">
      <c r="A12" s="42" t="s">
        <v>386</v>
      </c>
      <c r="B12" s="59">
        <v>1</v>
      </c>
      <c r="C12" s="60"/>
      <c r="D12" s="53"/>
      <c r="E12" s="42"/>
      <c r="F12" s="42" t="s">
        <v>418</v>
      </c>
      <c r="G12" s="59">
        <v>0.8</v>
      </c>
      <c r="H12" s="59">
        <v>0.8</v>
      </c>
      <c r="I12" s="59">
        <v>1</v>
      </c>
    </row>
    <row r="13" spans="1:23" x14ac:dyDescent="0.25">
      <c r="A13" s="42" t="s">
        <v>387</v>
      </c>
      <c r="B13" s="59">
        <v>0.5</v>
      </c>
      <c r="C13" s="60"/>
      <c r="D13" s="60"/>
      <c r="E13" s="42"/>
      <c r="F13" s="42" t="s">
        <v>419</v>
      </c>
      <c r="G13" s="59">
        <v>0.8</v>
      </c>
      <c r="H13" s="59">
        <v>0.8</v>
      </c>
      <c r="I13" s="59">
        <v>1</v>
      </c>
    </row>
    <row r="14" spans="1:23" x14ac:dyDescent="0.25">
      <c r="A14" s="151" t="s">
        <v>506</v>
      </c>
      <c r="B14" s="148">
        <v>0.5</v>
      </c>
      <c r="C14" s="153"/>
      <c r="D14" s="153"/>
      <c r="E14" s="42" t="s">
        <v>542</v>
      </c>
      <c r="F14" s="70" t="s">
        <v>420</v>
      </c>
      <c r="G14" s="71">
        <v>1</v>
      </c>
      <c r="H14" s="71">
        <v>1</v>
      </c>
      <c r="I14" s="71">
        <v>1</v>
      </c>
    </row>
    <row r="15" spans="1:23" x14ac:dyDescent="0.25">
      <c r="A15" s="147"/>
      <c r="B15" s="147"/>
      <c r="C15" s="147"/>
      <c r="D15" s="147"/>
      <c r="E15" s="42" t="s">
        <v>543</v>
      </c>
      <c r="F15" s="70" t="s">
        <v>420</v>
      </c>
      <c r="G15" s="71">
        <v>1</v>
      </c>
      <c r="H15" s="71">
        <v>1</v>
      </c>
      <c r="I15" s="71">
        <v>1</v>
      </c>
    </row>
    <row r="16" spans="1:23" x14ac:dyDescent="0.25">
      <c r="A16" s="90"/>
      <c r="B16" s="71"/>
      <c r="C16" s="64">
        <f t="shared" ref="C16:D16" si="0">SUM(C4+C8+C11)</f>
        <v>0.99999999999999989</v>
      </c>
      <c r="D16" s="64">
        <f t="shared" si="0"/>
        <v>0.99999999999999989</v>
      </c>
      <c r="E16" s="42"/>
      <c r="F16" s="70"/>
      <c r="G16" s="71"/>
      <c r="H16" s="71"/>
      <c r="I16" s="71"/>
    </row>
    <row r="17" spans="1:9" x14ac:dyDescent="0.25">
      <c r="A17" s="152" t="s">
        <v>544</v>
      </c>
      <c r="B17" s="142"/>
      <c r="C17" s="142"/>
      <c r="D17" s="142"/>
      <c r="E17" s="142"/>
      <c r="F17" s="142"/>
      <c r="G17" s="142"/>
      <c r="H17" s="142"/>
      <c r="I17" s="143"/>
    </row>
    <row r="18" spans="1:9" x14ac:dyDescent="0.25">
      <c r="A18" s="66" t="s">
        <v>545</v>
      </c>
      <c r="B18" s="67" t="s">
        <v>427</v>
      </c>
      <c r="C18" s="64"/>
      <c r="D18" s="64"/>
      <c r="E18" s="68" t="s">
        <v>178</v>
      </c>
      <c r="F18" s="42" t="s">
        <v>425</v>
      </c>
      <c r="G18" s="42"/>
      <c r="H18" s="60"/>
      <c r="I18" s="60"/>
    </row>
    <row r="19" spans="1:9" x14ac:dyDescent="0.25">
      <c r="A19" s="66" t="s">
        <v>546</v>
      </c>
      <c r="B19" s="67" t="s">
        <v>427</v>
      </c>
      <c r="C19" s="64"/>
      <c r="D19" s="64"/>
      <c r="E19" s="68" t="s">
        <v>207</v>
      </c>
      <c r="F19" s="42" t="s">
        <v>425</v>
      </c>
      <c r="G19" s="42"/>
      <c r="H19" s="60"/>
      <c r="I19" s="60"/>
    </row>
    <row r="20" spans="1:9" x14ac:dyDescent="0.25">
      <c r="A20" s="66"/>
      <c r="B20" s="67"/>
      <c r="C20" s="64"/>
      <c r="D20" s="64"/>
      <c r="E20" s="68"/>
      <c r="F20" s="42"/>
      <c r="G20" s="42"/>
      <c r="H20" s="60"/>
      <c r="I20" s="60"/>
    </row>
    <row r="21" spans="1:9" x14ac:dyDescent="0.25">
      <c r="A21" s="7"/>
      <c r="E21" s="7"/>
      <c r="F21" s="7"/>
    </row>
    <row r="22" spans="1:9" x14ac:dyDescent="0.25">
      <c r="A22" s="7"/>
      <c r="E22" s="7"/>
      <c r="F22" s="7"/>
    </row>
    <row r="23" spans="1:9" x14ac:dyDescent="0.25">
      <c r="A23" s="7"/>
      <c r="E23" s="7"/>
      <c r="F23" s="7"/>
    </row>
    <row r="24" spans="1:9" x14ac:dyDescent="0.25">
      <c r="A24" s="7"/>
      <c r="E24" s="7"/>
      <c r="F24" s="7"/>
    </row>
    <row r="25" spans="1:9" x14ac:dyDescent="0.25">
      <c r="A25" s="7"/>
      <c r="E25" s="7"/>
      <c r="F25" s="7"/>
    </row>
    <row r="26" spans="1:9" x14ac:dyDescent="0.25">
      <c r="A26" s="7"/>
      <c r="E26" s="7"/>
      <c r="F26" s="7"/>
    </row>
    <row r="27" spans="1:9" x14ac:dyDescent="0.25">
      <c r="A27" s="7"/>
      <c r="E27" s="7"/>
      <c r="F27" s="7"/>
    </row>
    <row r="28" spans="1:9" x14ac:dyDescent="0.25">
      <c r="A28" s="7"/>
      <c r="E28" s="7"/>
      <c r="F28" s="7"/>
    </row>
    <row r="29" spans="1:9" x14ac:dyDescent="0.25">
      <c r="A29" s="7"/>
      <c r="E29" s="7"/>
      <c r="F29" s="7"/>
    </row>
    <row r="30" spans="1:9" x14ac:dyDescent="0.25">
      <c r="A30" s="7"/>
      <c r="E30" s="7"/>
      <c r="F30" s="7"/>
    </row>
    <row r="31" spans="1:9" x14ac:dyDescent="0.25">
      <c r="A31" s="7"/>
      <c r="E31" s="7"/>
      <c r="F31" s="7"/>
    </row>
    <row r="32" spans="1:9" x14ac:dyDescent="0.25">
      <c r="A32" s="7"/>
      <c r="E32" s="7"/>
      <c r="F32" s="7"/>
    </row>
    <row r="33" spans="1:6" x14ac:dyDescent="0.25">
      <c r="A33" s="7"/>
      <c r="E33" s="7"/>
      <c r="F33" s="7"/>
    </row>
    <row r="34" spans="1:6" x14ac:dyDescent="0.25">
      <c r="A34" s="7"/>
      <c r="E34" s="7"/>
      <c r="F34" s="7"/>
    </row>
    <row r="35" spans="1:6" x14ac:dyDescent="0.25">
      <c r="A35" s="7"/>
      <c r="E35" s="7"/>
      <c r="F35" s="7"/>
    </row>
    <row r="36" spans="1:6" x14ac:dyDescent="0.25">
      <c r="A36" s="7"/>
      <c r="E36" s="7"/>
      <c r="F36" s="7"/>
    </row>
    <row r="37" spans="1:6" x14ac:dyDescent="0.25">
      <c r="A37" s="7"/>
      <c r="E37" s="7"/>
      <c r="F37" s="7"/>
    </row>
    <row r="38" spans="1:6" x14ac:dyDescent="0.25">
      <c r="A38" s="7"/>
      <c r="E38" s="7"/>
      <c r="F38" s="7"/>
    </row>
    <row r="39" spans="1:6" x14ac:dyDescent="0.25">
      <c r="A39" s="7"/>
      <c r="E39" s="7"/>
      <c r="F39" s="7"/>
    </row>
    <row r="40" spans="1:6" x14ac:dyDescent="0.25">
      <c r="A40" s="7"/>
      <c r="E40" s="7"/>
      <c r="F40" s="7"/>
    </row>
    <row r="41" spans="1:6" x14ac:dyDescent="0.25">
      <c r="A41" s="7"/>
      <c r="E41" s="7"/>
      <c r="F41" s="7"/>
    </row>
    <row r="42" spans="1:6" x14ac:dyDescent="0.25">
      <c r="A42" s="7"/>
      <c r="E42" s="7"/>
      <c r="F42" s="7"/>
    </row>
    <row r="43" spans="1:6" x14ac:dyDescent="0.25">
      <c r="A43" s="7"/>
      <c r="E43" s="7"/>
      <c r="F43" s="7"/>
    </row>
    <row r="44" spans="1:6" x14ac:dyDescent="0.25">
      <c r="A44" s="7"/>
      <c r="E44" s="7"/>
      <c r="F44" s="7"/>
    </row>
    <row r="45" spans="1:6" x14ac:dyDescent="0.25">
      <c r="A45" s="7"/>
      <c r="E45" s="7"/>
      <c r="F45" s="7"/>
    </row>
    <row r="46" spans="1:6" x14ac:dyDescent="0.25">
      <c r="A46" s="7"/>
      <c r="E46" s="7"/>
      <c r="F46" s="7"/>
    </row>
    <row r="47" spans="1:6" x14ac:dyDescent="0.25">
      <c r="A47" s="7"/>
      <c r="E47" s="7"/>
      <c r="F47" s="7"/>
    </row>
    <row r="48" spans="1:6" x14ac:dyDescent="0.25">
      <c r="A48" s="7"/>
      <c r="E48" s="7"/>
      <c r="F48" s="7"/>
    </row>
    <row r="49" spans="1:6" x14ac:dyDescent="0.25">
      <c r="A49" s="7"/>
      <c r="E49" s="7"/>
      <c r="F49" s="7"/>
    </row>
    <row r="50" spans="1:6" x14ac:dyDescent="0.25">
      <c r="A50" s="7"/>
      <c r="E50" s="7"/>
      <c r="F50" s="7"/>
    </row>
    <row r="51" spans="1:6" x14ac:dyDescent="0.25">
      <c r="A51" s="7"/>
      <c r="E51" s="7"/>
      <c r="F51" s="7"/>
    </row>
    <row r="52" spans="1:6" x14ac:dyDescent="0.25">
      <c r="A52" s="7"/>
      <c r="E52" s="7"/>
      <c r="F52" s="7"/>
    </row>
    <row r="53" spans="1:6" x14ac:dyDescent="0.25">
      <c r="A53" s="7"/>
      <c r="E53" s="7"/>
      <c r="F53" s="7"/>
    </row>
    <row r="54" spans="1:6" x14ac:dyDescent="0.25">
      <c r="A54" s="7"/>
      <c r="E54" s="7"/>
      <c r="F54" s="7"/>
    </row>
    <row r="55" spans="1:6" x14ac:dyDescent="0.25">
      <c r="A55" s="7"/>
      <c r="E55" s="7"/>
      <c r="F55" s="7"/>
    </row>
    <row r="56" spans="1:6" x14ac:dyDescent="0.25">
      <c r="A56" s="7"/>
      <c r="E56" s="7"/>
      <c r="F56" s="7"/>
    </row>
    <row r="57" spans="1:6" x14ac:dyDescent="0.25">
      <c r="A57" s="7"/>
      <c r="E57" s="7"/>
      <c r="F57" s="7"/>
    </row>
    <row r="58" spans="1:6" x14ac:dyDescent="0.25">
      <c r="A58" s="7"/>
      <c r="E58" s="7"/>
      <c r="F58" s="7"/>
    </row>
    <row r="59" spans="1:6" x14ac:dyDescent="0.25">
      <c r="A59" s="7"/>
      <c r="E59" s="7"/>
      <c r="F59" s="7"/>
    </row>
    <row r="60" spans="1:6" x14ac:dyDescent="0.25">
      <c r="A60" s="7"/>
      <c r="E60" s="7"/>
      <c r="F60" s="7"/>
    </row>
    <row r="61" spans="1:6" x14ac:dyDescent="0.25">
      <c r="A61" s="7"/>
      <c r="E61" s="7"/>
      <c r="F61" s="7"/>
    </row>
    <row r="62" spans="1:6" x14ac:dyDescent="0.25">
      <c r="A62" s="7"/>
      <c r="E62" s="7"/>
      <c r="F62" s="7"/>
    </row>
    <row r="63" spans="1:6" x14ac:dyDescent="0.25">
      <c r="A63" s="7"/>
      <c r="E63" s="7"/>
      <c r="F63" s="7"/>
    </row>
    <row r="64" spans="1:6" x14ac:dyDescent="0.25">
      <c r="A64" s="7"/>
      <c r="E64" s="7"/>
      <c r="F64" s="7"/>
    </row>
    <row r="65" spans="1:6" x14ac:dyDescent="0.25">
      <c r="A65" s="7"/>
      <c r="E65" s="7"/>
      <c r="F65" s="7"/>
    </row>
    <row r="66" spans="1:6" x14ac:dyDescent="0.25">
      <c r="A66" s="7"/>
      <c r="E66" s="7"/>
      <c r="F66" s="7"/>
    </row>
    <row r="67" spans="1:6" x14ac:dyDescent="0.25">
      <c r="A67" s="7"/>
      <c r="E67" s="7"/>
      <c r="F67" s="7"/>
    </row>
    <row r="68" spans="1:6" x14ac:dyDescent="0.25">
      <c r="A68" s="7"/>
      <c r="E68" s="7"/>
      <c r="F68" s="7"/>
    </row>
    <row r="69" spans="1:6" x14ac:dyDescent="0.25">
      <c r="A69" s="7"/>
      <c r="E69" s="7"/>
      <c r="F69" s="7"/>
    </row>
    <row r="70" spans="1:6" x14ac:dyDescent="0.25">
      <c r="A70" s="7"/>
      <c r="E70" s="7"/>
      <c r="F70" s="7"/>
    </row>
    <row r="71" spans="1:6" x14ac:dyDescent="0.25">
      <c r="A71" s="7"/>
      <c r="E71" s="7"/>
      <c r="F71" s="7"/>
    </row>
    <row r="72" spans="1:6" x14ac:dyDescent="0.25">
      <c r="A72" s="7"/>
      <c r="E72" s="7"/>
      <c r="F72" s="7"/>
    </row>
    <row r="73" spans="1:6" x14ac:dyDescent="0.25">
      <c r="A73" s="7"/>
      <c r="E73" s="7"/>
      <c r="F73" s="7"/>
    </row>
    <row r="74" spans="1:6" x14ac:dyDescent="0.25">
      <c r="A74" s="7"/>
      <c r="E74" s="7"/>
      <c r="F74" s="7"/>
    </row>
    <row r="75" spans="1:6" x14ac:dyDescent="0.25">
      <c r="A75" s="7"/>
      <c r="E75" s="7"/>
      <c r="F75" s="7"/>
    </row>
    <row r="76" spans="1:6" x14ac:dyDescent="0.25">
      <c r="A76" s="7"/>
      <c r="E76" s="7"/>
      <c r="F76" s="7"/>
    </row>
    <row r="77" spans="1:6" x14ac:dyDescent="0.25">
      <c r="A77" s="7"/>
      <c r="E77" s="7"/>
      <c r="F77" s="7"/>
    </row>
    <row r="78" spans="1:6" x14ac:dyDescent="0.25">
      <c r="A78" s="7"/>
      <c r="E78" s="7"/>
      <c r="F78" s="7"/>
    </row>
    <row r="79" spans="1:6" x14ac:dyDescent="0.25">
      <c r="A79" s="7"/>
      <c r="E79" s="7"/>
      <c r="F79" s="7"/>
    </row>
    <row r="80" spans="1:6" x14ac:dyDescent="0.25">
      <c r="A80" s="7"/>
      <c r="E80" s="7"/>
      <c r="F80" s="7"/>
    </row>
    <row r="81" spans="1:6" x14ac:dyDescent="0.25">
      <c r="A81" s="7"/>
      <c r="E81" s="7"/>
      <c r="F81" s="7"/>
    </row>
    <row r="82" spans="1:6" x14ac:dyDescent="0.25">
      <c r="A82" s="7"/>
      <c r="E82" s="7"/>
      <c r="F82" s="7"/>
    </row>
    <row r="83" spans="1:6" x14ac:dyDescent="0.25">
      <c r="A83" s="7"/>
      <c r="E83" s="7"/>
      <c r="F83" s="7"/>
    </row>
    <row r="84" spans="1:6" x14ac:dyDescent="0.25">
      <c r="A84" s="7"/>
      <c r="E84" s="7"/>
      <c r="F84" s="7"/>
    </row>
    <row r="85" spans="1:6" x14ac:dyDescent="0.25">
      <c r="A85" s="7"/>
      <c r="E85" s="7"/>
      <c r="F85" s="7"/>
    </row>
    <row r="86" spans="1:6" x14ac:dyDescent="0.25">
      <c r="A86" s="7"/>
      <c r="E86" s="7"/>
      <c r="F86" s="7"/>
    </row>
    <row r="87" spans="1:6" x14ac:dyDescent="0.25">
      <c r="A87" s="7"/>
      <c r="E87" s="7"/>
      <c r="F87" s="7"/>
    </row>
    <row r="88" spans="1:6" x14ac:dyDescent="0.25">
      <c r="A88" s="7"/>
      <c r="E88" s="7"/>
      <c r="F88" s="7"/>
    </row>
    <row r="89" spans="1:6" x14ac:dyDescent="0.25">
      <c r="A89" s="7"/>
      <c r="E89" s="7"/>
      <c r="F89" s="7"/>
    </row>
    <row r="90" spans="1:6" x14ac:dyDescent="0.25">
      <c r="A90" s="7"/>
      <c r="E90" s="7"/>
      <c r="F90" s="7"/>
    </row>
    <row r="91" spans="1:6" x14ac:dyDescent="0.25">
      <c r="A91" s="7"/>
      <c r="E91" s="7"/>
      <c r="F91" s="7"/>
    </row>
    <row r="92" spans="1:6" x14ac:dyDescent="0.25">
      <c r="A92" s="7"/>
      <c r="E92" s="7"/>
      <c r="F92" s="7"/>
    </row>
    <row r="93" spans="1:6" x14ac:dyDescent="0.25">
      <c r="A93" s="7"/>
      <c r="E93" s="7"/>
      <c r="F93" s="7"/>
    </row>
    <row r="94" spans="1:6" x14ac:dyDescent="0.25">
      <c r="A94" s="7"/>
      <c r="E94" s="7"/>
      <c r="F94" s="7"/>
    </row>
    <row r="95" spans="1:6" x14ac:dyDescent="0.25">
      <c r="A95" s="7"/>
      <c r="E95" s="7"/>
      <c r="F95" s="7"/>
    </row>
    <row r="96" spans="1:6" x14ac:dyDescent="0.25">
      <c r="A96" s="7"/>
      <c r="E96" s="7"/>
      <c r="F96" s="7"/>
    </row>
    <row r="97" spans="1:6" x14ac:dyDescent="0.25">
      <c r="A97" s="7"/>
      <c r="E97" s="7"/>
      <c r="F97" s="7"/>
    </row>
    <row r="98" spans="1:6" x14ac:dyDescent="0.25">
      <c r="A98" s="7"/>
      <c r="E98" s="7"/>
      <c r="F98" s="7"/>
    </row>
    <row r="99" spans="1:6" x14ac:dyDescent="0.25">
      <c r="A99" s="7"/>
      <c r="E99" s="7"/>
      <c r="F99" s="7"/>
    </row>
    <row r="100" spans="1:6" x14ac:dyDescent="0.25">
      <c r="A100" s="7"/>
      <c r="E100" s="7"/>
      <c r="F100" s="7"/>
    </row>
    <row r="101" spans="1:6" x14ac:dyDescent="0.25">
      <c r="A101" s="7"/>
      <c r="E101" s="7"/>
      <c r="F101" s="7"/>
    </row>
    <row r="102" spans="1:6" x14ac:dyDescent="0.25">
      <c r="A102" s="7"/>
      <c r="E102" s="7"/>
      <c r="F102" s="7"/>
    </row>
    <row r="103" spans="1:6" x14ac:dyDescent="0.25">
      <c r="A103" s="7"/>
      <c r="E103" s="7"/>
      <c r="F103" s="7"/>
    </row>
    <row r="104" spans="1:6" x14ac:dyDescent="0.25">
      <c r="A104" s="7"/>
      <c r="E104" s="7"/>
      <c r="F104" s="7"/>
    </row>
    <row r="105" spans="1:6" x14ac:dyDescent="0.25">
      <c r="A105" s="7"/>
      <c r="E105" s="7"/>
      <c r="F105" s="7"/>
    </row>
    <row r="106" spans="1:6" x14ac:dyDescent="0.25">
      <c r="A106" s="7"/>
      <c r="E106" s="7"/>
      <c r="F106" s="7"/>
    </row>
    <row r="107" spans="1:6" x14ac:dyDescent="0.25">
      <c r="A107" s="7"/>
      <c r="E107" s="7"/>
      <c r="F107" s="7"/>
    </row>
    <row r="108" spans="1:6" x14ac:dyDescent="0.25">
      <c r="A108" s="7"/>
      <c r="E108" s="7"/>
      <c r="F108" s="7"/>
    </row>
    <row r="109" spans="1:6" x14ac:dyDescent="0.25">
      <c r="A109" s="7"/>
      <c r="E109" s="7"/>
      <c r="F109" s="7"/>
    </row>
    <row r="110" spans="1:6" x14ac:dyDescent="0.25">
      <c r="A110" s="7"/>
      <c r="E110" s="7"/>
      <c r="F110" s="7"/>
    </row>
    <row r="111" spans="1:6" x14ac:dyDescent="0.25">
      <c r="A111" s="7"/>
      <c r="E111" s="7"/>
      <c r="F111" s="7"/>
    </row>
    <row r="112" spans="1:6" x14ac:dyDescent="0.25">
      <c r="A112" s="7"/>
      <c r="E112" s="7"/>
      <c r="F112" s="7"/>
    </row>
    <row r="113" spans="1:6" x14ac:dyDescent="0.25">
      <c r="A113" s="7"/>
      <c r="E113" s="7"/>
      <c r="F113" s="7"/>
    </row>
    <row r="114" spans="1:6" x14ac:dyDescent="0.25">
      <c r="A114" s="7"/>
      <c r="E114" s="7"/>
      <c r="F114" s="7"/>
    </row>
    <row r="115" spans="1:6" x14ac:dyDescent="0.25">
      <c r="A115" s="7"/>
      <c r="E115" s="7"/>
      <c r="F115" s="7"/>
    </row>
    <row r="116" spans="1:6" x14ac:dyDescent="0.25">
      <c r="A116" s="7"/>
      <c r="E116" s="7"/>
      <c r="F116" s="7"/>
    </row>
    <row r="117" spans="1:6" x14ac:dyDescent="0.25">
      <c r="A117" s="7"/>
      <c r="E117" s="7"/>
      <c r="F117" s="7"/>
    </row>
    <row r="118" spans="1:6" x14ac:dyDescent="0.25">
      <c r="A118" s="7"/>
      <c r="E118" s="7"/>
      <c r="F118" s="7"/>
    </row>
    <row r="119" spans="1:6" x14ac:dyDescent="0.25">
      <c r="A119" s="7"/>
      <c r="E119" s="7"/>
      <c r="F119" s="7"/>
    </row>
    <row r="120" spans="1:6" x14ac:dyDescent="0.25">
      <c r="A120" s="7"/>
      <c r="E120" s="7"/>
      <c r="F120" s="7"/>
    </row>
    <row r="121" spans="1:6" x14ac:dyDescent="0.25">
      <c r="A121" s="7"/>
      <c r="E121" s="7"/>
      <c r="F121" s="7"/>
    </row>
    <row r="122" spans="1:6" x14ac:dyDescent="0.25">
      <c r="A122" s="7"/>
      <c r="E122" s="7"/>
      <c r="F122" s="7"/>
    </row>
    <row r="123" spans="1:6" x14ac:dyDescent="0.25">
      <c r="A123" s="7"/>
      <c r="E123" s="7"/>
      <c r="F123" s="7"/>
    </row>
    <row r="124" spans="1:6" x14ac:dyDescent="0.25">
      <c r="A124" s="7"/>
      <c r="E124" s="7"/>
      <c r="F124" s="7"/>
    </row>
    <row r="125" spans="1:6" x14ac:dyDescent="0.25">
      <c r="A125" s="7"/>
      <c r="E125" s="7"/>
      <c r="F125" s="7"/>
    </row>
    <row r="126" spans="1:6" x14ac:dyDescent="0.25">
      <c r="A126" s="7"/>
      <c r="E126" s="7"/>
      <c r="F126" s="7"/>
    </row>
    <row r="127" spans="1:6" x14ac:dyDescent="0.25">
      <c r="A127" s="7"/>
      <c r="E127" s="7"/>
      <c r="F127" s="7"/>
    </row>
    <row r="128" spans="1:6" x14ac:dyDescent="0.25">
      <c r="A128" s="7"/>
      <c r="E128" s="7"/>
      <c r="F128" s="7"/>
    </row>
    <row r="129" spans="1:6" x14ac:dyDescent="0.25">
      <c r="A129" s="7"/>
      <c r="E129" s="7"/>
      <c r="F129" s="7"/>
    </row>
    <row r="130" spans="1:6" x14ac:dyDescent="0.25">
      <c r="A130" s="7"/>
      <c r="E130" s="7"/>
      <c r="F130" s="7"/>
    </row>
    <row r="131" spans="1:6" x14ac:dyDescent="0.25">
      <c r="A131" s="7"/>
      <c r="E131" s="7"/>
      <c r="F131" s="7"/>
    </row>
    <row r="132" spans="1:6" x14ac:dyDescent="0.25">
      <c r="A132" s="7"/>
      <c r="E132" s="7"/>
      <c r="F132" s="7"/>
    </row>
    <row r="133" spans="1:6" x14ac:dyDescent="0.25">
      <c r="A133" s="7"/>
      <c r="E133" s="7"/>
      <c r="F133" s="7"/>
    </row>
    <row r="134" spans="1:6" x14ac:dyDescent="0.25">
      <c r="A134" s="7"/>
      <c r="E134" s="7"/>
      <c r="F134" s="7"/>
    </row>
    <row r="135" spans="1:6" x14ac:dyDescent="0.25">
      <c r="A135" s="7"/>
      <c r="E135" s="7"/>
      <c r="F135" s="7"/>
    </row>
    <row r="136" spans="1:6" x14ac:dyDescent="0.25">
      <c r="A136" s="7"/>
      <c r="E136" s="7"/>
      <c r="F136" s="7"/>
    </row>
    <row r="137" spans="1:6" x14ac:dyDescent="0.25">
      <c r="A137" s="7"/>
      <c r="E137" s="7"/>
      <c r="F137" s="7"/>
    </row>
    <row r="138" spans="1:6" x14ac:dyDescent="0.25">
      <c r="A138" s="7"/>
      <c r="E138" s="7"/>
      <c r="F138" s="7"/>
    </row>
    <row r="139" spans="1:6" x14ac:dyDescent="0.25">
      <c r="A139" s="7"/>
      <c r="E139" s="7"/>
      <c r="F139" s="7"/>
    </row>
    <row r="140" spans="1:6" x14ac:dyDescent="0.25">
      <c r="A140" s="7"/>
      <c r="E140" s="7"/>
      <c r="F140" s="7"/>
    </row>
    <row r="141" spans="1:6" x14ac:dyDescent="0.25">
      <c r="A141" s="7"/>
      <c r="E141" s="7"/>
      <c r="F141" s="7"/>
    </row>
    <row r="142" spans="1:6" x14ac:dyDescent="0.25">
      <c r="A142" s="7"/>
      <c r="E142" s="7"/>
      <c r="F142" s="7"/>
    </row>
    <row r="143" spans="1:6" x14ac:dyDescent="0.25">
      <c r="A143" s="7"/>
      <c r="E143" s="7"/>
      <c r="F143" s="7"/>
    </row>
    <row r="144" spans="1:6" x14ac:dyDescent="0.25">
      <c r="A144" s="7"/>
      <c r="E144" s="7"/>
      <c r="F144" s="7"/>
    </row>
    <row r="145" spans="1:6" x14ac:dyDescent="0.25">
      <c r="A145" s="7"/>
      <c r="E145" s="7"/>
      <c r="F145" s="7"/>
    </row>
    <row r="146" spans="1:6" x14ac:dyDescent="0.25">
      <c r="A146" s="7"/>
      <c r="E146" s="7"/>
      <c r="F146" s="7"/>
    </row>
    <row r="147" spans="1:6" x14ac:dyDescent="0.25">
      <c r="A147" s="7"/>
      <c r="E147" s="7"/>
      <c r="F147" s="7"/>
    </row>
    <row r="148" spans="1:6" x14ac:dyDescent="0.25">
      <c r="A148" s="7"/>
      <c r="E148" s="7"/>
      <c r="F148" s="7"/>
    </row>
    <row r="149" spans="1:6" x14ac:dyDescent="0.25">
      <c r="A149" s="7"/>
      <c r="E149" s="7"/>
      <c r="F149" s="7"/>
    </row>
    <row r="150" spans="1:6" x14ac:dyDescent="0.25">
      <c r="A150" s="7"/>
      <c r="E150" s="7"/>
      <c r="F150" s="7"/>
    </row>
    <row r="151" spans="1:6" x14ac:dyDescent="0.25">
      <c r="A151" s="7"/>
      <c r="E151" s="7"/>
      <c r="F151" s="7"/>
    </row>
    <row r="152" spans="1:6" x14ac:dyDescent="0.25">
      <c r="A152" s="7"/>
      <c r="E152" s="7"/>
      <c r="F152" s="7"/>
    </row>
    <row r="153" spans="1:6" x14ac:dyDescent="0.25">
      <c r="A153" s="7"/>
      <c r="E153" s="7"/>
      <c r="F153" s="7"/>
    </row>
    <row r="154" spans="1:6" x14ac:dyDescent="0.25">
      <c r="A154" s="7"/>
      <c r="E154" s="7"/>
      <c r="F154" s="7"/>
    </row>
    <row r="155" spans="1:6" x14ac:dyDescent="0.25">
      <c r="A155" s="7"/>
      <c r="E155" s="7"/>
      <c r="F155" s="7"/>
    </row>
    <row r="156" spans="1:6" x14ac:dyDescent="0.25">
      <c r="A156" s="7"/>
      <c r="E156" s="7"/>
      <c r="F156" s="7"/>
    </row>
    <row r="157" spans="1:6" x14ac:dyDescent="0.25">
      <c r="A157" s="7"/>
      <c r="E157" s="7"/>
      <c r="F157" s="7"/>
    </row>
    <row r="158" spans="1:6" x14ac:dyDescent="0.25">
      <c r="A158" s="7"/>
      <c r="E158" s="7"/>
      <c r="F158" s="7"/>
    </row>
    <row r="159" spans="1:6" x14ac:dyDescent="0.25">
      <c r="A159" s="7"/>
      <c r="E159" s="7"/>
      <c r="F159" s="7"/>
    </row>
    <row r="160" spans="1:6" x14ac:dyDescent="0.25">
      <c r="A160" s="7"/>
      <c r="E160" s="7"/>
      <c r="F160" s="7"/>
    </row>
    <row r="161" spans="1:6" x14ac:dyDescent="0.25">
      <c r="A161" s="7"/>
      <c r="E161" s="7"/>
      <c r="F161" s="7"/>
    </row>
    <row r="162" spans="1:6" x14ac:dyDescent="0.25">
      <c r="A162" s="7"/>
      <c r="E162" s="7"/>
      <c r="F162" s="7"/>
    </row>
    <row r="163" spans="1:6" x14ac:dyDescent="0.25">
      <c r="A163" s="7"/>
      <c r="E163" s="7"/>
      <c r="F163" s="7"/>
    </row>
    <row r="164" spans="1:6" x14ac:dyDescent="0.25">
      <c r="A164" s="7"/>
      <c r="E164" s="7"/>
      <c r="F164" s="7"/>
    </row>
    <row r="165" spans="1:6" x14ac:dyDescent="0.25">
      <c r="A165" s="7"/>
      <c r="E165" s="7"/>
      <c r="F165" s="7"/>
    </row>
    <row r="166" spans="1:6" x14ac:dyDescent="0.25">
      <c r="A166" s="7"/>
      <c r="E166" s="7"/>
      <c r="F166" s="7"/>
    </row>
    <row r="167" spans="1:6" x14ac:dyDescent="0.25">
      <c r="A167" s="7"/>
      <c r="E167" s="7"/>
      <c r="F167" s="7"/>
    </row>
    <row r="168" spans="1:6" x14ac:dyDescent="0.25">
      <c r="A168" s="7"/>
      <c r="E168" s="7"/>
      <c r="F168" s="7"/>
    </row>
    <row r="169" spans="1:6" x14ac:dyDescent="0.25">
      <c r="A169" s="7"/>
      <c r="E169" s="7"/>
      <c r="F169" s="7"/>
    </row>
    <row r="170" spans="1:6" x14ac:dyDescent="0.25">
      <c r="A170" s="7"/>
      <c r="E170" s="7"/>
      <c r="F170" s="7"/>
    </row>
    <row r="171" spans="1:6" x14ac:dyDescent="0.25">
      <c r="A171" s="7"/>
      <c r="E171" s="7"/>
      <c r="F171" s="7"/>
    </row>
    <row r="172" spans="1:6" x14ac:dyDescent="0.25">
      <c r="A172" s="7"/>
      <c r="E172" s="7"/>
      <c r="F172" s="7"/>
    </row>
    <row r="173" spans="1:6" x14ac:dyDescent="0.25">
      <c r="A173" s="7"/>
      <c r="E173" s="7"/>
      <c r="F173" s="7"/>
    </row>
    <row r="174" spans="1:6" x14ac:dyDescent="0.25">
      <c r="A174" s="7"/>
      <c r="E174" s="7"/>
      <c r="F174" s="7"/>
    </row>
    <row r="175" spans="1:6" x14ac:dyDescent="0.25">
      <c r="A175" s="7"/>
      <c r="E175" s="7"/>
      <c r="F175" s="7"/>
    </row>
    <row r="176" spans="1:6" x14ac:dyDescent="0.25">
      <c r="A176" s="7"/>
      <c r="E176" s="7"/>
      <c r="F176" s="7"/>
    </row>
    <row r="177" spans="1:6" x14ac:dyDescent="0.25">
      <c r="A177" s="7"/>
      <c r="E177" s="7"/>
      <c r="F177" s="7"/>
    </row>
    <row r="178" spans="1:6" x14ac:dyDescent="0.25">
      <c r="A178" s="7"/>
      <c r="E178" s="7"/>
      <c r="F178" s="7"/>
    </row>
    <row r="179" spans="1:6" x14ac:dyDescent="0.25">
      <c r="A179" s="7"/>
      <c r="E179" s="7"/>
      <c r="F179" s="7"/>
    </row>
    <row r="180" spans="1:6" x14ac:dyDescent="0.25">
      <c r="A180" s="7"/>
      <c r="E180" s="7"/>
      <c r="F180" s="7"/>
    </row>
    <row r="181" spans="1:6" x14ac:dyDescent="0.25">
      <c r="A181" s="7"/>
      <c r="E181" s="7"/>
      <c r="F181" s="7"/>
    </row>
    <row r="182" spans="1:6" x14ac:dyDescent="0.25">
      <c r="A182" s="7"/>
      <c r="E182" s="7"/>
      <c r="F182" s="7"/>
    </row>
    <row r="183" spans="1:6" x14ac:dyDescent="0.25">
      <c r="A183" s="7"/>
      <c r="E183" s="7"/>
      <c r="F183" s="7"/>
    </row>
    <row r="184" spans="1:6" x14ac:dyDescent="0.25">
      <c r="A184" s="7"/>
      <c r="E184" s="7"/>
      <c r="F184" s="7"/>
    </row>
    <row r="185" spans="1:6" x14ac:dyDescent="0.25">
      <c r="A185" s="7"/>
      <c r="E185" s="7"/>
      <c r="F185" s="7"/>
    </row>
    <row r="186" spans="1:6" x14ac:dyDescent="0.25">
      <c r="A186" s="7"/>
      <c r="E186" s="7"/>
      <c r="F186" s="7"/>
    </row>
    <row r="187" spans="1:6" x14ac:dyDescent="0.25">
      <c r="A187" s="7"/>
      <c r="E187" s="7"/>
      <c r="F187" s="7"/>
    </row>
    <row r="188" spans="1:6" x14ac:dyDescent="0.25">
      <c r="A188" s="7"/>
      <c r="E188" s="7"/>
      <c r="F188" s="7"/>
    </row>
    <row r="189" spans="1:6" x14ac:dyDescent="0.25">
      <c r="A189" s="7"/>
      <c r="E189" s="7"/>
      <c r="F189" s="7"/>
    </row>
    <row r="190" spans="1:6" x14ac:dyDescent="0.25">
      <c r="A190" s="7"/>
      <c r="E190" s="7"/>
      <c r="F190" s="7"/>
    </row>
    <row r="191" spans="1:6" x14ac:dyDescent="0.25">
      <c r="A191" s="7"/>
      <c r="E191" s="7"/>
      <c r="F191" s="7"/>
    </row>
    <row r="192" spans="1:6" x14ac:dyDescent="0.25">
      <c r="A192" s="7"/>
      <c r="E192" s="7"/>
      <c r="F192" s="7"/>
    </row>
    <row r="193" spans="1:6" x14ac:dyDescent="0.25">
      <c r="A193" s="7"/>
      <c r="E193" s="7"/>
      <c r="F193" s="7"/>
    </row>
    <row r="194" spans="1:6" x14ac:dyDescent="0.25">
      <c r="A194" s="7"/>
      <c r="E194" s="7"/>
      <c r="F194" s="7"/>
    </row>
    <row r="195" spans="1:6" x14ac:dyDescent="0.25">
      <c r="A195" s="7"/>
      <c r="E195" s="7"/>
      <c r="F195" s="7"/>
    </row>
    <row r="196" spans="1:6" x14ac:dyDescent="0.25">
      <c r="A196" s="7"/>
      <c r="E196" s="7"/>
      <c r="F196" s="7"/>
    </row>
    <row r="197" spans="1:6" x14ac:dyDescent="0.25">
      <c r="A197" s="7"/>
      <c r="E197" s="7"/>
      <c r="F197" s="7"/>
    </row>
    <row r="198" spans="1:6" x14ac:dyDescent="0.25">
      <c r="A198" s="7"/>
      <c r="E198" s="7"/>
      <c r="F198" s="7"/>
    </row>
    <row r="199" spans="1:6" x14ac:dyDescent="0.25">
      <c r="A199" s="7"/>
      <c r="E199" s="7"/>
      <c r="F199" s="7"/>
    </row>
    <row r="200" spans="1:6" x14ac:dyDescent="0.25">
      <c r="A200" s="7"/>
      <c r="E200" s="7"/>
      <c r="F200" s="7"/>
    </row>
    <row r="201" spans="1:6" x14ac:dyDescent="0.25">
      <c r="A201" s="7"/>
      <c r="E201" s="7"/>
      <c r="F201" s="7"/>
    </row>
    <row r="202" spans="1:6" x14ac:dyDescent="0.25">
      <c r="A202" s="7"/>
      <c r="E202" s="7"/>
      <c r="F202" s="7"/>
    </row>
    <row r="203" spans="1:6" x14ac:dyDescent="0.25">
      <c r="A203" s="7"/>
      <c r="E203" s="7"/>
      <c r="F203" s="7"/>
    </row>
    <row r="204" spans="1:6" x14ac:dyDescent="0.25">
      <c r="A204" s="7"/>
      <c r="E204" s="7"/>
      <c r="F204" s="7"/>
    </row>
    <row r="205" spans="1:6" x14ac:dyDescent="0.25">
      <c r="A205" s="7"/>
      <c r="E205" s="7"/>
      <c r="F205" s="7"/>
    </row>
    <row r="206" spans="1:6" x14ac:dyDescent="0.25">
      <c r="A206" s="7"/>
      <c r="E206" s="7"/>
      <c r="F206" s="7"/>
    </row>
    <row r="207" spans="1:6" x14ac:dyDescent="0.25">
      <c r="A207" s="7"/>
      <c r="E207" s="7"/>
      <c r="F207" s="7"/>
    </row>
    <row r="208" spans="1:6" x14ac:dyDescent="0.25">
      <c r="A208" s="7"/>
      <c r="E208" s="7"/>
      <c r="F208" s="7"/>
    </row>
    <row r="209" spans="1:6" x14ac:dyDescent="0.25">
      <c r="A209" s="7"/>
      <c r="E209" s="7"/>
      <c r="F209" s="7"/>
    </row>
    <row r="210" spans="1:6" x14ac:dyDescent="0.25">
      <c r="A210" s="7"/>
      <c r="E210" s="7"/>
      <c r="F210" s="7"/>
    </row>
    <row r="211" spans="1:6" x14ac:dyDescent="0.25">
      <c r="A211" s="7"/>
      <c r="E211" s="7"/>
      <c r="F211" s="7"/>
    </row>
    <row r="212" spans="1:6" x14ac:dyDescent="0.25">
      <c r="A212" s="7"/>
      <c r="E212" s="7"/>
      <c r="F212" s="7"/>
    </row>
    <row r="213" spans="1:6" x14ac:dyDescent="0.25">
      <c r="A213" s="7"/>
      <c r="E213" s="7"/>
      <c r="F213" s="7"/>
    </row>
    <row r="214" spans="1:6" x14ac:dyDescent="0.25">
      <c r="A214" s="7"/>
      <c r="E214" s="7"/>
      <c r="F214" s="7"/>
    </row>
    <row r="215" spans="1:6" x14ac:dyDescent="0.25">
      <c r="A215" s="7"/>
      <c r="E215" s="7"/>
      <c r="F215" s="7"/>
    </row>
    <row r="216" spans="1:6" x14ac:dyDescent="0.25">
      <c r="A216" s="7"/>
      <c r="E216" s="7"/>
      <c r="F216" s="7"/>
    </row>
    <row r="217" spans="1:6" x14ac:dyDescent="0.25">
      <c r="A217" s="7"/>
      <c r="E217" s="7"/>
      <c r="F217" s="7"/>
    </row>
    <row r="218" spans="1:6" x14ac:dyDescent="0.25">
      <c r="A218" s="7"/>
      <c r="E218" s="7"/>
      <c r="F218" s="7"/>
    </row>
    <row r="219" spans="1:6" x14ac:dyDescent="0.25">
      <c r="A219" s="7"/>
      <c r="E219" s="7"/>
      <c r="F219" s="7"/>
    </row>
    <row r="220" spans="1:6" x14ac:dyDescent="0.25">
      <c r="A220" s="7"/>
      <c r="E220" s="7"/>
      <c r="F220" s="7"/>
    </row>
    <row r="221" spans="1:6" x14ac:dyDescent="0.25">
      <c r="A221" s="7"/>
      <c r="E221" s="7"/>
      <c r="F221" s="7"/>
    </row>
    <row r="222" spans="1:6" x14ac:dyDescent="0.25">
      <c r="A222" s="7"/>
      <c r="E222" s="7"/>
      <c r="F222" s="7"/>
    </row>
    <row r="223" spans="1:6" x14ac:dyDescent="0.25">
      <c r="A223" s="7"/>
      <c r="E223" s="7"/>
      <c r="F223" s="7"/>
    </row>
    <row r="224" spans="1:6" x14ac:dyDescent="0.25">
      <c r="A224" s="7"/>
      <c r="E224" s="7"/>
      <c r="F224" s="7"/>
    </row>
    <row r="225" spans="1:6" x14ac:dyDescent="0.25">
      <c r="A225" s="7"/>
      <c r="E225" s="7"/>
      <c r="F225" s="7"/>
    </row>
    <row r="226" spans="1:6" x14ac:dyDescent="0.25">
      <c r="A226" s="7"/>
      <c r="E226" s="7"/>
      <c r="F226" s="7"/>
    </row>
    <row r="227" spans="1:6" x14ac:dyDescent="0.25">
      <c r="A227" s="7"/>
      <c r="E227" s="7"/>
      <c r="F227" s="7"/>
    </row>
    <row r="228" spans="1:6" x14ac:dyDescent="0.25">
      <c r="A228" s="7"/>
      <c r="E228" s="7"/>
      <c r="F228" s="7"/>
    </row>
    <row r="229" spans="1:6" x14ac:dyDescent="0.25">
      <c r="A229" s="7"/>
      <c r="E229" s="7"/>
      <c r="F229" s="7"/>
    </row>
    <row r="230" spans="1:6" x14ac:dyDescent="0.25">
      <c r="A230" s="7"/>
      <c r="E230" s="7"/>
      <c r="F230" s="7"/>
    </row>
    <row r="231" spans="1:6" x14ac:dyDescent="0.25">
      <c r="A231" s="7"/>
      <c r="E231" s="7"/>
      <c r="F231" s="7"/>
    </row>
    <row r="232" spans="1:6" x14ac:dyDescent="0.25">
      <c r="A232" s="7"/>
      <c r="E232" s="7"/>
      <c r="F232" s="7"/>
    </row>
    <row r="233" spans="1:6" x14ac:dyDescent="0.25">
      <c r="A233" s="7"/>
      <c r="E233" s="7"/>
      <c r="F233" s="7"/>
    </row>
    <row r="234" spans="1:6" x14ac:dyDescent="0.25">
      <c r="A234" s="7"/>
      <c r="E234" s="7"/>
      <c r="F234" s="7"/>
    </row>
    <row r="235" spans="1:6" x14ac:dyDescent="0.25">
      <c r="A235" s="7"/>
      <c r="E235" s="7"/>
      <c r="F235" s="7"/>
    </row>
    <row r="236" spans="1:6" x14ac:dyDescent="0.25">
      <c r="A236" s="7"/>
      <c r="E236" s="7"/>
      <c r="F236" s="7"/>
    </row>
    <row r="237" spans="1:6" x14ac:dyDescent="0.25">
      <c r="A237" s="7"/>
      <c r="E237" s="7"/>
      <c r="F237" s="7"/>
    </row>
    <row r="238" spans="1:6" x14ac:dyDescent="0.25">
      <c r="A238" s="7"/>
      <c r="E238" s="7"/>
      <c r="F238" s="7"/>
    </row>
    <row r="239" spans="1:6" x14ac:dyDescent="0.25">
      <c r="A239" s="7"/>
      <c r="E239" s="7"/>
      <c r="F239" s="7"/>
    </row>
    <row r="240" spans="1:6" x14ac:dyDescent="0.25">
      <c r="A240" s="7"/>
      <c r="E240" s="7"/>
      <c r="F240" s="7"/>
    </row>
    <row r="241" spans="1:6" x14ac:dyDescent="0.25">
      <c r="A241" s="7"/>
      <c r="E241" s="7"/>
      <c r="F241" s="7"/>
    </row>
    <row r="242" spans="1:6" x14ac:dyDescent="0.25">
      <c r="A242" s="7"/>
      <c r="E242" s="7"/>
      <c r="F242" s="7"/>
    </row>
    <row r="243" spans="1:6" x14ac:dyDescent="0.25">
      <c r="A243" s="7"/>
      <c r="E243" s="7"/>
      <c r="F243" s="7"/>
    </row>
    <row r="244" spans="1:6" x14ac:dyDescent="0.25">
      <c r="A244" s="7"/>
      <c r="E244" s="7"/>
      <c r="F244" s="7"/>
    </row>
    <row r="245" spans="1:6" x14ac:dyDescent="0.25">
      <c r="A245" s="7"/>
      <c r="E245" s="7"/>
      <c r="F245" s="7"/>
    </row>
    <row r="246" spans="1:6" x14ac:dyDescent="0.25">
      <c r="A246" s="7"/>
      <c r="E246" s="7"/>
      <c r="F246" s="7"/>
    </row>
    <row r="247" spans="1:6" x14ac:dyDescent="0.25">
      <c r="A247" s="7"/>
      <c r="E247" s="7"/>
      <c r="F247" s="7"/>
    </row>
    <row r="248" spans="1:6" x14ac:dyDescent="0.25">
      <c r="A248" s="7"/>
      <c r="E248" s="7"/>
      <c r="F248" s="7"/>
    </row>
    <row r="249" spans="1:6" x14ac:dyDescent="0.25">
      <c r="A249" s="7"/>
      <c r="E249" s="7"/>
      <c r="F249" s="7"/>
    </row>
    <row r="250" spans="1:6" x14ac:dyDescent="0.25">
      <c r="A250" s="7"/>
      <c r="E250" s="7"/>
      <c r="F250" s="7"/>
    </row>
    <row r="251" spans="1:6" x14ac:dyDescent="0.25">
      <c r="A251" s="7"/>
      <c r="E251" s="7"/>
      <c r="F251" s="7"/>
    </row>
    <row r="252" spans="1:6" x14ac:dyDescent="0.25">
      <c r="A252" s="7"/>
      <c r="E252" s="7"/>
      <c r="F252" s="7"/>
    </row>
    <row r="253" spans="1:6" x14ac:dyDescent="0.25">
      <c r="A253" s="7"/>
      <c r="E253" s="7"/>
      <c r="F253" s="7"/>
    </row>
    <row r="254" spans="1:6" x14ac:dyDescent="0.25">
      <c r="A254" s="7"/>
      <c r="E254" s="7"/>
      <c r="F254" s="7"/>
    </row>
    <row r="255" spans="1:6" x14ac:dyDescent="0.25">
      <c r="A255" s="7"/>
      <c r="E255" s="7"/>
      <c r="F255" s="7"/>
    </row>
    <row r="256" spans="1:6" x14ac:dyDescent="0.25">
      <c r="A256" s="7"/>
      <c r="E256" s="7"/>
      <c r="F256" s="7"/>
    </row>
    <row r="257" spans="1:6" x14ac:dyDescent="0.25">
      <c r="A257" s="7"/>
      <c r="E257" s="7"/>
      <c r="F257" s="7"/>
    </row>
    <row r="258" spans="1:6" x14ac:dyDescent="0.25">
      <c r="A258" s="7"/>
      <c r="E258" s="7"/>
      <c r="F258" s="7"/>
    </row>
    <row r="259" spans="1:6" x14ac:dyDescent="0.25">
      <c r="A259" s="7"/>
      <c r="E259" s="7"/>
      <c r="F259" s="7"/>
    </row>
    <row r="260" spans="1:6" x14ac:dyDescent="0.25">
      <c r="A260" s="7"/>
      <c r="E260" s="7"/>
      <c r="F260" s="7"/>
    </row>
    <row r="261" spans="1:6" x14ac:dyDescent="0.25">
      <c r="A261" s="7"/>
      <c r="E261" s="7"/>
      <c r="F261" s="7"/>
    </row>
    <row r="262" spans="1:6" x14ac:dyDescent="0.25">
      <c r="A262" s="7"/>
      <c r="E262" s="7"/>
      <c r="F262" s="7"/>
    </row>
    <row r="263" spans="1:6" x14ac:dyDescent="0.25">
      <c r="A263" s="7"/>
      <c r="E263" s="7"/>
      <c r="F263" s="7"/>
    </row>
    <row r="264" spans="1:6" x14ac:dyDescent="0.25">
      <c r="A264" s="7"/>
      <c r="E264" s="7"/>
      <c r="F264" s="7"/>
    </row>
    <row r="265" spans="1:6" x14ac:dyDescent="0.25">
      <c r="A265" s="7"/>
      <c r="E265" s="7"/>
      <c r="F265" s="7"/>
    </row>
    <row r="266" spans="1:6" x14ac:dyDescent="0.25">
      <c r="A266" s="7"/>
      <c r="E266" s="7"/>
      <c r="F266" s="7"/>
    </row>
    <row r="267" spans="1:6" x14ac:dyDescent="0.25">
      <c r="A267" s="7"/>
      <c r="E267" s="7"/>
      <c r="F267" s="7"/>
    </row>
    <row r="268" spans="1:6" x14ac:dyDescent="0.25">
      <c r="A268" s="7"/>
      <c r="E268" s="7"/>
      <c r="F268" s="7"/>
    </row>
    <row r="269" spans="1:6" x14ac:dyDescent="0.25">
      <c r="A269" s="7"/>
      <c r="E269" s="7"/>
      <c r="F269" s="7"/>
    </row>
    <row r="270" spans="1:6" x14ac:dyDescent="0.25">
      <c r="A270" s="7"/>
      <c r="E270" s="7"/>
      <c r="F270" s="7"/>
    </row>
    <row r="271" spans="1:6" x14ac:dyDescent="0.25">
      <c r="A271" s="7"/>
      <c r="E271" s="7"/>
      <c r="F271" s="7"/>
    </row>
    <row r="272" spans="1:6" x14ac:dyDescent="0.25">
      <c r="A272" s="7"/>
      <c r="E272" s="7"/>
      <c r="F272" s="7"/>
    </row>
    <row r="273" spans="1:6" x14ac:dyDescent="0.25">
      <c r="A273" s="7"/>
      <c r="E273" s="7"/>
      <c r="F273" s="7"/>
    </row>
    <row r="274" spans="1:6" x14ac:dyDescent="0.25">
      <c r="A274" s="7"/>
      <c r="E274" s="7"/>
      <c r="F274" s="7"/>
    </row>
    <row r="275" spans="1:6" x14ac:dyDescent="0.25">
      <c r="A275" s="7"/>
      <c r="E275" s="7"/>
      <c r="F275" s="7"/>
    </row>
    <row r="276" spans="1:6" x14ac:dyDescent="0.25">
      <c r="A276" s="7"/>
      <c r="E276" s="7"/>
      <c r="F276" s="7"/>
    </row>
    <row r="277" spans="1:6" x14ac:dyDescent="0.25">
      <c r="A277" s="7"/>
      <c r="E277" s="7"/>
      <c r="F277" s="7"/>
    </row>
    <row r="278" spans="1:6" x14ac:dyDescent="0.25">
      <c r="A278" s="7"/>
      <c r="E278" s="7"/>
      <c r="F278" s="7"/>
    </row>
    <row r="279" spans="1:6" x14ac:dyDescent="0.25">
      <c r="A279" s="7"/>
      <c r="E279" s="7"/>
      <c r="F279" s="7"/>
    </row>
    <row r="280" spans="1:6" x14ac:dyDescent="0.25">
      <c r="A280" s="7"/>
      <c r="E280" s="7"/>
      <c r="F280" s="7"/>
    </row>
    <row r="281" spans="1:6" x14ac:dyDescent="0.25">
      <c r="A281" s="7"/>
      <c r="E281" s="7"/>
      <c r="F281" s="7"/>
    </row>
    <row r="282" spans="1:6" x14ac:dyDescent="0.25">
      <c r="A282" s="7"/>
      <c r="E282" s="7"/>
      <c r="F282" s="7"/>
    </row>
    <row r="283" spans="1:6" x14ac:dyDescent="0.25">
      <c r="A283" s="7"/>
      <c r="E283" s="7"/>
      <c r="F283" s="7"/>
    </row>
    <row r="284" spans="1:6" x14ac:dyDescent="0.25">
      <c r="A284" s="7"/>
      <c r="E284" s="7"/>
      <c r="F284" s="7"/>
    </row>
    <row r="285" spans="1:6" x14ac:dyDescent="0.25">
      <c r="A285" s="7"/>
      <c r="E285" s="7"/>
      <c r="F285" s="7"/>
    </row>
    <row r="286" spans="1:6" x14ac:dyDescent="0.25">
      <c r="A286" s="7"/>
      <c r="E286" s="7"/>
      <c r="F286" s="7"/>
    </row>
    <row r="287" spans="1:6" x14ac:dyDescent="0.25">
      <c r="A287" s="7"/>
      <c r="E287" s="7"/>
      <c r="F287" s="7"/>
    </row>
    <row r="288" spans="1:6" x14ac:dyDescent="0.25">
      <c r="A288" s="7"/>
      <c r="E288" s="7"/>
      <c r="F288" s="7"/>
    </row>
    <row r="289" spans="1:6" x14ac:dyDescent="0.25">
      <c r="A289" s="7"/>
      <c r="E289" s="7"/>
      <c r="F289" s="7"/>
    </row>
    <row r="290" spans="1:6" x14ac:dyDescent="0.25">
      <c r="A290" s="7"/>
      <c r="E290" s="7"/>
      <c r="F290" s="7"/>
    </row>
    <row r="291" spans="1:6" x14ac:dyDescent="0.25">
      <c r="A291" s="7"/>
      <c r="E291" s="7"/>
      <c r="F291" s="7"/>
    </row>
    <row r="292" spans="1:6" x14ac:dyDescent="0.25">
      <c r="A292" s="7"/>
      <c r="E292" s="7"/>
      <c r="F292" s="7"/>
    </row>
    <row r="293" spans="1:6" x14ac:dyDescent="0.25">
      <c r="A293" s="7"/>
      <c r="E293" s="7"/>
      <c r="F293" s="7"/>
    </row>
    <row r="294" spans="1:6" x14ac:dyDescent="0.25">
      <c r="A294" s="7"/>
      <c r="E294" s="7"/>
      <c r="F294" s="7"/>
    </row>
    <row r="295" spans="1:6" x14ac:dyDescent="0.25">
      <c r="A295" s="7"/>
      <c r="E295" s="7"/>
      <c r="F295" s="7"/>
    </row>
    <row r="296" spans="1:6" x14ac:dyDescent="0.25">
      <c r="A296" s="7"/>
      <c r="E296" s="7"/>
      <c r="F296" s="7"/>
    </row>
    <row r="297" spans="1:6" x14ac:dyDescent="0.25">
      <c r="A297" s="7"/>
      <c r="E297" s="7"/>
      <c r="F297" s="7"/>
    </row>
    <row r="298" spans="1:6" x14ac:dyDescent="0.25">
      <c r="A298" s="7"/>
      <c r="E298" s="7"/>
      <c r="F298" s="7"/>
    </row>
    <row r="299" spans="1:6" x14ac:dyDescent="0.25">
      <c r="A299" s="7"/>
      <c r="E299" s="7"/>
      <c r="F299" s="7"/>
    </row>
    <row r="300" spans="1:6" x14ac:dyDescent="0.25">
      <c r="A300" s="7"/>
      <c r="E300" s="7"/>
      <c r="F300" s="7"/>
    </row>
    <row r="301" spans="1:6" x14ac:dyDescent="0.25">
      <c r="A301" s="7"/>
      <c r="E301" s="7"/>
      <c r="F301" s="7"/>
    </row>
    <row r="302" spans="1:6" x14ac:dyDescent="0.25">
      <c r="A302" s="7"/>
      <c r="E302" s="7"/>
      <c r="F302" s="7"/>
    </row>
    <row r="303" spans="1:6" x14ac:dyDescent="0.25">
      <c r="A303" s="7"/>
      <c r="E303" s="7"/>
      <c r="F303" s="7"/>
    </row>
    <row r="304" spans="1:6" x14ac:dyDescent="0.25">
      <c r="A304" s="7"/>
      <c r="E304" s="7"/>
      <c r="F304" s="7"/>
    </row>
    <row r="305" spans="1:6" x14ac:dyDescent="0.25">
      <c r="A305" s="7"/>
      <c r="E305" s="7"/>
      <c r="F305" s="7"/>
    </row>
    <row r="306" spans="1:6" x14ac:dyDescent="0.25">
      <c r="A306" s="7"/>
      <c r="E306" s="7"/>
      <c r="F306" s="7"/>
    </row>
    <row r="307" spans="1:6" x14ac:dyDescent="0.25">
      <c r="A307" s="7"/>
      <c r="E307" s="7"/>
      <c r="F307" s="7"/>
    </row>
    <row r="308" spans="1:6" x14ac:dyDescent="0.25">
      <c r="A308" s="7"/>
      <c r="E308" s="7"/>
      <c r="F308" s="7"/>
    </row>
    <row r="309" spans="1:6" x14ac:dyDescent="0.25">
      <c r="A309" s="7"/>
      <c r="E309" s="7"/>
      <c r="F309" s="7"/>
    </row>
    <row r="310" spans="1:6" x14ac:dyDescent="0.25">
      <c r="A310" s="7"/>
      <c r="E310" s="7"/>
      <c r="F310" s="7"/>
    </row>
    <row r="311" spans="1:6" x14ac:dyDescent="0.25">
      <c r="A311" s="7"/>
      <c r="E311" s="7"/>
      <c r="F311" s="7"/>
    </row>
    <row r="312" spans="1:6" x14ac:dyDescent="0.25">
      <c r="A312" s="7"/>
      <c r="E312" s="7"/>
      <c r="F312" s="7"/>
    </row>
    <row r="313" spans="1:6" x14ac:dyDescent="0.25">
      <c r="A313" s="7"/>
      <c r="E313" s="7"/>
      <c r="F313" s="7"/>
    </row>
    <row r="314" spans="1:6" x14ac:dyDescent="0.25">
      <c r="A314" s="7"/>
      <c r="E314" s="7"/>
      <c r="F314" s="7"/>
    </row>
    <row r="315" spans="1:6" x14ac:dyDescent="0.25">
      <c r="A315" s="7"/>
      <c r="E315" s="7"/>
      <c r="F315" s="7"/>
    </row>
    <row r="316" spans="1:6" x14ac:dyDescent="0.25">
      <c r="A316" s="7"/>
      <c r="E316" s="7"/>
      <c r="F316" s="7"/>
    </row>
    <row r="317" spans="1:6" x14ac:dyDescent="0.25">
      <c r="A317" s="7"/>
      <c r="E317" s="7"/>
      <c r="F317" s="7"/>
    </row>
    <row r="318" spans="1:6" x14ac:dyDescent="0.25">
      <c r="A318" s="7"/>
      <c r="E318" s="7"/>
      <c r="F318" s="7"/>
    </row>
    <row r="319" spans="1:6" x14ac:dyDescent="0.25">
      <c r="A319" s="7"/>
      <c r="E319" s="7"/>
      <c r="F319" s="7"/>
    </row>
    <row r="320" spans="1:6" x14ac:dyDescent="0.25">
      <c r="A320" s="7"/>
      <c r="E320" s="7"/>
      <c r="F320" s="7"/>
    </row>
    <row r="321" spans="1:6" x14ac:dyDescent="0.25">
      <c r="A321" s="7"/>
      <c r="E321" s="7"/>
      <c r="F321" s="7"/>
    </row>
    <row r="322" spans="1:6" x14ac:dyDescent="0.25">
      <c r="A322" s="7"/>
      <c r="E322" s="7"/>
      <c r="F322" s="7"/>
    </row>
    <row r="323" spans="1:6" x14ac:dyDescent="0.25">
      <c r="A323" s="7"/>
      <c r="E323" s="7"/>
      <c r="F323" s="7"/>
    </row>
    <row r="324" spans="1:6" x14ac:dyDescent="0.25">
      <c r="A324" s="7"/>
      <c r="E324" s="7"/>
      <c r="F324" s="7"/>
    </row>
    <row r="325" spans="1:6" x14ac:dyDescent="0.25">
      <c r="A325" s="7"/>
      <c r="E325" s="7"/>
      <c r="F325" s="7"/>
    </row>
    <row r="326" spans="1:6" x14ac:dyDescent="0.25">
      <c r="A326" s="7"/>
      <c r="E326" s="7"/>
      <c r="F326" s="7"/>
    </row>
    <row r="327" spans="1:6" x14ac:dyDescent="0.25">
      <c r="A327" s="7"/>
      <c r="E327" s="7"/>
      <c r="F327" s="7"/>
    </row>
    <row r="328" spans="1:6" x14ac:dyDescent="0.25">
      <c r="A328" s="7"/>
      <c r="E328" s="7"/>
      <c r="F328" s="7"/>
    </row>
    <row r="329" spans="1:6" x14ac:dyDescent="0.25">
      <c r="A329" s="7"/>
      <c r="E329" s="7"/>
      <c r="F329" s="7"/>
    </row>
    <row r="330" spans="1:6" x14ac:dyDescent="0.25">
      <c r="A330" s="7"/>
      <c r="E330" s="7"/>
      <c r="F330" s="7"/>
    </row>
    <row r="331" spans="1:6" x14ac:dyDescent="0.25">
      <c r="A331" s="7"/>
      <c r="E331" s="7"/>
      <c r="F331" s="7"/>
    </row>
    <row r="332" spans="1:6" x14ac:dyDescent="0.25">
      <c r="A332" s="7"/>
      <c r="E332" s="7"/>
      <c r="F332" s="7"/>
    </row>
    <row r="333" spans="1:6" x14ac:dyDescent="0.25">
      <c r="A333" s="7"/>
      <c r="E333" s="7"/>
      <c r="F333" s="7"/>
    </row>
    <row r="334" spans="1:6" x14ac:dyDescent="0.25">
      <c r="A334" s="7"/>
      <c r="E334" s="7"/>
      <c r="F334" s="7"/>
    </row>
    <row r="335" spans="1:6" x14ac:dyDescent="0.25">
      <c r="A335" s="7"/>
      <c r="E335" s="7"/>
      <c r="F335" s="7"/>
    </row>
    <row r="336" spans="1:6" x14ac:dyDescent="0.25">
      <c r="A336" s="7"/>
      <c r="E336" s="7"/>
      <c r="F336" s="7"/>
    </row>
    <row r="337" spans="1:6" x14ac:dyDescent="0.25">
      <c r="A337" s="7"/>
      <c r="E337" s="7"/>
      <c r="F337" s="7"/>
    </row>
    <row r="338" spans="1:6" x14ac:dyDescent="0.25">
      <c r="A338" s="7"/>
      <c r="E338" s="7"/>
      <c r="F338" s="7"/>
    </row>
    <row r="339" spans="1:6" x14ac:dyDescent="0.25">
      <c r="A339" s="7"/>
      <c r="E339" s="7"/>
      <c r="F339" s="7"/>
    </row>
    <row r="340" spans="1:6" x14ac:dyDescent="0.25">
      <c r="A340" s="7"/>
      <c r="E340" s="7"/>
      <c r="F340" s="7"/>
    </row>
    <row r="341" spans="1:6" x14ac:dyDescent="0.25">
      <c r="A341" s="7"/>
      <c r="E341" s="7"/>
      <c r="F341" s="7"/>
    </row>
    <row r="342" spans="1:6" x14ac:dyDescent="0.25">
      <c r="A342" s="7"/>
      <c r="E342" s="7"/>
      <c r="F342" s="7"/>
    </row>
    <row r="343" spans="1:6" x14ac:dyDescent="0.25">
      <c r="A343" s="7"/>
      <c r="E343" s="7"/>
      <c r="F343" s="7"/>
    </row>
    <row r="344" spans="1:6" x14ac:dyDescent="0.25">
      <c r="A344" s="7"/>
      <c r="E344" s="7"/>
      <c r="F344" s="7"/>
    </row>
    <row r="345" spans="1:6" x14ac:dyDescent="0.25">
      <c r="A345" s="7"/>
      <c r="E345" s="7"/>
      <c r="F345" s="7"/>
    </row>
    <row r="346" spans="1:6" x14ac:dyDescent="0.25">
      <c r="A346" s="7"/>
      <c r="E346" s="7"/>
      <c r="F346" s="7"/>
    </row>
    <row r="347" spans="1:6" x14ac:dyDescent="0.25">
      <c r="A347" s="7"/>
      <c r="E347" s="7"/>
      <c r="F347" s="7"/>
    </row>
    <row r="348" spans="1:6" x14ac:dyDescent="0.25">
      <c r="A348" s="7"/>
      <c r="E348" s="7"/>
      <c r="F348" s="7"/>
    </row>
    <row r="349" spans="1:6" x14ac:dyDescent="0.25">
      <c r="A349" s="7"/>
      <c r="E349" s="7"/>
      <c r="F349" s="7"/>
    </row>
    <row r="350" spans="1:6" x14ac:dyDescent="0.25">
      <c r="A350" s="7"/>
      <c r="E350" s="7"/>
      <c r="F350" s="7"/>
    </row>
    <row r="351" spans="1:6" x14ac:dyDescent="0.25">
      <c r="A351" s="7"/>
      <c r="E351" s="7"/>
      <c r="F351" s="7"/>
    </row>
    <row r="352" spans="1:6" x14ac:dyDescent="0.25">
      <c r="A352" s="7"/>
      <c r="E352" s="7"/>
      <c r="F352" s="7"/>
    </row>
    <row r="353" spans="1:6" x14ac:dyDescent="0.25">
      <c r="A353" s="7"/>
      <c r="E353" s="7"/>
      <c r="F353" s="7"/>
    </row>
    <row r="354" spans="1:6" x14ac:dyDescent="0.25">
      <c r="A354" s="7"/>
      <c r="E354" s="7"/>
      <c r="F354" s="7"/>
    </row>
    <row r="355" spans="1:6" x14ac:dyDescent="0.25">
      <c r="A355" s="7"/>
      <c r="E355" s="7"/>
      <c r="F355" s="7"/>
    </row>
    <row r="356" spans="1:6" x14ac:dyDescent="0.25">
      <c r="A356" s="7"/>
      <c r="E356" s="7"/>
      <c r="F356" s="7"/>
    </row>
    <row r="357" spans="1:6" x14ac:dyDescent="0.25">
      <c r="A357" s="7"/>
      <c r="E357" s="7"/>
      <c r="F357" s="7"/>
    </row>
    <row r="358" spans="1:6" x14ac:dyDescent="0.25">
      <c r="A358" s="7"/>
      <c r="E358" s="7"/>
      <c r="F358" s="7"/>
    </row>
    <row r="359" spans="1:6" x14ac:dyDescent="0.25">
      <c r="A359" s="7"/>
      <c r="E359" s="7"/>
      <c r="F359" s="7"/>
    </row>
    <row r="360" spans="1:6" x14ac:dyDescent="0.25">
      <c r="A360" s="7"/>
      <c r="E360" s="7"/>
      <c r="F360" s="7"/>
    </row>
    <row r="361" spans="1:6" x14ac:dyDescent="0.25">
      <c r="A361" s="7"/>
      <c r="E361" s="7"/>
      <c r="F361" s="7"/>
    </row>
    <row r="362" spans="1:6" x14ac:dyDescent="0.25">
      <c r="A362" s="7"/>
      <c r="E362" s="7"/>
      <c r="F362" s="7"/>
    </row>
    <row r="363" spans="1:6" x14ac:dyDescent="0.25">
      <c r="A363" s="7"/>
      <c r="E363" s="7"/>
      <c r="F363" s="7"/>
    </row>
    <row r="364" spans="1:6" x14ac:dyDescent="0.25">
      <c r="A364" s="7"/>
      <c r="E364" s="7"/>
      <c r="F364" s="7"/>
    </row>
    <row r="365" spans="1:6" x14ac:dyDescent="0.25">
      <c r="A365" s="7"/>
      <c r="E365" s="7"/>
      <c r="F365" s="7"/>
    </row>
    <row r="366" spans="1:6" x14ac:dyDescent="0.25">
      <c r="A366" s="7"/>
      <c r="E366" s="7"/>
      <c r="F366" s="7"/>
    </row>
    <row r="367" spans="1:6" x14ac:dyDescent="0.25">
      <c r="A367" s="7"/>
      <c r="E367" s="7"/>
      <c r="F367" s="7"/>
    </row>
    <row r="368" spans="1:6" x14ac:dyDescent="0.25">
      <c r="A368" s="7"/>
      <c r="E368" s="7"/>
      <c r="F368" s="7"/>
    </row>
    <row r="369" spans="1:6" x14ac:dyDescent="0.25">
      <c r="A369" s="7"/>
      <c r="E369" s="7"/>
      <c r="F369" s="7"/>
    </row>
    <row r="370" spans="1:6" x14ac:dyDescent="0.25">
      <c r="A370" s="7"/>
      <c r="E370" s="7"/>
      <c r="F370" s="7"/>
    </row>
    <row r="371" spans="1:6" x14ac:dyDescent="0.25">
      <c r="A371" s="7"/>
      <c r="E371" s="7"/>
      <c r="F371" s="7"/>
    </row>
    <row r="372" spans="1:6" x14ac:dyDescent="0.25">
      <c r="A372" s="7"/>
      <c r="E372" s="7"/>
      <c r="F372" s="7"/>
    </row>
    <row r="373" spans="1:6" x14ac:dyDescent="0.25">
      <c r="A373" s="7"/>
      <c r="E373" s="7"/>
      <c r="F373" s="7"/>
    </row>
    <row r="374" spans="1:6" x14ac:dyDescent="0.25">
      <c r="A374" s="7"/>
      <c r="E374" s="7"/>
      <c r="F374" s="7"/>
    </row>
    <row r="375" spans="1:6" x14ac:dyDescent="0.25">
      <c r="A375" s="7"/>
      <c r="E375" s="7"/>
      <c r="F375" s="7"/>
    </row>
    <row r="376" spans="1:6" x14ac:dyDescent="0.25">
      <c r="A376" s="7"/>
      <c r="E376" s="7"/>
      <c r="F376" s="7"/>
    </row>
    <row r="377" spans="1:6" x14ac:dyDescent="0.25">
      <c r="A377" s="7"/>
      <c r="E377" s="7"/>
      <c r="F377" s="7"/>
    </row>
    <row r="378" spans="1:6" x14ac:dyDescent="0.25">
      <c r="A378" s="7"/>
      <c r="E378" s="7"/>
      <c r="F378" s="7"/>
    </row>
    <row r="379" spans="1:6" x14ac:dyDescent="0.25">
      <c r="A379" s="7"/>
      <c r="E379" s="7"/>
      <c r="F379" s="7"/>
    </row>
    <row r="380" spans="1:6" x14ac:dyDescent="0.25">
      <c r="A380" s="7"/>
      <c r="E380" s="7"/>
      <c r="F380" s="7"/>
    </row>
    <row r="381" spans="1:6" x14ac:dyDescent="0.25">
      <c r="A381" s="7"/>
      <c r="E381" s="7"/>
      <c r="F381" s="7"/>
    </row>
    <row r="382" spans="1:6" x14ac:dyDescent="0.25">
      <c r="A382" s="7"/>
      <c r="E382" s="7"/>
      <c r="F382" s="7"/>
    </row>
    <row r="383" spans="1:6" x14ac:dyDescent="0.25">
      <c r="A383" s="7"/>
      <c r="E383" s="7"/>
      <c r="F383" s="7"/>
    </row>
    <row r="384" spans="1:6" x14ac:dyDescent="0.25">
      <c r="A384" s="7"/>
      <c r="E384" s="7"/>
      <c r="F384" s="7"/>
    </row>
    <row r="385" spans="1:6" x14ac:dyDescent="0.25">
      <c r="A385" s="7"/>
      <c r="E385" s="7"/>
      <c r="F385" s="7"/>
    </row>
    <row r="386" spans="1:6" x14ac:dyDescent="0.25">
      <c r="A386" s="7"/>
      <c r="E386" s="7"/>
      <c r="F386" s="7"/>
    </row>
    <row r="387" spans="1:6" x14ac:dyDescent="0.25">
      <c r="A387" s="7"/>
      <c r="E387" s="7"/>
      <c r="F387" s="7"/>
    </row>
    <row r="388" spans="1:6" x14ac:dyDescent="0.25">
      <c r="A388" s="7"/>
      <c r="E388" s="7"/>
      <c r="F388" s="7"/>
    </row>
    <row r="389" spans="1:6" x14ac:dyDescent="0.25">
      <c r="A389" s="7"/>
      <c r="E389" s="7"/>
      <c r="F389" s="7"/>
    </row>
    <row r="390" spans="1:6" x14ac:dyDescent="0.25">
      <c r="A390" s="7"/>
      <c r="E390" s="7"/>
      <c r="F390" s="7"/>
    </row>
    <row r="391" spans="1:6" x14ac:dyDescent="0.25">
      <c r="A391" s="7"/>
      <c r="E391" s="7"/>
      <c r="F391" s="7"/>
    </row>
    <row r="392" spans="1:6" x14ac:dyDescent="0.25">
      <c r="A392" s="7"/>
      <c r="E392" s="7"/>
      <c r="F392" s="7"/>
    </row>
    <row r="393" spans="1:6" x14ac:dyDescent="0.25">
      <c r="A393" s="7"/>
      <c r="E393" s="7"/>
      <c r="F393" s="7"/>
    </row>
    <row r="394" spans="1:6" x14ac:dyDescent="0.25">
      <c r="A394" s="7"/>
      <c r="E394" s="7"/>
      <c r="F394" s="7"/>
    </row>
    <row r="395" spans="1:6" x14ac:dyDescent="0.25">
      <c r="A395" s="7"/>
      <c r="E395" s="7"/>
      <c r="F395" s="7"/>
    </row>
    <row r="396" spans="1:6" x14ac:dyDescent="0.25">
      <c r="A396" s="7"/>
      <c r="E396" s="7"/>
      <c r="F396" s="7"/>
    </row>
    <row r="397" spans="1:6" x14ac:dyDescent="0.25">
      <c r="A397" s="7"/>
      <c r="E397" s="7"/>
      <c r="F397" s="7"/>
    </row>
    <row r="398" spans="1:6" x14ac:dyDescent="0.25">
      <c r="A398" s="7"/>
      <c r="E398" s="7"/>
      <c r="F398" s="7"/>
    </row>
    <row r="399" spans="1:6" x14ac:dyDescent="0.25">
      <c r="A399" s="7"/>
      <c r="E399" s="7"/>
      <c r="F399" s="7"/>
    </row>
    <row r="400" spans="1:6" x14ac:dyDescent="0.25">
      <c r="A400" s="7"/>
      <c r="E400" s="7"/>
      <c r="F400" s="7"/>
    </row>
    <row r="401" spans="1:6" x14ac:dyDescent="0.25">
      <c r="A401" s="7"/>
      <c r="E401" s="7"/>
      <c r="F401" s="7"/>
    </row>
    <row r="402" spans="1:6" x14ac:dyDescent="0.25">
      <c r="A402" s="7"/>
      <c r="E402" s="7"/>
      <c r="F402" s="7"/>
    </row>
    <row r="403" spans="1:6" x14ac:dyDescent="0.25">
      <c r="A403" s="7"/>
      <c r="E403" s="7"/>
      <c r="F403" s="7"/>
    </row>
    <row r="404" spans="1:6" x14ac:dyDescent="0.25">
      <c r="A404" s="7"/>
      <c r="E404" s="7"/>
      <c r="F404" s="7"/>
    </row>
    <row r="405" spans="1:6" x14ac:dyDescent="0.25">
      <c r="A405" s="7"/>
      <c r="E405" s="7"/>
      <c r="F405" s="7"/>
    </row>
    <row r="406" spans="1:6" x14ac:dyDescent="0.25">
      <c r="A406" s="7"/>
      <c r="E406" s="7"/>
      <c r="F406" s="7"/>
    </row>
    <row r="407" spans="1:6" x14ac:dyDescent="0.25">
      <c r="A407" s="7"/>
      <c r="E407" s="7"/>
      <c r="F407" s="7"/>
    </row>
    <row r="408" spans="1:6" x14ac:dyDescent="0.25">
      <c r="A408" s="7"/>
      <c r="E408" s="7"/>
      <c r="F408" s="7"/>
    </row>
    <row r="409" spans="1:6" x14ac:dyDescent="0.25">
      <c r="A409" s="7"/>
      <c r="E409" s="7"/>
      <c r="F409" s="7"/>
    </row>
    <row r="410" spans="1:6" x14ac:dyDescent="0.25">
      <c r="A410" s="7"/>
      <c r="E410" s="7"/>
      <c r="F410" s="7"/>
    </row>
    <row r="411" spans="1:6" x14ac:dyDescent="0.25">
      <c r="A411" s="7"/>
      <c r="E411" s="7"/>
      <c r="F411" s="7"/>
    </row>
    <row r="412" spans="1:6" x14ac:dyDescent="0.25">
      <c r="A412" s="7"/>
      <c r="E412" s="7"/>
      <c r="F412" s="7"/>
    </row>
    <row r="413" spans="1:6" x14ac:dyDescent="0.25">
      <c r="A413" s="7"/>
      <c r="E413" s="7"/>
      <c r="F413" s="7"/>
    </row>
    <row r="414" spans="1:6" x14ac:dyDescent="0.25">
      <c r="A414" s="7"/>
      <c r="E414" s="7"/>
      <c r="F414" s="7"/>
    </row>
    <row r="415" spans="1:6" x14ac:dyDescent="0.25">
      <c r="A415" s="7"/>
      <c r="E415" s="7"/>
      <c r="F415" s="7"/>
    </row>
    <row r="416" spans="1:6" x14ac:dyDescent="0.25">
      <c r="A416" s="7"/>
      <c r="E416" s="7"/>
      <c r="F416" s="7"/>
    </row>
    <row r="417" spans="1:6" x14ac:dyDescent="0.25">
      <c r="A417" s="7"/>
      <c r="E417" s="7"/>
      <c r="F417" s="7"/>
    </row>
    <row r="418" spans="1:6" x14ac:dyDescent="0.25">
      <c r="A418" s="7"/>
      <c r="E418" s="7"/>
      <c r="F418" s="7"/>
    </row>
    <row r="419" spans="1:6" x14ac:dyDescent="0.25">
      <c r="A419" s="7"/>
      <c r="E419" s="7"/>
      <c r="F419" s="7"/>
    </row>
    <row r="420" spans="1:6" x14ac:dyDescent="0.25">
      <c r="A420" s="7"/>
      <c r="E420" s="7"/>
      <c r="F420" s="7"/>
    </row>
    <row r="421" spans="1:6" x14ac:dyDescent="0.25">
      <c r="A421" s="7"/>
      <c r="E421" s="7"/>
      <c r="F421" s="7"/>
    </row>
    <row r="422" spans="1:6" x14ac:dyDescent="0.25">
      <c r="A422" s="7"/>
      <c r="E422" s="7"/>
      <c r="F422" s="7"/>
    </row>
    <row r="423" spans="1:6" x14ac:dyDescent="0.25">
      <c r="A423" s="7"/>
      <c r="E423" s="7"/>
      <c r="F423" s="7"/>
    </row>
    <row r="424" spans="1:6" x14ac:dyDescent="0.25">
      <c r="A424" s="7"/>
      <c r="E424" s="7"/>
      <c r="F424" s="7"/>
    </row>
    <row r="425" spans="1:6" x14ac:dyDescent="0.25">
      <c r="A425" s="7"/>
      <c r="E425" s="7"/>
      <c r="F425" s="7"/>
    </row>
    <row r="426" spans="1:6" x14ac:dyDescent="0.25">
      <c r="A426" s="7"/>
      <c r="E426" s="7"/>
      <c r="F426" s="7"/>
    </row>
    <row r="427" spans="1:6" x14ac:dyDescent="0.25">
      <c r="A427" s="7"/>
      <c r="E427" s="7"/>
      <c r="F427" s="7"/>
    </row>
    <row r="428" spans="1:6" x14ac:dyDescent="0.25">
      <c r="A428" s="7"/>
      <c r="E428" s="7"/>
      <c r="F428" s="7"/>
    </row>
    <row r="429" spans="1:6" x14ac:dyDescent="0.25">
      <c r="A429" s="7"/>
      <c r="E429" s="7"/>
      <c r="F429" s="7"/>
    </row>
    <row r="430" spans="1:6" x14ac:dyDescent="0.25">
      <c r="A430" s="7"/>
      <c r="E430" s="7"/>
      <c r="F430" s="7"/>
    </row>
    <row r="431" spans="1:6" x14ac:dyDescent="0.25">
      <c r="A431" s="7"/>
      <c r="E431" s="7"/>
      <c r="F431" s="7"/>
    </row>
    <row r="432" spans="1:6" x14ac:dyDescent="0.25">
      <c r="A432" s="7"/>
      <c r="E432" s="7"/>
      <c r="F432" s="7"/>
    </row>
    <row r="433" spans="1:6" x14ac:dyDescent="0.25">
      <c r="A433" s="7"/>
      <c r="E433" s="7"/>
      <c r="F433" s="7"/>
    </row>
    <row r="434" spans="1:6" x14ac:dyDescent="0.25">
      <c r="A434" s="7"/>
      <c r="E434" s="7"/>
      <c r="F434" s="7"/>
    </row>
    <row r="435" spans="1:6" x14ac:dyDescent="0.25">
      <c r="A435" s="7"/>
      <c r="E435" s="7"/>
      <c r="F435" s="7"/>
    </row>
    <row r="436" spans="1:6" x14ac:dyDescent="0.25">
      <c r="A436" s="7"/>
      <c r="E436" s="7"/>
      <c r="F436" s="7"/>
    </row>
    <row r="437" spans="1:6" x14ac:dyDescent="0.25">
      <c r="A437" s="7"/>
      <c r="E437" s="7"/>
      <c r="F437" s="7"/>
    </row>
    <row r="438" spans="1:6" x14ac:dyDescent="0.25">
      <c r="A438" s="7"/>
      <c r="E438" s="7"/>
      <c r="F438" s="7"/>
    </row>
    <row r="439" spans="1:6" x14ac:dyDescent="0.25">
      <c r="A439" s="7"/>
      <c r="E439" s="7"/>
      <c r="F439" s="7"/>
    </row>
    <row r="440" spans="1:6" x14ac:dyDescent="0.25">
      <c r="A440" s="7"/>
      <c r="E440" s="7"/>
      <c r="F440" s="7"/>
    </row>
    <row r="441" spans="1:6" x14ac:dyDescent="0.25">
      <c r="A441" s="7"/>
      <c r="E441" s="7"/>
      <c r="F441" s="7"/>
    </row>
    <row r="442" spans="1:6" x14ac:dyDescent="0.25">
      <c r="A442" s="7"/>
      <c r="E442" s="7"/>
      <c r="F442" s="7"/>
    </row>
    <row r="443" spans="1:6" x14ac:dyDescent="0.25">
      <c r="A443" s="7"/>
      <c r="E443" s="7"/>
      <c r="F443" s="7"/>
    </row>
    <row r="444" spans="1:6" x14ac:dyDescent="0.25">
      <c r="A444" s="7"/>
      <c r="E444" s="7"/>
      <c r="F444" s="7"/>
    </row>
    <row r="445" spans="1:6" x14ac:dyDescent="0.25">
      <c r="A445" s="7"/>
      <c r="E445" s="7"/>
      <c r="F445" s="7"/>
    </row>
    <row r="446" spans="1:6" x14ac:dyDescent="0.25">
      <c r="A446" s="7"/>
      <c r="E446" s="7"/>
      <c r="F446" s="7"/>
    </row>
    <row r="447" spans="1:6" x14ac:dyDescent="0.25">
      <c r="A447" s="7"/>
      <c r="E447" s="7"/>
      <c r="F447" s="7"/>
    </row>
    <row r="448" spans="1:6" x14ac:dyDescent="0.25">
      <c r="A448" s="7"/>
      <c r="E448" s="7"/>
      <c r="F448" s="7"/>
    </row>
    <row r="449" spans="1:6" x14ac:dyDescent="0.25">
      <c r="A449" s="7"/>
      <c r="E449" s="7"/>
      <c r="F449" s="7"/>
    </row>
    <row r="450" spans="1:6" x14ac:dyDescent="0.25">
      <c r="A450" s="7"/>
      <c r="E450" s="7"/>
      <c r="F450" s="7"/>
    </row>
    <row r="451" spans="1:6" x14ac:dyDescent="0.25">
      <c r="A451" s="7"/>
      <c r="E451" s="7"/>
      <c r="F451" s="7"/>
    </row>
    <row r="452" spans="1:6" x14ac:dyDescent="0.25">
      <c r="A452" s="7"/>
      <c r="E452" s="7"/>
      <c r="F452" s="7"/>
    </row>
    <row r="453" spans="1:6" x14ac:dyDescent="0.25">
      <c r="A453" s="7"/>
      <c r="E453" s="7"/>
      <c r="F453" s="7"/>
    </row>
    <row r="454" spans="1:6" x14ac:dyDescent="0.25">
      <c r="A454" s="7"/>
      <c r="E454" s="7"/>
      <c r="F454" s="7"/>
    </row>
    <row r="455" spans="1:6" x14ac:dyDescent="0.25">
      <c r="A455" s="7"/>
      <c r="E455" s="7"/>
      <c r="F455" s="7"/>
    </row>
    <row r="456" spans="1:6" x14ac:dyDescent="0.25">
      <c r="A456" s="7"/>
      <c r="E456" s="7"/>
      <c r="F456" s="7"/>
    </row>
    <row r="457" spans="1:6" x14ac:dyDescent="0.25">
      <c r="A457" s="7"/>
      <c r="E457" s="7"/>
      <c r="F457" s="7"/>
    </row>
    <row r="458" spans="1:6" x14ac:dyDescent="0.25">
      <c r="A458" s="7"/>
      <c r="E458" s="7"/>
      <c r="F458" s="7"/>
    </row>
    <row r="459" spans="1:6" x14ac:dyDescent="0.25">
      <c r="A459" s="7"/>
      <c r="E459" s="7"/>
      <c r="F459" s="7"/>
    </row>
    <row r="460" spans="1:6" x14ac:dyDescent="0.25">
      <c r="A460" s="7"/>
      <c r="E460" s="7"/>
      <c r="F460" s="7"/>
    </row>
    <row r="461" spans="1:6" x14ac:dyDescent="0.25">
      <c r="A461" s="7"/>
      <c r="E461" s="7"/>
      <c r="F461" s="7"/>
    </row>
    <row r="462" spans="1:6" x14ac:dyDescent="0.25">
      <c r="A462" s="7"/>
      <c r="E462" s="7"/>
      <c r="F462" s="7"/>
    </row>
    <row r="463" spans="1:6" x14ac:dyDescent="0.25">
      <c r="A463" s="7"/>
      <c r="E463" s="7"/>
      <c r="F463" s="7"/>
    </row>
    <row r="464" spans="1:6" x14ac:dyDescent="0.25">
      <c r="A464" s="7"/>
      <c r="E464" s="7"/>
      <c r="F464" s="7"/>
    </row>
    <row r="465" spans="1:6" x14ac:dyDescent="0.25">
      <c r="A465" s="7"/>
      <c r="E465" s="7"/>
      <c r="F465" s="7"/>
    </row>
    <row r="466" spans="1:6" x14ac:dyDescent="0.25">
      <c r="A466" s="7"/>
      <c r="E466" s="7"/>
      <c r="F466" s="7"/>
    </row>
    <row r="467" spans="1:6" x14ac:dyDescent="0.25">
      <c r="A467" s="7"/>
      <c r="E467" s="7"/>
      <c r="F467" s="7"/>
    </row>
    <row r="468" spans="1:6" x14ac:dyDescent="0.25">
      <c r="A468" s="7"/>
      <c r="E468" s="7"/>
      <c r="F468" s="7"/>
    </row>
    <row r="469" spans="1:6" x14ac:dyDescent="0.25">
      <c r="A469" s="7"/>
      <c r="E469" s="7"/>
      <c r="F469" s="7"/>
    </row>
    <row r="470" spans="1:6" x14ac:dyDescent="0.25">
      <c r="A470" s="7"/>
      <c r="E470" s="7"/>
      <c r="F470" s="7"/>
    </row>
    <row r="471" spans="1:6" x14ac:dyDescent="0.25">
      <c r="A471" s="7"/>
      <c r="E471" s="7"/>
      <c r="F471" s="7"/>
    </row>
    <row r="472" spans="1:6" x14ac:dyDescent="0.25">
      <c r="A472" s="7"/>
      <c r="E472" s="7"/>
      <c r="F472" s="7"/>
    </row>
    <row r="473" spans="1:6" x14ac:dyDescent="0.25">
      <c r="A473" s="7"/>
      <c r="E473" s="7"/>
      <c r="F473" s="7"/>
    </row>
    <row r="474" spans="1:6" x14ac:dyDescent="0.25">
      <c r="A474" s="7"/>
      <c r="E474" s="7"/>
      <c r="F474" s="7"/>
    </row>
    <row r="475" spans="1:6" x14ac:dyDescent="0.25">
      <c r="A475" s="7"/>
      <c r="E475" s="7"/>
      <c r="F475" s="7"/>
    </row>
    <row r="476" spans="1:6" x14ac:dyDescent="0.25">
      <c r="A476" s="7"/>
      <c r="E476" s="7"/>
      <c r="F476" s="7"/>
    </row>
    <row r="477" spans="1:6" x14ac:dyDescent="0.25">
      <c r="A477" s="7"/>
      <c r="E477" s="7"/>
      <c r="F477" s="7"/>
    </row>
    <row r="478" spans="1:6" x14ac:dyDescent="0.25">
      <c r="A478" s="7"/>
      <c r="E478" s="7"/>
      <c r="F478" s="7"/>
    </row>
    <row r="479" spans="1:6" x14ac:dyDescent="0.25">
      <c r="A479" s="7"/>
      <c r="E479" s="7"/>
      <c r="F479" s="7"/>
    </row>
    <row r="480" spans="1:6" x14ac:dyDescent="0.25">
      <c r="A480" s="7"/>
      <c r="E480" s="7"/>
      <c r="F480" s="7"/>
    </row>
    <row r="481" spans="1:6" x14ac:dyDescent="0.25">
      <c r="A481" s="7"/>
      <c r="E481" s="7"/>
      <c r="F481" s="7"/>
    </row>
    <row r="482" spans="1:6" x14ac:dyDescent="0.25">
      <c r="A482" s="7"/>
      <c r="E482" s="7"/>
      <c r="F482" s="7"/>
    </row>
    <row r="483" spans="1:6" x14ac:dyDescent="0.25">
      <c r="A483" s="7"/>
      <c r="E483" s="7"/>
      <c r="F483" s="7"/>
    </row>
    <row r="484" spans="1:6" x14ac:dyDescent="0.25">
      <c r="A484" s="7"/>
      <c r="E484" s="7"/>
      <c r="F484" s="7"/>
    </row>
    <row r="485" spans="1:6" x14ac:dyDescent="0.25">
      <c r="A485" s="7"/>
      <c r="E485" s="7"/>
      <c r="F485" s="7"/>
    </row>
    <row r="486" spans="1:6" x14ac:dyDescent="0.25">
      <c r="A486" s="7"/>
      <c r="E486" s="7"/>
      <c r="F486" s="7"/>
    </row>
    <row r="487" spans="1:6" x14ac:dyDescent="0.25">
      <c r="A487" s="7"/>
      <c r="E487" s="7"/>
      <c r="F487" s="7"/>
    </row>
    <row r="488" spans="1:6" x14ac:dyDescent="0.25">
      <c r="A488" s="7"/>
      <c r="E488" s="7"/>
      <c r="F488" s="7"/>
    </row>
    <row r="489" spans="1:6" x14ac:dyDescent="0.25">
      <c r="A489" s="7"/>
      <c r="E489" s="7"/>
      <c r="F489" s="7"/>
    </row>
    <row r="490" spans="1:6" x14ac:dyDescent="0.25">
      <c r="A490" s="7"/>
      <c r="E490" s="7"/>
      <c r="F490" s="7"/>
    </row>
    <row r="491" spans="1:6" x14ac:dyDescent="0.25">
      <c r="A491" s="7"/>
      <c r="E491" s="7"/>
      <c r="F491" s="7"/>
    </row>
    <row r="492" spans="1:6" x14ac:dyDescent="0.25">
      <c r="A492" s="7"/>
      <c r="E492" s="7"/>
      <c r="F492" s="7"/>
    </row>
    <row r="493" spans="1:6" x14ac:dyDescent="0.25">
      <c r="A493" s="7"/>
      <c r="E493" s="7"/>
      <c r="F493" s="7"/>
    </row>
    <row r="494" spans="1:6" x14ac:dyDescent="0.25">
      <c r="A494" s="7"/>
      <c r="E494" s="7"/>
      <c r="F494" s="7"/>
    </row>
    <row r="495" spans="1:6" x14ac:dyDescent="0.25">
      <c r="A495" s="7"/>
      <c r="E495" s="7"/>
      <c r="F495" s="7"/>
    </row>
    <row r="496" spans="1:6" x14ac:dyDescent="0.25">
      <c r="A496" s="7"/>
      <c r="E496" s="7"/>
      <c r="F496" s="7"/>
    </row>
    <row r="497" spans="1:6" x14ac:dyDescent="0.25">
      <c r="A497" s="7"/>
      <c r="E497" s="7"/>
      <c r="F497" s="7"/>
    </row>
    <row r="498" spans="1:6" x14ac:dyDescent="0.25">
      <c r="A498" s="7"/>
      <c r="E498" s="7"/>
      <c r="F498" s="7"/>
    </row>
    <row r="499" spans="1:6" x14ac:dyDescent="0.25">
      <c r="A499" s="7"/>
      <c r="E499" s="7"/>
      <c r="F499" s="7"/>
    </row>
    <row r="500" spans="1:6" x14ac:dyDescent="0.25">
      <c r="A500" s="7"/>
      <c r="E500" s="7"/>
      <c r="F500" s="7"/>
    </row>
    <row r="501" spans="1:6" x14ac:dyDescent="0.25">
      <c r="A501" s="7"/>
      <c r="E501" s="7"/>
      <c r="F501" s="7"/>
    </row>
    <row r="502" spans="1:6" x14ac:dyDescent="0.25">
      <c r="A502" s="7"/>
      <c r="E502" s="7"/>
      <c r="F502" s="7"/>
    </row>
    <row r="503" spans="1:6" x14ac:dyDescent="0.25">
      <c r="A503" s="7"/>
      <c r="E503" s="7"/>
      <c r="F503" s="7"/>
    </row>
    <row r="504" spans="1:6" x14ac:dyDescent="0.25">
      <c r="A504" s="7"/>
      <c r="E504" s="7"/>
      <c r="F504" s="7"/>
    </row>
    <row r="505" spans="1:6" x14ac:dyDescent="0.25">
      <c r="A505" s="7"/>
      <c r="E505" s="7"/>
      <c r="F505" s="7"/>
    </row>
    <row r="506" spans="1:6" x14ac:dyDescent="0.25">
      <c r="A506" s="7"/>
      <c r="E506" s="7"/>
      <c r="F506" s="7"/>
    </row>
    <row r="507" spans="1:6" x14ac:dyDescent="0.25">
      <c r="A507" s="7"/>
      <c r="E507" s="7"/>
      <c r="F507" s="7"/>
    </row>
    <row r="508" spans="1:6" x14ac:dyDescent="0.25">
      <c r="A508" s="7"/>
      <c r="E508" s="7"/>
      <c r="F508" s="7"/>
    </row>
    <row r="509" spans="1:6" x14ac:dyDescent="0.25">
      <c r="A509" s="7"/>
      <c r="E509" s="7"/>
      <c r="F509" s="7"/>
    </row>
    <row r="510" spans="1:6" x14ac:dyDescent="0.25">
      <c r="A510" s="7"/>
      <c r="E510" s="7"/>
      <c r="F510" s="7"/>
    </row>
    <row r="511" spans="1:6" x14ac:dyDescent="0.25">
      <c r="A511" s="7"/>
      <c r="E511" s="7"/>
      <c r="F511" s="7"/>
    </row>
    <row r="512" spans="1:6" x14ac:dyDescent="0.25">
      <c r="A512" s="7"/>
      <c r="E512" s="7"/>
      <c r="F512" s="7"/>
    </row>
    <row r="513" spans="1:6" x14ac:dyDescent="0.25">
      <c r="A513" s="7"/>
      <c r="E513" s="7"/>
      <c r="F513" s="7"/>
    </row>
    <row r="514" spans="1:6" x14ac:dyDescent="0.25">
      <c r="A514" s="7"/>
      <c r="E514" s="7"/>
      <c r="F514" s="7"/>
    </row>
    <row r="515" spans="1:6" x14ac:dyDescent="0.25">
      <c r="A515" s="7"/>
      <c r="E515" s="7"/>
      <c r="F515" s="7"/>
    </row>
    <row r="516" spans="1:6" x14ac:dyDescent="0.25">
      <c r="A516" s="7"/>
      <c r="E516" s="7"/>
      <c r="F516" s="7"/>
    </row>
    <row r="517" spans="1:6" x14ac:dyDescent="0.25">
      <c r="A517" s="7"/>
      <c r="E517" s="7"/>
      <c r="F517" s="7"/>
    </row>
    <row r="518" spans="1:6" x14ac:dyDescent="0.25">
      <c r="A518" s="7"/>
      <c r="E518" s="7"/>
      <c r="F518" s="7"/>
    </row>
    <row r="519" spans="1:6" x14ac:dyDescent="0.25">
      <c r="A519" s="7"/>
      <c r="E519" s="7"/>
      <c r="F519" s="7"/>
    </row>
    <row r="520" spans="1:6" x14ac:dyDescent="0.25">
      <c r="A520" s="7"/>
      <c r="E520" s="7"/>
      <c r="F520" s="7"/>
    </row>
    <row r="521" spans="1:6" x14ac:dyDescent="0.25">
      <c r="A521" s="7"/>
      <c r="E521" s="7"/>
      <c r="F521" s="7"/>
    </row>
    <row r="522" spans="1:6" x14ac:dyDescent="0.25">
      <c r="A522" s="7"/>
      <c r="E522" s="7"/>
      <c r="F522" s="7"/>
    </row>
    <row r="523" spans="1:6" x14ac:dyDescent="0.25">
      <c r="A523" s="7"/>
      <c r="E523" s="7"/>
      <c r="F523" s="7"/>
    </row>
    <row r="524" spans="1:6" x14ac:dyDescent="0.25">
      <c r="A524" s="7"/>
      <c r="E524" s="7"/>
      <c r="F524" s="7"/>
    </row>
    <row r="525" spans="1:6" x14ac:dyDescent="0.25">
      <c r="A525" s="7"/>
      <c r="E525" s="7"/>
      <c r="F525" s="7"/>
    </row>
    <row r="526" spans="1:6" x14ac:dyDescent="0.25">
      <c r="A526" s="7"/>
      <c r="E526" s="7"/>
      <c r="F526" s="7"/>
    </row>
    <row r="527" spans="1:6" x14ac:dyDescent="0.25">
      <c r="A527" s="7"/>
      <c r="E527" s="7"/>
      <c r="F527" s="7"/>
    </row>
    <row r="528" spans="1:6" x14ac:dyDescent="0.25">
      <c r="A528" s="7"/>
      <c r="E528" s="7"/>
      <c r="F528" s="7"/>
    </row>
    <row r="529" spans="1:6" x14ac:dyDescent="0.25">
      <c r="A529" s="7"/>
      <c r="E529" s="7"/>
      <c r="F529" s="7"/>
    </row>
    <row r="530" spans="1:6" x14ac:dyDescent="0.25">
      <c r="A530" s="7"/>
      <c r="E530" s="7"/>
      <c r="F530" s="7"/>
    </row>
    <row r="531" spans="1:6" x14ac:dyDescent="0.25">
      <c r="A531" s="7"/>
      <c r="E531" s="7"/>
      <c r="F531" s="7"/>
    </row>
    <row r="532" spans="1:6" x14ac:dyDescent="0.25">
      <c r="A532" s="7"/>
      <c r="E532" s="7"/>
      <c r="F532" s="7"/>
    </row>
    <row r="533" spans="1:6" x14ac:dyDescent="0.25">
      <c r="A533" s="7"/>
      <c r="E533" s="7"/>
      <c r="F533" s="7"/>
    </row>
    <row r="534" spans="1:6" x14ac:dyDescent="0.25">
      <c r="A534" s="7"/>
      <c r="E534" s="7"/>
      <c r="F534" s="7"/>
    </row>
    <row r="535" spans="1:6" x14ac:dyDescent="0.25">
      <c r="A535" s="7"/>
      <c r="E535" s="7"/>
      <c r="F535" s="7"/>
    </row>
    <row r="536" spans="1:6" x14ac:dyDescent="0.25">
      <c r="A536" s="7"/>
      <c r="E536" s="7"/>
      <c r="F536" s="7"/>
    </row>
    <row r="537" spans="1:6" x14ac:dyDescent="0.25">
      <c r="A537" s="7"/>
      <c r="E537" s="7"/>
      <c r="F537" s="7"/>
    </row>
    <row r="538" spans="1:6" x14ac:dyDescent="0.25">
      <c r="A538" s="7"/>
      <c r="E538" s="7"/>
      <c r="F538" s="7"/>
    </row>
    <row r="539" spans="1:6" x14ac:dyDescent="0.25">
      <c r="A539" s="7"/>
      <c r="E539" s="7"/>
      <c r="F539" s="7"/>
    </row>
    <row r="540" spans="1:6" x14ac:dyDescent="0.25">
      <c r="A540" s="7"/>
      <c r="E540" s="7"/>
      <c r="F540" s="7"/>
    </row>
    <row r="541" spans="1:6" x14ac:dyDescent="0.25">
      <c r="A541" s="7"/>
      <c r="E541" s="7"/>
      <c r="F541" s="7"/>
    </row>
    <row r="542" spans="1:6" x14ac:dyDescent="0.25">
      <c r="A542" s="7"/>
      <c r="E542" s="7"/>
      <c r="F542" s="7"/>
    </row>
    <row r="543" spans="1:6" x14ac:dyDescent="0.25">
      <c r="A543" s="7"/>
      <c r="E543" s="7"/>
      <c r="F543" s="7"/>
    </row>
    <row r="544" spans="1:6" x14ac:dyDescent="0.25">
      <c r="A544" s="7"/>
      <c r="E544" s="7"/>
      <c r="F544" s="7"/>
    </row>
    <row r="545" spans="1:6" x14ac:dyDescent="0.25">
      <c r="A545" s="7"/>
      <c r="E545" s="7"/>
      <c r="F545" s="7"/>
    </row>
    <row r="546" spans="1:6" x14ac:dyDescent="0.25">
      <c r="A546" s="7"/>
      <c r="E546" s="7"/>
      <c r="F546" s="7"/>
    </row>
    <row r="547" spans="1:6" x14ac:dyDescent="0.25">
      <c r="A547" s="7"/>
      <c r="E547" s="7"/>
      <c r="F547" s="7"/>
    </row>
    <row r="548" spans="1:6" x14ac:dyDescent="0.25">
      <c r="A548" s="7"/>
      <c r="E548" s="7"/>
      <c r="F548" s="7"/>
    </row>
    <row r="549" spans="1:6" x14ac:dyDescent="0.25">
      <c r="A549" s="7"/>
      <c r="E549" s="7"/>
      <c r="F549" s="7"/>
    </row>
    <row r="550" spans="1:6" x14ac:dyDescent="0.25">
      <c r="A550" s="7"/>
      <c r="E550" s="7"/>
      <c r="F550" s="7"/>
    </row>
    <row r="551" spans="1:6" x14ac:dyDescent="0.25">
      <c r="A551" s="7"/>
      <c r="E551" s="7"/>
      <c r="F551" s="7"/>
    </row>
    <row r="552" spans="1:6" x14ac:dyDescent="0.25">
      <c r="A552" s="7"/>
      <c r="E552" s="7"/>
      <c r="F552" s="7"/>
    </row>
    <row r="553" spans="1:6" x14ac:dyDescent="0.25">
      <c r="A553" s="7"/>
      <c r="E553" s="7"/>
      <c r="F553" s="7"/>
    </row>
    <row r="554" spans="1:6" x14ac:dyDescent="0.25">
      <c r="A554" s="7"/>
      <c r="E554" s="7"/>
      <c r="F554" s="7"/>
    </row>
    <row r="555" spans="1:6" x14ac:dyDescent="0.25">
      <c r="A555" s="7"/>
      <c r="E555" s="7"/>
      <c r="F555" s="7"/>
    </row>
    <row r="556" spans="1:6" x14ac:dyDescent="0.25">
      <c r="A556" s="7"/>
      <c r="E556" s="7"/>
      <c r="F556" s="7"/>
    </row>
    <row r="557" spans="1:6" x14ac:dyDescent="0.25">
      <c r="A557" s="7"/>
      <c r="E557" s="7"/>
      <c r="F557" s="7"/>
    </row>
    <row r="558" spans="1:6" x14ac:dyDescent="0.25">
      <c r="A558" s="7"/>
      <c r="E558" s="7"/>
      <c r="F558" s="7"/>
    </row>
    <row r="559" spans="1:6" x14ac:dyDescent="0.25">
      <c r="A559" s="7"/>
      <c r="E559" s="7"/>
      <c r="F559" s="7"/>
    </row>
    <row r="560" spans="1:6" x14ac:dyDescent="0.25">
      <c r="A560" s="7"/>
      <c r="E560" s="7"/>
      <c r="F560" s="7"/>
    </row>
    <row r="561" spans="1:6" x14ac:dyDescent="0.25">
      <c r="A561" s="7"/>
      <c r="E561" s="7"/>
      <c r="F561" s="7"/>
    </row>
    <row r="562" spans="1:6" x14ac:dyDescent="0.25">
      <c r="A562" s="7"/>
      <c r="E562" s="7"/>
      <c r="F562" s="7"/>
    </row>
    <row r="563" spans="1:6" x14ac:dyDescent="0.25">
      <c r="A563" s="7"/>
      <c r="E563" s="7"/>
      <c r="F563" s="7"/>
    </row>
    <row r="564" spans="1:6" x14ac:dyDescent="0.25">
      <c r="A564" s="7"/>
      <c r="E564" s="7"/>
      <c r="F564" s="7"/>
    </row>
    <row r="565" spans="1:6" x14ac:dyDescent="0.25">
      <c r="A565" s="7"/>
      <c r="E565" s="7"/>
      <c r="F565" s="7"/>
    </row>
    <row r="566" spans="1:6" x14ac:dyDescent="0.25">
      <c r="A566" s="7"/>
      <c r="E566" s="7"/>
      <c r="F566" s="7"/>
    </row>
    <row r="567" spans="1:6" x14ac:dyDescent="0.25">
      <c r="A567" s="7"/>
      <c r="E567" s="7"/>
      <c r="F567" s="7"/>
    </row>
    <row r="568" spans="1:6" x14ac:dyDescent="0.25">
      <c r="A568" s="7"/>
      <c r="E568" s="7"/>
      <c r="F568" s="7"/>
    </row>
    <row r="569" spans="1:6" x14ac:dyDescent="0.25">
      <c r="A569" s="7"/>
      <c r="E569" s="7"/>
      <c r="F569" s="7"/>
    </row>
    <row r="570" spans="1:6" x14ac:dyDescent="0.25">
      <c r="A570" s="7"/>
      <c r="E570" s="7"/>
      <c r="F570" s="7"/>
    </row>
    <row r="571" spans="1:6" x14ac:dyDescent="0.25">
      <c r="A571" s="7"/>
      <c r="E571" s="7"/>
      <c r="F571" s="7"/>
    </row>
    <row r="572" spans="1:6" x14ac:dyDescent="0.25">
      <c r="A572" s="7"/>
      <c r="E572" s="7"/>
      <c r="F572" s="7"/>
    </row>
    <row r="573" spans="1:6" x14ac:dyDescent="0.25">
      <c r="A573" s="7"/>
      <c r="E573" s="7"/>
      <c r="F573" s="7"/>
    </row>
    <row r="574" spans="1:6" x14ac:dyDescent="0.25">
      <c r="A574" s="7"/>
      <c r="E574" s="7"/>
      <c r="F574" s="7"/>
    </row>
    <row r="575" spans="1:6" x14ac:dyDescent="0.25">
      <c r="A575" s="7"/>
      <c r="E575" s="7"/>
      <c r="F575" s="7"/>
    </row>
    <row r="576" spans="1:6" x14ac:dyDescent="0.25">
      <c r="A576" s="7"/>
      <c r="E576" s="7"/>
      <c r="F576" s="7"/>
    </row>
    <row r="577" spans="1:6" x14ac:dyDescent="0.25">
      <c r="A577" s="7"/>
      <c r="E577" s="7"/>
      <c r="F577" s="7"/>
    </row>
    <row r="578" spans="1:6" x14ac:dyDescent="0.25">
      <c r="A578" s="7"/>
      <c r="E578" s="7"/>
      <c r="F578" s="7"/>
    </row>
    <row r="579" spans="1:6" x14ac:dyDescent="0.25">
      <c r="A579" s="7"/>
      <c r="E579" s="7"/>
      <c r="F579" s="7"/>
    </row>
    <row r="580" spans="1:6" x14ac:dyDescent="0.25">
      <c r="A580" s="7"/>
      <c r="E580" s="7"/>
      <c r="F580" s="7"/>
    </row>
    <row r="581" spans="1:6" x14ac:dyDescent="0.25">
      <c r="A581" s="7"/>
      <c r="E581" s="7"/>
      <c r="F581" s="7"/>
    </row>
    <row r="582" spans="1:6" x14ac:dyDescent="0.25">
      <c r="A582" s="7"/>
      <c r="E582" s="7"/>
      <c r="F582" s="7"/>
    </row>
    <row r="583" spans="1:6" x14ac:dyDescent="0.25">
      <c r="A583" s="7"/>
      <c r="E583" s="7"/>
      <c r="F583" s="7"/>
    </row>
    <row r="584" spans="1:6" x14ac:dyDescent="0.25">
      <c r="A584" s="7"/>
      <c r="E584" s="7"/>
      <c r="F584" s="7"/>
    </row>
    <row r="585" spans="1:6" x14ac:dyDescent="0.25">
      <c r="A585" s="7"/>
      <c r="E585" s="7"/>
      <c r="F585" s="7"/>
    </row>
    <row r="586" spans="1:6" x14ac:dyDescent="0.25">
      <c r="A586" s="7"/>
      <c r="E586" s="7"/>
      <c r="F586" s="7"/>
    </row>
    <row r="587" spans="1:6" x14ac:dyDescent="0.25">
      <c r="A587" s="7"/>
      <c r="E587" s="7"/>
      <c r="F587" s="7"/>
    </row>
    <row r="588" spans="1:6" x14ac:dyDescent="0.25">
      <c r="A588" s="7"/>
      <c r="E588" s="7"/>
      <c r="F588" s="7"/>
    </row>
    <row r="589" spans="1:6" x14ac:dyDescent="0.25">
      <c r="A589" s="7"/>
      <c r="E589" s="7"/>
      <c r="F589" s="7"/>
    </row>
    <row r="590" spans="1:6" x14ac:dyDescent="0.25">
      <c r="A590" s="7"/>
      <c r="E590" s="7"/>
      <c r="F590" s="7"/>
    </row>
    <row r="591" spans="1:6" x14ac:dyDescent="0.25">
      <c r="A591" s="7"/>
      <c r="E591" s="7"/>
      <c r="F591" s="7"/>
    </row>
    <row r="592" spans="1:6" x14ac:dyDescent="0.25">
      <c r="A592" s="7"/>
      <c r="E592" s="7"/>
      <c r="F592" s="7"/>
    </row>
    <row r="593" spans="1:6" x14ac:dyDescent="0.25">
      <c r="A593" s="7"/>
      <c r="E593" s="7"/>
      <c r="F593" s="7"/>
    </row>
    <row r="594" spans="1:6" x14ac:dyDescent="0.25">
      <c r="A594" s="7"/>
      <c r="E594" s="7"/>
      <c r="F594" s="7"/>
    </row>
    <row r="595" spans="1:6" x14ac:dyDescent="0.25">
      <c r="A595" s="7"/>
      <c r="E595" s="7"/>
      <c r="F595" s="7"/>
    </row>
    <row r="596" spans="1:6" x14ac:dyDescent="0.25">
      <c r="A596" s="7"/>
      <c r="E596" s="7"/>
      <c r="F596" s="7"/>
    </row>
    <row r="597" spans="1:6" x14ac:dyDescent="0.25">
      <c r="A597" s="7"/>
      <c r="E597" s="7"/>
      <c r="F597" s="7"/>
    </row>
    <row r="598" spans="1:6" x14ac:dyDescent="0.25">
      <c r="A598" s="7"/>
      <c r="E598" s="7"/>
      <c r="F598" s="7"/>
    </row>
    <row r="599" spans="1:6" x14ac:dyDescent="0.25">
      <c r="A599" s="7"/>
      <c r="E599" s="7"/>
      <c r="F599" s="7"/>
    </row>
    <row r="600" spans="1:6" x14ac:dyDescent="0.25">
      <c r="A600" s="7"/>
      <c r="E600" s="7"/>
      <c r="F600" s="7"/>
    </row>
    <row r="601" spans="1:6" x14ac:dyDescent="0.25">
      <c r="A601" s="7"/>
      <c r="E601" s="7"/>
      <c r="F601" s="7"/>
    </row>
    <row r="602" spans="1:6" x14ac:dyDescent="0.25">
      <c r="A602" s="7"/>
      <c r="E602" s="7"/>
      <c r="F602" s="7"/>
    </row>
    <row r="603" spans="1:6" x14ac:dyDescent="0.25">
      <c r="A603" s="7"/>
      <c r="E603" s="7"/>
      <c r="F603" s="7"/>
    </row>
    <row r="604" spans="1:6" x14ac:dyDescent="0.25">
      <c r="A604" s="7"/>
      <c r="E604" s="7"/>
      <c r="F604" s="7"/>
    </row>
    <row r="605" spans="1:6" x14ac:dyDescent="0.25">
      <c r="A605" s="7"/>
      <c r="E605" s="7"/>
      <c r="F605" s="7"/>
    </row>
    <row r="606" spans="1:6" x14ac:dyDescent="0.25">
      <c r="A606" s="7"/>
      <c r="E606" s="7"/>
      <c r="F606" s="7"/>
    </row>
    <row r="607" spans="1:6" x14ac:dyDescent="0.25">
      <c r="A607" s="7"/>
      <c r="E607" s="7"/>
      <c r="F607" s="7"/>
    </row>
    <row r="608" spans="1:6" x14ac:dyDescent="0.25">
      <c r="A608" s="7"/>
      <c r="E608" s="7"/>
      <c r="F608" s="7"/>
    </row>
    <row r="609" spans="1:6" x14ac:dyDescent="0.25">
      <c r="A609" s="7"/>
      <c r="E609" s="7"/>
      <c r="F609" s="7"/>
    </row>
    <row r="610" spans="1:6" x14ac:dyDescent="0.25">
      <c r="A610" s="7"/>
      <c r="E610" s="7"/>
      <c r="F610" s="7"/>
    </row>
    <row r="611" spans="1:6" x14ac:dyDescent="0.25">
      <c r="A611" s="7"/>
      <c r="E611" s="7"/>
      <c r="F611" s="7"/>
    </row>
    <row r="612" spans="1:6" x14ac:dyDescent="0.25">
      <c r="A612" s="7"/>
      <c r="E612" s="7"/>
      <c r="F612" s="7"/>
    </row>
    <row r="613" spans="1:6" x14ac:dyDescent="0.25">
      <c r="A613" s="7"/>
      <c r="E613" s="7"/>
      <c r="F613" s="7"/>
    </row>
    <row r="614" spans="1:6" x14ac:dyDescent="0.25">
      <c r="A614" s="7"/>
      <c r="E614" s="7"/>
      <c r="F614" s="7"/>
    </row>
    <row r="615" spans="1:6" x14ac:dyDescent="0.25">
      <c r="A615" s="7"/>
      <c r="E615" s="7"/>
      <c r="F615" s="7"/>
    </row>
    <row r="616" spans="1:6" x14ac:dyDescent="0.25">
      <c r="A616" s="7"/>
      <c r="E616" s="7"/>
      <c r="F616" s="7"/>
    </row>
    <row r="617" spans="1:6" x14ac:dyDescent="0.25">
      <c r="A617" s="7"/>
      <c r="E617" s="7"/>
      <c r="F617" s="7"/>
    </row>
    <row r="618" spans="1:6" x14ac:dyDescent="0.25">
      <c r="A618" s="7"/>
      <c r="E618" s="7"/>
      <c r="F618" s="7"/>
    </row>
    <row r="619" spans="1:6" x14ac:dyDescent="0.25">
      <c r="A619" s="7"/>
      <c r="E619" s="7"/>
      <c r="F619" s="7"/>
    </row>
    <row r="620" spans="1:6" x14ac:dyDescent="0.25">
      <c r="A620" s="7"/>
      <c r="E620" s="7"/>
      <c r="F620" s="7"/>
    </row>
    <row r="621" spans="1:6" x14ac:dyDescent="0.25">
      <c r="A621" s="7"/>
      <c r="E621" s="7"/>
      <c r="F621" s="7"/>
    </row>
    <row r="622" spans="1:6" x14ac:dyDescent="0.25">
      <c r="A622" s="7"/>
      <c r="E622" s="7"/>
      <c r="F622" s="7"/>
    </row>
    <row r="623" spans="1:6" x14ac:dyDescent="0.25">
      <c r="A623" s="7"/>
      <c r="E623" s="7"/>
      <c r="F623" s="7"/>
    </row>
    <row r="624" spans="1:6" x14ac:dyDescent="0.25">
      <c r="A624" s="7"/>
      <c r="E624" s="7"/>
      <c r="F624" s="7"/>
    </row>
    <row r="625" spans="1:6" x14ac:dyDescent="0.25">
      <c r="A625" s="7"/>
      <c r="E625" s="7"/>
      <c r="F625" s="7"/>
    </row>
    <row r="626" spans="1:6" x14ac:dyDescent="0.25">
      <c r="A626" s="7"/>
      <c r="E626" s="7"/>
      <c r="F626" s="7"/>
    </row>
    <row r="627" spans="1:6" x14ac:dyDescent="0.25">
      <c r="A627" s="7"/>
      <c r="E627" s="7"/>
      <c r="F627" s="7"/>
    </row>
    <row r="628" spans="1:6" x14ac:dyDescent="0.25">
      <c r="A628" s="7"/>
      <c r="E628" s="7"/>
      <c r="F628" s="7"/>
    </row>
    <row r="629" spans="1:6" x14ac:dyDescent="0.25">
      <c r="A629" s="7"/>
      <c r="E629" s="7"/>
      <c r="F629" s="7"/>
    </row>
    <row r="630" spans="1:6" x14ac:dyDescent="0.25">
      <c r="A630" s="7"/>
      <c r="E630" s="7"/>
      <c r="F630" s="7"/>
    </row>
    <row r="631" spans="1:6" x14ac:dyDescent="0.25">
      <c r="A631" s="7"/>
      <c r="E631" s="7"/>
      <c r="F631" s="7"/>
    </row>
    <row r="632" spans="1:6" x14ac:dyDescent="0.25">
      <c r="A632" s="7"/>
      <c r="E632" s="7"/>
      <c r="F632" s="7"/>
    </row>
    <row r="633" spans="1:6" x14ac:dyDescent="0.25">
      <c r="A633" s="7"/>
      <c r="E633" s="7"/>
      <c r="F633" s="7"/>
    </row>
    <row r="634" spans="1:6" x14ac:dyDescent="0.25">
      <c r="A634" s="7"/>
      <c r="E634" s="7"/>
      <c r="F634" s="7"/>
    </row>
    <row r="635" spans="1:6" x14ac:dyDescent="0.25">
      <c r="A635" s="7"/>
      <c r="E635" s="7"/>
      <c r="F635" s="7"/>
    </row>
    <row r="636" spans="1:6" x14ac:dyDescent="0.25">
      <c r="A636" s="7"/>
      <c r="E636" s="7"/>
      <c r="F636" s="7"/>
    </row>
    <row r="637" spans="1:6" x14ac:dyDescent="0.25">
      <c r="A637" s="7"/>
      <c r="E637" s="7"/>
      <c r="F637" s="7"/>
    </row>
    <row r="638" spans="1:6" x14ac:dyDescent="0.25">
      <c r="A638" s="7"/>
      <c r="E638" s="7"/>
      <c r="F638" s="7"/>
    </row>
    <row r="639" spans="1:6" x14ac:dyDescent="0.25">
      <c r="A639" s="7"/>
      <c r="E639" s="7"/>
      <c r="F639" s="7"/>
    </row>
    <row r="640" spans="1:6" x14ac:dyDescent="0.25">
      <c r="A640" s="7"/>
      <c r="E640" s="7"/>
      <c r="F640" s="7"/>
    </row>
    <row r="641" spans="1:6" x14ac:dyDescent="0.25">
      <c r="A641" s="7"/>
      <c r="E641" s="7"/>
      <c r="F641" s="7"/>
    </row>
    <row r="642" spans="1:6" x14ac:dyDescent="0.25">
      <c r="A642" s="7"/>
      <c r="E642" s="7"/>
      <c r="F642" s="7"/>
    </row>
    <row r="643" spans="1:6" x14ac:dyDescent="0.25">
      <c r="A643" s="7"/>
      <c r="E643" s="7"/>
      <c r="F643" s="7"/>
    </row>
    <row r="644" spans="1:6" x14ac:dyDescent="0.25">
      <c r="A644" s="7"/>
      <c r="E644" s="7"/>
      <c r="F644" s="7"/>
    </row>
    <row r="645" spans="1:6" x14ac:dyDescent="0.25">
      <c r="A645" s="7"/>
      <c r="E645" s="7"/>
      <c r="F645" s="7"/>
    </row>
    <row r="646" spans="1:6" x14ac:dyDescent="0.25">
      <c r="A646" s="7"/>
      <c r="E646" s="7"/>
      <c r="F646" s="7"/>
    </row>
    <row r="647" spans="1:6" x14ac:dyDescent="0.25">
      <c r="A647" s="7"/>
      <c r="E647" s="7"/>
      <c r="F647" s="7"/>
    </row>
    <row r="648" spans="1:6" x14ac:dyDescent="0.25">
      <c r="A648" s="7"/>
      <c r="E648" s="7"/>
      <c r="F648" s="7"/>
    </row>
    <row r="649" spans="1:6" x14ac:dyDescent="0.25">
      <c r="A649" s="7"/>
      <c r="E649" s="7"/>
      <c r="F649" s="7"/>
    </row>
    <row r="650" spans="1:6" x14ac:dyDescent="0.25">
      <c r="A650" s="7"/>
      <c r="E650" s="7"/>
      <c r="F650" s="7"/>
    </row>
    <row r="651" spans="1:6" x14ac:dyDescent="0.25">
      <c r="A651" s="7"/>
      <c r="E651" s="7"/>
      <c r="F651" s="7"/>
    </row>
    <row r="652" spans="1:6" x14ac:dyDescent="0.25">
      <c r="A652" s="7"/>
      <c r="E652" s="7"/>
      <c r="F652" s="7"/>
    </row>
    <row r="653" spans="1:6" x14ac:dyDescent="0.25">
      <c r="A653" s="7"/>
      <c r="E653" s="7"/>
      <c r="F653" s="7"/>
    </row>
    <row r="654" spans="1:6" x14ac:dyDescent="0.25">
      <c r="A654" s="7"/>
      <c r="E654" s="7"/>
      <c r="F654" s="7"/>
    </row>
    <row r="655" spans="1:6" x14ac:dyDescent="0.25">
      <c r="A655" s="7"/>
      <c r="E655" s="7"/>
      <c r="F655" s="7"/>
    </row>
    <row r="656" spans="1:6" x14ac:dyDescent="0.25">
      <c r="A656" s="7"/>
      <c r="E656" s="7"/>
      <c r="F656" s="7"/>
    </row>
    <row r="657" spans="1:6" x14ac:dyDescent="0.25">
      <c r="A657" s="7"/>
      <c r="E657" s="7"/>
      <c r="F657" s="7"/>
    </row>
    <row r="658" spans="1:6" x14ac:dyDescent="0.25">
      <c r="A658" s="7"/>
      <c r="E658" s="7"/>
      <c r="F658" s="7"/>
    </row>
    <row r="659" spans="1:6" x14ac:dyDescent="0.25">
      <c r="A659" s="7"/>
      <c r="E659" s="7"/>
      <c r="F659" s="7"/>
    </row>
    <row r="660" spans="1:6" x14ac:dyDescent="0.25">
      <c r="A660" s="7"/>
      <c r="E660" s="7"/>
      <c r="F660" s="7"/>
    </row>
    <row r="661" spans="1:6" x14ac:dyDescent="0.25">
      <c r="A661" s="7"/>
      <c r="E661" s="7"/>
      <c r="F661" s="7"/>
    </row>
    <row r="662" spans="1:6" x14ac:dyDescent="0.25">
      <c r="A662" s="7"/>
      <c r="E662" s="7"/>
      <c r="F662" s="7"/>
    </row>
    <row r="663" spans="1:6" x14ac:dyDescent="0.25">
      <c r="A663" s="7"/>
      <c r="E663" s="7"/>
      <c r="F663" s="7"/>
    </row>
    <row r="664" spans="1:6" x14ac:dyDescent="0.25">
      <c r="A664" s="7"/>
      <c r="E664" s="7"/>
      <c r="F664" s="7"/>
    </row>
    <row r="665" spans="1:6" x14ac:dyDescent="0.25">
      <c r="A665" s="7"/>
      <c r="E665" s="7"/>
      <c r="F665" s="7"/>
    </row>
    <row r="666" spans="1:6" x14ac:dyDescent="0.25">
      <c r="A666" s="7"/>
      <c r="E666" s="7"/>
      <c r="F666" s="7"/>
    </row>
    <row r="667" spans="1:6" x14ac:dyDescent="0.25">
      <c r="A667" s="7"/>
      <c r="E667" s="7"/>
      <c r="F667" s="7"/>
    </row>
    <row r="668" spans="1:6" x14ac:dyDescent="0.25">
      <c r="A668" s="7"/>
      <c r="E668" s="7"/>
      <c r="F668" s="7"/>
    </row>
    <row r="669" spans="1:6" x14ac:dyDescent="0.25">
      <c r="A669" s="7"/>
      <c r="E669" s="7"/>
      <c r="F669" s="7"/>
    </row>
    <row r="670" spans="1:6" x14ac:dyDescent="0.25">
      <c r="A670" s="7"/>
      <c r="E670" s="7"/>
      <c r="F670" s="7"/>
    </row>
    <row r="671" spans="1:6" x14ac:dyDescent="0.25">
      <c r="A671" s="7"/>
      <c r="E671" s="7"/>
      <c r="F671" s="7"/>
    </row>
    <row r="672" spans="1:6" x14ac:dyDescent="0.25">
      <c r="A672" s="7"/>
      <c r="E672" s="7"/>
      <c r="F672" s="7"/>
    </row>
    <row r="673" spans="1:6" x14ac:dyDescent="0.25">
      <c r="A673" s="7"/>
      <c r="E673" s="7"/>
      <c r="F673" s="7"/>
    </row>
    <row r="674" spans="1:6" x14ac:dyDescent="0.25">
      <c r="A674" s="7"/>
      <c r="E674" s="7"/>
      <c r="F674" s="7"/>
    </row>
    <row r="675" spans="1:6" x14ac:dyDescent="0.25">
      <c r="A675" s="7"/>
      <c r="E675" s="7"/>
      <c r="F675" s="7"/>
    </row>
    <row r="676" spans="1:6" x14ac:dyDescent="0.25">
      <c r="A676" s="7"/>
      <c r="E676" s="7"/>
      <c r="F676" s="7"/>
    </row>
    <row r="677" spans="1:6" x14ac:dyDescent="0.25">
      <c r="A677" s="7"/>
      <c r="E677" s="7"/>
      <c r="F677" s="7"/>
    </row>
    <row r="678" spans="1:6" x14ac:dyDescent="0.25">
      <c r="A678" s="7"/>
      <c r="E678" s="7"/>
      <c r="F678" s="7"/>
    </row>
    <row r="679" spans="1:6" x14ac:dyDescent="0.25">
      <c r="A679" s="7"/>
      <c r="E679" s="7"/>
      <c r="F679" s="7"/>
    </row>
    <row r="680" spans="1:6" x14ac:dyDescent="0.25">
      <c r="A680" s="7"/>
      <c r="E680" s="7"/>
      <c r="F680" s="7"/>
    </row>
    <row r="681" spans="1:6" x14ac:dyDescent="0.25">
      <c r="A681" s="7"/>
      <c r="E681" s="7"/>
      <c r="F681" s="7"/>
    </row>
    <row r="682" spans="1:6" x14ac:dyDescent="0.25">
      <c r="A682" s="7"/>
      <c r="E682" s="7"/>
      <c r="F682" s="7"/>
    </row>
    <row r="683" spans="1:6" x14ac:dyDescent="0.25">
      <c r="A683" s="7"/>
      <c r="E683" s="7"/>
      <c r="F683" s="7"/>
    </row>
    <row r="684" spans="1:6" x14ac:dyDescent="0.25">
      <c r="A684" s="7"/>
      <c r="E684" s="7"/>
      <c r="F684" s="7"/>
    </row>
    <row r="685" spans="1:6" x14ac:dyDescent="0.25">
      <c r="A685" s="7"/>
      <c r="E685" s="7"/>
      <c r="F685" s="7"/>
    </row>
    <row r="686" spans="1:6" x14ac:dyDescent="0.25">
      <c r="A686" s="7"/>
      <c r="E686" s="7"/>
      <c r="F686" s="7"/>
    </row>
    <row r="687" spans="1:6" x14ac:dyDescent="0.25">
      <c r="A687" s="7"/>
      <c r="E687" s="7"/>
      <c r="F687" s="7"/>
    </row>
    <row r="688" spans="1:6" x14ac:dyDescent="0.25">
      <c r="A688" s="7"/>
      <c r="E688" s="7"/>
      <c r="F688" s="7"/>
    </row>
    <row r="689" spans="1:6" x14ac:dyDescent="0.25">
      <c r="A689" s="7"/>
      <c r="E689" s="7"/>
      <c r="F689" s="7"/>
    </row>
    <row r="690" spans="1:6" x14ac:dyDescent="0.25">
      <c r="A690" s="7"/>
      <c r="E690" s="7"/>
      <c r="F690" s="7"/>
    </row>
    <row r="691" spans="1:6" x14ac:dyDescent="0.25">
      <c r="A691" s="7"/>
      <c r="E691" s="7"/>
      <c r="F691" s="7"/>
    </row>
    <row r="692" spans="1:6" x14ac:dyDescent="0.25">
      <c r="A692" s="7"/>
      <c r="E692" s="7"/>
      <c r="F692" s="7"/>
    </row>
    <row r="693" spans="1:6" x14ac:dyDescent="0.25">
      <c r="A693" s="7"/>
      <c r="E693" s="7"/>
      <c r="F693" s="7"/>
    </row>
    <row r="694" spans="1:6" x14ac:dyDescent="0.25">
      <c r="A694" s="7"/>
      <c r="E694" s="7"/>
      <c r="F694" s="7"/>
    </row>
    <row r="695" spans="1:6" x14ac:dyDescent="0.25">
      <c r="A695" s="7"/>
      <c r="E695" s="7"/>
      <c r="F695" s="7"/>
    </row>
    <row r="696" spans="1:6" x14ac:dyDescent="0.25">
      <c r="A696" s="7"/>
      <c r="E696" s="7"/>
      <c r="F696" s="7"/>
    </row>
    <row r="697" spans="1:6" x14ac:dyDescent="0.25">
      <c r="A697" s="7"/>
      <c r="E697" s="7"/>
      <c r="F697" s="7"/>
    </row>
    <row r="698" spans="1:6" x14ac:dyDescent="0.25">
      <c r="A698" s="7"/>
      <c r="E698" s="7"/>
      <c r="F698" s="7"/>
    </row>
    <row r="699" spans="1:6" x14ac:dyDescent="0.25">
      <c r="A699" s="7"/>
      <c r="E699" s="7"/>
      <c r="F699" s="7"/>
    </row>
    <row r="700" spans="1:6" x14ac:dyDescent="0.25">
      <c r="A700" s="7"/>
      <c r="E700" s="7"/>
      <c r="F700" s="7"/>
    </row>
    <row r="701" spans="1:6" x14ac:dyDescent="0.25">
      <c r="A701" s="7"/>
      <c r="E701" s="7"/>
      <c r="F701" s="7"/>
    </row>
    <row r="702" spans="1:6" x14ac:dyDescent="0.25">
      <c r="A702" s="7"/>
      <c r="E702" s="7"/>
      <c r="F702" s="7"/>
    </row>
    <row r="703" spans="1:6" x14ac:dyDescent="0.25">
      <c r="A703" s="7"/>
      <c r="E703" s="7"/>
      <c r="F703" s="7"/>
    </row>
    <row r="704" spans="1:6" x14ac:dyDescent="0.25">
      <c r="A704" s="7"/>
      <c r="E704" s="7"/>
      <c r="F704" s="7"/>
    </row>
    <row r="705" spans="1:6" x14ac:dyDescent="0.25">
      <c r="A705" s="7"/>
      <c r="E705" s="7"/>
      <c r="F705" s="7"/>
    </row>
    <row r="706" spans="1:6" x14ac:dyDescent="0.25">
      <c r="A706" s="7"/>
      <c r="E706" s="7"/>
      <c r="F706" s="7"/>
    </row>
    <row r="707" spans="1:6" x14ac:dyDescent="0.25">
      <c r="A707" s="7"/>
      <c r="E707" s="7"/>
      <c r="F707" s="7"/>
    </row>
    <row r="708" spans="1:6" x14ac:dyDescent="0.25">
      <c r="A708" s="7"/>
      <c r="E708" s="7"/>
      <c r="F708" s="7"/>
    </row>
    <row r="709" spans="1:6" x14ac:dyDescent="0.25">
      <c r="A709" s="7"/>
      <c r="E709" s="7"/>
      <c r="F709" s="7"/>
    </row>
    <row r="710" spans="1:6" x14ac:dyDescent="0.25">
      <c r="A710" s="7"/>
      <c r="E710" s="7"/>
      <c r="F710" s="7"/>
    </row>
    <row r="711" spans="1:6" x14ac:dyDescent="0.25">
      <c r="A711" s="7"/>
      <c r="E711" s="7"/>
      <c r="F711" s="7"/>
    </row>
    <row r="712" spans="1:6" x14ac:dyDescent="0.25">
      <c r="A712" s="7"/>
      <c r="E712" s="7"/>
      <c r="F712" s="7"/>
    </row>
    <row r="713" spans="1:6" x14ac:dyDescent="0.25">
      <c r="A713" s="7"/>
      <c r="E713" s="7"/>
      <c r="F713" s="7"/>
    </row>
    <row r="714" spans="1:6" x14ac:dyDescent="0.25">
      <c r="A714" s="7"/>
      <c r="E714" s="7"/>
      <c r="F714" s="7"/>
    </row>
    <row r="715" spans="1:6" x14ac:dyDescent="0.25">
      <c r="A715" s="7"/>
      <c r="E715" s="7"/>
      <c r="F715" s="7"/>
    </row>
    <row r="716" spans="1:6" x14ac:dyDescent="0.25">
      <c r="A716" s="7"/>
      <c r="E716" s="7"/>
      <c r="F716" s="7"/>
    </row>
    <row r="717" spans="1:6" x14ac:dyDescent="0.25">
      <c r="A717" s="7"/>
      <c r="E717" s="7"/>
      <c r="F717" s="7"/>
    </row>
    <row r="718" spans="1:6" x14ac:dyDescent="0.25">
      <c r="A718" s="7"/>
      <c r="E718" s="7"/>
      <c r="F718" s="7"/>
    </row>
    <row r="719" spans="1:6" x14ac:dyDescent="0.25">
      <c r="A719" s="7"/>
      <c r="E719" s="7"/>
      <c r="F719" s="7"/>
    </row>
    <row r="720" spans="1:6" x14ac:dyDescent="0.25">
      <c r="A720" s="7"/>
      <c r="E720" s="7"/>
      <c r="F720" s="7"/>
    </row>
    <row r="721" spans="1:6" x14ac:dyDescent="0.25">
      <c r="A721" s="7"/>
      <c r="E721" s="7"/>
      <c r="F721" s="7"/>
    </row>
    <row r="722" spans="1:6" x14ac:dyDescent="0.25">
      <c r="A722" s="7"/>
      <c r="E722" s="7"/>
      <c r="F722" s="7"/>
    </row>
    <row r="723" spans="1:6" x14ac:dyDescent="0.25">
      <c r="A723" s="7"/>
      <c r="E723" s="7"/>
      <c r="F723" s="7"/>
    </row>
    <row r="724" spans="1:6" x14ac:dyDescent="0.25">
      <c r="A724" s="7"/>
      <c r="E724" s="7"/>
      <c r="F724" s="7"/>
    </row>
    <row r="725" spans="1:6" x14ac:dyDescent="0.25">
      <c r="A725" s="7"/>
      <c r="E725" s="7"/>
      <c r="F725" s="7"/>
    </row>
    <row r="726" spans="1:6" x14ac:dyDescent="0.25">
      <c r="A726" s="7"/>
      <c r="E726" s="7"/>
      <c r="F726" s="7"/>
    </row>
    <row r="727" spans="1:6" x14ac:dyDescent="0.25">
      <c r="A727" s="7"/>
      <c r="E727" s="7"/>
      <c r="F727" s="7"/>
    </row>
    <row r="728" spans="1:6" x14ac:dyDescent="0.25">
      <c r="A728" s="7"/>
      <c r="E728" s="7"/>
      <c r="F728" s="7"/>
    </row>
    <row r="729" spans="1:6" x14ac:dyDescent="0.25">
      <c r="A729" s="7"/>
      <c r="E729" s="7"/>
      <c r="F729" s="7"/>
    </row>
    <row r="730" spans="1:6" x14ac:dyDescent="0.25">
      <c r="A730" s="7"/>
      <c r="E730" s="7"/>
      <c r="F730" s="7"/>
    </row>
    <row r="731" spans="1:6" x14ac:dyDescent="0.25">
      <c r="A731" s="7"/>
      <c r="E731" s="7"/>
      <c r="F731" s="7"/>
    </row>
    <row r="732" spans="1:6" x14ac:dyDescent="0.25">
      <c r="A732" s="7"/>
      <c r="E732" s="7"/>
      <c r="F732" s="7"/>
    </row>
    <row r="733" spans="1:6" x14ac:dyDescent="0.25">
      <c r="A733" s="7"/>
      <c r="E733" s="7"/>
      <c r="F733" s="7"/>
    </row>
    <row r="734" spans="1:6" x14ac:dyDescent="0.25">
      <c r="A734" s="7"/>
      <c r="E734" s="7"/>
      <c r="F734" s="7"/>
    </row>
    <row r="735" spans="1:6" x14ac:dyDescent="0.25">
      <c r="A735" s="7"/>
      <c r="E735" s="7"/>
      <c r="F735" s="7"/>
    </row>
    <row r="736" spans="1:6" x14ac:dyDescent="0.25">
      <c r="A736" s="7"/>
      <c r="E736" s="7"/>
      <c r="F736" s="7"/>
    </row>
    <row r="737" spans="1:6" x14ac:dyDescent="0.25">
      <c r="A737" s="7"/>
      <c r="E737" s="7"/>
      <c r="F737" s="7"/>
    </row>
    <row r="738" spans="1:6" x14ac:dyDescent="0.25">
      <c r="A738" s="7"/>
      <c r="E738" s="7"/>
      <c r="F738" s="7"/>
    </row>
    <row r="739" spans="1:6" x14ac:dyDescent="0.25">
      <c r="A739" s="7"/>
      <c r="E739" s="7"/>
      <c r="F739" s="7"/>
    </row>
    <row r="740" spans="1:6" x14ac:dyDescent="0.25">
      <c r="A740" s="7"/>
      <c r="E740" s="7"/>
      <c r="F740" s="7"/>
    </row>
    <row r="741" spans="1:6" x14ac:dyDescent="0.25">
      <c r="A741" s="7"/>
      <c r="E741" s="7"/>
      <c r="F741" s="7"/>
    </row>
    <row r="742" spans="1:6" x14ac:dyDescent="0.25">
      <c r="A742" s="7"/>
      <c r="E742" s="7"/>
      <c r="F742" s="7"/>
    </row>
    <row r="743" spans="1:6" x14ac:dyDescent="0.25">
      <c r="A743" s="7"/>
      <c r="E743" s="7"/>
      <c r="F743" s="7"/>
    </row>
    <row r="744" spans="1:6" x14ac:dyDescent="0.25">
      <c r="A744" s="7"/>
      <c r="E744" s="7"/>
      <c r="F744" s="7"/>
    </row>
    <row r="745" spans="1:6" x14ac:dyDescent="0.25">
      <c r="A745" s="7"/>
      <c r="E745" s="7"/>
      <c r="F745" s="7"/>
    </row>
    <row r="746" spans="1:6" x14ac:dyDescent="0.25">
      <c r="A746" s="7"/>
      <c r="E746" s="7"/>
      <c r="F746" s="7"/>
    </row>
    <row r="747" spans="1:6" x14ac:dyDescent="0.25">
      <c r="A747" s="7"/>
      <c r="E747" s="7"/>
      <c r="F747" s="7"/>
    </row>
    <row r="748" spans="1:6" x14ac:dyDescent="0.25">
      <c r="A748" s="7"/>
      <c r="E748" s="7"/>
      <c r="F748" s="7"/>
    </row>
    <row r="749" spans="1:6" x14ac:dyDescent="0.25">
      <c r="A749" s="7"/>
      <c r="E749" s="7"/>
      <c r="F749" s="7"/>
    </row>
    <row r="750" spans="1:6" x14ac:dyDescent="0.25">
      <c r="A750" s="7"/>
      <c r="E750" s="7"/>
      <c r="F750" s="7"/>
    </row>
    <row r="751" spans="1:6" x14ac:dyDescent="0.25">
      <c r="A751" s="7"/>
      <c r="E751" s="7"/>
      <c r="F751" s="7"/>
    </row>
    <row r="752" spans="1:6" x14ac:dyDescent="0.25">
      <c r="A752" s="7"/>
      <c r="E752" s="7"/>
      <c r="F752" s="7"/>
    </row>
    <row r="753" spans="1:6" x14ac:dyDescent="0.25">
      <c r="A753" s="7"/>
      <c r="E753" s="7"/>
      <c r="F753" s="7"/>
    </row>
    <row r="754" spans="1:6" x14ac:dyDescent="0.25">
      <c r="A754" s="7"/>
      <c r="E754" s="7"/>
      <c r="F754" s="7"/>
    </row>
    <row r="755" spans="1:6" x14ac:dyDescent="0.25">
      <c r="A755" s="7"/>
      <c r="E755" s="7"/>
      <c r="F755" s="7"/>
    </row>
    <row r="756" spans="1:6" x14ac:dyDescent="0.25">
      <c r="A756" s="7"/>
      <c r="E756" s="7"/>
      <c r="F756" s="7"/>
    </row>
    <row r="757" spans="1:6" x14ac:dyDescent="0.25">
      <c r="A757" s="7"/>
      <c r="E757" s="7"/>
      <c r="F757" s="7"/>
    </row>
    <row r="758" spans="1:6" x14ac:dyDescent="0.25">
      <c r="A758" s="7"/>
      <c r="E758" s="7"/>
      <c r="F758" s="7"/>
    </row>
    <row r="759" spans="1:6" x14ac:dyDescent="0.25">
      <c r="A759" s="7"/>
      <c r="E759" s="7"/>
      <c r="F759" s="7"/>
    </row>
    <row r="760" spans="1:6" x14ac:dyDescent="0.25">
      <c r="A760" s="7"/>
      <c r="E760" s="7"/>
      <c r="F760" s="7"/>
    </row>
    <row r="761" spans="1:6" x14ac:dyDescent="0.25">
      <c r="A761" s="7"/>
      <c r="E761" s="7"/>
      <c r="F761" s="7"/>
    </row>
    <row r="762" spans="1:6" x14ac:dyDescent="0.25">
      <c r="A762" s="7"/>
      <c r="E762" s="7"/>
      <c r="F762" s="7"/>
    </row>
    <row r="763" spans="1:6" x14ac:dyDescent="0.25">
      <c r="A763" s="7"/>
      <c r="E763" s="7"/>
      <c r="F763" s="7"/>
    </row>
    <row r="764" spans="1:6" x14ac:dyDescent="0.25">
      <c r="A764" s="7"/>
      <c r="E764" s="7"/>
      <c r="F764" s="7"/>
    </row>
    <row r="765" spans="1:6" x14ac:dyDescent="0.25">
      <c r="A765" s="7"/>
      <c r="E765" s="7"/>
      <c r="F765" s="7"/>
    </row>
    <row r="766" spans="1:6" x14ac:dyDescent="0.25">
      <c r="A766" s="7"/>
      <c r="E766" s="7"/>
      <c r="F766" s="7"/>
    </row>
    <row r="767" spans="1:6" x14ac:dyDescent="0.25">
      <c r="A767" s="7"/>
      <c r="E767" s="7"/>
      <c r="F767" s="7"/>
    </row>
    <row r="768" spans="1:6" x14ac:dyDescent="0.25">
      <c r="A768" s="7"/>
      <c r="E768" s="7"/>
      <c r="F768" s="7"/>
    </row>
    <row r="769" spans="1:6" x14ac:dyDescent="0.25">
      <c r="A769" s="7"/>
      <c r="E769" s="7"/>
      <c r="F769" s="7"/>
    </row>
    <row r="770" spans="1:6" x14ac:dyDescent="0.25">
      <c r="A770" s="7"/>
      <c r="E770" s="7"/>
      <c r="F770" s="7"/>
    </row>
    <row r="771" spans="1:6" x14ac:dyDescent="0.25">
      <c r="A771" s="7"/>
      <c r="E771" s="7"/>
      <c r="F771" s="7"/>
    </row>
    <row r="772" spans="1:6" x14ac:dyDescent="0.25">
      <c r="A772" s="7"/>
      <c r="E772" s="7"/>
      <c r="F772" s="7"/>
    </row>
    <row r="773" spans="1:6" x14ac:dyDescent="0.25">
      <c r="A773" s="7"/>
      <c r="E773" s="7"/>
      <c r="F773" s="7"/>
    </row>
    <row r="774" spans="1:6" x14ac:dyDescent="0.25">
      <c r="A774" s="7"/>
      <c r="E774" s="7"/>
      <c r="F774" s="7"/>
    </row>
    <row r="775" spans="1:6" x14ac:dyDescent="0.25">
      <c r="A775" s="7"/>
      <c r="E775" s="7"/>
      <c r="F775" s="7"/>
    </row>
    <row r="776" spans="1:6" x14ac:dyDescent="0.25">
      <c r="A776" s="7"/>
      <c r="E776" s="7"/>
      <c r="F776" s="7"/>
    </row>
    <row r="777" spans="1:6" x14ac:dyDescent="0.25">
      <c r="A777" s="7"/>
      <c r="E777" s="7"/>
      <c r="F777" s="7"/>
    </row>
    <row r="778" spans="1:6" x14ac:dyDescent="0.25">
      <c r="A778" s="7"/>
      <c r="E778" s="7"/>
      <c r="F778" s="7"/>
    </row>
    <row r="779" spans="1:6" x14ac:dyDescent="0.25">
      <c r="A779" s="7"/>
      <c r="E779" s="7"/>
      <c r="F779" s="7"/>
    </row>
    <row r="780" spans="1:6" x14ac:dyDescent="0.25">
      <c r="A780" s="7"/>
      <c r="E780" s="7"/>
      <c r="F780" s="7"/>
    </row>
    <row r="781" spans="1:6" x14ac:dyDescent="0.25">
      <c r="A781" s="7"/>
      <c r="E781" s="7"/>
      <c r="F781" s="7"/>
    </row>
    <row r="782" spans="1:6" x14ac:dyDescent="0.25">
      <c r="A782" s="7"/>
      <c r="E782" s="7"/>
      <c r="F782" s="7"/>
    </row>
    <row r="783" spans="1:6" x14ac:dyDescent="0.25">
      <c r="A783" s="7"/>
      <c r="E783" s="7"/>
      <c r="F783" s="7"/>
    </row>
    <row r="784" spans="1:6" x14ac:dyDescent="0.25">
      <c r="A784" s="7"/>
      <c r="E784" s="7"/>
      <c r="F784" s="7"/>
    </row>
    <row r="785" spans="1:6" x14ac:dyDescent="0.25">
      <c r="A785" s="7"/>
      <c r="E785" s="7"/>
      <c r="F785" s="7"/>
    </row>
    <row r="786" spans="1:6" x14ac:dyDescent="0.25">
      <c r="A786" s="7"/>
      <c r="E786" s="7"/>
      <c r="F786" s="7"/>
    </row>
    <row r="787" spans="1:6" x14ac:dyDescent="0.25">
      <c r="A787" s="7"/>
      <c r="E787" s="7"/>
      <c r="F787" s="7"/>
    </row>
    <row r="788" spans="1:6" x14ac:dyDescent="0.25">
      <c r="A788" s="7"/>
      <c r="E788" s="7"/>
      <c r="F788" s="7"/>
    </row>
    <row r="789" spans="1:6" x14ac:dyDescent="0.25">
      <c r="A789" s="7"/>
      <c r="E789" s="7"/>
      <c r="F789" s="7"/>
    </row>
    <row r="790" spans="1:6" x14ac:dyDescent="0.25">
      <c r="A790" s="7"/>
      <c r="E790" s="7"/>
      <c r="F790" s="7"/>
    </row>
    <row r="791" spans="1:6" x14ac:dyDescent="0.25">
      <c r="A791" s="7"/>
      <c r="E791" s="7"/>
      <c r="F791" s="7"/>
    </row>
    <row r="792" spans="1:6" x14ac:dyDescent="0.25">
      <c r="A792" s="7"/>
      <c r="E792" s="7"/>
      <c r="F792" s="7"/>
    </row>
    <row r="793" spans="1:6" x14ac:dyDescent="0.25">
      <c r="A793" s="7"/>
      <c r="E793" s="7"/>
      <c r="F793" s="7"/>
    </row>
    <row r="794" spans="1:6" x14ac:dyDescent="0.25">
      <c r="A794" s="7"/>
      <c r="E794" s="7"/>
      <c r="F794" s="7"/>
    </row>
    <row r="795" spans="1:6" x14ac:dyDescent="0.25">
      <c r="A795" s="7"/>
      <c r="E795" s="7"/>
      <c r="F795" s="7"/>
    </row>
    <row r="796" spans="1:6" x14ac:dyDescent="0.25">
      <c r="A796" s="7"/>
      <c r="E796" s="7"/>
      <c r="F796" s="7"/>
    </row>
    <row r="797" spans="1:6" x14ac:dyDescent="0.25">
      <c r="A797" s="7"/>
      <c r="E797" s="7"/>
      <c r="F797" s="7"/>
    </row>
    <row r="798" spans="1:6" x14ac:dyDescent="0.25">
      <c r="A798" s="7"/>
      <c r="E798" s="7"/>
      <c r="F798" s="7"/>
    </row>
    <row r="799" spans="1:6" x14ac:dyDescent="0.25">
      <c r="A799" s="7"/>
      <c r="E799" s="7"/>
      <c r="F799" s="7"/>
    </row>
    <row r="800" spans="1:6" x14ac:dyDescent="0.25">
      <c r="A800" s="7"/>
      <c r="E800" s="7"/>
      <c r="F800" s="7"/>
    </row>
    <row r="801" spans="1:6" x14ac:dyDescent="0.25">
      <c r="A801" s="7"/>
      <c r="E801" s="7"/>
      <c r="F801" s="7"/>
    </row>
    <row r="802" spans="1:6" x14ac:dyDescent="0.25">
      <c r="A802" s="7"/>
      <c r="E802" s="7"/>
      <c r="F802" s="7"/>
    </row>
    <row r="803" spans="1:6" x14ac:dyDescent="0.25">
      <c r="A803" s="7"/>
      <c r="E803" s="7"/>
      <c r="F803" s="7"/>
    </row>
    <row r="804" spans="1:6" x14ac:dyDescent="0.25">
      <c r="A804" s="7"/>
      <c r="E804" s="7"/>
      <c r="F804" s="7"/>
    </row>
    <row r="805" spans="1:6" x14ac:dyDescent="0.25">
      <c r="A805" s="7"/>
      <c r="E805" s="7"/>
      <c r="F805" s="7"/>
    </row>
    <row r="806" spans="1:6" x14ac:dyDescent="0.25">
      <c r="A806" s="7"/>
      <c r="E806" s="7"/>
      <c r="F806" s="7"/>
    </row>
    <row r="807" spans="1:6" x14ac:dyDescent="0.25">
      <c r="A807" s="7"/>
      <c r="E807" s="7"/>
      <c r="F807" s="7"/>
    </row>
    <row r="808" spans="1:6" x14ac:dyDescent="0.25">
      <c r="A808" s="7"/>
      <c r="E808" s="7"/>
      <c r="F808" s="7"/>
    </row>
    <row r="809" spans="1:6" x14ac:dyDescent="0.25">
      <c r="A809" s="7"/>
      <c r="E809" s="7"/>
      <c r="F809" s="7"/>
    </row>
    <row r="810" spans="1:6" x14ac:dyDescent="0.25">
      <c r="A810" s="7"/>
      <c r="E810" s="7"/>
      <c r="F810" s="7"/>
    </row>
    <row r="811" spans="1:6" x14ac:dyDescent="0.25">
      <c r="A811" s="7"/>
      <c r="E811" s="7"/>
      <c r="F811" s="7"/>
    </row>
    <row r="812" spans="1:6" x14ac:dyDescent="0.25">
      <c r="A812" s="7"/>
      <c r="E812" s="7"/>
      <c r="F812" s="7"/>
    </row>
    <row r="813" spans="1:6" x14ac:dyDescent="0.25">
      <c r="A813" s="7"/>
      <c r="E813" s="7"/>
      <c r="F813" s="7"/>
    </row>
    <row r="814" spans="1:6" x14ac:dyDescent="0.25">
      <c r="A814" s="7"/>
      <c r="E814" s="7"/>
      <c r="F814" s="7"/>
    </row>
    <row r="815" spans="1:6" x14ac:dyDescent="0.25">
      <c r="A815" s="7"/>
      <c r="E815" s="7"/>
      <c r="F815" s="7"/>
    </row>
    <row r="816" spans="1:6" x14ac:dyDescent="0.25">
      <c r="A816" s="7"/>
      <c r="E816" s="7"/>
      <c r="F816" s="7"/>
    </row>
    <row r="817" spans="1:6" x14ac:dyDescent="0.25">
      <c r="A817" s="7"/>
      <c r="E817" s="7"/>
      <c r="F817" s="7"/>
    </row>
    <row r="818" spans="1:6" x14ac:dyDescent="0.25">
      <c r="A818" s="7"/>
      <c r="E818" s="7"/>
      <c r="F818" s="7"/>
    </row>
    <row r="819" spans="1:6" x14ac:dyDescent="0.25">
      <c r="A819" s="7"/>
      <c r="E819" s="7"/>
      <c r="F819" s="7"/>
    </row>
    <row r="820" spans="1:6" x14ac:dyDescent="0.25">
      <c r="A820" s="7"/>
      <c r="E820" s="7"/>
      <c r="F820" s="7"/>
    </row>
    <row r="821" spans="1:6" x14ac:dyDescent="0.25">
      <c r="A821" s="7"/>
      <c r="E821" s="7"/>
      <c r="F821" s="7"/>
    </row>
    <row r="822" spans="1:6" x14ac:dyDescent="0.25">
      <c r="A822" s="7"/>
      <c r="E822" s="7"/>
      <c r="F822" s="7"/>
    </row>
    <row r="823" spans="1:6" x14ac:dyDescent="0.25">
      <c r="A823" s="7"/>
      <c r="E823" s="7"/>
      <c r="F823" s="7"/>
    </row>
    <row r="824" spans="1:6" x14ac:dyDescent="0.25">
      <c r="A824" s="7"/>
      <c r="E824" s="7"/>
      <c r="F824" s="7"/>
    </row>
    <row r="825" spans="1:6" x14ac:dyDescent="0.25">
      <c r="A825" s="7"/>
      <c r="E825" s="7"/>
      <c r="F825" s="7"/>
    </row>
    <row r="826" spans="1:6" x14ac:dyDescent="0.25">
      <c r="A826" s="7"/>
      <c r="E826" s="7"/>
      <c r="F826" s="7"/>
    </row>
    <row r="827" spans="1:6" x14ac:dyDescent="0.25">
      <c r="A827" s="7"/>
      <c r="E827" s="7"/>
      <c r="F827" s="7"/>
    </row>
    <row r="828" spans="1:6" x14ac:dyDescent="0.25">
      <c r="A828" s="7"/>
      <c r="E828" s="7"/>
      <c r="F828" s="7"/>
    </row>
    <row r="829" spans="1:6" x14ac:dyDescent="0.25">
      <c r="A829" s="7"/>
      <c r="E829" s="7"/>
      <c r="F829" s="7"/>
    </row>
    <row r="830" spans="1:6" x14ac:dyDescent="0.25">
      <c r="A830" s="7"/>
      <c r="E830" s="7"/>
      <c r="F830" s="7"/>
    </row>
    <row r="831" spans="1:6" x14ac:dyDescent="0.25">
      <c r="A831" s="7"/>
      <c r="E831" s="7"/>
      <c r="F831" s="7"/>
    </row>
    <row r="832" spans="1:6" x14ac:dyDescent="0.25">
      <c r="A832" s="7"/>
      <c r="E832" s="7"/>
      <c r="F832" s="7"/>
    </row>
    <row r="833" spans="1:6" x14ac:dyDescent="0.25">
      <c r="A833" s="7"/>
      <c r="E833" s="7"/>
      <c r="F833" s="7"/>
    </row>
    <row r="834" spans="1:6" x14ac:dyDescent="0.25">
      <c r="A834" s="7"/>
      <c r="E834" s="7"/>
      <c r="F834" s="7"/>
    </row>
    <row r="835" spans="1:6" x14ac:dyDescent="0.25">
      <c r="A835" s="7"/>
      <c r="E835" s="7"/>
      <c r="F835" s="7"/>
    </row>
    <row r="836" spans="1:6" x14ac:dyDescent="0.25">
      <c r="A836" s="7"/>
      <c r="E836" s="7"/>
      <c r="F836" s="7"/>
    </row>
    <row r="837" spans="1:6" x14ac:dyDescent="0.25">
      <c r="A837" s="7"/>
      <c r="E837" s="7"/>
      <c r="F837" s="7"/>
    </row>
    <row r="838" spans="1:6" x14ac:dyDescent="0.25">
      <c r="A838" s="7"/>
      <c r="E838" s="7"/>
      <c r="F838" s="7"/>
    </row>
    <row r="839" spans="1:6" x14ac:dyDescent="0.25">
      <c r="A839" s="7"/>
      <c r="E839" s="7"/>
      <c r="F839" s="7"/>
    </row>
    <row r="840" spans="1:6" x14ac:dyDescent="0.25">
      <c r="A840" s="7"/>
      <c r="E840" s="7"/>
      <c r="F840" s="7"/>
    </row>
    <row r="841" spans="1:6" x14ac:dyDescent="0.25">
      <c r="A841" s="7"/>
      <c r="E841" s="7"/>
      <c r="F841" s="7"/>
    </row>
    <row r="842" spans="1:6" x14ac:dyDescent="0.25">
      <c r="A842" s="7"/>
      <c r="E842" s="7"/>
      <c r="F842" s="7"/>
    </row>
    <row r="843" spans="1:6" x14ac:dyDescent="0.25">
      <c r="A843" s="7"/>
      <c r="E843" s="7"/>
      <c r="F843" s="7"/>
    </row>
    <row r="844" spans="1:6" x14ac:dyDescent="0.25">
      <c r="A844" s="7"/>
      <c r="E844" s="7"/>
      <c r="F844" s="7"/>
    </row>
    <row r="845" spans="1:6" x14ac:dyDescent="0.25">
      <c r="A845" s="7"/>
      <c r="E845" s="7"/>
      <c r="F845" s="7"/>
    </row>
    <row r="846" spans="1:6" x14ac:dyDescent="0.25">
      <c r="A846" s="7"/>
      <c r="E846" s="7"/>
      <c r="F846" s="7"/>
    </row>
    <row r="847" spans="1:6" x14ac:dyDescent="0.25">
      <c r="A847" s="7"/>
      <c r="E847" s="7"/>
      <c r="F847" s="7"/>
    </row>
    <row r="848" spans="1:6" x14ac:dyDescent="0.25">
      <c r="A848" s="7"/>
      <c r="E848" s="7"/>
      <c r="F848" s="7"/>
    </row>
    <row r="849" spans="1:6" x14ac:dyDescent="0.25">
      <c r="A849" s="7"/>
      <c r="E849" s="7"/>
      <c r="F849" s="7"/>
    </row>
    <row r="850" spans="1:6" x14ac:dyDescent="0.25">
      <c r="A850" s="7"/>
      <c r="E850" s="7"/>
      <c r="F850" s="7"/>
    </row>
    <row r="851" spans="1:6" x14ac:dyDescent="0.25">
      <c r="A851" s="7"/>
      <c r="E851" s="7"/>
      <c r="F851" s="7"/>
    </row>
    <row r="852" spans="1:6" x14ac:dyDescent="0.25">
      <c r="A852" s="7"/>
      <c r="E852" s="7"/>
      <c r="F852" s="7"/>
    </row>
    <row r="853" spans="1:6" x14ac:dyDescent="0.25">
      <c r="A853" s="7"/>
      <c r="E853" s="7"/>
      <c r="F853" s="7"/>
    </row>
    <row r="854" spans="1:6" x14ac:dyDescent="0.25">
      <c r="A854" s="7"/>
      <c r="E854" s="7"/>
      <c r="F854" s="7"/>
    </row>
    <row r="855" spans="1:6" x14ac:dyDescent="0.25">
      <c r="A855" s="7"/>
      <c r="E855" s="7"/>
      <c r="F855" s="7"/>
    </row>
    <row r="856" spans="1:6" x14ac:dyDescent="0.25">
      <c r="A856" s="7"/>
      <c r="E856" s="7"/>
      <c r="F856" s="7"/>
    </row>
    <row r="857" spans="1:6" x14ac:dyDescent="0.25">
      <c r="A857" s="7"/>
      <c r="E857" s="7"/>
      <c r="F857" s="7"/>
    </row>
    <row r="858" spans="1:6" x14ac:dyDescent="0.25">
      <c r="A858" s="7"/>
      <c r="E858" s="7"/>
      <c r="F858" s="7"/>
    </row>
    <row r="859" spans="1:6" x14ac:dyDescent="0.25">
      <c r="A859" s="7"/>
      <c r="E859" s="7"/>
      <c r="F859" s="7"/>
    </row>
    <row r="860" spans="1:6" x14ac:dyDescent="0.25">
      <c r="A860" s="7"/>
      <c r="E860" s="7"/>
      <c r="F860" s="7"/>
    </row>
    <row r="861" spans="1:6" x14ac:dyDescent="0.25">
      <c r="A861" s="7"/>
      <c r="E861" s="7"/>
      <c r="F861" s="7"/>
    </row>
    <row r="862" spans="1:6" x14ac:dyDescent="0.25">
      <c r="A862" s="7"/>
      <c r="E862" s="7"/>
      <c r="F862" s="7"/>
    </row>
    <row r="863" spans="1:6" x14ac:dyDescent="0.25">
      <c r="A863" s="7"/>
      <c r="E863" s="7"/>
      <c r="F863" s="7"/>
    </row>
    <row r="864" spans="1:6" x14ac:dyDescent="0.25">
      <c r="A864" s="7"/>
      <c r="E864" s="7"/>
      <c r="F864" s="7"/>
    </row>
    <row r="865" spans="1:6" x14ac:dyDescent="0.25">
      <c r="A865" s="7"/>
      <c r="E865" s="7"/>
      <c r="F865" s="7"/>
    </row>
    <row r="866" spans="1:6" x14ac:dyDescent="0.25">
      <c r="A866" s="7"/>
      <c r="E866" s="7"/>
      <c r="F866" s="7"/>
    </row>
    <row r="867" spans="1:6" x14ac:dyDescent="0.25">
      <c r="A867" s="7"/>
      <c r="E867" s="7"/>
      <c r="F867" s="7"/>
    </row>
    <row r="868" spans="1:6" x14ac:dyDescent="0.25">
      <c r="A868" s="7"/>
      <c r="E868" s="7"/>
      <c r="F868" s="7"/>
    </row>
    <row r="869" spans="1:6" x14ac:dyDescent="0.25">
      <c r="A869" s="7"/>
      <c r="E869" s="7"/>
      <c r="F869" s="7"/>
    </row>
    <row r="870" spans="1:6" x14ac:dyDescent="0.25">
      <c r="A870" s="7"/>
      <c r="E870" s="7"/>
      <c r="F870" s="7"/>
    </row>
    <row r="871" spans="1:6" x14ac:dyDescent="0.25">
      <c r="A871" s="7"/>
      <c r="E871" s="7"/>
      <c r="F871" s="7"/>
    </row>
    <row r="872" spans="1:6" x14ac:dyDescent="0.25">
      <c r="A872" s="7"/>
      <c r="E872" s="7"/>
      <c r="F872" s="7"/>
    </row>
    <row r="873" spans="1:6" x14ac:dyDescent="0.25">
      <c r="A873" s="7"/>
      <c r="E873" s="7"/>
      <c r="F873" s="7"/>
    </row>
    <row r="874" spans="1:6" x14ac:dyDescent="0.25">
      <c r="A874" s="7"/>
      <c r="E874" s="7"/>
      <c r="F874" s="7"/>
    </row>
    <row r="875" spans="1:6" x14ac:dyDescent="0.25">
      <c r="A875" s="7"/>
      <c r="E875" s="7"/>
      <c r="F875" s="7"/>
    </row>
    <row r="876" spans="1:6" x14ac:dyDescent="0.25">
      <c r="A876" s="7"/>
      <c r="E876" s="7"/>
      <c r="F876" s="7"/>
    </row>
    <row r="877" spans="1:6" x14ac:dyDescent="0.25">
      <c r="A877" s="7"/>
      <c r="E877" s="7"/>
      <c r="F877" s="7"/>
    </row>
    <row r="878" spans="1:6" x14ac:dyDescent="0.25">
      <c r="A878" s="7"/>
      <c r="E878" s="7"/>
      <c r="F878" s="7"/>
    </row>
    <row r="879" spans="1:6" x14ac:dyDescent="0.25">
      <c r="A879" s="7"/>
      <c r="E879" s="7"/>
      <c r="F879" s="7"/>
    </row>
    <row r="880" spans="1:6" x14ac:dyDescent="0.25">
      <c r="A880" s="7"/>
      <c r="E880" s="7"/>
      <c r="F880" s="7"/>
    </row>
    <row r="881" spans="1:6" x14ac:dyDescent="0.25">
      <c r="A881" s="7"/>
      <c r="E881" s="7"/>
      <c r="F881" s="7"/>
    </row>
    <row r="882" spans="1:6" x14ac:dyDescent="0.25">
      <c r="A882" s="7"/>
      <c r="E882" s="7"/>
      <c r="F882" s="7"/>
    </row>
    <row r="883" spans="1:6" x14ac:dyDescent="0.25">
      <c r="A883" s="7"/>
      <c r="E883" s="7"/>
      <c r="F883" s="7"/>
    </row>
    <row r="884" spans="1:6" x14ac:dyDescent="0.25">
      <c r="A884" s="7"/>
      <c r="E884" s="7"/>
      <c r="F884" s="7"/>
    </row>
    <row r="885" spans="1:6" x14ac:dyDescent="0.25">
      <c r="A885" s="7"/>
      <c r="E885" s="7"/>
      <c r="F885" s="7"/>
    </row>
    <row r="886" spans="1:6" x14ac:dyDescent="0.25">
      <c r="A886" s="7"/>
      <c r="E886" s="7"/>
      <c r="F886" s="7"/>
    </row>
    <row r="887" spans="1:6" x14ac:dyDescent="0.25">
      <c r="A887" s="7"/>
      <c r="E887" s="7"/>
      <c r="F887" s="7"/>
    </row>
    <row r="888" spans="1:6" x14ac:dyDescent="0.25">
      <c r="A888" s="7"/>
      <c r="E888" s="7"/>
      <c r="F888" s="7"/>
    </row>
    <row r="889" spans="1:6" x14ac:dyDescent="0.25">
      <c r="A889" s="7"/>
      <c r="E889" s="7"/>
      <c r="F889" s="7"/>
    </row>
    <row r="890" spans="1:6" x14ac:dyDescent="0.25">
      <c r="A890" s="7"/>
      <c r="E890" s="7"/>
      <c r="F890" s="7"/>
    </row>
    <row r="891" spans="1:6" x14ac:dyDescent="0.25">
      <c r="A891" s="7"/>
      <c r="E891" s="7"/>
      <c r="F891" s="7"/>
    </row>
    <row r="892" spans="1:6" x14ac:dyDescent="0.25">
      <c r="A892" s="7"/>
      <c r="E892" s="7"/>
      <c r="F892" s="7"/>
    </row>
    <row r="893" spans="1:6" x14ac:dyDescent="0.25">
      <c r="A893" s="7"/>
      <c r="E893" s="7"/>
      <c r="F893" s="7"/>
    </row>
    <row r="894" spans="1:6" x14ac:dyDescent="0.25">
      <c r="A894" s="7"/>
      <c r="E894" s="7"/>
      <c r="F894" s="7"/>
    </row>
    <row r="895" spans="1:6" x14ac:dyDescent="0.25">
      <c r="A895" s="7"/>
      <c r="E895" s="7"/>
      <c r="F895" s="7"/>
    </row>
    <row r="896" spans="1:6" x14ac:dyDescent="0.25">
      <c r="A896" s="7"/>
      <c r="E896" s="7"/>
      <c r="F896" s="7"/>
    </row>
    <row r="897" spans="1:6" x14ac:dyDescent="0.25">
      <c r="A897" s="7"/>
      <c r="E897" s="7"/>
      <c r="F897" s="7"/>
    </row>
    <row r="898" spans="1:6" x14ac:dyDescent="0.25">
      <c r="A898" s="7"/>
      <c r="E898" s="7"/>
      <c r="F898" s="7"/>
    </row>
    <row r="899" spans="1:6" x14ac:dyDescent="0.25">
      <c r="A899" s="7"/>
      <c r="E899" s="7"/>
      <c r="F899" s="7"/>
    </row>
    <row r="900" spans="1:6" x14ac:dyDescent="0.25">
      <c r="A900" s="7"/>
      <c r="E900" s="7"/>
      <c r="F900" s="7"/>
    </row>
    <row r="901" spans="1:6" x14ac:dyDescent="0.25">
      <c r="A901" s="7"/>
      <c r="E901" s="7"/>
      <c r="F901" s="7"/>
    </row>
    <row r="902" spans="1:6" x14ac:dyDescent="0.25">
      <c r="A902" s="7"/>
      <c r="E902" s="7"/>
      <c r="F902" s="7"/>
    </row>
    <row r="903" spans="1:6" x14ac:dyDescent="0.25">
      <c r="A903" s="7"/>
      <c r="E903" s="7"/>
      <c r="F903" s="7"/>
    </row>
    <row r="904" spans="1:6" x14ac:dyDescent="0.25">
      <c r="A904" s="7"/>
      <c r="E904" s="7"/>
      <c r="F904" s="7"/>
    </row>
    <row r="905" spans="1:6" x14ac:dyDescent="0.25">
      <c r="A905" s="7"/>
      <c r="E905" s="7"/>
      <c r="F905" s="7"/>
    </row>
    <row r="906" spans="1:6" x14ac:dyDescent="0.25">
      <c r="A906" s="7"/>
      <c r="E906" s="7"/>
      <c r="F906" s="7"/>
    </row>
    <row r="907" spans="1:6" x14ac:dyDescent="0.25">
      <c r="A907" s="7"/>
      <c r="E907" s="7"/>
      <c r="F907" s="7"/>
    </row>
    <row r="908" spans="1:6" x14ac:dyDescent="0.25">
      <c r="A908" s="7"/>
      <c r="E908" s="7"/>
      <c r="F908" s="7"/>
    </row>
    <row r="909" spans="1:6" x14ac:dyDescent="0.25">
      <c r="A909" s="7"/>
      <c r="E909" s="7"/>
      <c r="F909" s="7"/>
    </row>
    <row r="910" spans="1:6" x14ac:dyDescent="0.25">
      <c r="A910" s="7"/>
      <c r="E910" s="7"/>
      <c r="F910" s="7"/>
    </row>
    <row r="911" spans="1:6" x14ac:dyDescent="0.25">
      <c r="A911" s="7"/>
      <c r="E911" s="7"/>
      <c r="F911" s="7"/>
    </row>
    <row r="912" spans="1:6" x14ac:dyDescent="0.25">
      <c r="A912" s="7"/>
      <c r="E912" s="7"/>
      <c r="F912" s="7"/>
    </row>
    <row r="913" spans="1:6" x14ac:dyDescent="0.25">
      <c r="A913" s="7"/>
      <c r="E913" s="7"/>
      <c r="F913" s="7"/>
    </row>
    <row r="914" spans="1:6" x14ac:dyDescent="0.25">
      <c r="A914" s="7"/>
      <c r="E914" s="7"/>
      <c r="F914" s="7"/>
    </row>
    <row r="915" spans="1:6" x14ac:dyDescent="0.25">
      <c r="A915" s="7"/>
      <c r="E915" s="7"/>
      <c r="F915" s="7"/>
    </row>
    <row r="916" spans="1:6" x14ac:dyDescent="0.25">
      <c r="A916" s="7"/>
      <c r="E916" s="7"/>
      <c r="F916" s="7"/>
    </row>
    <row r="917" spans="1:6" x14ac:dyDescent="0.25">
      <c r="A917" s="7"/>
      <c r="E917" s="7"/>
      <c r="F917" s="7"/>
    </row>
    <row r="918" spans="1:6" x14ac:dyDescent="0.25">
      <c r="A918" s="7"/>
      <c r="E918" s="7"/>
      <c r="F918" s="7"/>
    </row>
    <row r="919" spans="1:6" x14ac:dyDescent="0.25">
      <c r="A919" s="7"/>
      <c r="E919" s="7"/>
      <c r="F919" s="7"/>
    </row>
    <row r="920" spans="1:6" x14ac:dyDescent="0.25">
      <c r="A920" s="7"/>
      <c r="E920" s="7"/>
      <c r="F920" s="7"/>
    </row>
    <row r="921" spans="1:6" x14ac:dyDescent="0.25">
      <c r="A921" s="7"/>
      <c r="E921" s="7"/>
      <c r="F921" s="7"/>
    </row>
    <row r="922" spans="1:6" x14ac:dyDescent="0.25">
      <c r="A922" s="7"/>
      <c r="E922" s="7"/>
      <c r="F922" s="7"/>
    </row>
    <row r="923" spans="1:6" x14ac:dyDescent="0.25">
      <c r="A923" s="7"/>
      <c r="E923" s="7"/>
      <c r="F923" s="7"/>
    </row>
    <row r="924" spans="1:6" x14ac:dyDescent="0.25">
      <c r="A924" s="7"/>
      <c r="E924" s="7"/>
      <c r="F924" s="7"/>
    </row>
    <row r="925" spans="1:6" x14ac:dyDescent="0.25">
      <c r="A925" s="7"/>
      <c r="E925" s="7"/>
      <c r="F925" s="7"/>
    </row>
    <row r="926" spans="1:6" x14ac:dyDescent="0.25">
      <c r="A926" s="7"/>
      <c r="E926" s="7"/>
      <c r="F926" s="7"/>
    </row>
    <row r="927" spans="1:6" x14ac:dyDescent="0.25">
      <c r="A927" s="7"/>
      <c r="E927" s="7"/>
      <c r="F927" s="7"/>
    </row>
    <row r="928" spans="1:6" x14ac:dyDescent="0.25">
      <c r="A928" s="7"/>
      <c r="E928" s="7"/>
      <c r="F928" s="7"/>
    </row>
    <row r="929" spans="1:6" x14ac:dyDescent="0.25">
      <c r="A929" s="7"/>
      <c r="E929" s="7"/>
      <c r="F929" s="7"/>
    </row>
    <row r="930" spans="1:6" x14ac:dyDescent="0.25">
      <c r="A930" s="7"/>
      <c r="E930" s="7"/>
      <c r="F930" s="7"/>
    </row>
    <row r="931" spans="1:6" x14ac:dyDescent="0.25">
      <c r="A931" s="7"/>
      <c r="E931" s="7"/>
      <c r="F931" s="7"/>
    </row>
    <row r="932" spans="1:6" x14ac:dyDescent="0.25">
      <c r="A932" s="7"/>
      <c r="E932" s="7"/>
      <c r="F932" s="7"/>
    </row>
    <row r="933" spans="1:6" x14ac:dyDescent="0.25">
      <c r="A933" s="7"/>
      <c r="E933" s="7"/>
      <c r="F933" s="7"/>
    </row>
    <row r="934" spans="1:6" x14ac:dyDescent="0.25">
      <c r="A934" s="7"/>
      <c r="E934" s="7"/>
      <c r="F934" s="7"/>
    </row>
    <row r="935" spans="1:6" x14ac:dyDescent="0.25">
      <c r="A935" s="7"/>
      <c r="E935" s="7"/>
      <c r="F935" s="7"/>
    </row>
    <row r="936" spans="1:6" x14ac:dyDescent="0.25">
      <c r="A936" s="7"/>
      <c r="E936" s="7"/>
      <c r="F936" s="7"/>
    </row>
    <row r="937" spans="1:6" x14ac:dyDescent="0.25">
      <c r="A937" s="7"/>
      <c r="E937" s="7"/>
      <c r="F937" s="7"/>
    </row>
    <row r="938" spans="1:6" x14ac:dyDescent="0.25">
      <c r="A938" s="7"/>
      <c r="E938" s="7"/>
      <c r="F938" s="7"/>
    </row>
    <row r="939" spans="1:6" x14ac:dyDescent="0.25">
      <c r="A939" s="7"/>
      <c r="E939" s="7"/>
      <c r="F939" s="7"/>
    </row>
    <row r="940" spans="1:6" x14ac:dyDescent="0.25">
      <c r="A940" s="7"/>
      <c r="E940" s="7"/>
      <c r="F940" s="7"/>
    </row>
    <row r="941" spans="1:6" x14ac:dyDescent="0.25">
      <c r="A941" s="7"/>
      <c r="E941" s="7"/>
      <c r="F941" s="7"/>
    </row>
    <row r="942" spans="1:6" x14ac:dyDescent="0.25">
      <c r="A942" s="7"/>
      <c r="E942" s="7"/>
      <c r="F942" s="7"/>
    </row>
    <row r="943" spans="1:6" x14ac:dyDescent="0.25">
      <c r="A943" s="7"/>
      <c r="E943" s="7"/>
      <c r="F943" s="7"/>
    </row>
    <row r="944" spans="1:6" x14ac:dyDescent="0.25">
      <c r="A944" s="7"/>
      <c r="E944" s="7"/>
      <c r="F944" s="7"/>
    </row>
    <row r="945" spans="1:6" x14ac:dyDescent="0.25">
      <c r="A945" s="7"/>
      <c r="E945" s="7"/>
      <c r="F945" s="7"/>
    </row>
    <row r="946" spans="1:6" x14ac:dyDescent="0.25">
      <c r="A946" s="7"/>
      <c r="E946" s="7"/>
      <c r="F946" s="7"/>
    </row>
    <row r="947" spans="1:6" x14ac:dyDescent="0.25">
      <c r="A947" s="7"/>
      <c r="E947" s="7"/>
      <c r="F947" s="7"/>
    </row>
    <row r="948" spans="1:6" x14ac:dyDescent="0.25">
      <c r="A948" s="7"/>
      <c r="E948" s="7"/>
      <c r="F948" s="7"/>
    </row>
    <row r="949" spans="1:6" x14ac:dyDescent="0.25">
      <c r="A949" s="7"/>
      <c r="E949" s="7"/>
      <c r="F949" s="7"/>
    </row>
    <row r="950" spans="1:6" x14ac:dyDescent="0.25">
      <c r="A950" s="7"/>
      <c r="E950" s="7"/>
      <c r="F950" s="7"/>
    </row>
    <row r="951" spans="1:6" x14ac:dyDescent="0.25">
      <c r="A951" s="7"/>
      <c r="E951" s="7"/>
      <c r="F951" s="7"/>
    </row>
    <row r="952" spans="1:6" x14ac:dyDescent="0.25">
      <c r="A952" s="7"/>
      <c r="E952" s="7"/>
      <c r="F952" s="7"/>
    </row>
    <row r="953" spans="1:6" x14ac:dyDescent="0.25">
      <c r="A953" s="7"/>
      <c r="E953" s="7"/>
      <c r="F953" s="7"/>
    </row>
    <row r="954" spans="1:6" x14ac:dyDescent="0.25">
      <c r="A954" s="7"/>
      <c r="E954" s="7"/>
      <c r="F954" s="7"/>
    </row>
    <row r="955" spans="1:6" x14ac:dyDescent="0.25">
      <c r="A955" s="7"/>
      <c r="E955" s="7"/>
      <c r="F955" s="7"/>
    </row>
    <row r="956" spans="1:6" x14ac:dyDescent="0.25">
      <c r="A956" s="7"/>
      <c r="E956" s="7"/>
      <c r="F956" s="7"/>
    </row>
    <row r="957" spans="1:6" x14ac:dyDescent="0.25">
      <c r="A957" s="7"/>
      <c r="E957" s="7"/>
      <c r="F957" s="7"/>
    </row>
    <row r="958" spans="1:6" x14ac:dyDescent="0.25">
      <c r="A958" s="7"/>
      <c r="E958" s="7"/>
      <c r="F958" s="7"/>
    </row>
    <row r="959" spans="1:6" x14ac:dyDescent="0.25">
      <c r="A959" s="7"/>
      <c r="E959" s="7"/>
      <c r="F959" s="7"/>
    </row>
    <row r="960" spans="1:6" x14ac:dyDescent="0.25">
      <c r="A960" s="7"/>
      <c r="E960" s="7"/>
      <c r="F960" s="7"/>
    </row>
    <row r="961" spans="1:6" x14ac:dyDescent="0.25">
      <c r="A961" s="7"/>
      <c r="E961" s="7"/>
      <c r="F961" s="7"/>
    </row>
    <row r="962" spans="1:6" x14ac:dyDescent="0.25">
      <c r="A962" s="7"/>
      <c r="E962" s="7"/>
      <c r="F962" s="7"/>
    </row>
    <row r="963" spans="1:6" x14ac:dyDescent="0.25">
      <c r="A963" s="7"/>
      <c r="E963" s="7"/>
      <c r="F963" s="7"/>
    </row>
    <row r="964" spans="1:6" x14ac:dyDescent="0.25">
      <c r="A964" s="7"/>
      <c r="E964" s="7"/>
      <c r="F964" s="7"/>
    </row>
    <row r="965" spans="1:6" x14ac:dyDescent="0.25">
      <c r="A965" s="7"/>
      <c r="E965" s="7"/>
      <c r="F965" s="7"/>
    </row>
    <row r="966" spans="1:6" x14ac:dyDescent="0.25">
      <c r="A966" s="7"/>
      <c r="E966" s="7"/>
      <c r="F966" s="7"/>
    </row>
    <row r="967" spans="1:6" x14ac:dyDescent="0.25">
      <c r="A967" s="7"/>
      <c r="E967" s="7"/>
      <c r="F967" s="7"/>
    </row>
    <row r="968" spans="1:6" x14ac:dyDescent="0.25">
      <c r="A968" s="7"/>
      <c r="E968" s="7"/>
      <c r="F968" s="7"/>
    </row>
    <row r="969" spans="1:6" x14ac:dyDescent="0.25">
      <c r="A969" s="7"/>
      <c r="E969" s="7"/>
      <c r="F969" s="7"/>
    </row>
    <row r="970" spans="1:6" x14ac:dyDescent="0.25">
      <c r="A970" s="7"/>
      <c r="E970" s="7"/>
      <c r="F970" s="7"/>
    </row>
    <row r="971" spans="1:6" x14ac:dyDescent="0.25">
      <c r="A971" s="7"/>
      <c r="E971" s="7"/>
      <c r="F971" s="7"/>
    </row>
    <row r="972" spans="1:6" x14ac:dyDescent="0.25">
      <c r="A972" s="7"/>
      <c r="E972" s="7"/>
      <c r="F972" s="7"/>
    </row>
    <row r="973" spans="1:6" x14ac:dyDescent="0.25">
      <c r="A973" s="7"/>
      <c r="E973" s="7"/>
      <c r="F973" s="7"/>
    </row>
    <row r="974" spans="1:6" x14ac:dyDescent="0.25">
      <c r="A974" s="7"/>
      <c r="E974" s="7"/>
      <c r="F974" s="7"/>
    </row>
    <row r="975" spans="1:6" x14ac:dyDescent="0.25">
      <c r="A975" s="7"/>
      <c r="E975" s="7"/>
      <c r="F975" s="7"/>
    </row>
    <row r="976" spans="1:6" x14ac:dyDescent="0.25">
      <c r="A976" s="7"/>
      <c r="E976" s="7"/>
      <c r="F976" s="7"/>
    </row>
    <row r="977" spans="1:6" x14ac:dyDescent="0.25">
      <c r="A977" s="7"/>
      <c r="E977" s="7"/>
      <c r="F977" s="7"/>
    </row>
    <row r="978" spans="1:6" x14ac:dyDescent="0.25">
      <c r="A978" s="7"/>
      <c r="E978" s="7"/>
      <c r="F978" s="7"/>
    </row>
    <row r="979" spans="1:6" x14ac:dyDescent="0.25">
      <c r="A979" s="7"/>
      <c r="E979" s="7"/>
      <c r="F979" s="7"/>
    </row>
    <row r="980" spans="1:6" x14ac:dyDescent="0.25">
      <c r="A980" s="7"/>
      <c r="E980" s="7"/>
      <c r="F980" s="7"/>
    </row>
    <row r="981" spans="1:6" x14ac:dyDescent="0.25">
      <c r="A981" s="7"/>
      <c r="E981" s="7"/>
      <c r="F981" s="7"/>
    </row>
    <row r="982" spans="1:6" x14ac:dyDescent="0.25">
      <c r="A982" s="7"/>
      <c r="E982" s="7"/>
      <c r="F982" s="7"/>
    </row>
    <row r="983" spans="1:6" x14ac:dyDescent="0.25">
      <c r="A983" s="7"/>
      <c r="E983" s="7"/>
      <c r="F983" s="7"/>
    </row>
    <row r="984" spans="1:6" x14ac:dyDescent="0.25">
      <c r="A984" s="7"/>
      <c r="E984" s="7"/>
      <c r="F984" s="7"/>
    </row>
    <row r="985" spans="1:6" x14ac:dyDescent="0.25">
      <c r="A985" s="7"/>
      <c r="E985" s="7"/>
      <c r="F985" s="7"/>
    </row>
    <row r="986" spans="1:6" x14ac:dyDescent="0.25">
      <c r="A986" s="7"/>
      <c r="E986" s="7"/>
      <c r="F986" s="7"/>
    </row>
    <row r="987" spans="1:6" x14ac:dyDescent="0.25">
      <c r="A987" s="7"/>
      <c r="E987" s="7"/>
      <c r="F987" s="7"/>
    </row>
    <row r="988" spans="1:6" x14ac:dyDescent="0.25">
      <c r="A988" s="7"/>
      <c r="E988" s="7"/>
      <c r="F988" s="7"/>
    </row>
    <row r="989" spans="1:6" x14ac:dyDescent="0.25">
      <c r="A989" s="7"/>
      <c r="E989" s="7"/>
      <c r="F989" s="7"/>
    </row>
    <row r="990" spans="1:6" x14ac:dyDescent="0.25">
      <c r="A990" s="7"/>
      <c r="E990" s="7"/>
      <c r="F990" s="7"/>
    </row>
    <row r="991" spans="1:6" x14ac:dyDescent="0.25">
      <c r="A991" s="7"/>
      <c r="E991" s="7"/>
      <c r="F991" s="7"/>
    </row>
    <row r="992" spans="1:6" x14ac:dyDescent="0.25">
      <c r="A992" s="7"/>
      <c r="E992" s="7"/>
      <c r="F992" s="7"/>
    </row>
    <row r="993" spans="1:6" x14ac:dyDescent="0.25">
      <c r="A993" s="7"/>
      <c r="E993" s="7"/>
      <c r="F993" s="7"/>
    </row>
    <row r="994" spans="1:6" x14ac:dyDescent="0.25">
      <c r="A994" s="7"/>
      <c r="E994" s="7"/>
      <c r="F994" s="7"/>
    </row>
    <row r="995" spans="1:6" x14ac:dyDescent="0.25">
      <c r="A995" s="7"/>
      <c r="E995" s="7"/>
      <c r="F995" s="7"/>
    </row>
    <row r="996" spans="1:6" x14ac:dyDescent="0.25">
      <c r="A996" s="7"/>
      <c r="E996" s="7"/>
      <c r="F996" s="7"/>
    </row>
    <row r="997" spans="1:6" x14ac:dyDescent="0.25">
      <c r="A997" s="7"/>
      <c r="E997" s="7"/>
      <c r="F997" s="7"/>
    </row>
    <row r="998" spans="1:6" x14ac:dyDescent="0.25">
      <c r="A998" s="7"/>
      <c r="E998" s="7"/>
      <c r="F998" s="7"/>
    </row>
    <row r="999" spans="1:6" x14ac:dyDescent="0.25">
      <c r="A999" s="7"/>
      <c r="E999" s="7"/>
      <c r="F999" s="7"/>
    </row>
    <row r="1000" spans="1:6" x14ac:dyDescent="0.25">
      <c r="A1000" s="7"/>
      <c r="E1000" s="7"/>
      <c r="F1000" s="7"/>
    </row>
    <row r="1001" spans="1:6" x14ac:dyDescent="0.25">
      <c r="A1001" s="7"/>
      <c r="E1001" s="7"/>
      <c r="F1001" s="7"/>
    </row>
    <row r="1002" spans="1:6" x14ac:dyDescent="0.25">
      <c r="A1002" s="7"/>
      <c r="E1002" s="7"/>
      <c r="F1002" s="7"/>
    </row>
    <row r="1003" spans="1:6" x14ac:dyDescent="0.25">
      <c r="A1003" s="7"/>
      <c r="E1003" s="7"/>
      <c r="F1003" s="7"/>
    </row>
  </sheetData>
  <mergeCells count="8">
    <mergeCell ref="A17:I17"/>
    <mergeCell ref="A1:I1"/>
    <mergeCell ref="A2:I2"/>
    <mergeCell ref="B3:C3"/>
    <mergeCell ref="A14:A15"/>
    <mergeCell ref="B14:B15"/>
    <mergeCell ref="C14:C15"/>
    <mergeCell ref="D14:D15"/>
  </mergeCells>
  <printOptions horizontalCentered="1" gridLines="1"/>
  <pageMargins left="0.25" right="0.25" top="0.75" bottom="0.75" header="0" footer="0"/>
  <pageSetup fitToHeight="0" pageOrder="overThenDown" orientation="landscape" cellComments="atEnd"/>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pageSetUpPr fitToPage="1"/>
  </sheetPr>
  <dimension ref="A1:W1004"/>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46.33203125" customWidth="1"/>
    <col min="2" max="2" width="7.33203125" customWidth="1"/>
    <col min="3" max="4" width="7.88671875" customWidth="1"/>
    <col min="5" max="5" width="22.21875" customWidth="1"/>
    <col min="6" max="6" width="14.6640625" customWidth="1"/>
  </cols>
  <sheetData>
    <row r="1" spans="1:23" x14ac:dyDescent="0.25">
      <c r="A1" s="141" t="s">
        <v>547</v>
      </c>
      <c r="B1" s="142"/>
      <c r="C1" s="142"/>
      <c r="D1" s="142"/>
      <c r="E1" s="142"/>
      <c r="F1" s="142"/>
      <c r="G1" s="142"/>
      <c r="H1" s="142"/>
      <c r="I1" s="143"/>
    </row>
    <row r="2" spans="1:23" x14ac:dyDescent="0.25">
      <c r="A2" s="144" t="s">
        <v>548</v>
      </c>
      <c r="B2" s="142"/>
      <c r="C2" s="142"/>
      <c r="D2" s="142"/>
      <c r="E2" s="142"/>
      <c r="F2" s="142"/>
      <c r="G2" s="142"/>
      <c r="H2" s="142"/>
      <c r="I2" s="143"/>
    </row>
    <row r="3" spans="1:23" x14ac:dyDescent="0.25">
      <c r="A3" s="43" t="s">
        <v>374</v>
      </c>
      <c r="B3" s="145" t="s">
        <v>408</v>
      </c>
      <c r="C3" s="143"/>
      <c r="D3" s="49" t="s">
        <v>370</v>
      </c>
      <c r="E3" s="50" t="s">
        <v>371</v>
      </c>
      <c r="F3" s="51" t="s">
        <v>372</v>
      </c>
      <c r="G3" s="52" t="s">
        <v>373</v>
      </c>
      <c r="H3" s="53" t="s">
        <v>409</v>
      </c>
      <c r="I3" s="53" t="s">
        <v>410</v>
      </c>
      <c r="J3" s="7"/>
      <c r="K3" s="7"/>
      <c r="L3" s="7"/>
      <c r="M3" s="7"/>
      <c r="N3" s="7"/>
      <c r="O3" s="7"/>
      <c r="P3" s="7"/>
      <c r="Q3" s="7"/>
      <c r="R3" s="7"/>
      <c r="S3" s="7"/>
      <c r="T3" s="7"/>
      <c r="U3" s="7"/>
      <c r="V3" s="7"/>
      <c r="W3" s="7"/>
    </row>
    <row r="4" spans="1:23" x14ac:dyDescent="0.25">
      <c r="A4" s="41" t="s">
        <v>411</v>
      </c>
      <c r="B4" s="54">
        <f>SUM(B5:B10)/6</f>
        <v>1</v>
      </c>
      <c r="C4" s="91">
        <f>D4*B4</f>
        <v>0.7</v>
      </c>
      <c r="D4" s="56">
        <v>0.7</v>
      </c>
      <c r="E4" s="57"/>
      <c r="F4" s="57"/>
      <c r="G4" s="58"/>
      <c r="H4" s="58"/>
      <c r="I4" s="58"/>
    </row>
    <row r="5" spans="1:23" x14ac:dyDescent="0.25">
      <c r="A5" s="42" t="s">
        <v>549</v>
      </c>
      <c r="B5" s="59">
        <v>1</v>
      </c>
      <c r="C5" s="60"/>
      <c r="D5" s="60"/>
      <c r="E5" s="42"/>
      <c r="F5" s="61"/>
      <c r="G5" s="59">
        <v>0.8</v>
      </c>
      <c r="H5" s="59">
        <v>0.8</v>
      </c>
      <c r="I5" s="59">
        <v>1</v>
      </c>
    </row>
    <row r="6" spans="1:23" x14ac:dyDescent="0.25">
      <c r="A6" s="42" t="s">
        <v>550</v>
      </c>
      <c r="B6" s="59">
        <v>1</v>
      </c>
      <c r="C6" s="60"/>
      <c r="D6" s="60"/>
      <c r="E6" s="42"/>
      <c r="F6" s="61"/>
      <c r="G6" s="59">
        <v>0.8</v>
      </c>
      <c r="H6" s="59">
        <v>0.8</v>
      </c>
      <c r="I6" s="59">
        <v>1</v>
      </c>
    </row>
    <row r="7" spans="1:23" x14ac:dyDescent="0.25">
      <c r="A7" s="42" t="s">
        <v>551</v>
      </c>
      <c r="B7" s="59">
        <v>1</v>
      </c>
      <c r="C7" s="60"/>
      <c r="D7" s="60"/>
      <c r="E7" s="42"/>
      <c r="F7" s="61"/>
      <c r="G7" s="59">
        <v>0.8</v>
      </c>
      <c r="H7" s="59">
        <v>0.8</v>
      </c>
      <c r="I7" s="59">
        <v>1</v>
      </c>
    </row>
    <row r="8" spans="1:23" x14ac:dyDescent="0.25">
      <c r="A8" s="42" t="s">
        <v>552</v>
      </c>
      <c r="B8" s="59">
        <v>1</v>
      </c>
      <c r="C8" s="60"/>
      <c r="D8" s="60"/>
      <c r="E8" s="42"/>
      <c r="F8" s="42"/>
      <c r="G8" s="59">
        <v>0.8</v>
      </c>
      <c r="H8" s="59">
        <v>0.8</v>
      </c>
      <c r="I8" s="59">
        <v>1</v>
      </c>
    </row>
    <row r="9" spans="1:23" x14ac:dyDescent="0.25">
      <c r="A9" s="42" t="s">
        <v>553</v>
      </c>
      <c r="B9" s="59">
        <v>1</v>
      </c>
      <c r="C9" s="60"/>
      <c r="D9" s="60"/>
      <c r="E9" s="42"/>
      <c r="F9" s="42"/>
      <c r="G9" s="59">
        <v>0.8</v>
      </c>
      <c r="H9" s="59">
        <v>0.8</v>
      </c>
      <c r="I9" s="59">
        <v>1</v>
      </c>
    </row>
    <row r="10" spans="1:23" x14ac:dyDescent="0.25">
      <c r="A10" s="42" t="s">
        <v>554</v>
      </c>
      <c r="B10" s="59">
        <v>1</v>
      </c>
      <c r="C10" s="60"/>
      <c r="D10" s="60"/>
      <c r="E10" s="42"/>
      <c r="F10" s="42"/>
      <c r="G10" s="59">
        <v>0.8</v>
      </c>
      <c r="H10" s="59">
        <v>0.8</v>
      </c>
      <c r="I10" s="59">
        <v>1</v>
      </c>
    </row>
    <row r="11" spans="1:23" x14ac:dyDescent="0.25">
      <c r="A11" s="41" t="s">
        <v>415</v>
      </c>
      <c r="B11" s="54">
        <f>SUM(B12:B13)/1</f>
        <v>1</v>
      </c>
      <c r="C11" s="91">
        <f>D11*B11</f>
        <v>0.2</v>
      </c>
      <c r="D11" s="56">
        <v>0.2</v>
      </c>
      <c r="E11" s="57"/>
      <c r="F11" s="57"/>
      <c r="G11" s="58"/>
      <c r="H11" s="58"/>
      <c r="I11" s="58"/>
    </row>
    <row r="12" spans="1:23" x14ac:dyDescent="0.25">
      <c r="A12" s="42" t="s">
        <v>555</v>
      </c>
      <c r="B12" s="59">
        <v>1</v>
      </c>
      <c r="C12" s="60"/>
      <c r="D12" s="60"/>
      <c r="E12" s="42" t="s">
        <v>556</v>
      </c>
      <c r="F12" s="42" t="s">
        <v>425</v>
      </c>
      <c r="G12" s="59">
        <v>1</v>
      </c>
      <c r="H12" s="59"/>
      <c r="I12" s="59"/>
    </row>
    <row r="13" spans="1:23" x14ac:dyDescent="0.25">
      <c r="A13" s="43"/>
      <c r="B13" s="62"/>
      <c r="C13" s="60"/>
      <c r="D13" s="60"/>
      <c r="E13" s="42"/>
      <c r="F13" s="61"/>
      <c r="G13" s="59"/>
      <c r="H13" s="59"/>
      <c r="I13" s="59"/>
    </row>
    <row r="14" spans="1:23" x14ac:dyDescent="0.25">
      <c r="A14" s="41" t="s">
        <v>385</v>
      </c>
      <c r="B14" s="54">
        <f>SUM(B15:B16)/2</f>
        <v>1</v>
      </c>
      <c r="C14" s="91">
        <f>D14*B14</f>
        <v>0.1</v>
      </c>
      <c r="D14" s="56">
        <v>0.1</v>
      </c>
      <c r="E14" s="57"/>
      <c r="F14" s="57"/>
      <c r="G14" s="58"/>
      <c r="H14" s="58"/>
      <c r="I14" s="58"/>
    </row>
    <row r="15" spans="1:23" x14ac:dyDescent="0.25">
      <c r="A15" s="42" t="s">
        <v>386</v>
      </c>
      <c r="B15" s="59">
        <v>1</v>
      </c>
      <c r="C15" s="60"/>
      <c r="D15" s="53"/>
      <c r="E15" s="42"/>
      <c r="F15" s="42" t="s">
        <v>418</v>
      </c>
      <c r="G15" s="59">
        <v>0.8</v>
      </c>
      <c r="H15" s="59">
        <v>0.8</v>
      </c>
      <c r="I15" s="59">
        <v>1</v>
      </c>
    </row>
    <row r="16" spans="1:23" x14ac:dyDescent="0.25">
      <c r="A16" s="42" t="s">
        <v>387</v>
      </c>
      <c r="B16" s="59">
        <v>1</v>
      </c>
      <c r="C16" s="92"/>
      <c r="D16" s="53"/>
      <c r="E16" s="42"/>
      <c r="F16" s="42" t="s">
        <v>419</v>
      </c>
      <c r="G16" s="59">
        <v>0.8</v>
      </c>
      <c r="H16" s="59">
        <v>0.8</v>
      </c>
      <c r="I16" s="59">
        <v>1</v>
      </c>
    </row>
    <row r="17" spans="1:10" x14ac:dyDescent="0.25">
      <c r="A17" s="42"/>
      <c r="B17" s="60"/>
      <c r="C17" s="92">
        <f t="shared" ref="C17:D17" si="0">SUM(C4+C11+C14)</f>
        <v>0.99999999999999989</v>
      </c>
      <c r="D17" s="64">
        <f t="shared" si="0"/>
        <v>0.99999999999999989</v>
      </c>
      <c r="E17" s="42"/>
      <c r="F17" s="42"/>
      <c r="G17" s="60"/>
      <c r="H17" s="60"/>
      <c r="I17" s="60"/>
    </row>
    <row r="18" spans="1:10" x14ac:dyDescent="0.25">
      <c r="A18" s="152" t="s">
        <v>557</v>
      </c>
      <c r="B18" s="142"/>
      <c r="C18" s="142"/>
      <c r="D18" s="142"/>
      <c r="E18" s="142"/>
      <c r="F18" s="142"/>
      <c r="G18" s="142"/>
      <c r="H18" s="142"/>
      <c r="I18" s="143"/>
    </row>
    <row r="19" spans="1:10" x14ac:dyDescent="0.25">
      <c r="A19" s="66" t="s">
        <v>558</v>
      </c>
      <c r="B19" s="67" t="s">
        <v>423</v>
      </c>
      <c r="C19" s="64"/>
      <c r="D19" s="64"/>
      <c r="E19" s="68" t="s">
        <v>559</v>
      </c>
      <c r="F19" s="42" t="s">
        <v>425</v>
      </c>
      <c r="G19" s="42"/>
      <c r="H19" s="60"/>
      <c r="I19" s="60"/>
      <c r="J19" s="19" t="s">
        <v>560</v>
      </c>
    </row>
    <row r="20" spans="1:10" x14ac:dyDescent="0.25">
      <c r="A20" s="66" t="s">
        <v>561</v>
      </c>
      <c r="B20" s="67" t="s">
        <v>423</v>
      </c>
      <c r="C20" s="64"/>
      <c r="D20" s="64"/>
      <c r="E20" s="68" t="s">
        <v>62</v>
      </c>
      <c r="F20" s="42" t="s">
        <v>425</v>
      </c>
      <c r="G20" s="42"/>
      <c r="H20" s="60"/>
      <c r="I20" s="60"/>
      <c r="J20" s="19" t="s">
        <v>562</v>
      </c>
    </row>
    <row r="21" spans="1:10" x14ac:dyDescent="0.25">
      <c r="A21" s="66" t="s">
        <v>563</v>
      </c>
      <c r="B21" s="67" t="s">
        <v>423</v>
      </c>
      <c r="C21" s="64"/>
      <c r="D21" s="64"/>
      <c r="E21" s="68" t="s">
        <v>99</v>
      </c>
      <c r="F21" s="42" t="s">
        <v>425</v>
      </c>
      <c r="G21" s="42"/>
      <c r="H21" s="60"/>
      <c r="I21" s="60"/>
      <c r="J21" s="19" t="s">
        <v>560</v>
      </c>
    </row>
    <row r="22" spans="1:10" x14ac:dyDescent="0.25">
      <c r="A22" s="66" t="s">
        <v>564</v>
      </c>
      <c r="B22" s="67" t="s">
        <v>427</v>
      </c>
      <c r="C22" s="64"/>
      <c r="D22" s="64"/>
      <c r="E22" s="68" t="s">
        <v>118</v>
      </c>
      <c r="F22" s="42" t="s">
        <v>425</v>
      </c>
      <c r="G22" s="42"/>
      <c r="H22" s="60"/>
      <c r="I22" s="60"/>
      <c r="J22" s="19" t="s">
        <v>565</v>
      </c>
    </row>
    <row r="23" spans="1:10" x14ac:dyDescent="0.25">
      <c r="A23" s="66" t="s">
        <v>566</v>
      </c>
      <c r="B23" s="67" t="s">
        <v>427</v>
      </c>
      <c r="C23" s="64"/>
      <c r="D23" s="64"/>
      <c r="E23" s="68" t="s">
        <v>141</v>
      </c>
      <c r="F23" s="42" t="s">
        <v>425</v>
      </c>
      <c r="G23" s="42"/>
      <c r="H23" s="60"/>
      <c r="I23" s="60"/>
      <c r="J23" s="19" t="s">
        <v>567</v>
      </c>
    </row>
    <row r="24" spans="1:10" x14ac:dyDescent="0.25">
      <c r="A24" s="7"/>
      <c r="E24" s="7"/>
      <c r="F24" s="7"/>
    </row>
    <row r="25" spans="1:10" x14ac:dyDescent="0.25">
      <c r="A25" s="7"/>
      <c r="E25" s="7"/>
      <c r="F25" s="7"/>
    </row>
    <row r="26" spans="1:10" x14ac:dyDescent="0.25">
      <c r="A26" s="7"/>
      <c r="E26" s="7"/>
      <c r="F26" s="7"/>
    </row>
    <row r="27" spans="1:10" x14ac:dyDescent="0.25">
      <c r="A27" s="7"/>
      <c r="E27" s="7"/>
      <c r="F27" s="7"/>
    </row>
    <row r="28" spans="1:10" x14ac:dyDescent="0.25">
      <c r="A28" s="7"/>
      <c r="E28" s="7"/>
      <c r="F28" s="7"/>
    </row>
    <row r="29" spans="1:10" x14ac:dyDescent="0.25">
      <c r="A29" s="7"/>
      <c r="E29" s="7"/>
      <c r="F29" s="7"/>
    </row>
    <row r="30" spans="1:10" x14ac:dyDescent="0.25">
      <c r="A30" s="7"/>
      <c r="E30" s="7"/>
      <c r="F30" s="7"/>
    </row>
    <row r="31" spans="1:10" x14ac:dyDescent="0.25">
      <c r="A31" s="7"/>
      <c r="E31" s="7"/>
      <c r="F31" s="7"/>
    </row>
    <row r="32" spans="1:10" x14ac:dyDescent="0.25">
      <c r="A32" s="7"/>
      <c r="E32" s="7"/>
      <c r="F32" s="7"/>
    </row>
    <row r="33" spans="1:6" x14ac:dyDescent="0.25">
      <c r="A33" s="7"/>
      <c r="E33" s="7"/>
      <c r="F33" s="7"/>
    </row>
    <row r="34" spans="1:6" x14ac:dyDescent="0.25">
      <c r="A34" s="7"/>
      <c r="E34" s="7"/>
      <c r="F34" s="7"/>
    </row>
    <row r="35" spans="1:6" x14ac:dyDescent="0.25">
      <c r="A35" s="7"/>
      <c r="E35" s="7"/>
      <c r="F35" s="7"/>
    </row>
    <row r="36" spans="1:6" x14ac:dyDescent="0.25">
      <c r="A36" s="7"/>
      <c r="E36" s="7"/>
      <c r="F36" s="7"/>
    </row>
    <row r="37" spans="1:6" x14ac:dyDescent="0.25">
      <c r="A37" s="7"/>
      <c r="E37" s="7"/>
      <c r="F37" s="7"/>
    </row>
    <row r="38" spans="1:6" x14ac:dyDescent="0.25">
      <c r="A38" s="7"/>
      <c r="E38" s="7"/>
      <c r="F38" s="7"/>
    </row>
    <row r="39" spans="1:6" x14ac:dyDescent="0.25">
      <c r="A39" s="7"/>
      <c r="E39" s="7"/>
      <c r="F39" s="7"/>
    </row>
    <row r="40" spans="1:6" x14ac:dyDescent="0.25">
      <c r="A40" s="7"/>
      <c r="E40" s="7"/>
      <c r="F40" s="7"/>
    </row>
    <row r="41" spans="1:6" x14ac:dyDescent="0.25">
      <c r="A41" s="7"/>
      <c r="E41" s="7"/>
      <c r="F41" s="7"/>
    </row>
    <row r="42" spans="1:6" x14ac:dyDescent="0.25">
      <c r="A42" s="7"/>
      <c r="E42" s="7"/>
      <c r="F42" s="7"/>
    </row>
    <row r="43" spans="1:6" x14ac:dyDescent="0.25">
      <c r="A43" s="7"/>
      <c r="E43" s="7"/>
      <c r="F43" s="7"/>
    </row>
    <row r="44" spans="1:6" x14ac:dyDescent="0.25">
      <c r="A44" s="7"/>
      <c r="E44" s="7"/>
      <c r="F44" s="7"/>
    </row>
    <row r="45" spans="1:6" x14ac:dyDescent="0.25">
      <c r="A45" s="7"/>
      <c r="E45" s="7"/>
      <c r="F45" s="7"/>
    </row>
    <row r="46" spans="1:6" x14ac:dyDescent="0.25">
      <c r="A46" s="7"/>
      <c r="E46" s="7"/>
      <c r="F46" s="7"/>
    </row>
    <row r="47" spans="1:6" x14ac:dyDescent="0.25">
      <c r="A47" s="7"/>
      <c r="E47" s="7"/>
      <c r="F47" s="7"/>
    </row>
    <row r="48" spans="1:6" x14ac:dyDescent="0.25">
      <c r="A48" s="7"/>
      <c r="E48" s="7"/>
      <c r="F48" s="7"/>
    </row>
    <row r="49" spans="1:6" x14ac:dyDescent="0.25">
      <c r="A49" s="7"/>
      <c r="E49" s="7"/>
      <c r="F49" s="7"/>
    </row>
    <row r="50" spans="1:6" x14ac:dyDescent="0.25">
      <c r="A50" s="7"/>
      <c r="E50" s="7"/>
      <c r="F50" s="7"/>
    </row>
    <row r="51" spans="1:6" x14ac:dyDescent="0.25">
      <c r="A51" s="7"/>
      <c r="E51" s="7"/>
      <c r="F51" s="7"/>
    </row>
    <row r="52" spans="1:6" x14ac:dyDescent="0.25">
      <c r="A52" s="7"/>
      <c r="E52" s="7"/>
      <c r="F52" s="7"/>
    </row>
    <row r="53" spans="1:6" x14ac:dyDescent="0.25">
      <c r="A53" s="7"/>
      <c r="E53" s="7"/>
      <c r="F53" s="7"/>
    </row>
    <row r="54" spans="1:6" x14ac:dyDescent="0.25">
      <c r="A54" s="7"/>
      <c r="E54" s="7"/>
      <c r="F54" s="7"/>
    </row>
    <row r="55" spans="1:6" x14ac:dyDescent="0.25">
      <c r="A55" s="7"/>
      <c r="E55" s="7"/>
      <c r="F55" s="7"/>
    </row>
    <row r="56" spans="1:6" x14ac:dyDescent="0.25">
      <c r="A56" s="7"/>
      <c r="E56" s="7"/>
      <c r="F56" s="7"/>
    </row>
    <row r="57" spans="1:6" x14ac:dyDescent="0.25">
      <c r="A57" s="7"/>
      <c r="E57" s="7"/>
      <c r="F57" s="7"/>
    </row>
    <row r="58" spans="1:6" x14ac:dyDescent="0.25">
      <c r="A58" s="7"/>
      <c r="E58" s="7"/>
      <c r="F58" s="7"/>
    </row>
    <row r="59" spans="1:6" x14ac:dyDescent="0.25">
      <c r="A59" s="7"/>
      <c r="E59" s="7"/>
      <c r="F59" s="7"/>
    </row>
    <row r="60" spans="1:6" x14ac:dyDescent="0.25">
      <c r="A60" s="7"/>
      <c r="E60" s="7"/>
      <c r="F60" s="7"/>
    </row>
    <row r="61" spans="1:6" x14ac:dyDescent="0.25">
      <c r="A61" s="7"/>
      <c r="E61" s="7"/>
      <c r="F61" s="7"/>
    </row>
    <row r="62" spans="1:6" x14ac:dyDescent="0.25">
      <c r="A62" s="7"/>
      <c r="E62" s="7"/>
      <c r="F62" s="7"/>
    </row>
    <row r="63" spans="1:6" x14ac:dyDescent="0.25">
      <c r="A63" s="7"/>
      <c r="E63" s="7"/>
      <c r="F63" s="7"/>
    </row>
    <row r="64" spans="1:6" x14ac:dyDescent="0.25">
      <c r="A64" s="7"/>
      <c r="E64" s="7"/>
      <c r="F64" s="7"/>
    </row>
    <row r="65" spans="1:6" x14ac:dyDescent="0.25">
      <c r="A65" s="7"/>
      <c r="E65" s="7"/>
      <c r="F65" s="7"/>
    </row>
    <row r="66" spans="1:6" x14ac:dyDescent="0.25">
      <c r="A66" s="7"/>
      <c r="E66" s="7"/>
      <c r="F66" s="7"/>
    </row>
    <row r="67" spans="1:6" x14ac:dyDescent="0.25">
      <c r="A67" s="7"/>
      <c r="E67" s="7"/>
      <c r="F67" s="7"/>
    </row>
    <row r="68" spans="1:6" x14ac:dyDescent="0.25">
      <c r="A68" s="7"/>
      <c r="E68" s="7"/>
      <c r="F68" s="7"/>
    </row>
    <row r="69" spans="1:6" x14ac:dyDescent="0.25">
      <c r="A69" s="7"/>
      <c r="E69" s="7"/>
      <c r="F69" s="7"/>
    </row>
    <row r="70" spans="1:6" x14ac:dyDescent="0.25">
      <c r="A70" s="7"/>
      <c r="E70" s="7"/>
      <c r="F70" s="7"/>
    </row>
    <row r="71" spans="1:6" x14ac:dyDescent="0.25">
      <c r="A71" s="7"/>
      <c r="E71" s="7"/>
      <c r="F71" s="7"/>
    </row>
    <row r="72" spans="1:6" x14ac:dyDescent="0.25">
      <c r="A72" s="7"/>
      <c r="E72" s="7"/>
      <c r="F72" s="7"/>
    </row>
    <row r="73" spans="1:6" x14ac:dyDescent="0.25">
      <c r="A73" s="7"/>
      <c r="E73" s="7"/>
      <c r="F73" s="7"/>
    </row>
    <row r="74" spans="1:6" x14ac:dyDescent="0.25">
      <c r="A74" s="7"/>
      <c r="E74" s="7"/>
      <c r="F74" s="7"/>
    </row>
    <row r="75" spans="1:6" x14ac:dyDescent="0.25">
      <c r="A75" s="7"/>
      <c r="E75" s="7"/>
      <c r="F75" s="7"/>
    </row>
    <row r="76" spans="1:6" x14ac:dyDescent="0.25">
      <c r="A76" s="7"/>
      <c r="E76" s="7"/>
      <c r="F76" s="7"/>
    </row>
    <row r="77" spans="1:6" x14ac:dyDescent="0.25">
      <c r="A77" s="7"/>
      <c r="E77" s="7"/>
      <c r="F77" s="7"/>
    </row>
    <row r="78" spans="1:6" x14ac:dyDescent="0.25">
      <c r="A78" s="7"/>
      <c r="E78" s="7"/>
      <c r="F78" s="7"/>
    </row>
    <row r="79" spans="1:6" x14ac:dyDescent="0.25">
      <c r="A79" s="7"/>
      <c r="E79" s="7"/>
      <c r="F79" s="7"/>
    </row>
    <row r="80" spans="1:6" x14ac:dyDescent="0.25">
      <c r="A80" s="7"/>
      <c r="E80" s="7"/>
      <c r="F80" s="7"/>
    </row>
    <row r="81" spans="1:6" x14ac:dyDescent="0.25">
      <c r="A81" s="7"/>
      <c r="E81" s="7"/>
      <c r="F81" s="7"/>
    </row>
    <row r="82" spans="1:6" x14ac:dyDescent="0.25">
      <c r="A82" s="7"/>
      <c r="E82" s="7"/>
      <c r="F82" s="7"/>
    </row>
    <row r="83" spans="1:6" x14ac:dyDescent="0.25">
      <c r="A83" s="7"/>
      <c r="E83" s="7"/>
      <c r="F83" s="7"/>
    </row>
    <row r="84" spans="1:6" x14ac:dyDescent="0.25">
      <c r="A84" s="7"/>
      <c r="E84" s="7"/>
      <c r="F84" s="7"/>
    </row>
    <row r="85" spans="1:6" x14ac:dyDescent="0.25">
      <c r="A85" s="7"/>
      <c r="E85" s="7"/>
      <c r="F85" s="7"/>
    </row>
    <row r="86" spans="1:6" x14ac:dyDescent="0.25">
      <c r="A86" s="7"/>
      <c r="E86" s="7"/>
      <c r="F86" s="7"/>
    </row>
    <row r="87" spans="1:6" x14ac:dyDescent="0.25">
      <c r="A87" s="7"/>
      <c r="E87" s="7"/>
      <c r="F87" s="7"/>
    </row>
    <row r="88" spans="1:6" x14ac:dyDescent="0.25">
      <c r="A88" s="7"/>
      <c r="E88" s="7"/>
      <c r="F88" s="7"/>
    </row>
    <row r="89" spans="1:6" x14ac:dyDescent="0.25">
      <c r="A89" s="7"/>
      <c r="E89" s="7"/>
      <c r="F89" s="7"/>
    </row>
    <row r="90" spans="1:6" x14ac:dyDescent="0.25">
      <c r="A90" s="7"/>
      <c r="E90" s="7"/>
      <c r="F90" s="7"/>
    </row>
    <row r="91" spans="1:6" x14ac:dyDescent="0.25">
      <c r="A91" s="7"/>
      <c r="E91" s="7"/>
      <c r="F91" s="7"/>
    </row>
    <row r="92" spans="1:6" x14ac:dyDescent="0.25">
      <c r="A92" s="7"/>
      <c r="E92" s="7"/>
      <c r="F92" s="7"/>
    </row>
    <row r="93" spans="1:6" x14ac:dyDescent="0.25">
      <c r="A93" s="7"/>
      <c r="E93" s="7"/>
      <c r="F93" s="7"/>
    </row>
    <row r="94" spans="1:6" x14ac:dyDescent="0.25">
      <c r="A94" s="7"/>
      <c r="E94" s="7"/>
      <c r="F94" s="7"/>
    </row>
    <row r="95" spans="1:6" x14ac:dyDescent="0.25">
      <c r="A95" s="7"/>
      <c r="E95" s="7"/>
      <c r="F95" s="7"/>
    </row>
    <row r="96" spans="1:6" x14ac:dyDescent="0.25">
      <c r="A96" s="7"/>
      <c r="E96" s="7"/>
      <c r="F96" s="7"/>
    </row>
    <row r="97" spans="1:6" x14ac:dyDescent="0.25">
      <c r="A97" s="7"/>
      <c r="E97" s="7"/>
      <c r="F97" s="7"/>
    </row>
    <row r="98" spans="1:6" x14ac:dyDescent="0.25">
      <c r="A98" s="7"/>
      <c r="E98" s="7"/>
      <c r="F98" s="7"/>
    </row>
    <row r="99" spans="1:6" x14ac:dyDescent="0.25">
      <c r="A99" s="7"/>
      <c r="E99" s="7"/>
      <c r="F99" s="7"/>
    </row>
    <row r="100" spans="1:6" x14ac:dyDescent="0.25">
      <c r="A100" s="7"/>
      <c r="E100" s="7"/>
      <c r="F100" s="7"/>
    </row>
    <row r="101" spans="1:6" x14ac:dyDescent="0.25">
      <c r="A101" s="7"/>
      <c r="E101" s="7"/>
      <c r="F101" s="7"/>
    </row>
    <row r="102" spans="1:6" x14ac:dyDescent="0.25">
      <c r="A102" s="7"/>
      <c r="E102" s="7"/>
      <c r="F102" s="7"/>
    </row>
    <row r="103" spans="1:6" x14ac:dyDescent="0.25">
      <c r="A103" s="7"/>
      <c r="E103" s="7"/>
      <c r="F103" s="7"/>
    </row>
    <row r="104" spans="1:6" x14ac:dyDescent="0.25">
      <c r="A104" s="7"/>
      <c r="E104" s="7"/>
      <c r="F104" s="7"/>
    </row>
    <row r="105" spans="1:6" x14ac:dyDescent="0.25">
      <c r="A105" s="7"/>
      <c r="E105" s="7"/>
      <c r="F105" s="7"/>
    </row>
    <row r="106" spans="1:6" x14ac:dyDescent="0.25">
      <c r="A106" s="7"/>
      <c r="E106" s="7"/>
      <c r="F106" s="7"/>
    </row>
    <row r="107" spans="1:6" x14ac:dyDescent="0.25">
      <c r="A107" s="7"/>
      <c r="E107" s="7"/>
      <c r="F107" s="7"/>
    </row>
    <row r="108" spans="1:6" x14ac:dyDescent="0.25">
      <c r="A108" s="7"/>
      <c r="E108" s="7"/>
      <c r="F108" s="7"/>
    </row>
    <row r="109" spans="1:6" x14ac:dyDescent="0.25">
      <c r="A109" s="7"/>
      <c r="E109" s="7"/>
      <c r="F109" s="7"/>
    </row>
    <row r="110" spans="1:6" x14ac:dyDescent="0.25">
      <c r="A110" s="7"/>
      <c r="E110" s="7"/>
      <c r="F110" s="7"/>
    </row>
    <row r="111" spans="1:6" x14ac:dyDescent="0.25">
      <c r="A111" s="7"/>
      <c r="E111" s="7"/>
      <c r="F111" s="7"/>
    </row>
    <row r="112" spans="1:6" x14ac:dyDescent="0.25">
      <c r="A112" s="7"/>
      <c r="E112" s="7"/>
      <c r="F112" s="7"/>
    </row>
    <row r="113" spans="1:6" x14ac:dyDescent="0.25">
      <c r="A113" s="7"/>
      <c r="E113" s="7"/>
      <c r="F113" s="7"/>
    </row>
    <row r="114" spans="1:6" x14ac:dyDescent="0.25">
      <c r="A114" s="7"/>
      <c r="E114" s="7"/>
      <c r="F114" s="7"/>
    </row>
    <row r="115" spans="1:6" x14ac:dyDescent="0.25">
      <c r="A115" s="7"/>
      <c r="E115" s="7"/>
      <c r="F115" s="7"/>
    </row>
    <row r="116" spans="1:6" x14ac:dyDescent="0.25">
      <c r="A116" s="7"/>
      <c r="E116" s="7"/>
      <c r="F116" s="7"/>
    </row>
    <row r="117" spans="1:6" x14ac:dyDescent="0.25">
      <c r="A117" s="7"/>
      <c r="E117" s="7"/>
      <c r="F117" s="7"/>
    </row>
    <row r="118" spans="1:6" x14ac:dyDescent="0.25">
      <c r="A118" s="7"/>
      <c r="E118" s="7"/>
      <c r="F118" s="7"/>
    </row>
    <row r="119" spans="1:6" x14ac:dyDescent="0.25">
      <c r="A119" s="7"/>
      <c r="E119" s="7"/>
      <c r="F119" s="7"/>
    </row>
    <row r="120" spans="1:6" x14ac:dyDescent="0.25">
      <c r="A120" s="7"/>
      <c r="E120" s="7"/>
      <c r="F120" s="7"/>
    </row>
    <row r="121" spans="1:6" x14ac:dyDescent="0.25">
      <c r="A121" s="7"/>
      <c r="E121" s="7"/>
      <c r="F121" s="7"/>
    </row>
    <row r="122" spans="1:6" x14ac:dyDescent="0.25">
      <c r="A122" s="7"/>
      <c r="E122" s="7"/>
      <c r="F122" s="7"/>
    </row>
    <row r="123" spans="1:6" x14ac:dyDescent="0.25">
      <c r="A123" s="7"/>
      <c r="E123" s="7"/>
      <c r="F123" s="7"/>
    </row>
    <row r="124" spans="1:6" x14ac:dyDescent="0.25">
      <c r="A124" s="7"/>
      <c r="E124" s="7"/>
      <c r="F124" s="7"/>
    </row>
    <row r="125" spans="1:6" x14ac:dyDescent="0.25">
      <c r="A125" s="7"/>
      <c r="E125" s="7"/>
      <c r="F125" s="7"/>
    </row>
    <row r="126" spans="1:6" x14ac:dyDescent="0.25">
      <c r="A126" s="7"/>
      <c r="E126" s="7"/>
      <c r="F126" s="7"/>
    </row>
    <row r="127" spans="1:6" x14ac:dyDescent="0.25">
      <c r="A127" s="7"/>
      <c r="E127" s="7"/>
      <c r="F127" s="7"/>
    </row>
    <row r="128" spans="1:6" x14ac:dyDescent="0.25">
      <c r="A128" s="7"/>
      <c r="E128" s="7"/>
      <c r="F128" s="7"/>
    </row>
    <row r="129" spans="1:6" x14ac:dyDescent="0.25">
      <c r="A129" s="7"/>
      <c r="E129" s="7"/>
      <c r="F129" s="7"/>
    </row>
    <row r="130" spans="1:6" x14ac:dyDescent="0.25">
      <c r="A130" s="7"/>
      <c r="E130" s="7"/>
      <c r="F130" s="7"/>
    </row>
    <row r="131" spans="1:6" x14ac:dyDescent="0.25">
      <c r="A131" s="7"/>
      <c r="E131" s="7"/>
      <c r="F131" s="7"/>
    </row>
    <row r="132" spans="1:6" x14ac:dyDescent="0.25">
      <c r="A132" s="7"/>
      <c r="E132" s="7"/>
      <c r="F132" s="7"/>
    </row>
    <row r="133" spans="1:6" x14ac:dyDescent="0.25">
      <c r="A133" s="7"/>
      <c r="E133" s="7"/>
      <c r="F133" s="7"/>
    </row>
    <row r="134" spans="1:6" x14ac:dyDescent="0.25">
      <c r="A134" s="7"/>
      <c r="E134" s="7"/>
      <c r="F134" s="7"/>
    </row>
    <row r="135" spans="1:6" x14ac:dyDescent="0.25">
      <c r="A135" s="7"/>
      <c r="E135" s="7"/>
      <c r="F135" s="7"/>
    </row>
    <row r="136" spans="1:6" x14ac:dyDescent="0.25">
      <c r="A136" s="7"/>
      <c r="E136" s="7"/>
      <c r="F136" s="7"/>
    </row>
    <row r="137" spans="1:6" x14ac:dyDescent="0.25">
      <c r="A137" s="7"/>
      <c r="E137" s="7"/>
      <c r="F137" s="7"/>
    </row>
    <row r="138" spans="1:6" x14ac:dyDescent="0.25">
      <c r="A138" s="7"/>
      <c r="E138" s="7"/>
      <c r="F138" s="7"/>
    </row>
    <row r="139" spans="1:6" x14ac:dyDescent="0.25">
      <c r="A139" s="7"/>
      <c r="E139" s="7"/>
      <c r="F139" s="7"/>
    </row>
    <row r="140" spans="1:6" x14ac:dyDescent="0.25">
      <c r="A140" s="7"/>
      <c r="E140" s="7"/>
      <c r="F140" s="7"/>
    </row>
    <row r="141" spans="1:6" x14ac:dyDescent="0.25">
      <c r="A141" s="7"/>
      <c r="E141" s="7"/>
      <c r="F141" s="7"/>
    </row>
    <row r="142" spans="1:6" x14ac:dyDescent="0.25">
      <c r="A142" s="7"/>
      <c r="E142" s="7"/>
      <c r="F142" s="7"/>
    </row>
    <row r="143" spans="1:6" x14ac:dyDescent="0.25">
      <c r="A143" s="7"/>
      <c r="E143" s="7"/>
      <c r="F143" s="7"/>
    </row>
    <row r="144" spans="1:6" x14ac:dyDescent="0.25">
      <c r="A144" s="7"/>
      <c r="E144" s="7"/>
      <c r="F144" s="7"/>
    </row>
    <row r="145" spans="1:6" x14ac:dyDescent="0.25">
      <c r="A145" s="7"/>
      <c r="E145" s="7"/>
      <c r="F145" s="7"/>
    </row>
    <row r="146" spans="1:6" x14ac:dyDescent="0.25">
      <c r="A146" s="7"/>
      <c r="E146" s="7"/>
      <c r="F146" s="7"/>
    </row>
    <row r="147" spans="1:6" x14ac:dyDescent="0.25">
      <c r="A147" s="7"/>
      <c r="E147" s="7"/>
      <c r="F147" s="7"/>
    </row>
    <row r="148" spans="1:6" x14ac:dyDescent="0.25">
      <c r="A148" s="7"/>
      <c r="E148" s="7"/>
      <c r="F148" s="7"/>
    </row>
    <row r="149" spans="1:6" x14ac:dyDescent="0.25">
      <c r="A149" s="7"/>
      <c r="E149" s="7"/>
      <c r="F149" s="7"/>
    </row>
    <row r="150" spans="1:6" x14ac:dyDescent="0.25">
      <c r="A150" s="7"/>
      <c r="E150" s="7"/>
      <c r="F150" s="7"/>
    </row>
    <row r="151" spans="1:6" x14ac:dyDescent="0.25">
      <c r="A151" s="7"/>
      <c r="E151" s="7"/>
      <c r="F151" s="7"/>
    </row>
    <row r="152" spans="1:6" x14ac:dyDescent="0.25">
      <c r="A152" s="7"/>
      <c r="E152" s="7"/>
      <c r="F152" s="7"/>
    </row>
    <row r="153" spans="1:6" x14ac:dyDescent="0.25">
      <c r="A153" s="7"/>
      <c r="E153" s="7"/>
      <c r="F153" s="7"/>
    </row>
    <row r="154" spans="1:6" x14ac:dyDescent="0.25">
      <c r="A154" s="7"/>
      <c r="E154" s="7"/>
      <c r="F154" s="7"/>
    </row>
    <row r="155" spans="1:6" x14ac:dyDescent="0.25">
      <c r="A155" s="7"/>
      <c r="E155" s="7"/>
      <c r="F155" s="7"/>
    </row>
    <row r="156" spans="1:6" x14ac:dyDescent="0.25">
      <c r="A156" s="7"/>
      <c r="E156" s="7"/>
      <c r="F156" s="7"/>
    </row>
    <row r="157" spans="1:6" x14ac:dyDescent="0.25">
      <c r="A157" s="7"/>
      <c r="E157" s="7"/>
      <c r="F157" s="7"/>
    </row>
    <row r="158" spans="1:6" x14ac:dyDescent="0.25">
      <c r="A158" s="7"/>
      <c r="E158" s="7"/>
      <c r="F158" s="7"/>
    </row>
    <row r="159" spans="1:6" x14ac:dyDescent="0.25">
      <c r="A159" s="7"/>
      <c r="E159" s="7"/>
      <c r="F159" s="7"/>
    </row>
    <row r="160" spans="1:6" x14ac:dyDescent="0.25">
      <c r="A160" s="7"/>
      <c r="E160" s="7"/>
      <c r="F160" s="7"/>
    </row>
    <row r="161" spans="1:6" x14ac:dyDescent="0.25">
      <c r="A161" s="7"/>
      <c r="E161" s="7"/>
      <c r="F161" s="7"/>
    </row>
    <row r="162" spans="1:6" x14ac:dyDescent="0.25">
      <c r="A162" s="7"/>
      <c r="E162" s="7"/>
      <c r="F162" s="7"/>
    </row>
    <row r="163" spans="1:6" x14ac:dyDescent="0.25">
      <c r="A163" s="7"/>
      <c r="E163" s="7"/>
      <c r="F163" s="7"/>
    </row>
    <row r="164" spans="1:6" x14ac:dyDescent="0.25">
      <c r="A164" s="7"/>
      <c r="E164" s="7"/>
      <c r="F164" s="7"/>
    </row>
    <row r="165" spans="1:6" x14ac:dyDescent="0.25">
      <c r="A165" s="7"/>
      <c r="E165" s="7"/>
      <c r="F165" s="7"/>
    </row>
    <row r="166" spans="1:6" x14ac:dyDescent="0.25">
      <c r="A166" s="7"/>
      <c r="E166" s="7"/>
      <c r="F166" s="7"/>
    </row>
    <row r="167" spans="1:6" x14ac:dyDescent="0.25">
      <c r="A167" s="7"/>
      <c r="E167" s="7"/>
      <c r="F167" s="7"/>
    </row>
    <row r="168" spans="1:6" x14ac:dyDescent="0.25">
      <c r="A168" s="7"/>
      <c r="E168" s="7"/>
      <c r="F168" s="7"/>
    </row>
    <row r="169" spans="1:6" x14ac:dyDescent="0.25">
      <c r="A169" s="7"/>
      <c r="E169" s="7"/>
      <c r="F169" s="7"/>
    </row>
    <row r="170" spans="1:6" x14ac:dyDescent="0.25">
      <c r="A170" s="7"/>
      <c r="E170" s="7"/>
      <c r="F170" s="7"/>
    </row>
    <row r="171" spans="1:6" x14ac:dyDescent="0.25">
      <c r="A171" s="7"/>
      <c r="E171" s="7"/>
      <c r="F171" s="7"/>
    </row>
    <row r="172" spans="1:6" x14ac:dyDescent="0.25">
      <c r="A172" s="7"/>
      <c r="E172" s="7"/>
      <c r="F172" s="7"/>
    </row>
    <row r="173" spans="1:6" x14ac:dyDescent="0.25">
      <c r="A173" s="7"/>
      <c r="E173" s="7"/>
      <c r="F173" s="7"/>
    </row>
    <row r="174" spans="1:6" x14ac:dyDescent="0.25">
      <c r="A174" s="7"/>
      <c r="E174" s="7"/>
      <c r="F174" s="7"/>
    </row>
    <row r="175" spans="1:6" x14ac:dyDescent="0.25">
      <c r="A175" s="7"/>
      <c r="E175" s="7"/>
      <c r="F175" s="7"/>
    </row>
    <row r="176" spans="1:6" x14ac:dyDescent="0.25">
      <c r="A176" s="7"/>
      <c r="E176" s="7"/>
      <c r="F176" s="7"/>
    </row>
    <row r="177" spans="1:6" x14ac:dyDescent="0.25">
      <c r="A177" s="7"/>
      <c r="E177" s="7"/>
      <c r="F177" s="7"/>
    </row>
    <row r="178" spans="1:6" x14ac:dyDescent="0.25">
      <c r="A178" s="7"/>
      <c r="E178" s="7"/>
      <c r="F178" s="7"/>
    </row>
    <row r="179" spans="1:6" x14ac:dyDescent="0.25">
      <c r="A179" s="7"/>
      <c r="E179" s="7"/>
      <c r="F179" s="7"/>
    </row>
    <row r="180" spans="1:6" x14ac:dyDescent="0.25">
      <c r="A180" s="7"/>
      <c r="E180" s="7"/>
      <c r="F180" s="7"/>
    </row>
    <row r="181" spans="1:6" x14ac:dyDescent="0.25">
      <c r="A181" s="7"/>
      <c r="E181" s="7"/>
      <c r="F181" s="7"/>
    </row>
    <row r="182" spans="1:6" x14ac:dyDescent="0.25">
      <c r="A182" s="7"/>
      <c r="E182" s="7"/>
      <c r="F182" s="7"/>
    </row>
    <row r="183" spans="1:6" x14ac:dyDescent="0.25">
      <c r="A183" s="7"/>
      <c r="E183" s="7"/>
      <c r="F183" s="7"/>
    </row>
    <row r="184" spans="1:6" x14ac:dyDescent="0.25">
      <c r="A184" s="7"/>
      <c r="E184" s="7"/>
      <c r="F184" s="7"/>
    </row>
    <row r="185" spans="1:6" x14ac:dyDescent="0.25">
      <c r="A185" s="7"/>
      <c r="E185" s="7"/>
      <c r="F185" s="7"/>
    </row>
    <row r="186" spans="1:6" x14ac:dyDescent="0.25">
      <c r="A186" s="7"/>
      <c r="E186" s="7"/>
      <c r="F186" s="7"/>
    </row>
    <row r="187" spans="1:6" x14ac:dyDescent="0.25">
      <c r="A187" s="7"/>
      <c r="E187" s="7"/>
      <c r="F187" s="7"/>
    </row>
    <row r="188" spans="1:6" x14ac:dyDescent="0.25">
      <c r="A188" s="7"/>
      <c r="E188" s="7"/>
      <c r="F188" s="7"/>
    </row>
    <row r="189" spans="1:6" x14ac:dyDescent="0.25">
      <c r="A189" s="7"/>
      <c r="E189" s="7"/>
      <c r="F189" s="7"/>
    </row>
    <row r="190" spans="1:6" x14ac:dyDescent="0.25">
      <c r="A190" s="7"/>
      <c r="E190" s="7"/>
      <c r="F190" s="7"/>
    </row>
    <row r="191" spans="1:6" x14ac:dyDescent="0.25">
      <c r="A191" s="7"/>
      <c r="E191" s="7"/>
      <c r="F191" s="7"/>
    </row>
    <row r="192" spans="1:6" x14ac:dyDescent="0.25">
      <c r="A192" s="7"/>
      <c r="E192" s="7"/>
      <c r="F192" s="7"/>
    </row>
    <row r="193" spans="1:6" x14ac:dyDescent="0.25">
      <c r="A193" s="7"/>
      <c r="E193" s="7"/>
      <c r="F193" s="7"/>
    </row>
    <row r="194" spans="1:6" x14ac:dyDescent="0.25">
      <c r="A194" s="7"/>
      <c r="E194" s="7"/>
      <c r="F194" s="7"/>
    </row>
    <row r="195" spans="1:6" x14ac:dyDescent="0.25">
      <c r="A195" s="7"/>
      <c r="E195" s="7"/>
      <c r="F195" s="7"/>
    </row>
    <row r="196" spans="1:6" x14ac:dyDescent="0.25">
      <c r="A196" s="7"/>
      <c r="E196" s="7"/>
      <c r="F196" s="7"/>
    </row>
    <row r="197" spans="1:6" x14ac:dyDescent="0.25">
      <c r="A197" s="7"/>
      <c r="E197" s="7"/>
      <c r="F197" s="7"/>
    </row>
    <row r="198" spans="1:6" x14ac:dyDescent="0.25">
      <c r="A198" s="7"/>
      <c r="E198" s="7"/>
      <c r="F198" s="7"/>
    </row>
    <row r="199" spans="1:6" x14ac:dyDescent="0.25">
      <c r="A199" s="7"/>
      <c r="E199" s="7"/>
      <c r="F199" s="7"/>
    </row>
    <row r="200" spans="1:6" x14ac:dyDescent="0.25">
      <c r="A200" s="7"/>
      <c r="E200" s="7"/>
      <c r="F200" s="7"/>
    </row>
    <row r="201" spans="1:6" x14ac:dyDescent="0.25">
      <c r="A201" s="7"/>
      <c r="E201" s="7"/>
      <c r="F201" s="7"/>
    </row>
    <row r="202" spans="1:6" x14ac:dyDescent="0.25">
      <c r="A202" s="7"/>
      <c r="E202" s="7"/>
      <c r="F202" s="7"/>
    </row>
    <row r="203" spans="1:6" x14ac:dyDescent="0.25">
      <c r="A203" s="7"/>
      <c r="E203" s="7"/>
      <c r="F203" s="7"/>
    </row>
    <row r="204" spans="1:6" x14ac:dyDescent="0.25">
      <c r="A204" s="7"/>
      <c r="E204" s="7"/>
      <c r="F204" s="7"/>
    </row>
    <row r="205" spans="1:6" x14ac:dyDescent="0.25">
      <c r="A205" s="7"/>
      <c r="E205" s="7"/>
      <c r="F205" s="7"/>
    </row>
    <row r="206" spans="1:6" x14ac:dyDescent="0.25">
      <c r="A206" s="7"/>
      <c r="E206" s="7"/>
      <c r="F206" s="7"/>
    </row>
    <row r="207" spans="1:6" x14ac:dyDescent="0.25">
      <c r="A207" s="7"/>
      <c r="E207" s="7"/>
      <c r="F207" s="7"/>
    </row>
    <row r="208" spans="1:6" x14ac:dyDescent="0.25">
      <c r="A208" s="7"/>
      <c r="E208" s="7"/>
      <c r="F208" s="7"/>
    </row>
    <row r="209" spans="1:6" x14ac:dyDescent="0.25">
      <c r="A209" s="7"/>
      <c r="E209" s="7"/>
      <c r="F209" s="7"/>
    </row>
    <row r="210" spans="1:6" x14ac:dyDescent="0.25">
      <c r="A210" s="7"/>
      <c r="E210" s="7"/>
      <c r="F210" s="7"/>
    </row>
    <row r="211" spans="1:6" x14ac:dyDescent="0.25">
      <c r="A211" s="7"/>
      <c r="E211" s="7"/>
      <c r="F211" s="7"/>
    </row>
    <row r="212" spans="1:6" x14ac:dyDescent="0.25">
      <c r="A212" s="7"/>
      <c r="E212" s="7"/>
      <c r="F212" s="7"/>
    </row>
    <row r="213" spans="1:6" x14ac:dyDescent="0.25">
      <c r="A213" s="7"/>
      <c r="E213" s="7"/>
      <c r="F213" s="7"/>
    </row>
    <row r="214" spans="1:6" x14ac:dyDescent="0.25">
      <c r="A214" s="7"/>
      <c r="E214" s="7"/>
      <c r="F214" s="7"/>
    </row>
    <row r="215" spans="1:6" x14ac:dyDescent="0.25">
      <c r="A215" s="7"/>
      <c r="E215" s="7"/>
      <c r="F215" s="7"/>
    </row>
    <row r="216" spans="1:6" x14ac:dyDescent="0.25">
      <c r="A216" s="7"/>
      <c r="E216" s="7"/>
      <c r="F216" s="7"/>
    </row>
    <row r="217" spans="1:6" x14ac:dyDescent="0.25">
      <c r="A217" s="7"/>
      <c r="E217" s="7"/>
      <c r="F217" s="7"/>
    </row>
    <row r="218" spans="1:6" x14ac:dyDescent="0.25">
      <c r="A218" s="7"/>
      <c r="E218" s="7"/>
      <c r="F218" s="7"/>
    </row>
    <row r="219" spans="1:6" x14ac:dyDescent="0.25">
      <c r="A219" s="7"/>
      <c r="E219" s="7"/>
      <c r="F219" s="7"/>
    </row>
    <row r="220" spans="1:6" x14ac:dyDescent="0.25">
      <c r="A220" s="7"/>
      <c r="E220" s="7"/>
      <c r="F220" s="7"/>
    </row>
    <row r="221" spans="1:6" x14ac:dyDescent="0.25">
      <c r="A221" s="7"/>
      <c r="E221" s="7"/>
      <c r="F221" s="7"/>
    </row>
    <row r="222" spans="1:6" x14ac:dyDescent="0.25">
      <c r="A222" s="7"/>
      <c r="E222" s="7"/>
      <c r="F222" s="7"/>
    </row>
    <row r="223" spans="1:6" x14ac:dyDescent="0.25">
      <c r="A223" s="7"/>
      <c r="E223" s="7"/>
      <c r="F223" s="7"/>
    </row>
    <row r="224" spans="1:6" x14ac:dyDescent="0.25">
      <c r="A224" s="7"/>
      <c r="E224" s="7"/>
      <c r="F224" s="7"/>
    </row>
    <row r="225" spans="1:6" x14ac:dyDescent="0.25">
      <c r="A225" s="7"/>
      <c r="E225" s="7"/>
      <c r="F225" s="7"/>
    </row>
    <row r="226" spans="1:6" x14ac:dyDescent="0.25">
      <c r="A226" s="7"/>
      <c r="E226" s="7"/>
      <c r="F226" s="7"/>
    </row>
    <row r="227" spans="1:6" x14ac:dyDescent="0.25">
      <c r="A227" s="7"/>
      <c r="E227" s="7"/>
      <c r="F227" s="7"/>
    </row>
    <row r="228" spans="1:6" x14ac:dyDescent="0.25">
      <c r="A228" s="7"/>
      <c r="E228" s="7"/>
      <c r="F228" s="7"/>
    </row>
    <row r="229" spans="1:6" x14ac:dyDescent="0.25">
      <c r="A229" s="7"/>
      <c r="E229" s="7"/>
      <c r="F229" s="7"/>
    </row>
    <row r="230" spans="1:6" x14ac:dyDescent="0.25">
      <c r="A230" s="7"/>
      <c r="E230" s="7"/>
      <c r="F230" s="7"/>
    </row>
    <row r="231" spans="1:6" x14ac:dyDescent="0.25">
      <c r="A231" s="7"/>
      <c r="E231" s="7"/>
      <c r="F231" s="7"/>
    </row>
    <row r="232" spans="1:6" x14ac:dyDescent="0.25">
      <c r="A232" s="7"/>
      <c r="E232" s="7"/>
      <c r="F232" s="7"/>
    </row>
    <row r="233" spans="1:6" x14ac:dyDescent="0.25">
      <c r="A233" s="7"/>
      <c r="E233" s="7"/>
      <c r="F233" s="7"/>
    </row>
    <row r="234" spans="1:6" x14ac:dyDescent="0.25">
      <c r="A234" s="7"/>
      <c r="E234" s="7"/>
      <c r="F234" s="7"/>
    </row>
    <row r="235" spans="1:6" x14ac:dyDescent="0.25">
      <c r="A235" s="7"/>
      <c r="E235" s="7"/>
      <c r="F235" s="7"/>
    </row>
    <row r="236" spans="1:6" x14ac:dyDescent="0.25">
      <c r="A236" s="7"/>
      <c r="E236" s="7"/>
      <c r="F236" s="7"/>
    </row>
    <row r="237" spans="1:6" x14ac:dyDescent="0.25">
      <c r="A237" s="7"/>
      <c r="E237" s="7"/>
      <c r="F237" s="7"/>
    </row>
    <row r="238" spans="1:6" x14ac:dyDescent="0.25">
      <c r="A238" s="7"/>
      <c r="E238" s="7"/>
      <c r="F238" s="7"/>
    </row>
    <row r="239" spans="1:6" x14ac:dyDescent="0.25">
      <c r="A239" s="7"/>
      <c r="E239" s="7"/>
      <c r="F239" s="7"/>
    </row>
    <row r="240" spans="1:6" x14ac:dyDescent="0.25">
      <c r="A240" s="7"/>
      <c r="E240" s="7"/>
      <c r="F240" s="7"/>
    </row>
    <row r="241" spans="1:6" x14ac:dyDescent="0.25">
      <c r="A241" s="7"/>
      <c r="E241" s="7"/>
      <c r="F241" s="7"/>
    </row>
    <row r="242" spans="1:6" x14ac:dyDescent="0.25">
      <c r="A242" s="7"/>
      <c r="E242" s="7"/>
      <c r="F242" s="7"/>
    </row>
    <row r="243" spans="1:6" x14ac:dyDescent="0.25">
      <c r="A243" s="7"/>
      <c r="E243" s="7"/>
      <c r="F243" s="7"/>
    </row>
    <row r="244" spans="1:6" x14ac:dyDescent="0.25">
      <c r="A244" s="7"/>
      <c r="E244" s="7"/>
      <c r="F244" s="7"/>
    </row>
    <row r="245" spans="1:6" x14ac:dyDescent="0.25">
      <c r="A245" s="7"/>
      <c r="E245" s="7"/>
      <c r="F245" s="7"/>
    </row>
    <row r="246" spans="1:6" x14ac:dyDescent="0.25">
      <c r="A246" s="7"/>
      <c r="E246" s="7"/>
      <c r="F246" s="7"/>
    </row>
    <row r="247" spans="1:6" x14ac:dyDescent="0.25">
      <c r="A247" s="7"/>
      <c r="E247" s="7"/>
      <c r="F247" s="7"/>
    </row>
    <row r="248" spans="1:6" x14ac:dyDescent="0.25">
      <c r="A248" s="7"/>
      <c r="E248" s="7"/>
      <c r="F248" s="7"/>
    </row>
    <row r="249" spans="1:6" x14ac:dyDescent="0.25">
      <c r="A249" s="7"/>
      <c r="E249" s="7"/>
      <c r="F249" s="7"/>
    </row>
    <row r="250" spans="1:6" x14ac:dyDescent="0.25">
      <c r="A250" s="7"/>
      <c r="E250" s="7"/>
      <c r="F250" s="7"/>
    </row>
    <row r="251" spans="1:6" x14ac:dyDescent="0.25">
      <c r="A251" s="7"/>
      <c r="E251" s="7"/>
      <c r="F251" s="7"/>
    </row>
    <row r="252" spans="1:6" x14ac:dyDescent="0.25">
      <c r="A252" s="7"/>
      <c r="E252" s="7"/>
      <c r="F252" s="7"/>
    </row>
    <row r="253" spans="1:6" x14ac:dyDescent="0.25">
      <c r="A253" s="7"/>
      <c r="E253" s="7"/>
      <c r="F253" s="7"/>
    </row>
    <row r="254" spans="1:6" x14ac:dyDescent="0.25">
      <c r="A254" s="7"/>
      <c r="E254" s="7"/>
      <c r="F254" s="7"/>
    </row>
    <row r="255" spans="1:6" x14ac:dyDescent="0.25">
      <c r="A255" s="7"/>
      <c r="E255" s="7"/>
      <c r="F255" s="7"/>
    </row>
    <row r="256" spans="1:6" x14ac:dyDescent="0.25">
      <c r="A256" s="7"/>
      <c r="E256" s="7"/>
      <c r="F256" s="7"/>
    </row>
    <row r="257" spans="1:6" x14ac:dyDescent="0.25">
      <c r="A257" s="7"/>
      <c r="E257" s="7"/>
      <c r="F257" s="7"/>
    </row>
    <row r="258" spans="1:6" x14ac:dyDescent="0.25">
      <c r="A258" s="7"/>
      <c r="E258" s="7"/>
      <c r="F258" s="7"/>
    </row>
    <row r="259" spans="1:6" x14ac:dyDescent="0.25">
      <c r="A259" s="7"/>
      <c r="E259" s="7"/>
      <c r="F259" s="7"/>
    </row>
    <row r="260" spans="1:6" x14ac:dyDescent="0.25">
      <c r="A260" s="7"/>
      <c r="E260" s="7"/>
      <c r="F260" s="7"/>
    </row>
    <row r="261" spans="1:6" x14ac:dyDescent="0.25">
      <c r="A261" s="7"/>
      <c r="E261" s="7"/>
      <c r="F261" s="7"/>
    </row>
    <row r="262" spans="1:6" x14ac:dyDescent="0.25">
      <c r="A262" s="7"/>
      <c r="E262" s="7"/>
      <c r="F262" s="7"/>
    </row>
    <row r="263" spans="1:6" x14ac:dyDescent="0.25">
      <c r="A263" s="7"/>
      <c r="E263" s="7"/>
      <c r="F263" s="7"/>
    </row>
    <row r="264" spans="1:6" x14ac:dyDescent="0.25">
      <c r="A264" s="7"/>
      <c r="E264" s="7"/>
      <c r="F264" s="7"/>
    </row>
    <row r="265" spans="1:6" x14ac:dyDescent="0.25">
      <c r="A265" s="7"/>
      <c r="E265" s="7"/>
      <c r="F265" s="7"/>
    </row>
    <row r="266" spans="1:6" x14ac:dyDescent="0.25">
      <c r="A266" s="7"/>
      <c r="E266" s="7"/>
      <c r="F266" s="7"/>
    </row>
    <row r="267" spans="1:6" x14ac:dyDescent="0.25">
      <c r="A267" s="7"/>
      <c r="E267" s="7"/>
      <c r="F267" s="7"/>
    </row>
    <row r="268" spans="1:6" x14ac:dyDescent="0.25">
      <c r="A268" s="7"/>
      <c r="E268" s="7"/>
      <c r="F268" s="7"/>
    </row>
    <row r="269" spans="1:6" x14ac:dyDescent="0.25">
      <c r="A269" s="7"/>
      <c r="E269" s="7"/>
      <c r="F269" s="7"/>
    </row>
    <row r="270" spans="1:6" x14ac:dyDescent="0.25">
      <c r="A270" s="7"/>
      <c r="E270" s="7"/>
      <c r="F270" s="7"/>
    </row>
    <row r="271" spans="1:6" x14ac:dyDescent="0.25">
      <c r="A271" s="7"/>
      <c r="E271" s="7"/>
      <c r="F271" s="7"/>
    </row>
    <row r="272" spans="1:6" x14ac:dyDescent="0.25">
      <c r="A272" s="7"/>
      <c r="E272" s="7"/>
      <c r="F272" s="7"/>
    </row>
    <row r="273" spans="1:6" x14ac:dyDescent="0.25">
      <c r="A273" s="7"/>
      <c r="E273" s="7"/>
      <c r="F273" s="7"/>
    </row>
    <row r="274" spans="1:6" x14ac:dyDescent="0.25">
      <c r="A274" s="7"/>
      <c r="E274" s="7"/>
      <c r="F274" s="7"/>
    </row>
    <row r="275" spans="1:6" x14ac:dyDescent="0.25">
      <c r="A275" s="7"/>
      <c r="E275" s="7"/>
      <c r="F275" s="7"/>
    </row>
    <row r="276" spans="1:6" x14ac:dyDescent="0.25">
      <c r="A276" s="7"/>
      <c r="E276" s="7"/>
      <c r="F276" s="7"/>
    </row>
    <row r="277" spans="1:6" x14ac:dyDescent="0.25">
      <c r="A277" s="7"/>
      <c r="E277" s="7"/>
      <c r="F277" s="7"/>
    </row>
    <row r="278" spans="1:6" x14ac:dyDescent="0.25">
      <c r="A278" s="7"/>
      <c r="E278" s="7"/>
      <c r="F278" s="7"/>
    </row>
    <row r="279" spans="1:6" x14ac:dyDescent="0.25">
      <c r="A279" s="7"/>
      <c r="E279" s="7"/>
      <c r="F279" s="7"/>
    </row>
    <row r="280" spans="1:6" x14ac:dyDescent="0.25">
      <c r="A280" s="7"/>
      <c r="E280" s="7"/>
      <c r="F280" s="7"/>
    </row>
    <row r="281" spans="1:6" x14ac:dyDescent="0.25">
      <c r="A281" s="7"/>
      <c r="E281" s="7"/>
      <c r="F281" s="7"/>
    </row>
    <row r="282" spans="1:6" x14ac:dyDescent="0.25">
      <c r="A282" s="7"/>
      <c r="E282" s="7"/>
      <c r="F282" s="7"/>
    </row>
    <row r="283" spans="1:6" x14ac:dyDescent="0.25">
      <c r="A283" s="7"/>
      <c r="E283" s="7"/>
      <c r="F283" s="7"/>
    </row>
    <row r="284" spans="1:6" x14ac:dyDescent="0.25">
      <c r="A284" s="7"/>
      <c r="E284" s="7"/>
      <c r="F284" s="7"/>
    </row>
    <row r="285" spans="1:6" x14ac:dyDescent="0.25">
      <c r="A285" s="7"/>
      <c r="E285" s="7"/>
      <c r="F285" s="7"/>
    </row>
    <row r="286" spans="1:6" x14ac:dyDescent="0.25">
      <c r="A286" s="7"/>
      <c r="E286" s="7"/>
      <c r="F286" s="7"/>
    </row>
    <row r="287" spans="1:6" x14ac:dyDescent="0.25">
      <c r="A287" s="7"/>
      <c r="E287" s="7"/>
      <c r="F287" s="7"/>
    </row>
    <row r="288" spans="1:6" x14ac:dyDescent="0.25">
      <c r="A288" s="7"/>
      <c r="E288" s="7"/>
      <c r="F288" s="7"/>
    </row>
    <row r="289" spans="1:6" x14ac:dyDescent="0.25">
      <c r="A289" s="7"/>
      <c r="E289" s="7"/>
      <c r="F289" s="7"/>
    </row>
    <row r="290" spans="1:6" x14ac:dyDescent="0.25">
      <c r="A290" s="7"/>
      <c r="E290" s="7"/>
      <c r="F290" s="7"/>
    </row>
    <row r="291" spans="1:6" x14ac:dyDescent="0.25">
      <c r="A291" s="7"/>
      <c r="E291" s="7"/>
      <c r="F291" s="7"/>
    </row>
    <row r="292" spans="1:6" x14ac:dyDescent="0.25">
      <c r="A292" s="7"/>
      <c r="E292" s="7"/>
      <c r="F292" s="7"/>
    </row>
    <row r="293" spans="1:6" x14ac:dyDescent="0.25">
      <c r="A293" s="7"/>
      <c r="E293" s="7"/>
      <c r="F293" s="7"/>
    </row>
    <row r="294" spans="1:6" x14ac:dyDescent="0.25">
      <c r="A294" s="7"/>
      <c r="E294" s="7"/>
      <c r="F294" s="7"/>
    </row>
    <row r="295" spans="1:6" x14ac:dyDescent="0.25">
      <c r="A295" s="7"/>
      <c r="E295" s="7"/>
      <c r="F295" s="7"/>
    </row>
    <row r="296" spans="1:6" x14ac:dyDescent="0.25">
      <c r="A296" s="7"/>
      <c r="E296" s="7"/>
      <c r="F296" s="7"/>
    </row>
    <row r="297" spans="1:6" x14ac:dyDescent="0.25">
      <c r="A297" s="7"/>
      <c r="E297" s="7"/>
      <c r="F297" s="7"/>
    </row>
    <row r="298" spans="1:6" x14ac:dyDescent="0.25">
      <c r="A298" s="7"/>
      <c r="E298" s="7"/>
      <c r="F298" s="7"/>
    </row>
    <row r="299" spans="1:6" x14ac:dyDescent="0.25">
      <c r="A299" s="7"/>
      <c r="E299" s="7"/>
      <c r="F299" s="7"/>
    </row>
    <row r="300" spans="1:6" x14ac:dyDescent="0.25">
      <c r="A300" s="7"/>
      <c r="E300" s="7"/>
      <c r="F300" s="7"/>
    </row>
    <row r="301" spans="1:6" x14ac:dyDescent="0.25">
      <c r="A301" s="7"/>
      <c r="E301" s="7"/>
      <c r="F301" s="7"/>
    </row>
    <row r="302" spans="1:6" x14ac:dyDescent="0.25">
      <c r="A302" s="7"/>
      <c r="E302" s="7"/>
      <c r="F302" s="7"/>
    </row>
    <row r="303" spans="1:6" x14ac:dyDescent="0.25">
      <c r="A303" s="7"/>
      <c r="E303" s="7"/>
      <c r="F303" s="7"/>
    </row>
    <row r="304" spans="1:6" x14ac:dyDescent="0.25">
      <c r="A304" s="7"/>
      <c r="E304" s="7"/>
      <c r="F304" s="7"/>
    </row>
    <row r="305" spans="1:6" x14ac:dyDescent="0.25">
      <c r="A305" s="7"/>
      <c r="E305" s="7"/>
      <c r="F305" s="7"/>
    </row>
    <row r="306" spans="1:6" x14ac:dyDescent="0.25">
      <c r="A306" s="7"/>
      <c r="E306" s="7"/>
      <c r="F306" s="7"/>
    </row>
    <row r="307" spans="1:6" x14ac:dyDescent="0.25">
      <c r="A307" s="7"/>
      <c r="E307" s="7"/>
      <c r="F307" s="7"/>
    </row>
    <row r="308" spans="1:6" x14ac:dyDescent="0.25">
      <c r="A308" s="7"/>
      <c r="E308" s="7"/>
      <c r="F308" s="7"/>
    </row>
    <row r="309" spans="1:6" x14ac:dyDescent="0.25">
      <c r="A309" s="7"/>
      <c r="E309" s="7"/>
      <c r="F309" s="7"/>
    </row>
    <row r="310" spans="1:6" x14ac:dyDescent="0.25">
      <c r="A310" s="7"/>
      <c r="E310" s="7"/>
      <c r="F310" s="7"/>
    </row>
    <row r="311" spans="1:6" x14ac:dyDescent="0.25">
      <c r="A311" s="7"/>
      <c r="E311" s="7"/>
      <c r="F311" s="7"/>
    </row>
    <row r="312" spans="1:6" x14ac:dyDescent="0.25">
      <c r="A312" s="7"/>
      <c r="E312" s="7"/>
      <c r="F312" s="7"/>
    </row>
    <row r="313" spans="1:6" x14ac:dyDescent="0.25">
      <c r="A313" s="7"/>
      <c r="E313" s="7"/>
      <c r="F313" s="7"/>
    </row>
    <row r="314" spans="1:6" x14ac:dyDescent="0.25">
      <c r="A314" s="7"/>
      <c r="E314" s="7"/>
      <c r="F314" s="7"/>
    </row>
    <row r="315" spans="1:6" x14ac:dyDescent="0.25">
      <c r="A315" s="7"/>
      <c r="E315" s="7"/>
      <c r="F315" s="7"/>
    </row>
    <row r="316" spans="1:6" x14ac:dyDescent="0.25">
      <c r="A316" s="7"/>
      <c r="E316" s="7"/>
      <c r="F316" s="7"/>
    </row>
    <row r="317" spans="1:6" x14ac:dyDescent="0.25">
      <c r="A317" s="7"/>
      <c r="E317" s="7"/>
      <c r="F317" s="7"/>
    </row>
    <row r="318" spans="1:6" x14ac:dyDescent="0.25">
      <c r="A318" s="7"/>
      <c r="E318" s="7"/>
      <c r="F318" s="7"/>
    </row>
    <row r="319" spans="1:6" x14ac:dyDescent="0.25">
      <c r="A319" s="7"/>
      <c r="E319" s="7"/>
      <c r="F319" s="7"/>
    </row>
    <row r="320" spans="1:6" x14ac:dyDescent="0.25">
      <c r="A320" s="7"/>
      <c r="E320" s="7"/>
      <c r="F320" s="7"/>
    </row>
    <row r="321" spans="1:6" x14ac:dyDescent="0.25">
      <c r="A321" s="7"/>
      <c r="E321" s="7"/>
      <c r="F321" s="7"/>
    </row>
    <row r="322" spans="1:6" x14ac:dyDescent="0.25">
      <c r="A322" s="7"/>
      <c r="E322" s="7"/>
      <c r="F322" s="7"/>
    </row>
    <row r="323" spans="1:6" x14ac:dyDescent="0.25">
      <c r="A323" s="7"/>
      <c r="E323" s="7"/>
      <c r="F323" s="7"/>
    </row>
    <row r="324" spans="1:6" x14ac:dyDescent="0.25">
      <c r="A324" s="7"/>
      <c r="E324" s="7"/>
      <c r="F324" s="7"/>
    </row>
    <row r="325" spans="1:6" x14ac:dyDescent="0.25">
      <c r="A325" s="7"/>
      <c r="E325" s="7"/>
      <c r="F325" s="7"/>
    </row>
    <row r="326" spans="1:6" x14ac:dyDescent="0.25">
      <c r="A326" s="7"/>
      <c r="E326" s="7"/>
      <c r="F326" s="7"/>
    </row>
    <row r="327" spans="1:6" x14ac:dyDescent="0.25">
      <c r="A327" s="7"/>
      <c r="E327" s="7"/>
      <c r="F327" s="7"/>
    </row>
    <row r="328" spans="1:6" x14ac:dyDescent="0.25">
      <c r="A328" s="7"/>
      <c r="E328" s="7"/>
      <c r="F328" s="7"/>
    </row>
    <row r="329" spans="1:6" x14ac:dyDescent="0.25">
      <c r="A329" s="7"/>
      <c r="E329" s="7"/>
      <c r="F329" s="7"/>
    </row>
    <row r="330" spans="1:6" x14ac:dyDescent="0.25">
      <c r="A330" s="7"/>
      <c r="E330" s="7"/>
      <c r="F330" s="7"/>
    </row>
    <row r="331" spans="1:6" x14ac:dyDescent="0.25">
      <c r="A331" s="7"/>
      <c r="E331" s="7"/>
      <c r="F331" s="7"/>
    </row>
    <row r="332" spans="1:6" x14ac:dyDescent="0.25">
      <c r="A332" s="7"/>
      <c r="E332" s="7"/>
      <c r="F332" s="7"/>
    </row>
    <row r="333" spans="1:6" x14ac:dyDescent="0.25">
      <c r="A333" s="7"/>
      <c r="E333" s="7"/>
      <c r="F333" s="7"/>
    </row>
    <row r="334" spans="1:6" x14ac:dyDescent="0.25">
      <c r="A334" s="7"/>
      <c r="E334" s="7"/>
      <c r="F334" s="7"/>
    </row>
    <row r="335" spans="1:6" x14ac:dyDescent="0.25">
      <c r="A335" s="7"/>
      <c r="E335" s="7"/>
      <c r="F335" s="7"/>
    </row>
    <row r="336" spans="1:6" x14ac:dyDescent="0.25">
      <c r="A336" s="7"/>
      <c r="E336" s="7"/>
      <c r="F336" s="7"/>
    </row>
    <row r="337" spans="1:6" x14ac:dyDescent="0.25">
      <c r="A337" s="7"/>
      <c r="E337" s="7"/>
      <c r="F337" s="7"/>
    </row>
    <row r="338" spans="1:6" x14ac:dyDescent="0.25">
      <c r="A338" s="7"/>
      <c r="E338" s="7"/>
      <c r="F338" s="7"/>
    </row>
    <row r="339" spans="1:6" x14ac:dyDescent="0.25">
      <c r="A339" s="7"/>
      <c r="E339" s="7"/>
      <c r="F339" s="7"/>
    </row>
    <row r="340" spans="1:6" x14ac:dyDescent="0.25">
      <c r="A340" s="7"/>
      <c r="E340" s="7"/>
      <c r="F340" s="7"/>
    </row>
    <row r="341" spans="1:6" x14ac:dyDescent="0.25">
      <c r="A341" s="7"/>
      <c r="E341" s="7"/>
      <c r="F341" s="7"/>
    </row>
    <row r="342" spans="1:6" x14ac:dyDescent="0.25">
      <c r="A342" s="7"/>
      <c r="E342" s="7"/>
      <c r="F342" s="7"/>
    </row>
    <row r="343" spans="1:6" x14ac:dyDescent="0.25">
      <c r="A343" s="7"/>
      <c r="E343" s="7"/>
      <c r="F343" s="7"/>
    </row>
    <row r="344" spans="1:6" x14ac:dyDescent="0.25">
      <c r="A344" s="7"/>
      <c r="E344" s="7"/>
      <c r="F344" s="7"/>
    </row>
    <row r="345" spans="1:6" x14ac:dyDescent="0.25">
      <c r="A345" s="7"/>
      <c r="E345" s="7"/>
      <c r="F345" s="7"/>
    </row>
    <row r="346" spans="1:6" x14ac:dyDescent="0.25">
      <c r="A346" s="7"/>
      <c r="E346" s="7"/>
      <c r="F346" s="7"/>
    </row>
    <row r="347" spans="1:6" x14ac:dyDescent="0.25">
      <c r="A347" s="7"/>
      <c r="E347" s="7"/>
      <c r="F347" s="7"/>
    </row>
    <row r="348" spans="1:6" x14ac:dyDescent="0.25">
      <c r="A348" s="7"/>
      <c r="E348" s="7"/>
      <c r="F348" s="7"/>
    </row>
    <row r="349" spans="1:6" x14ac:dyDescent="0.25">
      <c r="A349" s="7"/>
      <c r="E349" s="7"/>
      <c r="F349" s="7"/>
    </row>
    <row r="350" spans="1:6" x14ac:dyDescent="0.25">
      <c r="A350" s="7"/>
      <c r="E350" s="7"/>
      <c r="F350" s="7"/>
    </row>
    <row r="351" spans="1:6" x14ac:dyDescent="0.25">
      <c r="A351" s="7"/>
      <c r="E351" s="7"/>
      <c r="F351" s="7"/>
    </row>
    <row r="352" spans="1:6" x14ac:dyDescent="0.25">
      <c r="A352" s="7"/>
      <c r="E352" s="7"/>
      <c r="F352" s="7"/>
    </row>
    <row r="353" spans="1:6" x14ac:dyDescent="0.25">
      <c r="A353" s="7"/>
      <c r="E353" s="7"/>
      <c r="F353" s="7"/>
    </row>
    <row r="354" spans="1:6" x14ac:dyDescent="0.25">
      <c r="A354" s="7"/>
      <c r="E354" s="7"/>
      <c r="F354" s="7"/>
    </row>
    <row r="355" spans="1:6" x14ac:dyDescent="0.25">
      <c r="A355" s="7"/>
      <c r="E355" s="7"/>
      <c r="F355" s="7"/>
    </row>
    <row r="356" spans="1:6" x14ac:dyDescent="0.25">
      <c r="A356" s="7"/>
      <c r="E356" s="7"/>
      <c r="F356" s="7"/>
    </row>
    <row r="357" spans="1:6" x14ac:dyDescent="0.25">
      <c r="A357" s="7"/>
      <c r="E357" s="7"/>
      <c r="F357" s="7"/>
    </row>
    <row r="358" spans="1:6" x14ac:dyDescent="0.25">
      <c r="A358" s="7"/>
      <c r="E358" s="7"/>
      <c r="F358" s="7"/>
    </row>
    <row r="359" spans="1:6" x14ac:dyDescent="0.25">
      <c r="A359" s="7"/>
      <c r="E359" s="7"/>
      <c r="F359" s="7"/>
    </row>
    <row r="360" spans="1:6" x14ac:dyDescent="0.25">
      <c r="A360" s="7"/>
      <c r="E360" s="7"/>
      <c r="F360" s="7"/>
    </row>
    <row r="361" spans="1:6" x14ac:dyDescent="0.25">
      <c r="A361" s="7"/>
      <c r="E361" s="7"/>
      <c r="F361" s="7"/>
    </row>
    <row r="362" spans="1:6" x14ac:dyDescent="0.25">
      <c r="A362" s="7"/>
      <c r="E362" s="7"/>
      <c r="F362" s="7"/>
    </row>
    <row r="363" spans="1:6" x14ac:dyDescent="0.25">
      <c r="A363" s="7"/>
      <c r="E363" s="7"/>
      <c r="F363" s="7"/>
    </row>
    <row r="364" spans="1:6" x14ac:dyDescent="0.25">
      <c r="A364" s="7"/>
      <c r="E364" s="7"/>
      <c r="F364" s="7"/>
    </row>
    <row r="365" spans="1:6" x14ac:dyDescent="0.25">
      <c r="A365" s="7"/>
      <c r="E365" s="7"/>
      <c r="F365" s="7"/>
    </row>
    <row r="366" spans="1:6" x14ac:dyDescent="0.25">
      <c r="A366" s="7"/>
      <c r="E366" s="7"/>
      <c r="F366" s="7"/>
    </row>
    <row r="367" spans="1:6" x14ac:dyDescent="0.25">
      <c r="A367" s="7"/>
      <c r="E367" s="7"/>
      <c r="F367" s="7"/>
    </row>
    <row r="368" spans="1:6" x14ac:dyDescent="0.25">
      <c r="A368" s="7"/>
      <c r="E368" s="7"/>
      <c r="F368" s="7"/>
    </row>
    <row r="369" spans="1:6" x14ac:dyDescent="0.25">
      <c r="A369" s="7"/>
      <c r="E369" s="7"/>
      <c r="F369" s="7"/>
    </row>
    <row r="370" spans="1:6" x14ac:dyDescent="0.25">
      <c r="A370" s="7"/>
      <c r="E370" s="7"/>
      <c r="F370" s="7"/>
    </row>
    <row r="371" spans="1:6" x14ac:dyDescent="0.25">
      <c r="A371" s="7"/>
      <c r="E371" s="7"/>
      <c r="F371" s="7"/>
    </row>
    <row r="372" spans="1:6" x14ac:dyDescent="0.25">
      <c r="A372" s="7"/>
      <c r="E372" s="7"/>
      <c r="F372" s="7"/>
    </row>
    <row r="373" spans="1:6" x14ac:dyDescent="0.25">
      <c r="A373" s="7"/>
      <c r="E373" s="7"/>
      <c r="F373" s="7"/>
    </row>
    <row r="374" spans="1:6" x14ac:dyDescent="0.25">
      <c r="A374" s="7"/>
      <c r="E374" s="7"/>
      <c r="F374" s="7"/>
    </row>
    <row r="375" spans="1:6" x14ac:dyDescent="0.25">
      <c r="A375" s="7"/>
      <c r="E375" s="7"/>
      <c r="F375" s="7"/>
    </row>
    <row r="376" spans="1:6" x14ac:dyDescent="0.25">
      <c r="A376" s="7"/>
      <c r="E376" s="7"/>
      <c r="F376" s="7"/>
    </row>
    <row r="377" spans="1:6" x14ac:dyDescent="0.25">
      <c r="A377" s="7"/>
      <c r="E377" s="7"/>
      <c r="F377" s="7"/>
    </row>
    <row r="378" spans="1:6" x14ac:dyDescent="0.25">
      <c r="A378" s="7"/>
      <c r="E378" s="7"/>
      <c r="F378" s="7"/>
    </row>
    <row r="379" spans="1:6" x14ac:dyDescent="0.25">
      <c r="A379" s="7"/>
      <c r="E379" s="7"/>
      <c r="F379" s="7"/>
    </row>
    <row r="380" spans="1:6" x14ac:dyDescent="0.25">
      <c r="A380" s="7"/>
      <c r="E380" s="7"/>
      <c r="F380" s="7"/>
    </row>
    <row r="381" spans="1:6" x14ac:dyDescent="0.25">
      <c r="A381" s="7"/>
      <c r="E381" s="7"/>
      <c r="F381" s="7"/>
    </row>
    <row r="382" spans="1:6" x14ac:dyDescent="0.25">
      <c r="A382" s="7"/>
      <c r="E382" s="7"/>
      <c r="F382" s="7"/>
    </row>
    <row r="383" spans="1:6" x14ac:dyDescent="0.25">
      <c r="A383" s="7"/>
      <c r="E383" s="7"/>
      <c r="F383" s="7"/>
    </row>
    <row r="384" spans="1:6" x14ac:dyDescent="0.25">
      <c r="A384" s="7"/>
      <c r="E384" s="7"/>
      <c r="F384" s="7"/>
    </row>
    <row r="385" spans="1:6" x14ac:dyDescent="0.25">
      <c r="A385" s="7"/>
      <c r="E385" s="7"/>
      <c r="F385" s="7"/>
    </row>
    <row r="386" spans="1:6" x14ac:dyDescent="0.25">
      <c r="A386" s="7"/>
      <c r="E386" s="7"/>
      <c r="F386" s="7"/>
    </row>
    <row r="387" spans="1:6" x14ac:dyDescent="0.25">
      <c r="A387" s="7"/>
      <c r="E387" s="7"/>
      <c r="F387" s="7"/>
    </row>
    <row r="388" spans="1:6" x14ac:dyDescent="0.25">
      <c r="A388" s="7"/>
      <c r="E388" s="7"/>
      <c r="F388" s="7"/>
    </row>
    <row r="389" spans="1:6" x14ac:dyDescent="0.25">
      <c r="A389" s="7"/>
      <c r="E389" s="7"/>
      <c r="F389" s="7"/>
    </row>
    <row r="390" spans="1:6" x14ac:dyDescent="0.25">
      <c r="A390" s="7"/>
      <c r="E390" s="7"/>
      <c r="F390" s="7"/>
    </row>
    <row r="391" spans="1:6" x14ac:dyDescent="0.25">
      <c r="A391" s="7"/>
      <c r="E391" s="7"/>
      <c r="F391" s="7"/>
    </row>
    <row r="392" spans="1:6" x14ac:dyDescent="0.25">
      <c r="A392" s="7"/>
      <c r="E392" s="7"/>
      <c r="F392" s="7"/>
    </row>
    <row r="393" spans="1:6" x14ac:dyDescent="0.25">
      <c r="A393" s="7"/>
      <c r="E393" s="7"/>
      <c r="F393" s="7"/>
    </row>
    <row r="394" spans="1:6" x14ac:dyDescent="0.25">
      <c r="A394" s="7"/>
      <c r="E394" s="7"/>
      <c r="F394" s="7"/>
    </row>
    <row r="395" spans="1:6" x14ac:dyDescent="0.25">
      <c r="A395" s="7"/>
      <c r="E395" s="7"/>
      <c r="F395" s="7"/>
    </row>
    <row r="396" spans="1:6" x14ac:dyDescent="0.25">
      <c r="A396" s="7"/>
      <c r="E396" s="7"/>
      <c r="F396" s="7"/>
    </row>
    <row r="397" spans="1:6" x14ac:dyDescent="0.25">
      <c r="A397" s="7"/>
      <c r="E397" s="7"/>
      <c r="F397" s="7"/>
    </row>
    <row r="398" spans="1:6" x14ac:dyDescent="0.25">
      <c r="A398" s="7"/>
      <c r="E398" s="7"/>
      <c r="F398" s="7"/>
    </row>
    <row r="399" spans="1:6" x14ac:dyDescent="0.25">
      <c r="A399" s="7"/>
      <c r="E399" s="7"/>
      <c r="F399" s="7"/>
    </row>
    <row r="400" spans="1:6" x14ac:dyDescent="0.25">
      <c r="A400" s="7"/>
      <c r="E400" s="7"/>
      <c r="F400" s="7"/>
    </row>
    <row r="401" spans="1:6" x14ac:dyDescent="0.25">
      <c r="A401" s="7"/>
      <c r="E401" s="7"/>
      <c r="F401" s="7"/>
    </row>
    <row r="402" spans="1:6" x14ac:dyDescent="0.25">
      <c r="A402" s="7"/>
      <c r="E402" s="7"/>
      <c r="F402" s="7"/>
    </row>
    <row r="403" spans="1:6" x14ac:dyDescent="0.25">
      <c r="A403" s="7"/>
      <c r="E403" s="7"/>
      <c r="F403" s="7"/>
    </row>
    <row r="404" spans="1:6" x14ac:dyDescent="0.25">
      <c r="A404" s="7"/>
      <c r="E404" s="7"/>
      <c r="F404" s="7"/>
    </row>
    <row r="405" spans="1:6" x14ac:dyDescent="0.25">
      <c r="A405" s="7"/>
      <c r="E405" s="7"/>
      <c r="F405" s="7"/>
    </row>
    <row r="406" spans="1:6" x14ac:dyDescent="0.25">
      <c r="A406" s="7"/>
      <c r="E406" s="7"/>
      <c r="F406" s="7"/>
    </row>
    <row r="407" spans="1:6" x14ac:dyDescent="0.25">
      <c r="A407" s="7"/>
      <c r="E407" s="7"/>
      <c r="F407" s="7"/>
    </row>
    <row r="408" spans="1:6" x14ac:dyDescent="0.25">
      <c r="A408" s="7"/>
      <c r="E408" s="7"/>
      <c r="F408" s="7"/>
    </row>
    <row r="409" spans="1:6" x14ac:dyDescent="0.25">
      <c r="A409" s="7"/>
      <c r="E409" s="7"/>
      <c r="F409" s="7"/>
    </row>
    <row r="410" spans="1:6" x14ac:dyDescent="0.25">
      <c r="A410" s="7"/>
      <c r="E410" s="7"/>
      <c r="F410" s="7"/>
    </row>
    <row r="411" spans="1:6" x14ac:dyDescent="0.25">
      <c r="A411" s="7"/>
      <c r="E411" s="7"/>
      <c r="F411" s="7"/>
    </row>
    <row r="412" spans="1:6" x14ac:dyDescent="0.25">
      <c r="A412" s="7"/>
      <c r="E412" s="7"/>
      <c r="F412" s="7"/>
    </row>
    <row r="413" spans="1:6" x14ac:dyDescent="0.25">
      <c r="A413" s="7"/>
      <c r="E413" s="7"/>
      <c r="F413" s="7"/>
    </row>
    <row r="414" spans="1:6" x14ac:dyDescent="0.25">
      <c r="A414" s="7"/>
      <c r="E414" s="7"/>
      <c r="F414" s="7"/>
    </row>
    <row r="415" spans="1:6" x14ac:dyDescent="0.25">
      <c r="A415" s="7"/>
      <c r="E415" s="7"/>
      <c r="F415" s="7"/>
    </row>
    <row r="416" spans="1:6" x14ac:dyDescent="0.25">
      <c r="A416" s="7"/>
      <c r="E416" s="7"/>
      <c r="F416" s="7"/>
    </row>
    <row r="417" spans="1:6" x14ac:dyDescent="0.25">
      <c r="A417" s="7"/>
      <c r="E417" s="7"/>
      <c r="F417" s="7"/>
    </row>
    <row r="418" spans="1:6" x14ac:dyDescent="0.25">
      <c r="A418" s="7"/>
      <c r="E418" s="7"/>
      <c r="F418" s="7"/>
    </row>
    <row r="419" spans="1:6" x14ac:dyDescent="0.25">
      <c r="A419" s="7"/>
      <c r="E419" s="7"/>
      <c r="F419" s="7"/>
    </row>
    <row r="420" spans="1:6" x14ac:dyDescent="0.25">
      <c r="A420" s="7"/>
      <c r="E420" s="7"/>
      <c r="F420" s="7"/>
    </row>
    <row r="421" spans="1:6" x14ac:dyDescent="0.25">
      <c r="A421" s="7"/>
      <c r="E421" s="7"/>
      <c r="F421" s="7"/>
    </row>
    <row r="422" spans="1:6" x14ac:dyDescent="0.25">
      <c r="A422" s="7"/>
      <c r="E422" s="7"/>
      <c r="F422" s="7"/>
    </row>
    <row r="423" spans="1:6" x14ac:dyDescent="0.25">
      <c r="A423" s="7"/>
      <c r="E423" s="7"/>
      <c r="F423" s="7"/>
    </row>
    <row r="424" spans="1:6" x14ac:dyDescent="0.25">
      <c r="A424" s="7"/>
      <c r="E424" s="7"/>
      <c r="F424" s="7"/>
    </row>
    <row r="425" spans="1:6" x14ac:dyDescent="0.25">
      <c r="A425" s="7"/>
      <c r="E425" s="7"/>
      <c r="F425" s="7"/>
    </row>
    <row r="426" spans="1:6" x14ac:dyDescent="0.25">
      <c r="A426" s="7"/>
      <c r="E426" s="7"/>
      <c r="F426" s="7"/>
    </row>
    <row r="427" spans="1:6" x14ac:dyDescent="0.25">
      <c r="A427" s="7"/>
      <c r="E427" s="7"/>
      <c r="F427" s="7"/>
    </row>
    <row r="428" spans="1:6" x14ac:dyDescent="0.25">
      <c r="A428" s="7"/>
      <c r="E428" s="7"/>
      <c r="F428" s="7"/>
    </row>
    <row r="429" spans="1:6" x14ac:dyDescent="0.25">
      <c r="A429" s="7"/>
      <c r="E429" s="7"/>
      <c r="F429" s="7"/>
    </row>
    <row r="430" spans="1:6" x14ac:dyDescent="0.25">
      <c r="A430" s="7"/>
      <c r="E430" s="7"/>
      <c r="F430" s="7"/>
    </row>
    <row r="431" spans="1:6" x14ac:dyDescent="0.25">
      <c r="A431" s="7"/>
      <c r="E431" s="7"/>
      <c r="F431" s="7"/>
    </row>
    <row r="432" spans="1:6" x14ac:dyDescent="0.25">
      <c r="A432" s="7"/>
      <c r="E432" s="7"/>
      <c r="F432" s="7"/>
    </row>
    <row r="433" spans="1:6" x14ac:dyDescent="0.25">
      <c r="A433" s="7"/>
      <c r="E433" s="7"/>
      <c r="F433" s="7"/>
    </row>
    <row r="434" spans="1:6" x14ac:dyDescent="0.25">
      <c r="A434" s="7"/>
      <c r="E434" s="7"/>
      <c r="F434" s="7"/>
    </row>
    <row r="435" spans="1:6" x14ac:dyDescent="0.25">
      <c r="A435" s="7"/>
      <c r="E435" s="7"/>
      <c r="F435" s="7"/>
    </row>
    <row r="436" spans="1:6" x14ac:dyDescent="0.25">
      <c r="A436" s="7"/>
      <c r="E436" s="7"/>
      <c r="F436" s="7"/>
    </row>
    <row r="437" spans="1:6" x14ac:dyDescent="0.25">
      <c r="A437" s="7"/>
      <c r="E437" s="7"/>
      <c r="F437" s="7"/>
    </row>
    <row r="438" spans="1:6" x14ac:dyDescent="0.25">
      <c r="A438" s="7"/>
      <c r="E438" s="7"/>
      <c r="F438" s="7"/>
    </row>
    <row r="439" spans="1:6" x14ac:dyDescent="0.25">
      <c r="A439" s="7"/>
      <c r="E439" s="7"/>
      <c r="F439" s="7"/>
    </row>
    <row r="440" spans="1:6" x14ac:dyDescent="0.25">
      <c r="A440" s="7"/>
      <c r="E440" s="7"/>
      <c r="F440" s="7"/>
    </row>
    <row r="441" spans="1:6" x14ac:dyDescent="0.25">
      <c r="A441" s="7"/>
      <c r="E441" s="7"/>
      <c r="F441" s="7"/>
    </row>
    <row r="442" spans="1:6" x14ac:dyDescent="0.25">
      <c r="A442" s="7"/>
      <c r="E442" s="7"/>
      <c r="F442" s="7"/>
    </row>
    <row r="443" spans="1:6" x14ac:dyDescent="0.25">
      <c r="A443" s="7"/>
      <c r="E443" s="7"/>
      <c r="F443" s="7"/>
    </row>
    <row r="444" spans="1:6" x14ac:dyDescent="0.25">
      <c r="A444" s="7"/>
      <c r="E444" s="7"/>
      <c r="F444" s="7"/>
    </row>
    <row r="445" spans="1:6" x14ac:dyDescent="0.25">
      <c r="A445" s="7"/>
      <c r="E445" s="7"/>
      <c r="F445" s="7"/>
    </row>
    <row r="446" spans="1:6" x14ac:dyDescent="0.25">
      <c r="A446" s="7"/>
      <c r="E446" s="7"/>
      <c r="F446" s="7"/>
    </row>
    <row r="447" spans="1:6" x14ac:dyDescent="0.25">
      <c r="A447" s="7"/>
      <c r="E447" s="7"/>
      <c r="F447" s="7"/>
    </row>
    <row r="448" spans="1:6" x14ac:dyDescent="0.25">
      <c r="A448" s="7"/>
      <c r="E448" s="7"/>
      <c r="F448" s="7"/>
    </row>
    <row r="449" spans="1:6" x14ac:dyDescent="0.25">
      <c r="A449" s="7"/>
      <c r="E449" s="7"/>
      <c r="F449" s="7"/>
    </row>
    <row r="450" spans="1:6" x14ac:dyDescent="0.25">
      <c r="A450" s="7"/>
      <c r="E450" s="7"/>
      <c r="F450" s="7"/>
    </row>
    <row r="451" spans="1:6" x14ac:dyDescent="0.25">
      <c r="A451" s="7"/>
      <c r="E451" s="7"/>
      <c r="F451" s="7"/>
    </row>
    <row r="452" spans="1:6" x14ac:dyDescent="0.25">
      <c r="A452" s="7"/>
      <c r="E452" s="7"/>
      <c r="F452" s="7"/>
    </row>
    <row r="453" spans="1:6" x14ac:dyDescent="0.25">
      <c r="A453" s="7"/>
      <c r="E453" s="7"/>
      <c r="F453" s="7"/>
    </row>
    <row r="454" spans="1:6" x14ac:dyDescent="0.25">
      <c r="A454" s="7"/>
      <c r="E454" s="7"/>
      <c r="F454" s="7"/>
    </row>
    <row r="455" spans="1:6" x14ac:dyDescent="0.25">
      <c r="A455" s="7"/>
      <c r="E455" s="7"/>
      <c r="F455" s="7"/>
    </row>
    <row r="456" spans="1:6" x14ac:dyDescent="0.25">
      <c r="A456" s="7"/>
      <c r="E456" s="7"/>
      <c r="F456" s="7"/>
    </row>
    <row r="457" spans="1:6" x14ac:dyDescent="0.25">
      <c r="A457" s="7"/>
      <c r="E457" s="7"/>
      <c r="F457" s="7"/>
    </row>
    <row r="458" spans="1:6" x14ac:dyDescent="0.25">
      <c r="A458" s="7"/>
      <c r="E458" s="7"/>
      <c r="F458" s="7"/>
    </row>
    <row r="459" spans="1:6" x14ac:dyDescent="0.25">
      <c r="A459" s="7"/>
      <c r="E459" s="7"/>
      <c r="F459" s="7"/>
    </row>
    <row r="460" spans="1:6" x14ac:dyDescent="0.25">
      <c r="A460" s="7"/>
      <c r="E460" s="7"/>
      <c r="F460" s="7"/>
    </row>
    <row r="461" spans="1:6" x14ac:dyDescent="0.25">
      <c r="A461" s="7"/>
      <c r="E461" s="7"/>
      <c r="F461" s="7"/>
    </row>
    <row r="462" spans="1:6" x14ac:dyDescent="0.25">
      <c r="A462" s="7"/>
      <c r="E462" s="7"/>
      <c r="F462" s="7"/>
    </row>
    <row r="463" spans="1:6" x14ac:dyDescent="0.25">
      <c r="A463" s="7"/>
      <c r="E463" s="7"/>
      <c r="F463" s="7"/>
    </row>
    <row r="464" spans="1:6" x14ac:dyDescent="0.25">
      <c r="A464" s="7"/>
      <c r="E464" s="7"/>
      <c r="F464" s="7"/>
    </row>
    <row r="465" spans="1:6" x14ac:dyDescent="0.25">
      <c r="A465" s="7"/>
      <c r="E465" s="7"/>
      <c r="F465" s="7"/>
    </row>
    <row r="466" spans="1:6" x14ac:dyDescent="0.25">
      <c r="A466" s="7"/>
      <c r="E466" s="7"/>
      <c r="F466" s="7"/>
    </row>
    <row r="467" spans="1:6" x14ac:dyDescent="0.25">
      <c r="A467" s="7"/>
      <c r="E467" s="7"/>
      <c r="F467" s="7"/>
    </row>
    <row r="468" spans="1:6" x14ac:dyDescent="0.25">
      <c r="A468" s="7"/>
      <c r="E468" s="7"/>
      <c r="F468" s="7"/>
    </row>
    <row r="469" spans="1:6" x14ac:dyDescent="0.25">
      <c r="A469" s="7"/>
      <c r="E469" s="7"/>
      <c r="F469" s="7"/>
    </row>
    <row r="470" spans="1:6" x14ac:dyDescent="0.25">
      <c r="A470" s="7"/>
      <c r="E470" s="7"/>
      <c r="F470" s="7"/>
    </row>
    <row r="471" spans="1:6" x14ac:dyDescent="0.25">
      <c r="A471" s="7"/>
      <c r="E471" s="7"/>
      <c r="F471" s="7"/>
    </row>
    <row r="472" spans="1:6" x14ac:dyDescent="0.25">
      <c r="A472" s="7"/>
      <c r="E472" s="7"/>
      <c r="F472" s="7"/>
    </row>
    <row r="473" spans="1:6" x14ac:dyDescent="0.25">
      <c r="A473" s="7"/>
      <c r="E473" s="7"/>
      <c r="F473" s="7"/>
    </row>
    <row r="474" spans="1:6" x14ac:dyDescent="0.25">
      <c r="A474" s="7"/>
      <c r="E474" s="7"/>
      <c r="F474" s="7"/>
    </row>
    <row r="475" spans="1:6" x14ac:dyDescent="0.25">
      <c r="A475" s="7"/>
      <c r="E475" s="7"/>
      <c r="F475" s="7"/>
    </row>
    <row r="476" spans="1:6" x14ac:dyDescent="0.25">
      <c r="A476" s="7"/>
      <c r="E476" s="7"/>
      <c r="F476" s="7"/>
    </row>
    <row r="477" spans="1:6" x14ac:dyDescent="0.25">
      <c r="A477" s="7"/>
      <c r="E477" s="7"/>
      <c r="F477" s="7"/>
    </row>
    <row r="478" spans="1:6" x14ac:dyDescent="0.25">
      <c r="A478" s="7"/>
      <c r="E478" s="7"/>
      <c r="F478" s="7"/>
    </row>
    <row r="479" spans="1:6" x14ac:dyDescent="0.25">
      <c r="A479" s="7"/>
      <c r="E479" s="7"/>
      <c r="F479" s="7"/>
    </row>
    <row r="480" spans="1:6" x14ac:dyDescent="0.25">
      <c r="A480" s="7"/>
      <c r="E480" s="7"/>
      <c r="F480" s="7"/>
    </row>
    <row r="481" spans="1:6" x14ac:dyDescent="0.25">
      <c r="A481" s="7"/>
      <c r="E481" s="7"/>
      <c r="F481" s="7"/>
    </row>
    <row r="482" spans="1:6" x14ac:dyDescent="0.25">
      <c r="A482" s="7"/>
      <c r="E482" s="7"/>
      <c r="F482" s="7"/>
    </row>
    <row r="483" spans="1:6" x14ac:dyDescent="0.25">
      <c r="A483" s="7"/>
      <c r="E483" s="7"/>
      <c r="F483" s="7"/>
    </row>
    <row r="484" spans="1:6" x14ac:dyDescent="0.25">
      <c r="A484" s="7"/>
      <c r="E484" s="7"/>
      <c r="F484" s="7"/>
    </row>
    <row r="485" spans="1:6" x14ac:dyDescent="0.25">
      <c r="A485" s="7"/>
      <c r="E485" s="7"/>
      <c r="F485" s="7"/>
    </row>
    <row r="486" spans="1:6" x14ac:dyDescent="0.25">
      <c r="A486" s="7"/>
      <c r="E486" s="7"/>
      <c r="F486" s="7"/>
    </row>
    <row r="487" spans="1:6" x14ac:dyDescent="0.25">
      <c r="A487" s="7"/>
      <c r="E487" s="7"/>
      <c r="F487" s="7"/>
    </row>
    <row r="488" spans="1:6" x14ac:dyDescent="0.25">
      <c r="A488" s="7"/>
      <c r="E488" s="7"/>
      <c r="F488" s="7"/>
    </row>
    <row r="489" spans="1:6" x14ac:dyDescent="0.25">
      <c r="A489" s="7"/>
      <c r="E489" s="7"/>
      <c r="F489" s="7"/>
    </row>
    <row r="490" spans="1:6" x14ac:dyDescent="0.25">
      <c r="A490" s="7"/>
      <c r="E490" s="7"/>
      <c r="F490" s="7"/>
    </row>
    <row r="491" spans="1:6" x14ac:dyDescent="0.25">
      <c r="A491" s="7"/>
      <c r="E491" s="7"/>
      <c r="F491" s="7"/>
    </row>
    <row r="492" spans="1:6" x14ac:dyDescent="0.25">
      <c r="A492" s="7"/>
      <c r="E492" s="7"/>
      <c r="F492" s="7"/>
    </row>
    <row r="493" spans="1:6" x14ac:dyDescent="0.25">
      <c r="A493" s="7"/>
      <c r="E493" s="7"/>
      <c r="F493" s="7"/>
    </row>
    <row r="494" spans="1:6" x14ac:dyDescent="0.25">
      <c r="A494" s="7"/>
      <c r="E494" s="7"/>
      <c r="F494" s="7"/>
    </row>
    <row r="495" spans="1:6" x14ac:dyDescent="0.25">
      <c r="A495" s="7"/>
      <c r="E495" s="7"/>
      <c r="F495" s="7"/>
    </row>
    <row r="496" spans="1:6" x14ac:dyDescent="0.25">
      <c r="A496" s="7"/>
      <c r="E496" s="7"/>
      <c r="F496" s="7"/>
    </row>
    <row r="497" spans="1:6" x14ac:dyDescent="0.25">
      <c r="A497" s="7"/>
      <c r="E497" s="7"/>
      <c r="F497" s="7"/>
    </row>
    <row r="498" spans="1:6" x14ac:dyDescent="0.25">
      <c r="A498" s="7"/>
      <c r="E498" s="7"/>
      <c r="F498" s="7"/>
    </row>
    <row r="499" spans="1:6" x14ac:dyDescent="0.25">
      <c r="A499" s="7"/>
      <c r="E499" s="7"/>
      <c r="F499" s="7"/>
    </row>
    <row r="500" spans="1:6" x14ac:dyDescent="0.25">
      <c r="A500" s="7"/>
      <c r="E500" s="7"/>
      <c r="F500" s="7"/>
    </row>
    <row r="501" spans="1:6" x14ac:dyDescent="0.25">
      <c r="A501" s="7"/>
      <c r="E501" s="7"/>
      <c r="F501" s="7"/>
    </row>
    <row r="502" spans="1:6" x14ac:dyDescent="0.25">
      <c r="A502" s="7"/>
      <c r="E502" s="7"/>
      <c r="F502" s="7"/>
    </row>
    <row r="503" spans="1:6" x14ac:dyDescent="0.25">
      <c r="A503" s="7"/>
      <c r="E503" s="7"/>
      <c r="F503" s="7"/>
    </row>
    <row r="504" spans="1:6" x14ac:dyDescent="0.25">
      <c r="A504" s="7"/>
      <c r="E504" s="7"/>
      <c r="F504" s="7"/>
    </row>
    <row r="505" spans="1:6" x14ac:dyDescent="0.25">
      <c r="A505" s="7"/>
      <c r="E505" s="7"/>
      <c r="F505" s="7"/>
    </row>
    <row r="506" spans="1:6" x14ac:dyDescent="0.25">
      <c r="A506" s="7"/>
      <c r="E506" s="7"/>
      <c r="F506" s="7"/>
    </row>
    <row r="507" spans="1:6" x14ac:dyDescent="0.25">
      <c r="A507" s="7"/>
      <c r="E507" s="7"/>
      <c r="F507" s="7"/>
    </row>
    <row r="508" spans="1:6" x14ac:dyDescent="0.25">
      <c r="A508" s="7"/>
      <c r="E508" s="7"/>
      <c r="F508" s="7"/>
    </row>
    <row r="509" spans="1:6" x14ac:dyDescent="0.25">
      <c r="A509" s="7"/>
      <c r="E509" s="7"/>
      <c r="F509" s="7"/>
    </row>
    <row r="510" spans="1:6" x14ac:dyDescent="0.25">
      <c r="A510" s="7"/>
      <c r="E510" s="7"/>
      <c r="F510" s="7"/>
    </row>
    <row r="511" spans="1:6" x14ac:dyDescent="0.25">
      <c r="A511" s="7"/>
      <c r="E511" s="7"/>
      <c r="F511" s="7"/>
    </row>
    <row r="512" spans="1:6" x14ac:dyDescent="0.25">
      <c r="A512" s="7"/>
      <c r="E512" s="7"/>
      <c r="F512" s="7"/>
    </row>
    <row r="513" spans="1:6" x14ac:dyDescent="0.25">
      <c r="A513" s="7"/>
      <c r="E513" s="7"/>
      <c r="F513" s="7"/>
    </row>
    <row r="514" spans="1:6" x14ac:dyDescent="0.25">
      <c r="A514" s="7"/>
      <c r="E514" s="7"/>
      <c r="F514" s="7"/>
    </row>
    <row r="515" spans="1:6" x14ac:dyDescent="0.25">
      <c r="A515" s="7"/>
      <c r="E515" s="7"/>
      <c r="F515" s="7"/>
    </row>
    <row r="516" spans="1:6" x14ac:dyDescent="0.25">
      <c r="A516" s="7"/>
      <c r="E516" s="7"/>
      <c r="F516" s="7"/>
    </row>
    <row r="517" spans="1:6" x14ac:dyDescent="0.25">
      <c r="A517" s="7"/>
      <c r="E517" s="7"/>
      <c r="F517" s="7"/>
    </row>
    <row r="518" spans="1:6" x14ac:dyDescent="0.25">
      <c r="A518" s="7"/>
      <c r="E518" s="7"/>
      <c r="F518" s="7"/>
    </row>
    <row r="519" spans="1:6" x14ac:dyDescent="0.25">
      <c r="A519" s="7"/>
      <c r="E519" s="7"/>
      <c r="F519" s="7"/>
    </row>
    <row r="520" spans="1:6" x14ac:dyDescent="0.25">
      <c r="A520" s="7"/>
      <c r="E520" s="7"/>
      <c r="F520" s="7"/>
    </row>
    <row r="521" spans="1:6" x14ac:dyDescent="0.25">
      <c r="A521" s="7"/>
      <c r="E521" s="7"/>
      <c r="F521" s="7"/>
    </row>
    <row r="522" spans="1:6" x14ac:dyDescent="0.25">
      <c r="A522" s="7"/>
      <c r="E522" s="7"/>
      <c r="F522" s="7"/>
    </row>
    <row r="523" spans="1:6" x14ac:dyDescent="0.25">
      <c r="A523" s="7"/>
      <c r="E523" s="7"/>
      <c r="F523" s="7"/>
    </row>
    <row r="524" spans="1:6" x14ac:dyDescent="0.25">
      <c r="A524" s="7"/>
      <c r="E524" s="7"/>
      <c r="F524" s="7"/>
    </row>
    <row r="525" spans="1:6" x14ac:dyDescent="0.25">
      <c r="A525" s="7"/>
      <c r="E525" s="7"/>
      <c r="F525" s="7"/>
    </row>
    <row r="526" spans="1:6" x14ac:dyDescent="0.25">
      <c r="A526" s="7"/>
      <c r="E526" s="7"/>
      <c r="F526" s="7"/>
    </row>
    <row r="527" spans="1:6" x14ac:dyDescent="0.25">
      <c r="A527" s="7"/>
      <c r="E527" s="7"/>
      <c r="F527" s="7"/>
    </row>
    <row r="528" spans="1:6" x14ac:dyDescent="0.25">
      <c r="A528" s="7"/>
      <c r="E528" s="7"/>
      <c r="F528" s="7"/>
    </row>
    <row r="529" spans="1:6" x14ac:dyDescent="0.25">
      <c r="A529" s="7"/>
      <c r="E529" s="7"/>
      <c r="F529" s="7"/>
    </row>
    <row r="530" spans="1:6" x14ac:dyDescent="0.25">
      <c r="A530" s="7"/>
      <c r="E530" s="7"/>
      <c r="F530" s="7"/>
    </row>
    <row r="531" spans="1:6" x14ac:dyDescent="0.25">
      <c r="A531" s="7"/>
      <c r="E531" s="7"/>
      <c r="F531" s="7"/>
    </row>
    <row r="532" spans="1:6" x14ac:dyDescent="0.25">
      <c r="A532" s="7"/>
      <c r="E532" s="7"/>
      <c r="F532" s="7"/>
    </row>
    <row r="533" spans="1:6" x14ac:dyDescent="0.25">
      <c r="A533" s="7"/>
      <c r="E533" s="7"/>
      <c r="F533" s="7"/>
    </row>
    <row r="534" spans="1:6" x14ac:dyDescent="0.25">
      <c r="A534" s="7"/>
      <c r="E534" s="7"/>
      <c r="F534" s="7"/>
    </row>
    <row r="535" spans="1:6" x14ac:dyDescent="0.25">
      <c r="A535" s="7"/>
      <c r="E535" s="7"/>
      <c r="F535" s="7"/>
    </row>
    <row r="536" spans="1:6" x14ac:dyDescent="0.25">
      <c r="A536" s="7"/>
      <c r="E536" s="7"/>
      <c r="F536" s="7"/>
    </row>
    <row r="537" spans="1:6" x14ac:dyDescent="0.25">
      <c r="A537" s="7"/>
      <c r="E537" s="7"/>
      <c r="F537" s="7"/>
    </row>
    <row r="538" spans="1:6" x14ac:dyDescent="0.25">
      <c r="A538" s="7"/>
      <c r="E538" s="7"/>
      <c r="F538" s="7"/>
    </row>
    <row r="539" spans="1:6" x14ac:dyDescent="0.25">
      <c r="A539" s="7"/>
      <c r="E539" s="7"/>
      <c r="F539" s="7"/>
    </row>
    <row r="540" spans="1:6" x14ac:dyDescent="0.25">
      <c r="A540" s="7"/>
      <c r="E540" s="7"/>
      <c r="F540" s="7"/>
    </row>
    <row r="541" spans="1:6" x14ac:dyDescent="0.25">
      <c r="A541" s="7"/>
      <c r="E541" s="7"/>
      <c r="F541" s="7"/>
    </row>
    <row r="542" spans="1:6" x14ac:dyDescent="0.25">
      <c r="A542" s="7"/>
      <c r="E542" s="7"/>
      <c r="F542" s="7"/>
    </row>
    <row r="543" spans="1:6" x14ac:dyDescent="0.25">
      <c r="A543" s="7"/>
      <c r="E543" s="7"/>
      <c r="F543" s="7"/>
    </row>
    <row r="544" spans="1:6" x14ac:dyDescent="0.25">
      <c r="A544" s="7"/>
      <c r="E544" s="7"/>
      <c r="F544" s="7"/>
    </row>
    <row r="545" spans="1:6" x14ac:dyDescent="0.25">
      <c r="A545" s="7"/>
      <c r="E545" s="7"/>
      <c r="F545" s="7"/>
    </row>
    <row r="546" spans="1:6" x14ac:dyDescent="0.25">
      <c r="A546" s="7"/>
      <c r="E546" s="7"/>
      <c r="F546" s="7"/>
    </row>
    <row r="547" spans="1:6" x14ac:dyDescent="0.25">
      <c r="A547" s="7"/>
      <c r="E547" s="7"/>
      <c r="F547" s="7"/>
    </row>
    <row r="548" spans="1:6" x14ac:dyDescent="0.25">
      <c r="A548" s="7"/>
      <c r="E548" s="7"/>
      <c r="F548" s="7"/>
    </row>
    <row r="549" spans="1:6" x14ac:dyDescent="0.25">
      <c r="A549" s="7"/>
      <c r="E549" s="7"/>
      <c r="F549" s="7"/>
    </row>
    <row r="550" spans="1:6" x14ac:dyDescent="0.25">
      <c r="A550" s="7"/>
      <c r="E550" s="7"/>
      <c r="F550" s="7"/>
    </row>
    <row r="551" spans="1:6" x14ac:dyDescent="0.25">
      <c r="A551" s="7"/>
      <c r="E551" s="7"/>
      <c r="F551" s="7"/>
    </row>
    <row r="552" spans="1:6" x14ac:dyDescent="0.25">
      <c r="A552" s="7"/>
      <c r="E552" s="7"/>
      <c r="F552" s="7"/>
    </row>
    <row r="553" spans="1:6" x14ac:dyDescent="0.25">
      <c r="A553" s="7"/>
      <c r="E553" s="7"/>
      <c r="F553" s="7"/>
    </row>
    <row r="554" spans="1:6" x14ac:dyDescent="0.25">
      <c r="A554" s="7"/>
      <c r="E554" s="7"/>
      <c r="F554" s="7"/>
    </row>
    <row r="555" spans="1:6" x14ac:dyDescent="0.25">
      <c r="A555" s="7"/>
      <c r="E555" s="7"/>
      <c r="F555" s="7"/>
    </row>
    <row r="556" spans="1:6" x14ac:dyDescent="0.25">
      <c r="A556" s="7"/>
      <c r="E556" s="7"/>
      <c r="F556" s="7"/>
    </row>
    <row r="557" spans="1:6" x14ac:dyDescent="0.25">
      <c r="A557" s="7"/>
      <c r="E557" s="7"/>
      <c r="F557" s="7"/>
    </row>
    <row r="558" spans="1:6" x14ac:dyDescent="0.25">
      <c r="A558" s="7"/>
      <c r="E558" s="7"/>
      <c r="F558" s="7"/>
    </row>
    <row r="559" spans="1:6" x14ac:dyDescent="0.25">
      <c r="A559" s="7"/>
      <c r="E559" s="7"/>
      <c r="F559" s="7"/>
    </row>
    <row r="560" spans="1:6" x14ac:dyDescent="0.25">
      <c r="A560" s="7"/>
      <c r="E560" s="7"/>
      <c r="F560" s="7"/>
    </row>
    <row r="561" spans="1:6" x14ac:dyDescent="0.25">
      <c r="A561" s="7"/>
      <c r="E561" s="7"/>
      <c r="F561" s="7"/>
    </row>
    <row r="562" spans="1:6" x14ac:dyDescent="0.25">
      <c r="A562" s="7"/>
      <c r="E562" s="7"/>
      <c r="F562" s="7"/>
    </row>
    <row r="563" spans="1:6" x14ac:dyDescent="0.25">
      <c r="A563" s="7"/>
      <c r="E563" s="7"/>
      <c r="F563" s="7"/>
    </row>
    <row r="564" spans="1:6" x14ac:dyDescent="0.25">
      <c r="A564" s="7"/>
      <c r="E564" s="7"/>
      <c r="F564" s="7"/>
    </row>
    <row r="565" spans="1:6" x14ac:dyDescent="0.25">
      <c r="A565" s="7"/>
      <c r="E565" s="7"/>
      <c r="F565" s="7"/>
    </row>
    <row r="566" spans="1:6" x14ac:dyDescent="0.25">
      <c r="A566" s="7"/>
      <c r="E566" s="7"/>
      <c r="F566" s="7"/>
    </row>
    <row r="567" spans="1:6" x14ac:dyDescent="0.25">
      <c r="A567" s="7"/>
      <c r="E567" s="7"/>
      <c r="F567" s="7"/>
    </row>
    <row r="568" spans="1:6" x14ac:dyDescent="0.25">
      <c r="A568" s="7"/>
      <c r="E568" s="7"/>
      <c r="F568" s="7"/>
    </row>
    <row r="569" spans="1:6" x14ac:dyDescent="0.25">
      <c r="A569" s="7"/>
      <c r="E569" s="7"/>
      <c r="F569" s="7"/>
    </row>
    <row r="570" spans="1:6" x14ac:dyDescent="0.25">
      <c r="A570" s="7"/>
      <c r="E570" s="7"/>
      <c r="F570" s="7"/>
    </row>
    <row r="571" spans="1:6" x14ac:dyDescent="0.25">
      <c r="A571" s="7"/>
      <c r="E571" s="7"/>
      <c r="F571" s="7"/>
    </row>
    <row r="572" spans="1:6" x14ac:dyDescent="0.25">
      <c r="A572" s="7"/>
      <c r="E572" s="7"/>
      <c r="F572" s="7"/>
    </row>
    <row r="573" spans="1:6" x14ac:dyDescent="0.25">
      <c r="A573" s="7"/>
      <c r="E573" s="7"/>
      <c r="F573" s="7"/>
    </row>
    <row r="574" spans="1:6" x14ac:dyDescent="0.25">
      <c r="A574" s="7"/>
      <c r="E574" s="7"/>
      <c r="F574" s="7"/>
    </row>
    <row r="575" spans="1:6" x14ac:dyDescent="0.25">
      <c r="A575" s="7"/>
      <c r="E575" s="7"/>
      <c r="F575" s="7"/>
    </row>
    <row r="576" spans="1:6" x14ac:dyDescent="0.25">
      <c r="A576" s="7"/>
      <c r="E576" s="7"/>
      <c r="F576" s="7"/>
    </row>
    <row r="577" spans="1:6" x14ac:dyDescent="0.25">
      <c r="A577" s="7"/>
      <c r="E577" s="7"/>
      <c r="F577" s="7"/>
    </row>
    <row r="578" spans="1:6" x14ac:dyDescent="0.25">
      <c r="A578" s="7"/>
      <c r="E578" s="7"/>
      <c r="F578" s="7"/>
    </row>
    <row r="579" spans="1:6" x14ac:dyDescent="0.25">
      <c r="A579" s="7"/>
      <c r="E579" s="7"/>
      <c r="F579" s="7"/>
    </row>
    <row r="580" spans="1:6" x14ac:dyDescent="0.25">
      <c r="A580" s="7"/>
      <c r="E580" s="7"/>
      <c r="F580" s="7"/>
    </row>
    <row r="581" spans="1:6" x14ac:dyDescent="0.25">
      <c r="A581" s="7"/>
      <c r="E581" s="7"/>
      <c r="F581" s="7"/>
    </row>
    <row r="582" spans="1:6" x14ac:dyDescent="0.25">
      <c r="A582" s="7"/>
      <c r="E582" s="7"/>
      <c r="F582" s="7"/>
    </row>
    <row r="583" spans="1:6" x14ac:dyDescent="0.25">
      <c r="A583" s="7"/>
      <c r="E583" s="7"/>
      <c r="F583" s="7"/>
    </row>
    <row r="584" spans="1:6" x14ac:dyDescent="0.25">
      <c r="A584" s="7"/>
      <c r="E584" s="7"/>
      <c r="F584" s="7"/>
    </row>
    <row r="585" spans="1:6" x14ac:dyDescent="0.25">
      <c r="A585" s="7"/>
      <c r="E585" s="7"/>
      <c r="F585" s="7"/>
    </row>
    <row r="586" spans="1:6" x14ac:dyDescent="0.25">
      <c r="A586" s="7"/>
      <c r="E586" s="7"/>
      <c r="F586" s="7"/>
    </row>
    <row r="587" spans="1:6" x14ac:dyDescent="0.25">
      <c r="A587" s="7"/>
      <c r="E587" s="7"/>
      <c r="F587" s="7"/>
    </row>
    <row r="588" spans="1:6" x14ac:dyDescent="0.25">
      <c r="A588" s="7"/>
      <c r="E588" s="7"/>
      <c r="F588" s="7"/>
    </row>
    <row r="589" spans="1:6" x14ac:dyDescent="0.25">
      <c r="A589" s="7"/>
      <c r="E589" s="7"/>
      <c r="F589" s="7"/>
    </row>
    <row r="590" spans="1:6" x14ac:dyDescent="0.25">
      <c r="A590" s="7"/>
      <c r="E590" s="7"/>
      <c r="F590" s="7"/>
    </row>
    <row r="591" spans="1:6" x14ac:dyDescent="0.25">
      <c r="A591" s="7"/>
      <c r="E591" s="7"/>
      <c r="F591" s="7"/>
    </row>
    <row r="592" spans="1:6" x14ac:dyDescent="0.25">
      <c r="A592" s="7"/>
      <c r="E592" s="7"/>
      <c r="F592" s="7"/>
    </row>
    <row r="593" spans="1:6" x14ac:dyDescent="0.25">
      <c r="A593" s="7"/>
      <c r="E593" s="7"/>
      <c r="F593" s="7"/>
    </row>
    <row r="594" spans="1:6" x14ac:dyDescent="0.25">
      <c r="A594" s="7"/>
      <c r="E594" s="7"/>
      <c r="F594" s="7"/>
    </row>
    <row r="595" spans="1:6" x14ac:dyDescent="0.25">
      <c r="A595" s="7"/>
      <c r="E595" s="7"/>
      <c r="F595" s="7"/>
    </row>
    <row r="596" spans="1:6" x14ac:dyDescent="0.25">
      <c r="A596" s="7"/>
      <c r="E596" s="7"/>
      <c r="F596" s="7"/>
    </row>
    <row r="597" spans="1:6" x14ac:dyDescent="0.25">
      <c r="A597" s="7"/>
      <c r="E597" s="7"/>
      <c r="F597" s="7"/>
    </row>
    <row r="598" spans="1:6" x14ac:dyDescent="0.25">
      <c r="A598" s="7"/>
      <c r="E598" s="7"/>
      <c r="F598" s="7"/>
    </row>
    <row r="599" spans="1:6" x14ac:dyDescent="0.25">
      <c r="A599" s="7"/>
      <c r="E599" s="7"/>
      <c r="F599" s="7"/>
    </row>
    <row r="600" spans="1:6" x14ac:dyDescent="0.25">
      <c r="A600" s="7"/>
      <c r="E600" s="7"/>
      <c r="F600" s="7"/>
    </row>
    <row r="601" spans="1:6" x14ac:dyDescent="0.25">
      <c r="A601" s="7"/>
      <c r="E601" s="7"/>
      <c r="F601" s="7"/>
    </row>
    <row r="602" spans="1:6" x14ac:dyDescent="0.25">
      <c r="A602" s="7"/>
      <c r="E602" s="7"/>
      <c r="F602" s="7"/>
    </row>
    <row r="603" spans="1:6" x14ac:dyDescent="0.25">
      <c r="A603" s="7"/>
      <c r="E603" s="7"/>
      <c r="F603" s="7"/>
    </row>
    <row r="604" spans="1:6" x14ac:dyDescent="0.25">
      <c r="A604" s="7"/>
      <c r="E604" s="7"/>
      <c r="F604" s="7"/>
    </row>
    <row r="605" spans="1:6" x14ac:dyDescent="0.25">
      <c r="A605" s="7"/>
      <c r="E605" s="7"/>
      <c r="F605" s="7"/>
    </row>
    <row r="606" spans="1:6" x14ac:dyDescent="0.25">
      <c r="A606" s="7"/>
      <c r="E606" s="7"/>
      <c r="F606" s="7"/>
    </row>
    <row r="607" spans="1:6" x14ac:dyDescent="0.25">
      <c r="A607" s="7"/>
      <c r="E607" s="7"/>
      <c r="F607" s="7"/>
    </row>
    <row r="608" spans="1:6" x14ac:dyDescent="0.25">
      <c r="A608" s="7"/>
      <c r="E608" s="7"/>
      <c r="F608" s="7"/>
    </row>
    <row r="609" spans="1:6" x14ac:dyDescent="0.25">
      <c r="A609" s="7"/>
      <c r="E609" s="7"/>
      <c r="F609" s="7"/>
    </row>
    <row r="610" spans="1:6" x14ac:dyDescent="0.25">
      <c r="A610" s="7"/>
      <c r="E610" s="7"/>
      <c r="F610" s="7"/>
    </row>
    <row r="611" spans="1:6" x14ac:dyDescent="0.25">
      <c r="A611" s="7"/>
      <c r="E611" s="7"/>
      <c r="F611" s="7"/>
    </row>
    <row r="612" spans="1:6" x14ac:dyDescent="0.25">
      <c r="A612" s="7"/>
      <c r="E612" s="7"/>
      <c r="F612" s="7"/>
    </row>
    <row r="613" spans="1:6" x14ac:dyDescent="0.25">
      <c r="A613" s="7"/>
      <c r="E613" s="7"/>
      <c r="F613" s="7"/>
    </row>
    <row r="614" spans="1:6" x14ac:dyDescent="0.25">
      <c r="A614" s="7"/>
      <c r="E614" s="7"/>
      <c r="F614" s="7"/>
    </row>
    <row r="615" spans="1:6" x14ac:dyDescent="0.25">
      <c r="A615" s="7"/>
      <c r="E615" s="7"/>
      <c r="F615" s="7"/>
    </row>
    <row r="616" spans="1:6" x14ac:dyDescent="0.25">
      <c r="A616" s="7"/>
      <c r="E616" s="7"/>
      <c r="F616" s="7"/>
    </row>
    <row r="617" spans="1:6" x14ac:dyDescent="0.25">
      <c r="A617" s="7"/>
      <c r="E617" s="7"/>
      <c r="F617" s="7"/>
    </row>
    <row r="618" spans="1:6" x14ac:dyDescent="0.25">
      <c r="A618" s="7"/>
      <c r="E618" s="7"/>
      <c r="F618" s="7"/>
    </row>
    <row r="619" spans="1:6" x14ac:dyDescent="0.25">
      <c r="A619" s="7"/>
      <c r="E619" s="7"/>
      <c r="F619" s="7"/>
    </row>
    <row r="620" spans="1:6" x14ac:dyDescent="0.25">
      <c r="A620" s="7"/>
      <c r="E620" s="7"/>
      <c r="F620" s="7"/>
    </row>
    <row r="621" spans="1:6" x14ac:dyDescent="0.25">
      <c r="A621" s="7"/>
      <c r="E621" s="7"/>
      <c r="F621" s="7"/>
    </row>
    <row r="622" spans="1:6" x14ac:dyDescent="0.25">
      <c r="A622" s="7"/>
      <c r="E622" s="7"/>
      <c r="F622" s="7"/>
    </row>
    <row r="623" spans="1:6" x14ac:dyDescent="0.25">
      <c r="A623" s="7"/>
      <c r="E623" s="7"/>
      <c r="F623" s="7"/>
    </row>
    <row r="624" spans="1:6" x14ac:dyDescent="0.25">
      <c r="A624" s="7"/>
      <c r="E624" s="7"/>
      <c r="F624" s="7"/>
    </row>
    <row r="625" spans="1:6" x14ac:dyDescent="0.25">
      <c r="A625" s="7"/>
      <c r="E625" s="7"/>
      <c r="F625" s="7"/>
    </row>
    <row r="626" spans="1:6" x14ac:dyDescent="0.25">
      <c r="A626" s="7"/>
      <c r="E626" s="7"/>
      <c r="F626" s="7"/>
    </row>
    <row r="627" spans="1:6" x14ac:dyDescent="0.25">
      <c r="A627" s="7"/>
      <c r="E627" s="7"/>
      <c r="F627" s="7"/>
    </row>
    <row r="628" spans="1:6" x14ac:dyDescent="0.25">
      <c r="A628" s="7"/>
      <c r="E628" s="7"/>
      <c r="F628" s="7"/>
    </row>
    <row r="629" spans="1:6" x14ac:dyDescent="0.25">
      <c r="A629" s="7"/>
      <c r="E629" s="7"/>
      <c r="F629" s="7"/>
    </row>
    <row r="630" spans="1:6" x14ac:dyDescent="0.25">
      <c r="A630" s="7"/>
      <c r="E630" s="7"/>
      <c r="F630" s="7"/>
    </row>
    <row r="631" spans="1:6" x14ac:dyDescent="0.25">
      <c r="A631" s="7"/>
      <c r="E631" s="7"/>
      <c r="F631" s="7"/>
    </row>
    <row r="632" spans="1:6" x14ac:dyDescent="0.25">
      <c r="A632" s="7"/>
      <c r="E632" s="7"/>
      <c r="F632" s="7"/>
    </row>
    <row r="633" spans="1:6" x14ac:dyDescent="0.25">
      <c r="A633" s="7"/>
      <c r="E633" s="7"/>
      <c r="F633" s="7"/>
    </row>
    <row r="634" spans="1:6" x14ac:dyDescent="0.25">
      <c r="A634" s="7"/>
      <c r="E634" s="7"/>
      <c r="F634" s="7"/>
    </row>
    <row r="635" spans="1:6" x14ac:dyDescent="0.25">
      <c r="A635" s="7"/>
      <c r="E635" s="7"/>
      <c r="F635" s="7"/>
    </row>
    <row r="636" spans="1:6" x14ac:dyDescent="0.25">
      <c r="A636" s="7"/>
      <c r="E636" s="7"/>
      <c r="F636" s="7"/>
    </row>
    <row r="637" spans="1:6" x14ac:dyDescent="0.25">
      <c r="A637" s="7"/>
      <c r="E637" s="7"/>
      <c r="F637" s="7"/>
    </row>
    <row r="638" spans="1:6" x14ac:dyDescent="0.25">
      <c r="A638" s="7"/>
      <c r="E638" s="7"/>
      <c r="F638" s="7"/>
    </row>
    <row r="639" spans="1:6" x14ac:dyDescent="0.25">
      <c r="A639" s="7"/>
      <c r="E639" s="7"/>
      <c r="F639" s="7"/>
    </row>
    <row r="640" spans="1:6" x14ac:dyDescent="0.25">
      <c r="A640" s="7"/>
      <c r="E640" s="7"/>
      <c r="F640" s="7"/>
    </row>
    <row r="641" spans="1:6" x14ac:dyDescent="0.25">
      <c r="A641" s="7"/>
      <c r="E641" s="7"/>
      <c r="F641" s="7"/>
    </row>
    <row r="642" spans="1:6" x14ac:dyDescent="0.25">
      <c r="A642" s="7"/>
      <c r="E642" s="7"/>
      <c r="F642" s="7"/>
    </row>
    <row r="643" spans="1:6" x14ac:dyDescent="0.25">
      <c r="A643" s="7"/>
      <c r="E643" s="7"/>
      <c r="F643" s="7"/>
    </row>
    <row r="644" spans="1:6" x14ac:dyDescent="0.25">
      <c r="A644" s="7"/>
      <c r="E644" s="7"/>
      <c r="F644" s="7"/>
    </row>
    <row r="645" spans="1:6" x14ac:dyDescent="0.25">
      <c r="A645" s="7"/>
      <c r="E645" s="7"/>
      <c r="F645" s="7"/>
    </row>
    <row r="646" spans="1:6" x14ac:dyDescent="0.25">
      <c r="A646" s="7"/>
      <c r="E646" s="7"/>
      <c r="F646" s="7"/>
    </row>
    <row r="647" spans="1:6" x14ac:dyDescent="0.25">
      <c r="A647" s="7"/>
      <c r="E647" s="7"/>
      <c r="F647" s="7"/>
    </row>
    <row r="648" spans="1:6" x14ac:dyDescent="0.25">
      <c r="A648" s="7"/>
      <c r="E648" s="7"/>
      <c r="F648" s="7"/>
    </row>
    <row r="649" spans="1:6" x14ac:dyDescent="0.25">
      <c r="A649" s="7"/>
      <c r="E649" s="7"/>
      <c r="F649" s="7"/>
    </row>
    <row r="650" spans="1:6" x14ac:dyDescent="0.25">
      <c r="A650" s="7"/>
      <c r="E650" s="7"/>
      <c r="F650" s="7"/>
    </row>
    <row r="651" spans="1:6" x14ac:dyDescent="0.25">
      <c r="A651" s="7"/>
      <c r="E651" s="7"/>
      <c r="F651" s="7"/>
    </row>
    <row r="652" spans="1:6" x14ac:dyDescent="0.25">
      <c r="A652" s="7"/>
      <c r="E652" s="7"/>
      <c r="F652" s="7"/>
    </row>
    <row r="653" spans="1:6" x14ac:dyDescent="0.25">
      <c r="A653" s="7"/>
      <c r="E653" s="7"/>
      <c r="F653" s="7"/>
    </row>
    <row r="654" spans="1:6" x14ac:dyDescent="0.25">
      <c r="A654" s="7"/>
      <c r="E654" s="7"/>
      <c r="F654" s="7"/>
    </row>
    <row r="655" spans="1:6" x14ac:dyDescent="0.25">
      <c r="A655" s="7"/>
      <c r="E655" s="7"/>
      <c r="F655" s="7"/>
    </row>
    <row r="656" spans="1:6" x14ac:dyDescent="0.25">
      <c r="A656" s="7"/>
      <c r="E656" s="7"/>
      <c r="F656" s="7"/>
    </row>
    <row r="657" spans="1:6" x14ac:dyDescent="0.25">
      <c r="A657" s="7"/>
      <c r="E657" s="7"/>
      <c r="F657" s="7"/>
    </row>
    <row r="658" spans="1:6" x14ac:dyDescent="0.25">
      <c r="A658" s="7"/>
      <c r="E658" s="7"/>
      <c r="F658" s="7"/>
    </row>
    <row r="659" spans="1:6" x14ac:dyDescent="0.25">
      <c r="A659" s="7"/>
      <c r="E659" s="7"/>
      <c r="F659" s="7"/>
    </row>
    <row r="660" spans="1:6" x14ac:dyDescent="0.25">
      <c r="A660" s="7"/>
      <c r="E660" s="7"/>
      <c r="F660" s="7"/>
    </row>
    <row r="661" spans="1:6" x14ac:dyDescent="0.25">
      <c r="A661" s="7"/>
      <c r="E661" s="7"/>
      <c r="F661" s="7"/>
    </row>
    <row r="662" spans="1:6" x14ac:dyDescent="0.25">
      <c r="A662" s="7"/>
      <c r="E662" s="7"/>
      <c r="F662" s="7"/>
    </row>
    <row r="663" spans="1:6" x14ac:dyDescent="0.25">
      <c r="A663" s="7"/>
      <c r="E663" s="7"/>
      <c r="F663" s="7"/>
    </row>
    <row r="664" spans="1:6" x14ac:dyDescent="0.25">
      <c r="A664" s="7"/>
      <c r="E664" s="7"/>
      <c r="F664" s="7"/>
    </row>
    <row r="665" spans="1:6" x14ac:dyDescent="0.25">
      <c r="A665" s="7"/>
      <c r="E665" s="7"/>
      <c r="F665" s="7"/>
    </row>
    <row r="666" spans="1:6" x14ac:dyDescent="0.25">
      <c r="A666" s="7"/>
      <c r="E666" s="7"/>
      <c r="F666" s="7"/>
    </row>
    <row r="667" spans="1:6" x14ac:dyDescent="0.25">
      <c r="A667" s="7"/>
      <c r="E667" s="7"/>
      <c r="F667" s="7"/>
    </row>
    <row r="668" spans="1:6" x14ac:dyDescent="0.25">
      <c r="A668" s="7"/>
      <c r="E668" s="7"/>
      <c r="F668" s="7"/>
    </row>
    <row r="669" spans="1:6" x14ac:dyDescent="0.25">
      <c r="A669" s="7"/>
      <c r="E669" s="7"/>
      <c r="F669" s="7"/>
    </row>
    <row r="670" spans="1:6" x14ac:dyDescent="0.25">
      <c r="A670" s="7"/>
      <c r="E670" s="7"/>
      <c r="F670" s="7"/>
    </row>
    <row r="671" spans="1:6" x14ac:dyDescent="0.25">
      <c r="A671" s="7"/>
      <c r="E671" s="7"/>
      <c r="F671" s="7"/>
    </row>
    <row r="672" spans="1:6" x14ac:dyDescent="0.25">
      <c r="A672" s="7"/>
      <c r="E672" s="7"/>
      <c r="F672" s="7"/>
    </row>
    <row r="673" spans="1:6" x14ac:dyDescent="0.25">
      <c r="A673" s="7"/>
      <c r="E673" s="7"/>
      <c r="F673" s="7"/>
    </row>
    <row r="674" spans="1:6" x14ac:dyDescent="0.25">
      <c r="A674" s="7"/>
      <c r="E674" s="7"/>
      <c r="F674" s="7"/>
    </row>
    <row r="675" spans="1:6" x14ac:dyDescent="0.25">
      <c r="A675" s="7"/>
      <c r="E675" s="7"/>
      <c r="F675" s="7"/>
    </row>
    <row r="676" spans="1:6" x14ac:dyDescent="0.25">
      <c r="A676" s="7"/>
      <c r="E676" s="7"/>
      <c r="F676" s="7"/>
    </row>
    <row r="677" spans="1:6" x14ac:dyDescent="0.25">
      <c r="A677" s="7"/>
      <c r="E677" s="7"/>
      <c r="F677" s="7"/>
    </row>
    <row r="678" spans="1:6" x14ac:dyDescent="0.25">
      <c r="A678" s="7"/>
      <c r="E678" s="7"/>
      <c r="F678" s="7"/>
    </row>
    <row r="679" spans="1:6" x14ac:dyDescent="0.25">
      <c r="A679" s="7"/>
      <c r="E679" s="7"/>
      <c r="F679" s="7"/>
    </row>
    <row r="680" spans="1:6" x14ac:dyDescent="0.25">
      <c r="A680" s="7"/>
      <c r="E680" s="7"/>
      <c r="F680" s="7"/>
    </row>
    <row r="681" spans="1:6" x14ac:dyDescent="0.25">
      <c r="A681" s="7"/>
      <c r="E681" s="7"/>
      <c r="F681" s="7"/>
    </row>
    <row r="682" spans="1:6" x14ac:dyDescent="0.25">
      <c r="A682" s="7"/>
      <c r="E682" s="7"/>
      <c r="F682" s="7"/>
    </row>
    <row r="683" spans="1:6" x14ac:dyDescent="0.25">
      <c r="A683" s="7"/>
      <c r="E683" s="7"/>
      <c r="F683" s="7"/>
    </row>
    <row r="684" spans="1:6" x14ac:dyDescent="0.25">
      <c r="A684" s="7"/>
      <c r="E684" s="7"/>
      <c r="F684" s="7"/>
    </row>
    <row r="685" spans="1:6" x14ac:dyDescent="0.25">
      <c r="A685" s="7"/>
      <c r="E685" s="7"/>
      <c r="F685" s="7"/>
    </row>
    <row r="686" spans="1:6" x14ac:dyDescent="0.25">
      <c r="A686" s="7"/>
      <c r="E686" s="7"/>
      <c r="F686" s="7"/>
    </row>
    <row r="687" spans="1:6" x14ac:dyDescent="0.25">
      <c r="A687" s="7"/>
      <c r="E687" s="7"/>
      <c r="F687" s="7"/>
    </row>
    <row r="688" spans="1:6" x14ac:dyDescent="0.25">
      <c r="A688" s="7"/>
      <c r="E688" s="7"/>
      <c r="F688" s="7"/>
    </row>
    <row r="689" spans="1:6" x14ac:dyDescent="0.25">
      <c r="A689" s="7"/>
      <c r="E689" s="7"/>
      <c r="F689" s="7"/>
    </row>
    <row r="690" spans="1:6" x14ac:dyDescent="0.25">
      <c r="A690" s="7"/>
      <c r="E690" s="7"/>
      <c r="F690" s="7"/>
    </row>
    <row r="691" spans="1:6" x14ac:dyDescent="0.25">
      <c r="A691" s="7"/>
      <c r="E691" s="7"/>
      <c r="F691" s="7"/>
    </row>
    <row r="692" spans="1:6" x14ac:dyDescent="0.25">
      <c r="A692" s="7"/>
      <c r="E692" s="7"/>
      <c r="F692" s="7"/>
    </row>
    <row r="693" spans="1:6" x14ac:dyDescent="0.25">
      <c r="A693" s="7"/>
      <c r="E693" s="7"/>
      <c r="F693" s="7"/>
    </row>
    <row r="694" spans="1:6" x14ac:dyDescent="0.25">
      <c r="A694" s="7"/>
      <c r="E694" s="7"/>
      <c r="F694" s="7"/>
    </row>
    <row r="695" spans="1:6" x14ac:dyDescent="0.25">
      <c r="A695" s="7"/>
      <c r="E695" s="7"/>
      <c r="F695" s="7"/>
    </row>
    <row r="696" spans="1:6" x14ac:dyDescent="0.25">
      <c r="A696" s="7"/>
      <c r="E696" s="7"/>
      <c r="F696" s="7"/>
    </row>
    <row r="697" spans="1:6" x14ac:dyDescent="0.25">
      <c r="A697" s="7"/>
      <c r="E697" s="7"/>
      <c r="F697" s="7"/>
    </row>
    <row r="698" spans="1:6" x14ac:dyDescent="0.25">
      <c r="A698" s="7"/>
      <c r="E698" s="7"/>
      <c r="F698" s="7"/>
    </row>
    <row r="699" spans="1:6" x14ac:dyDescent="0.25">
      <c r="A699" s="7"/>
      <c r="E699" s="7"/>
      <c r="F699" s="7"/>
    </row>
    <row r="700" spans="1:6" x14ac:dyDescent="0.25">
      <c r="A700" s="7"/>
      <c r="E700" s="7"/>
      <c r="F700" s="7"/>
    </row>
    <row r="701" spans="1:6" x14ac:dyDescent="0.25">
      <c r="A701" s="7"/>
      <c r="E701" s="7"/>
      <c r="F701" s="7"/>
    </row>
    <row r="702" spans="1:6" x14ac:dyDescent="0.25">
      <c r="A702" s="7"/>
      <c r="E702" s="7"/>
      <c r="F702" s="7"/>
    </row>
    <row r="703" spans="1:6" x14ac:dyDescent="0.25">
      <c r="A703" s="7"/>
      <c r="E703" s="7"/>
      <c r="F703" s="7"/>
    </row>
    <row r="704" spans="1:6" x14ac:dyDescent="0.25">
      <c r="A704" s="7"/>
      <c r="E704" s="7"/>
      <c r="F704" s="7"/>
    </row>
    <row r="705" spans="1:6" x14ac:dyDescent="0.25">
      <c r="A705" s="7"/>
      <c r="E705" s="7"/>
      <c r="F705" s="7"/>
    </row>
    <row r="706" spans="1:6" x14ac:dyDescent="0.25">
      <c r="A706" s="7"/>
      <c r="E706" s="7"/>
      <c r="F706" s="7"/>
    </row>
    <row r="707" spans="1:6" x14ac:dyDescent="0.25">
      <c r="A707" s="7"/>
      <c r="E707" s="7"/>
      <c r="F707" s="7"/>
    </row>
    <row r="708" spans="1:6" x14ac:dyDescent="0.25">
      <c r="A708" s="7"/>
      <c r="E708" s="7"/>
      <c r="F708" s="7"/>
    </row>
    <row r="709" spans="1:6" x14ac:dyDescent="0.25">
      <c r="A709" s="7"/>
      <c r="E709" s="7"/>
      <c r="F709" s="7"/>
    </row>
    <row r="710" spans="1:6" x14ac:dyDescent="0.25">
      <c r="A710" s="7"/>
      <c r="E710" s="7"/>
      <c r="F710" s="7"/>
    </row>
    <row r="711" spans="1:6" x14ac:dyDescent="0.25">
      <c r="A711" s="7"/>
      <c r="E711" s="7"/>
      <c r="F711" s="7"/>
    </row>
    <row r="712" spans="1:6" x14ac:dyDescent="0.25">
      <c r="A712" s="7"/>
      <c r="E712" s="7"/>
      <c r="F712" s="7"/>
    </row>
    <row r="713" spans="1:6" x14ac:dyDescent="0.25">
      <c r="A713" s="7"/>
      <c r="E713" s="7"/>
      <c r="F713" s="7"/>
    </row>
    <row r="714" spans="1:6" x14ac:dyDescent="0.25">
      <c r="A714" s="7"/>
      <c r="E714" s="7"/>
      <c r="F714" s="7"/>
    </row>
    <row r="715" spans="1:6" x14ac:dyDescent="0.25">
      <c r="A715" s="7"/>
      <c r="E715" s="7"/>
      <c r="F715" s="7"/>
    </row>
    <row r="716" spans="1:6" x14ac:dyDescent="0.25">
      <c r="A716" s="7"/>
      <c r="E716" s="7"/>
      <c r="F716" s="7"/>
    </row>
    <row r="717" spans="1:6" x14ac:dyDescent="0.25">
      <c r="A717" s="7"/>
      <c r="E717" s="7"/>
      <c r="F717" s="7"/>
    </row>
    <row r="718" spans="1:6" x14ac:dyDescent="0.25">
      <c r="A718" s="7"/>
      <c r="E718" s="7"/>
      <c r="F718" s="7"/>
    </row>
    <row r="719" spans="1:6" x14ac:dyDescent="0.25">
      <c r="A719" s="7"/>
      <c r="E719" s="7"/>
      <c r="F719" s="7"/>
    </row>
    <row r="720" spans="1:6" x14ac:dyDescent="0.25">
      <c r="A720" s="7"/>
      <c r="E720" s="7"/>
      <c r="F720" s="7"/>
    </row>
    <row r="721" spans="1:6" x14ac:dyDescent="0.25">
      <c r="A721" s="7"/>
      <c r="E721" s="7"/>
      <c r="F721" s="7"/>
    </row>
    <row r="722" spans="1:6" x14ac:dyDescent="0.25">
      <c r="A722" s="7"/>
      <c r="E722" s="7"/>
      <c r="F722" s="7"/>
    </row>
    <row r="723" spans="1:6" x14ac:dyDescent="0.25">
      <c r="A723" s="7"/>
      <c r="E723" s="7"/>
      <c r="F723" s="7"/>
    </row>
    <row r="724" spans="1:6" x14ac:dyDescent="0.25">
      <c r="A724" s="7"/>
      <c r="E724" s="7"/>
      <c r="F724" s="7"/>
    </row>
    <row r="725" spans="1:6" x14ac:dyDescent="0.25">
      <c r="A725" s="7"/>
      <c r="E725" s="7"/>
      <c r="F725" s="7"/>
    </row>
    <row r="726" spans="1:6" x14ac:dyDescent="0.25">
      <c r="A726" s="7"/>
      <c r="E726" s="7"/>
      <c r="F726" s="7"/>
    </row>
    <row r="727" spans="1:6" x14ac:dyDescent="0.25">
      <c r="A727" s="7"/>
      <c r="E727" s="7"/>
      <c r="F727" s="7"/>
    </row>
    <row r="728" spans="1:6" x14ac:dyDescent="0.25">
      <c r="A728" s="7"/>
      <c r="E728" s="7"/>
      <c r="F728" s="7"/>
    </row>
    <row r="729" spans="1:6" x14ac:dyDescent="0.25">
      <c r="A729" s="7"/>
      <c r="E729" s="7"/>
      <c r="F729" s="7"/>
    </row>
    <row r="730" spans="1:6" x14ac:dyDescent="0.25">
      <c r="A730" s="7"/>
      <c r="E730" s="7"/>
      <c r="F730" s="7"/>
    </row>
    <row r="731" spans="1:6" x14ac:dyDescent="0.25">
      <c r="A731" s="7"/>
      <c r="E731" s="7"/>
      <c r="F731" s="7"/>
    </row>
    <row r="732" spans="1:6" x14ac:dyDescent="0.25">
      <c r="A732" s="7"/>
      <c r="E732" s="7"/>
      <c r="F732" s="7"/>
    </row>
    <row r="733" spans="1:6" x14ac:dyDescent="0.25">
      <c r="A733" s="7"/>
      <c r="E733" s="7"/>
      <c r="F733" s="7"/>
    </row>
    <row r="734" spans="1:6" x14ac:dyDescent="0.25">
      <c r="A734" s="7"/>
      <c r="E734" s="7"/>
      <c r="F734" s="7"/>
    </row>
    <row r="735" spans="1:6" x14ac:dyDescent="0.25">
      <c r="A735" s="7"/>
      <c r="E735" s="7"/>
      <c r="F735" s="7"/>
    </row>
    <row r="736" spans="1:6" x14ac:dyDescent="0.25">
      <c r="A736" s="7"/>
      <c r="E736" s="7"/>
      <c r="F736" s="7"/>
    </row>
    <row r="737" spans="1:6" x14ac:dyDescent="0.25">
      <c r="A737" s="7"/>
      <c r="E737" s="7"/>
      <c r="F737" s="7"/>
    </row>
    <row r="738" spans="1:6" x14ac:dyDescent="0.25">
      <c r="A738" s="7"/>
      <c r="E738" s="7"/>
      <c r="F738" s="7"/>
    </row>
    <row r="739" spans="1:6" x14ac:dyDescent="0.25">
      <c r="A739" s="7"/>
      <c r="E739" s="7"/>
      <c r="F739" s="7"/>
    </row>
    <row r="740" spans="1:6" x14ac:dyDescent="0.25">
      <c r="A740" s="7"/>
      <c r="E740" s="7"/>
      <c r="F740" s="7"/>
    </row>
    <row r="741" spans="1:6" x14ac:dyDescent="0.25">
      <c r="A741" s="7"/>
      <c r="E741" s="7"/>
      <c r="F741" s="7"/>
    </row>
    <row r="742" spans="1:6" x14ac:dyDescent="0.25">
      <c r="A742" s="7"/>
      <c r="E742" s="7"/>
      <c r="F742" s="7"/>
    </row>
    <row r="743" spans="1:6" x14ac:dyDescent="0.25">
      <c r="A743" s="7"/>
      <c r="E743" s="7"/>
      <c r="F743" s="7"/>
    </row>
    <row r="744" spans="1:6" x14ac:dyDescent="0.25">
      <c r="A744" s="7"/>
      <c r="E744" s="7"/>
      <c r="F744" s="7"/>
    </row>
    <row r="745" spans="1:6" x14ac:dyDescent="0.25">
      <c r="A745" s="7"/>
      <c r="E745" s="7"/>
      <c r="F745" s="7"/>
    </row>
    <row r="746" spans="1:6" x14ac:dyDescent="0.25">
      <c r="A746" s="7"/>
      <c r="E746" s="7"/>
      <c r="F746" s="7"/>
    </row>
    <row r="747" spans="1:6" x14ac:dyDescent="0.25">
      <c r="A747" s="7"/>
      <c r="E747" s="7"/>
      <c r="F747" s="7"/>
    </row>
    <row r="748" spans="1:6" x14ac:dyDescent="0.25">
      <c r="A748" s="7"/>
      <c r="E748" s="7"/>
      <c r="F748" s="7"/>
    </row>
    <row r="749" spans="1:6" x14ac:dyDescent="0.25">
      <c r="A749" s="7"/>
      <c r="E749" s="7"/>
      <c r="F749" s="7"/>
    </row>
    <row r="750" spans="1:6" x14ac:dyDescent="0.25">
      <c r="A750" s="7"/>
      <c r="E750" s="7"/>
      <c r="F750" s="7"/>
    </row>
    <row r="751" spans="1:6" x14ac:dyDescent="0.25">
      <c r="A751" s="7"/>
      <c r="E751" s="7"/>
      <c r="F751" s="7"/>
    </row>
    <row r="752" spans="1:6" x14ac:dyDescent="0.25">
      <c r="A752" s="7"/>
      <c r="E752" s="7"/>
      <c r="F752" s="7"/>
    </row>
    <row r="753" spans="1:6" x14ac:dyDescent="0.25">
      <c r="A753" s="7"/>
      <c r="E753" s="7"/>
      <c r="F753" s="7"/>
    </row>
    <row r="754" spans="1:6" x14ac:dyDescent="0.25">
      <c r="A754" s="7"/>
      <c r="E754" s="7"/>
      <c r="F754" s="7"/>
    </row>
    <row r="755" spans="1:6" x14ac:dyDescent="0.25">
      <c r="A755" s="7"/>
      <c r="E755" s="7"/>
      <c r="F755" s="7"/>
    </row>
    <row r="756" spans="1:6" x14ac:dyDescent="0.25">
      <c r="A756" s="7"/>
      <c r="E756" s="7"/>
      <c r="F756" s="7"/>
    </row>
    <row r="757" spans="1:6" x14ac:dyDescent="0.25">
      <c r="A757" s="7"/>
      <c r="E757" s="7"/>
      <c r="F757" s="7"/>
    </row>
    <row r="758" spans="1:6" x14ac:dyDescent="0.25">
      <c r="A758" s="7"/>
      <c r="E758" s="7"/>
      <c r="F758" s="7"/>
    </row>
    <row r="759" spans="1:6" x14ac:dyDescent="0.25">
      <c r="A759" s="7"/>
      <c r="E759" s="7"/>
      <c r="F759" s="7"/>
    </row>
    <row r="760" spans="1:6" x14ac:dyDescent="0.25">
      <c r="A760" s="7"/>
      <c r="E760" s="7"/>
      <c r="F760" s="7"/>
    </row>
    <row r="761" spans="1:6" x14ac:dyDescent="0.25">
      <c r="A761" s="7"/>
      <c r="E761" s="7"/>
      <c r="F761" s="7"/>
    </row>
    <row r="762" spans="1:6" x14ac:dyDescent="0.25">
      <c r="A762" s="7"/>
      <c r="E762" s="7"/>
      <c r="F762" s="7"/>
    </row>
    <row r="763" spans="1:6" x14ac:dyDescent="0.25">
      <c r="A763" s="7"/>
      <c r="E763" s="7"/>
      <c r="F763" s="7"/>
    </row>
    <row r="764" spans="1:6" x14ac:dyDescent="0.25">
      <c r="A764" s="7"/>
      <c r="E764" s="7"/>
      <c r="F764" s="7"/>
    </row>
    <row r="765" spans="1:6" x14ac:dyDescent="0.25">
      <c r="A765" s="7"/>
      <c r="E765" s="7"/>
      <c r="F765" s="7"/>
    </row>
    <row r="766" spans="1:6" x14ac:dyDescent="0.25">
      <c r="A766" s="7"/>
      <c r="E766" s="7"/>
      <c r="F766" s="7"/>
    </row>
    <row r="767" spans="1:6" x14ac:dyDescent="0.25">
      <c r="A767" s="7"/>
      <c r="E767" s="7"/>
      <c r="F767" s="7"/>
    </row>
    <row r="768" spans="1:6" x14ac:dyDescent="0.25">
      <c r="A768" s="7"/>
      <c r="E768" s="7"/>
      <c r="F768" s="7"/>
    </row>
    <row r="769" spans="1:6" x14ac:dyDescent="0.25">
      <c r="A769" s="7"/>
      <c r="E769" s="7"/>
      <c r="F769" s="7"/>
    </row>
    <row r="770" spans="1:6" x14ac:dyDescent="0.25">
      <c r="A770" s="7"/>
      <c r="E770" s="7"/>
      <c r="F770" s="7"/>
    </row>
    <row r="771" spans="1:6" x14ac:dyDescent="0.25">
      <c r="A771" s="7"/>
      <c r="E771" s="7"/>
      <c r="F771" s="7"/>
    </row>
    <row r="772" spans="1:6" x14ac:dyDescent="0.25">
      <c r="A772" s="7"/>
      <c r="E772" s="7"/>
      <c r="F772" s="7"/>
    </row>
    <row r="773" spans="1:6" x14ac:dyDescent="0.25">
      <c r="A773" s="7"/>
      <c r="E773" s="7"/>
      <c r="F773" s="7"/>
    </row>
    <row r="774" spans="1:6" x14ac:dyDescent="0.25">
      <c r="A774" s="7"/>
      <c r="E774" s="7"/>
      <c r="F774" s="7"/>
    </row>
    <row r="775" spans="1:6" x14ac:dyDescent="0.25">
      <c r="A775" s="7"/>
      <c r="E775" s="7"/>
      <c r="F775" s="7"/>
    </row>
    <row r="776" spans="1:6" x14ac:dyDescent="0.25">
      <c r="A776" s="7"/>
      <c r="E776" s="7"/>
      <c r="F776" s="7"/>
    </row>
    <row r="777" spans="1:6" x14ac:dyDescent="0.25">
      <c r="A777" s="7"/>
      <c r="E777" s="7"/>
      <c r="F777" s="7"/>
    </row>
    <row r="778" spans="1:6" x14ac:dyDescent="0.25">
      <c r="A778" s="7"/>
      <c r="E778" s="7"/>
      <c r="F778" s="7"/>
    </row>
    <row r="779" spans="1:6" x14ac:dyDescent="0.25">
      <c r="A779" s="7"/>
      <c r="E779" s="7"/>
      <c r="F779" s="7"/>
    </row>
    <row r="780" spans="1:6" x14ac:dyDescent="0.25">
      <c r="A780" s="7"/>
      <c r="E780" s="7"/>
      <c r="F780" s="7"/>
    </row>
    <row r="781" spans="1:6" x14ac:dyDescent="0.25">
      <c r="A781" s="7"/>
      <c r="E781" s="7"/>
      <c r="F781" s="7"/>
    </row>
    <row r="782" spans="1:6" x14ac:dyDescent="0.25">
      <c r="A782" s="7"/>
      <c r="E782" s="7"/>
      <c r="F782" s="7"/>
    </row>
    <row r="783" spans="1:6" x14ac:dyDescent="0.25">
      <c r="A783" s="7"/>
      <c r="E783" s="7"/>
      <c r="F783" s="7"/>
    </row>
    <row r="784" spans="1:6" x14ac:dyDescent="0.25">
      <c r="A784" s="7"/>
      <c r="E784" s="7"/>
      <c r="F784" s="7"/>
    </row>
    <row r="785" spans="1:6" x14ac:dyDescent="0.25">
      <c r="A785" s="7"/>
      <c r="E785" s="7"/>
      <c r="F785" s="7"/>
    </row>
    <row r="786" spans="1:6" x14ac:dyDescent="0.25">
      <c r="A786" s="7"/>
      <c r="E786" s="7"/>
      <c r="F786" s="7"/>
    </row>
    <row r="787" spans="1:6" x14ac:dyDescent="0.25">
      <c r="A787" s="7"/>
      <c r="E787" s="7"/>
      <c r="F787" s="7"/>
    </row>
    <row r="788" spans="1:6" x14ac:dyDescent="0.25">
      <c r="A788" s="7"/>
      <c r="E788" s="7"/>
      <c r="F788" s="7"/>
    </row>
    <row r="789" spans="1:6" x14ac:dyDescent="0.25">
      <c r="A789" s="7"/>
      <c r="E789" s="7"/>
      <c r="F789" s="7"/>
    </row>
    <row r="790" spans="1:6" x14ac:dyDescent="0.25">
      <c r="A790" s="7"/>
      <c r="E790" s="7"/>
      <c r="F790" s="7"/>
    </row>
    <row r="791" spans="1:6" x14ac:dyDescent="0.25">
      <c r="A791" s="7"/>
      <c r="E791" s="7"/>
      <c r="F791" s="7"/>
    </row>
    <row r="792" spans="1:6" x14ac:dyDescent="0.25">
      <c r="A792" s="7"/>
      <c r="E792" s="7"/>
      <c r="F792" s="7"/>
    </row>
    <row r="793" spans="1:6" x14ac:dyDescent="0.25">
      <c r="A793" s="7"/>
      <c r="E793" s="7"/>
      <c r="F793" s="7"/>
    </row>
    <row r="794" spans="1:6" x14ac:dyDescent="0.25">
      <c r="A794" s="7"/>
      <c r="E794" s="7"/>
      <c r="F794" s="7"/>
    </row>
    <row r="795" spans="1:6" x14ac:dyDescent="0.25">
      <c r="A795" s="7"/>
      <c r="E795" s="7"/>
      <c r="F795" s="7"/>
    </row>
    <row r="796" spans="1:6" x14ac:dyDescent="0.25">
      <c r="A796" s="7"/>
      <c r="E796" s="7"/>
      <c r="F796" s="7"/>
    </row>
    <row r="797" spans="1:6" x14ac:dyDescent="0.25">
      <c r="A797" s="7"/>
      <c r="E797" s="7"/>
      <c r="F797" s="7"/>
    </row>
    <row r="798" spans="1:6" x14ac:dyDescent="0.25">
      <c r="A798" s="7"/>
      <c r="E798" s="7"/>
      <c r="F798" s="7"/>
    </row>
    <row r="799" spans="1:6" x14ac:dyDescent="0.25">
      <c r="A799" s="7"/>
      <c r="E799" s="7"/>
      <c r="F799" s="7"/>
    </row>
    <row r="800" spans="1:6" x14ac:dyDescent="0.25">
      <c r="A800" s="7"/>
      <c r="E800" s="7"/>
      <c r="F800" s="7"/>
    </row>
    <row r="801" spans="1:6" x14ac:dyDescent="0.25">
      <c r="A801" s="7"/>
      <c r="E801" s="7"/>
      <c r="F801" s="7"/>
    </row>
    <row r="802" spans="1:6" x14ac:dyDescent="0.25">
      <c r="A802" s="7"/>
      <c r="E802" s="7"/>
      <c r="F802" s="7"/>
    </row>
    <row r="803" spans="1:6" x14ac:dyDescent="0.25">
      <c r="A803" s="7"/>
      <c r="E803" s="7"/>
      <c r="F803" s="7"/>
    </row>
    <row r="804" spans="1:6" x14ac:dyDescent="0.25">
      <c r="A804" s="7"/>
      <c r="E804" s="7"/>
      <c r="F804" s="7"/>
    </row>
    <row r="805" spans="1:6" x14ac:dyDescent="0.25">
      <c r="A805" s="7"/>
      <c r="E805" s="7"/>
      <c r="F805" s="7"/>
    </row>
    <row r="806" spans="1:6" x14ac:dyDescent="0.25">
      <c r="A806" s="7"/>
      <c r="E806" s="7"/>
      <c r="F806" s="7"/>
    </row>
    <row r="807" spans="1:6" x14ac:dyDescent="0.25">
      <c r="A807" s="7"/>
      <c r="E807" s="7"/>
      <c r="F807" s="7"/>
    </row>
    <row r="808" spans="1:6" x14ac:dyDescent="0.25">
      <c r="A808" s="7"/>
      <c r="E808" s="7"/>
      <c r="F808" s="7"/>
    </row>
    <row r="809" spans="1:6" x14ac:dyDescent="0.25">
      <c r="A809" s="7"/>
      <c r="E809" s="7"/>
      <c r="F809" s="7"/>
    </row>
    <row r="810" spans="1:6" x14ac:dyDescent="0.25">
      <c r="A810" s="7"/>
      <c r="E810" s="7"/>
      <c r="F810" s="7"/>
    </row>
    <row r="811" spans="1:6" x14ac:dyDescent="0.25">
      <c r="A811" s="7"/>
      <c r="E811" s="7"/>
      <c r="F811" s="7"/>
    </row>
    <row r="812" spans="1:6" x14ac:dyDescent="0.25">
      <c r="A812" s="7"/>
      <c r="E812" s="7"/>
      <c r="F812" s="7"/>
    </row>
    <row r="813" spans="1:6" x14ac:dyDescent="0.25">
      <c r="A813" s="7"/>
      <c r="E813" s="7"/>
      <c r="F813" s="7"/>
    </row>
    <row r="814" spans="1:6" x14ac:dyDescent="0.25">
      <c r="A814" s="7"/>
      <c r="E814" s="7"/>
      <c r="F814" s="7"/>
    </row>
    <row r="815" spans="1:6" x14ac:dyDescent="0.25">
      <c r="A815" s="7"/>
      <c r="E815" s="7"/>
      <c r="F815" s="7"/>
    </row>
    <row r="816" spans="1:6" x14ac:dyDescent="0.25">
      <c r="A816" s="7"/>
      <c r="E816" s="7"/>
      <c r="F816" s="7"/>
    </row>
    <row r="817" spans="1:6" x14ac:dyDescent="0.25">
      <c r="A817" s="7"/>
      <c r="E817" s="7"/>
      <c r="F817" s="7"/>
    </row>
    <row r="818" spans="1:6" x14ac:dyDescent="0.25">
      <c r="A818" s="7"/>
      <c r="E818" s="7"/>
      <c r="F818" s="7"/>
    </row>
    <row r="819" spans="1:6" x14ac:dyDescent="0.25">
      <c r="A819" s="7"/>
      <c r="E819" s="7"/>
      <c r="F819" s="7"/>
    </row>
    <row r="820" spans="1:6" x14ac:dyDescent="0.25">
      <c r="A820" s="7"/>
      <c r="E820" s="7"/>
      <c r="F820" s="7"/>
    </row>
    <row r="821" spans="1:6" x14ac:dyDescent="0.25">
      <c r="A821" s="7"/>
      <c r="E821" s="7"/>
      <c r="F821" s="7"/>
    </row>
    <row r="822" spans="1:6" x14ac:dyDescent="0.25">
      <c r="A822" s="7"/>
      <c r="E822" s="7"/>
      <c r="F822" s="7"/>
    </row>
    <row r="823" spans="1:6" x14ac:dyDescent="0.25">
      <c r="A823" s="7"/>
      <c r="E823" s="7"/>
      <c r="F823" s="7"/>
    </row>
    <row r="824" spans="1:6" x14ac:dyDescent="0.25">
      <c r="A824" s="7"/>
      <c r="E824" s="7"/>
      <c r="F824" s="7"/>
    </row>
    <row r="825" spans="1:6" x14ac:dyDescent="0.25">
      <c r="A825" s="7"/>
      <c r="E825" s="7"/>
      <c r="F825" s="7"/>
    </row>
    <row r="826" spans="1:6" x14ac:dyDescent="0.25">
      <c r="A826" s="7"/>
      <c r="E826" s="7"/>
      <c r="F826" s="7"/>
    </row>
    <row r="827" spans="1:6" x14ac:dyDescent="0.25">
      <c r="A827" s="7"/>
      <c r="E827" s="7"/>
      <c r="F827" s="7"/>
    </row>
    <row r="828" spans="1:6" x14ac:dyDescent="0.25">
      <c r="A828" s="7"/>
      <c r="E828" s="7"/>
      <c r="F828" s="7"/>
    </row>
    <row r="829" spans="1:6" x14ac:dyDescent="0.25">
      <c r="A829" s="7"/>
      <c r="E829" s="7"/>
      <c r="F829" s="7"/>
    </row>
    <row r="830" spans="1:6" x14ac:dyDescent="0.25">
      <c r="A830" s="7"/>
      <c r="E830" s="7"/>
      <c r="F830" s="7"/>
    </row>
    <row r="831" spans="1:6" x14ac:dyDescent="0.25">
      <c r="A831" s="7"/>
      <c r="E831" s="7"/>
      <c r="F831" s="7"/>
    </row>
    <row r="832" spans="1:6" x14ac:dyDescent="0.25">
      <c r="A832" s="7"/>
      <c r="E832" s="7"/>
      <c r="F832" s="7"/>
    </row>
    <row r="833" spans="1:6" x14ac:dyDescent="0.25">
      <c r="A833" s="7"/>
      <c r="E833" s="7"/>
      <c r="F833" s="7"/>
    </row>
    <row r="834" spans="1:6" x14ac:dyDescent="0.25">
      <c r="A834" s="7"/>
      <c r="E834" s="7"/>
      <c r="F834" s="7"/>
    </row>
    <row r="835" spans="1:6" x14ac:dyDescent="0.25">
      <c r="A835" s="7"/>
      <c r="E835" s="7"/>
      <c r="F835" s="7"/>
    </row>
    <row r="836" spans="1:6" x14ac:dyDescent="0.25">
      <c r="A836" s="7"/>
      <c r="E836" s="7"/>
      <c r="F836" s="7"/>
    </row>
    <row r="837" spans="1:6" x14ac:dyDescent="0.25">
      <c r="A837" s="7"/>
      <c r="E837" s="7"/>
      <c r="F837" s="7"/>
    </row>
    <row r="838" spans="1:6" x14ac:dyDescent="0.25">
      <c r="A838" s="7"/>
      <c r="E838" s="7"/>
      <c r="F838" s="7"/>
    </row>
    <row r="839" spans="1:6" x14ac:dyDescent="0.25">
      <c r="A839" s="7"/>
      <c r="E839" s="7"/>
      <c r="F839" s="7"/>
    </row>
    <row r="840" spans="1:6" x14ac:dyDescent="0.25">
      <c r="A840" s="7"/>
      <c r="E840" s="7"/>
      <c r="F840" s="7"/>
    </row>
    <row r="841" spans="1:6" x14ac:dyDescent="0.25">
      <c r="A841" s="7"/>
      <c r="E841" s="7"/>
      <c r="F841" s="7"/>
    </row>
    <row r="842" spans="1:6" x14ac:dyDescent="0.25">
      <c r="A842" s="7"/>
      <c r="E842" s="7"/>
      <c r="F842" s="7"/>
    </row>
    <row r="843" spans="1:6" x14ac:dyDescent="0.25">
      <c r="A843" s="7"/>
      <c r="E843" s="7"/>
      <c r="F843" s="7"/>
    </row>
    <row r="844" spans="1:6" x14ac:dyDescent="0.25">
      <c r="A844" s="7"/>
      <c r="E844" s="7"/>
      <c r="F844" s="7"/>
    </row>
    <row r="845" spans="1:6" x14ac:dyDescent="0.25">
      <c r="A845" s="7"/>
      <c r="E845" s="7"/>
      <c r="F845" s="7"/>
    </row>
    <row r="846" spans="1:6" x14ac:dyDescent="0.25">
      <c r="A846" s="7"/>
      <c r="E846" s="7"/>
      <c r="F846" s="7"/>
    </row>
    <row r="847" spans="1:6" x14ac:dyDescent="0.25">
      <c r="A847" s="7"/>
      <c r="E847" s="7"/>
      <c r="F847" s="7"/>
    </row>
    <row r="848" spans="1:6" x14ac:dyDescent="0.25">
      <c r="A848" s="7"/>
      <c r="E848" s="7"/>
      <c r="F848" s="7"/>
    </row>
    <row r="849" spans="1:6" x14ac:dyDescent="0.25">
      <c r="A849" s="7"/>
      <c r="E849" s="7"/>
      <c r="F849" s="7"/>
    </row>
    <row r="850" spans="1:6" x14ac:dyDescent="0.25">
      <c r="A850" s="7"/>
      <c r="E850" s="7"/>
      <c r="F850" s="7"/>
    </row>
    <row r="851" spans="1:6" x14ac:dyDescent="0.25">
      <c r="A851" s="7"/>
      <c r="E851" s="7"/>
      <c r="F851" s="7"/>
    </row>
    <row r="852" spans="1:6" x14ac:dyDescent="0.25">
      <c r="A852" s="7"/>
      <c r="E852" s="7"/>
      <c r="F852" s="7"/>
    </row>
    <row r="853" spans="1:6" x14ac:dyDescent="0.25">
      <c r="A853" s="7"/>
      <c r="E853" s="7"/>
      <c r="F853" s="7"/>
    </row>
    <row r="854" spans="1:6" x14ac:dyDescent="0.25">
      <c r="A854" s="7"/>
      <c r="E854" s="7"/>
      <c r="F854" s="7"/>
    </row>
    <row r="855" spans="1:6" x14ac:dyDescent="0.25">
      <c r="A855" s="7"/>
      <c r="E855" s="7"/>
      <c r="F855" s="7"/>
    </row>
    <row r="856" spans="1:6" x14ac:dyDescent="0.25">
      <c r="A856" s="7"/>
      <c r="E856" s="7"/>
      <c r="F856" s="7"/>
    </row>
    <row r="857" spans="1:6" x14ac:dyDescent="0.25">
      <c r="A857" s="7"/>
      <c r="E857" s="7"/>
      <c r="F857" s="7"/>
    </row>
    <row r="858" spans="1:6" x14ac:dyDescent="0.25">
      <c r="A858" s="7"/>
      <c r="E858" s="7"/>
      <c r="F858" s="7"/>
    </row>
    <row r="859" spans="1:6" x14ac:dyDescent="0.25">
      <c r="A859" s="7"/>
      <c r="E859" s="7"/>
      <c r="F859" s="7"/>
    </row>
    <row r="860" spans="1:6" x14ac:dyDescent="0.25">
      <c r="A860" s="7"/>
      <c r="E860" s="7"/>
      <c r="F860" s="7"/>
    </row>
    <row r="861" spans="1:6" x14ac:dyDescent="0.25">
      <c r="A861" s="7"/>
      <c r="E861" s="7"/>
      <c r="F861" s="7"/>
    </row>
    <row r="862" spans="1:6" x14ac:dyDescent="0.25">
      <c r="A862" s="7"/>
      <c r="E862" s="7"/>
      <c r="F862" s="7"/>
    </row>
    <row r="863" spans="1:6" x14ac:dyDescent="0.25">
      <c r="A863" s="7"/>
      <c r="E863" s="7"/>
      <c r="F863" s="7"/>
    </row>
    <row r="864" spans="1:6" x14ac:dyDescent="0.25">
      <c r="A864" s="7"/>
      <c r="E864" s="7"/>
      <c r="F864" s="7"/>
    </row>
    <row r="865" spans="1:6" x14ac:dyDescent="0.25">
      <c r="A865" s="7"/>
      <c r="E865" s="7"/>
      <c r="F865" s="7"/>
    </row>
    <row r="866" spans="1:6" x14ac:dyDescent="0.25">
      <c r="A866" s="7"/>
      <c r="E866" s="7"/>
      <c r="F866" s="7"/>
    </row>
    <row r="867" spans="1:6" x14ac:dyDescent="0.25">
      <c r="A867" s="7"/>
      <c r="E867" s="7"/>
      <c r="F867" s="7"/>
    </row>
    <row r="868" spans="1:6" x14ac:dyDescent="0.25">
      <c r="A868" s="7"/>
      <c r="E868" s="7"/>
      <c r="F868" s="7"/>
    </row>
    <row r="869" spans="1:6" x14ac:dyDescent="0.25">
      <c r="A869" s="7"/>
      <c r="E869" s="7"/>
      <c r="F869" s="7"/>
    </row>
    <row r="870" spans="1:6" x14ac:dyDescent="0.25">
      <c r="A870" s="7"/>
      <c r="E870" s="7"/>
      <c r="F870" s="7"/>
    </row>
    <row r="871" spans="1:6" x14ac:dyDescent="0.25">
      <c r="A871" s="7"/>
      <c r="E871" s="7"/>
      <c r="F871" s="7"/>
    </row>
    <row r="872" spans="1:6" x14ac:dyDescent="0.25">
      <c r="A872" s="7"/>
      <c r="E872" s="7"/>
      <c r="F872" s="7"/>
    </row>
    <row r="873" spans="1:6" x14ac:dyDescent="0.25">
      <c r="A873" s="7"/>
      <c r="E873" s="7"/>
      <c r="F873" s="7"/>
    </row>
    <row r="874" spans="1:6" x14ac:dyDescent="0.25">
      <c r="A874" s="7"/>
      <c r="E874" s="7"/>
      <c r="F874" s="7"/>
    </row>
    <row r="875" spans="1:6" x14ac:dyDescent="0.25">
      <c r="A875" s="7"/>
      <c r="E875" s="7"/>
      <c r="F875" s="7"/>
    </row>
    <row r="876" spans="1:6" x14ac:dyDescent="0.25">
      <c r="A876" s="7"/>
      <c r="E876" s="7"/>
      <c r="F876" s="7"/>
    </row>
    <row r="877" spans="1:6" x14ac:dyDescent="0.25">
      <c r="A877" s="7"/>
      <c r="E877" s="7"/>
      <c r="F877" s="7"/>
    </row>
    <row r="878" spans="1:6" x14ac:dyDescent="0.25">
      <c r="A878" s="7"/>
      <c r="E878" s="7"/>
      <c r="F878" s="7"/>
    </row>
    <row r="879" spans="1:6" x14ac:dyDescent="0.25">
      <c r="A879" s="7"/>
      <c r="E879" s="7"/>
      <c r="F879" s="7"/>
    </row>
    <row r="880" spans="1:6" x14ac:dyDescent="0.25">
      <c r="A880" s="7"/>
      <c r="E880" s="7"/>
      <c r="F880" s="7"/>
    </row>
    <row r="881" spans="1:6" x14ac:dyDescent="0.25">
      <c r="A881" s="7"/>
      <c r="E881" s="7"/>
      <c r="F881" s="7"/>
    </row>
    <row r="882" spans="1:6" x14ac:dyDescent="0.25">
      <c r="A882" s="7"/>
      <c r="E882" s="7"/>
      <c r="F882" s="7"/>
    </row>
    <row r="883" spans="1:6" x14ac:dyDescent="0.25">
      <c r="A883" s="7"/>
      <c r="E883" s="7"/>
      <c r="F883" s="7"/>
    </row>
    <row r="884" spans="1:6" x14ac:dyDescent="0.25">
      <c r="A884" s="7"/>
      <c r="E884" s="7"/>
      <c r="F884" s="7"/>
    </row>
    <row r="885" spans="1:6" x14ac:dyDescent="0.25">
      <c r="A885" s="7"/>
      <c r="E885" s="7"/>
      <c r="F885" s="7"/>
    </row>
    <row r="886" spans="1:6" x14ac:dyDescent="0.25">
      <c r="A886" s="7"/>
      <c r="E886" s="7"/>
      <c r="F886" s="7"/>
    </row>
    <row r="887" spans="1:6" x14ac:dyDescent="0.25">
      <c r="A887" s="7"/>
      <c r="E887" s="7"/>
      <c r="F887" s="7"/>
    </row>
    <row r="888" spans="1:6" x14ac:dyDescent="0.25">
      <c r="A888" s="7"/>
      <c r="E888" s="7"/>
      <c r="F888" s="7"/>
    </row>
    <row r="889" spans="1:6" x14ac:dyDescent="0.25">
      <c r="A889" s="7"/>
      <c r="E889" s="7"/>
      <c r="F889" s="7"/>
    </row>
    <row r="890" spans="1:6" x14ac:dyDescent="0.25">
      <c r="A890" s="7"/>
      <c r="E890" s="7"/>
      <c r="F890" s="7"/>
    </row>
    <row r="891" spans="1:6" x14ac:dyDescent="0.25">
      <c r="A891" s="7"/>
      <c r="E891" s="7"/>
      <c r="F891" s="7"/>
    </row>
    <row r="892" spans="1:6" x14ac:dyDescent="0.25">
      <c r="A892" s="7"/>
      <c r="E892" s="7"/>
      <c r="F892" s="7"/>
    </row>
    <row r="893" spans="1:6" x14ac:dyDescent="0.25">
      <c r="A893" s="7"/>
      <c r="E893" s="7"/>
      <c r="F893" s="7"/>
    </row>
    <row r="894" spans="1:6" x14ac:dyDescent="0.25">
      <c r="A894" s="7"/>
      <c r="E894" s="7"/>
      <c r="F894" s="7"/>
    </row>
    <row r="895" spans="1:6" x14ac:dyDescent="0.25">
      <c r="A895" s="7"/>
      <c r="E895" s="7"/>
      <c r="F895" s="7"/>
    </row>
    <row r="896" spans="1:6" x14ac:dyDescent="0.25">
      <c r="A896" s="7"/>
      <c r="E896" s="7"/>
      <c r="F896" s="7"/>
    </row>
    <row r="897" spans="1:6" x14ac:dyDescent="0.25">
      <c r="A897" s="7"/>
      <c r="E897" s="7"/>
      <c r="F897" s="7"/>
    </row>
    <row r="898" spans="1:6" x14ac:dyDescent="0.25">
      <c r="A898" s="7"/>
      <c r="E898" s="7"/>
      <c r="F898" s="7"/>
    </row>
    <row r="899" spans="1:6" x14ac:dyDescent="0.25">
      <c r="A899" s="7"/>
      <c r="E899" s="7"/>
      <c r="F899" s="7"/>
    </row>
    <row r="900" spans="1:6" x14ac:dyDescent="0.25">
      <c r="A900" s="7"/>
      <c r="E900" s="7"/>
      <c r="F900" s="7"/>
    </row>
    <row r="901" spans="1:6" x14ac:dyDescent="0.25">
      <c r="A901" s="7"/>
      <c r="E901" s="7"/>
      <c r="F901" s="7"/>
    </row>
    <row r="902" spans="1:6" x14ac:dyDescent="0.25">
      <c r="A902" s="7"/>
      <c r="E902" s="7"/>
      <c r="F902" s="7"/>
    </row>
    <row r="903" spans="1:6" x14ac:dyDescent="0.25">
      <c r="A903" s="7"/>
      <c r="E903" s="7"/>
      <c r="F903" s="7"/>
    </row>
    <row r="904" spans="1:6" x14ac:dyDescent="0.25">
      <c r="A904" s="7"/>
      <c r="E904" s="7"/>
      <c r="F904" s="7"/>
    </row>
    <row r="905" spans="1:6" x14ac:dyDescent="0.25">
      <c r="A905" s="7"/>
      <c r="E905" s="7"/>
      <c r="F905" s="7"/>
    </row>
    <row r="906" spans="1:6" x14ac:dyDescent="0.25">
      <c r="A906" s="7"/>
      <c r="E906" s="7"/>
      <c r="F906" s="7"/>
    </row>
    <row r="907" spans="1:6" x14ac:dyDescent="0.25">
      <c r="A907" s="7"/>
      <c r="E907" s="7"/>
      <c r="F907" s="7"/>
    </row>
    <row r="908" spans="1:6" x14ac:dyDescent="0.25">
      <c r="A908" s="7"/>
      <c r="E908" s="7"/>
      <c r="F908" s="7"/>
    </row>
    <row r="909" spans="1:6" x14ac:dyDescent="0.25">
      <c r="A909" s="7"/>
      <c r="E909" s="7"/>
      <c r="F909" s="7"/>
    </row>
    <row r="910" spans="1:6" x14ac:dyDescent="0.25">
      <c r="A910" s="7"/>
      <c r="E910" s="7"/>
      <c r="F910" s="7"/>
    </row>
    <row r="911" spans="1:6" x14ac:dyDescent="0.25">
      <c r="A911" s="7"/>
      <c r="E911" s="7"/>
      <c r="F911" s="7"/>
    </row>
    <row r="912" spans="1:6" x14ac:dyDescent="0.25">
      <c r="A912" s="7"/>
      <c r="E912" s="7"/>
      <c r="F912" s="7"/>
    </row>
    <row r="913" spans="1:6" x14ac:dyDescent="0.25">
      <c r="A913" s="7"/>
      <c r="E913" s="7"/>
      <c r="F913" s="7"/>
    </row>
    <row r="914" spans="1:6" x14ac:dyDescent="0.25">
      <c r="A914" s="7"/>
      <c r="E914" s="7"/>
      <c r="F914" s="7"/>
    </row>
    <row r="915" spans="1:6" x14ac:dyDescent="0.25">
      <c r="A915" s="7"/>
      <c r="E915" s="7"/>
      <c r="F915" s="7"/>
    </row>
    <row r="916" spans="1:6" x14ac:dyDescent="0.25">
      <c r="A916" s="7"/>
      <c r="E916" s="7"/>
      <c r="F916" s="7"/>
    </row>
    <row r="917" spans="1:6" x14ac:dyDescent="0.25">
      <c r="A917" s="7"/>
      <c r="E917" s="7"/>
      <c r="F917" s="7"/>
    </row>
    <row r="918" spans="1:6" x14ac:dyDescent="0.25">
      <c r="A918" s="7"/>
      <c r="E918" s="7"/>
      <c r="F918" s="7"/>
    </row>
    <row r="919" spans="1:6" x14ac:dyDescent="0.25">
      <c r="A919" s="7"/>
      <c r="E919" s="7"/>
      <c r="F919" s="7"/>
    </row>
    <row r="920" spans="1:6" x14ac:dyDescent="0.25">
      <c r="A920" s="7"/>
      <c r="E920" s="7"/>
      <c r="F920" s="7"/>
    </row>
    <row r="921" spans="1:6" x14ac:dyDescent="0.25">
      <c r="A921" s="7"/>
      <c r="E921" s="7"/>
      <c r="F921" s="7"/>
    </row>
    <row r="922" spans="1:6" x14ac:dyDescent="0.25">
      <c r="A922" s="7"/>
      <c r="E922" s="7"/>
      <c r="F922" s="7"/>
    </row>
    <row r="923" spans="1:6" x14ac:dyDescent="0.25">
      <c r="A923" s="7"/>
      <c r="E923" s="7"/>
      <c r="F923" s="7"/>
    </row>
    <row r="924" spans="1:6" x14ac:dyDescent="0.25">
      <c r="A924" s="7"/>
      <c r="E924" s="7"/>
      <c r="F924" s="7"/>
    </row>
    <row r="925" spans="1:6" x14ac:dyDescent="0.25">
      <c r="A925" s="7"/>
      <c r="E925" s="7"/>
      <c r="F925" s="7"/>
    </row>
    <row r="926" spans="1:6" x14ac:dyDescent="0.25">
      <c r="A926" s="7"/>
      <c r="E926" s="7"/>
      <c r="F926" s="7"/>
    </row>
    <row r="927" spans="1:6" x14ac:dyDescent="0.25">
      <c r="A927" s="7"/>
      <c r="E927" s="7"/>
      <c r="F927" s="7"/>
    </row>
    <row r="928" spans="1:6" x14ac:dyDescent="0.25">
      <c r="A928" s="7"/>
      <c r="E928" s="7"/>
      <c r="F928" s="7"/>
    </row>
    <row r="929" spans="1:6" x14ac:dyDescent="0.25">
      <c r="A929" s="7"/>
      <c r="E929" s="7"/>
      <c r="F929" s="7"/>
    </row>
    <row r="930" spans="1:6" x14ac:dyDescent="0.25">
      <c r="A930" s="7"/>
      <c r="E930" s="7"/>
      <c r="F930" s="7"/>
    </row>
    <row r="931" spans="1:6" x14ac:dyDescent="0.25">
      <c r="A931" s="7"/>
      <c r="E931" s="7"/>
      <c r="F931" s="7"/>
    </row>
    <row r="932" spans="1:6" x14ac:dyDescent="0.25">
      <c r="A932" s="7"/>
      <c r="E932" s="7"/>
      <c r="F932" s="7"/>
    </row>
    <row r="933" spans="1:6" x14ac:dyDescent="0.25">
      <c r="A933" s="7"/>
      <c r="E933" s="7"/>
      <c r="F933" s="7"/>
    </row>
    <row r="934" spans="1:6" x14ac:dyDescent="0.25">
      <c r="A934" s="7"/>
      <c r="E934" s="7"/>
      <c r="F934" s="7"/>
    </row>
    <row r="935" spans="1:6" x14ac:dyDescent="0.25">
      <c r="A935" s="7"/>
      <c r="E935" s="7"/>
      <c r="F935" s="7"/>
    </row>
    <row r="936" spans="1:6" x14ac:dyDescent="0.25">
      <c r="A936" s="7"/>
      <c r="E936" s="7"/>
      <c r="F936" s="7"/>
    </row>
    <row r="937" spans="1:6" x14ac:dyDescent="0.25">
      <c r="A937" s="7"/>
      <c r="E937" s="7"/>
      <c r="F937" s="7"/>
    </row>
    <row r="938" spans="1:6" x14ac:dyDescent="0.25">
      <c r="A938" s="7"/>
      <c r="E938" s="7"/>
      <c r="F938" s="7"/>
    </row>
    <row r="939" spans="1:6" x14ac:dyDescent="0.25">
      <c r="A939" s="7"/>
      <c r="E939" s="7"/>
      <c r="F939" s="7"/>
    </row>
    <row r="940" spans="1:6" x14ac:dyDescent="0.25">
      <c r="A940" s="7"/>
      <c r="E940" s="7"/>
      <c r="F940" s="7"/>
    </row>
    <row r="941" spans="1:6" x14ac:dyDescent="0.25">
      <c r="A941" s="7"/>
      <c r="E941" s="7"/>
      <c r="F941" s="7"/>
    </row>
    <row r="942" spans="1:6" x14ac:dyDescent="0.25">
      <c r="A942" s="7"/>
      <c r="E942" s="7"/>
      <c r="F942" s="7"/>
    </row>
    <row r="943" spans="1:6" x14ac:dyDescent="0.25">
      <c r="A943" s="7"/>
      <c r="E943" s="7"/>
      <c r="F943" s="7"/>
    </row>
    <row r="944" spans="1:6" x14ac:dyDescent="0.25">
      <c r="A944" s="7"/>
      <c r="E944" s="7"/>
      <c r="F944" s="7"/>
    </row>
    <row r="945" spans="1:6" x14ac:dyDescent="0.25">
      <c r="A945" s="7"/>
      <c r="E945" s="7"/>
      <c r="F945" s="7"/>
    </row>
    <row r="946" spans="1:6" x14ac:dyDescent="0.25">
      <c r="A946" s="7"/>
      <c r="E946" s="7"/>
      <c r="F946" s="7"/>
    </row>
    <row r="947" spans="1:6" x14ac:dyDescent="0.25">
      <c r="A947" s="7"/>
      <c r="E947" s="7"/>
      <c r="F947" s="7"/>
    </row>
    <row r="948" spans="1:6" x14ac:dyDescent="0.25">
      <c r="A948" s="7"/>
      <c r="E948" s="7"/>
      <c r="F948" s="7"/>
    </row>
    <row r="949" spans="1:6" x14ac:dyDescent="0.25">
      <c r="A949" s="7"/>
      <c r="E949" s="7"/>
      <c r="F949" s="7"/>
    </row>
    <row r="950" spans="1:6" x14ac:dyDescent="0.25">
      <c r="A950" s="7"/>
      <c r="E950" s="7"/>
      <c r="F950" s="7"/>
    </row>
    <row r="951" spans="1:6" x14ac:dyDescent="0.25">
      <c r="A951" s="7"/>
      <c r="E951" s="7"/>
      <c r="F951" s="7"/>
    </row>
    <row r="952" spans="1:6" x14ac:dyDescent="0.25">
      <c r="A952" s="7"/>
      <c r="E952" s="7"/>
      <c r="F952" s="7"/>
    </row>
    <row r="953" spans="1:6" x14ac:dyDescent="0.25">
      <c r="A953" s="7"/>
      <c r="E953" s="7"/>
      <c r="F953" s="7"/>
    </row>
    <row r="954" spans="1:6" x14ac:dyDescent="0.25">
      <c r="A954" s="7"/>
      <c r="E954" s="7"/>
      <c r="F954" s="7"/>
    </row>
    <row r="955" spans="1:6" x14ac:dyDescent="0.25">
      <c r="A955" s="7"/>
      <c r="E955" s="7"/>
      <c r="F955" s="7"/>
    </row>
    <row r="956" spans="1:6" x14ac:dyDescent="0.25">
      <c r="A956" s="7"/>
      <c r="E956" s="7"/>
      <c r="F956" s="7"/>
    </row>
    <row r="957" spans="1:6" x14ac:dyDescent="0.25">
      <c r="A957" s="7"/>
      <c r="E957" s="7"/>
      <c r="F957" s="7"/>
    </row>
    <row r="958" spans="1:6" x14ac:dyDescent="0.25">
      <c r="A958" s="7"/>
      <c r="E958" s="7"/>
      <c r="F958" s="7"/>
    </row>
    <row r="959" spans="1:6" x14ac:dyDescent="0.25">
      <c r="A959" s="7"/>
      <c r="E959" s="7"/>
      <c r="F959" s="7"/>
    </row>
    <row r="960" spans="1:6" x14ac:dyDescent="0.25">
      <c r="A960" s="7"/>
      <c r="E960" s="7"/>
      <c r="F960" s="7"/>
    </row>
    <row r="961" spans="1:6" x14ac:dyDescent="0.25">
      <c r="A961" s="7"/>
      <c r="E961" s="7"/>
      <c r="F961" s="7"/>
    </row>
    <row r="962" spans="1:6" x14ac:dyDescent="0.25">
      <c r="A962" s="7"/>
      <c r="E962" s="7"/>
      <c r="F962" s="7"/>
    </row>
    <row r="963" spans="1:6" x14ac:dyDescent="0.25">
      <c r="A963" s="7"/>
      <c r="E963" s="7"/>
      <c r="F963" s="7"/>
    </row>
    <row r="964" spans="1:6" x14ac:dyDescent="0.25">
      <c r="A964" s="7"/>
      <c r="E964" s="7"/>
      <c r="F964" s="7"/>
    </row>
    <row r="965" spans="1:6" x14ac:dyDescent="0.25">
      <c r="A965" s="7"/>
      <c r="E965" s="7"/>
      <c r="F965" s="7"/>
    </row>
    <row r="966" spans="1:6" x14ac:dyDescent="0.25">
      <c r="A966" s="7"/>
      <c r="E966" s="7"/>
      <c r="F966" s="7"/>
    </row>
    <row r="967" spans="1:6" x14ac:dyDescent="0.25">
      <c r="A967" s="7"/>
      <c r="E967" s="7"/>
      <c r="F967" s="7"/>
    </row>
    <row r="968" spans="1:6" x14ac:dyDescent="0.25">
      <c r="A968" s="7"/>
      <c r="E968" s="7"/>
      <c r="F968" s="7"/>
    </row>
    <row r="969" spans="1:6" x14ac:dyDescent="0.25">
      <c r="A969" s="7"/>
      <c r="E969" s="7"/>
      <c r="F969" s="7"/>
    </row>
    <row r="970" spans="1:6" x14ac:dyDescent="0.25">
      <c r="A970" s="7"/>
      <c r="E970" s="7"/>
      <c r="F970" s="7"/>
    </row>
    <row r="971" spans="1:6" x14ac:dyDescent="0.25">
      <c r="A971" s="7"/>
      <c r="E971" s="7"/>
      <c r="F971" s="7"/>
    </row>
    <row r="972" spans="1:6" x14ac:dyDescent="0.25">
      <c r="A972" s="7"/>
      <c r="E972" s="7"/>
      <c r="F972" s="7"/>
    </row>
    <row r="973" spans="1:6" x14ac:dyDescent="0.25">
      <c r="A973" s="7"/>
      <c r="E973" s="7"/>
      <c r="F973" s="7"/>
    </row>
    <row r="974" spans="1:6" x14ac:dyDescent="0.25">
      <c r="A974" s="7"/>
      <c r="E974" s="7"/>
      <c r="F974" s="7"/>
    </row>
    <row r="975" spans="1:6" x14ac:dyDescent="0.25">
      <c r="A975" s="7"/>
      <c r="E975" s="7"/>
      <c r="F975" s="7"/>
    </row>
    <row r="976" spans="1:6" x14ac:dyDescent="0.25">
      <c r="A976" s="7"/>
      <c r="E976" s="7"/>
      <c r="F976" s="7"/>
    </row>
    <row r="977" spans="1:6" x14ac:dyDescent="0.25">
      <c r="A977" s="7"/>
      <c r="E977" s="7"/>
      <c r="F977" s="7"/>
    </row>
    <row r="978" spans="1:6" x14ac:dyDescent="0.25">
      <c r="A978" s="7"/>
      <c r="E978" s="7"/>
      <c r="F978" s="7"/>
    </row>
    <row r="979" spans="1:6" x14ac:dyDescent="0.25">
      <c r="A979" s="7"/>
      <c r="E979" s="7"/>
      <c r="F979" s="7"/>
    </row>
    <row r="980" spans="1:6" x14ac:dyDescent="0.25">
      <c r="A980" s="7"/>
      <c r="E980" s="7"/>
      <c r="F980" s="7"/>
    </row>
    <row r="981" spans="1:6" x14ac:dyDescent="0.25">
      <c r="A981" s="7"/>
      <c r="E981" s="7"/>
      <c r="F981" s="7"/>
    </row>
    <row r="982" spans="1:6" x14ac:dyDescent="0.25">
      <c r="A982" s="7"/>
      <c r="E982" s="7"/>
      <c r="F982" s="7"/>
    </row>
    <row r="983" spans="1:6" x14ac:dyDescent="0.25">
      <c r="A983" s="7"/>
      <c r="E983" s="7"/>
      <c r="F983" s="7"/>
    </row>
    <row r="984" spans="1:6" x14ac:dyDescent="0.25">
      <c r="A984" s="7"/>
      <c r="E984" s="7"/>
      <c r="F984" s="7"/>
    </row>
    <row r="985" spans="1:6" x14ac:dyDescent="0.25">
      <c r="A985" s="7"/>
      <c r="E985" s="7"/>
      <c r="F985" s="7"/>
    </row>
    <row r="986" spans="1:6" x14ac:dyDescent="0.25">
      <c r="A986" s="7"/>
      <c r="E986" s="7"/>
      <c r="F986" s="7"/>
    </row>
    <row r="987" spans="1:6" x14ac:dyDescent="0.25">
      <c r="A987" s="7"/>
      <c r="E987" s="7"/>
      <c r="F987" s="7"/>
    </row>
    <row r="988" spans="1:6" x14ac:dyDescent="0.25">
      <c r="A988" s="7"/>
      <c r="E988" s="7"/>
      <c r="F988" s="7"/>
    </row>
    <row r="989" spans="1:6" x14ac:dyDescent="0.25">
      <c r="A989" s="7"/>
      <c r="E989" s="7"/>
      <c r="F989" s="7"/>
    </row>
    <row r="990" spans="1:6" x14ac:dyDescent="0.25">
      <c r="A990" s="7"/>
      <c r="E990" s="7"/>
      <c r="F990" s="7"/>
    </row>
    <row r="991" spans="1:6" x14ac:dyDescent="0.25">
      <c r="A991" s="7"/>
      <c r="E991" s="7"/>
      <c r="F991" s="7"/>
    </row>
    <row r="992" spans="1:6" x14ac:dyDescent="0.25">
      <c r="A992" s="7"/>
      <c r="E992" s="7"/>
      <c r="F992" s="7"/>
    </row>
    <row r="993" spans="1:6" x14ac:dyDescent="0.25">
      <c r="A993" s="7"/>
      <c r="E993" s="7"/>
      <c r="F993" s="7"/>
    </row>
    <row r="994" spans="1:6" x14ac:dyDescent="0.25">
      <c r="A994" s="7"/>
      <c r="E994" s="7"/>
      <c r="F994" s="7"/>
    </row>
    <row r="995" spans="1:6" x14ac:dyDescent="0.25">
      <c r="A995" s="7"/>
      <c r="E995" s="7"/>
      <c r="F995" s="7"/>
    </row>
    <row r="996" spans="1:6" x14ac:dyDescent="0.25">
      <c r="A996" s="7"/>
      <c r="E996" s="7"/>
      <c r="F996" s="7"/>
    </row>
    <row r="997" spans="1:6" x14ac:dyDescent="0.25">
      <c r="A997" s="7"/>
      <c r="E997" s="7"/>
      <c r="F997" s="7"/>
    </row>
    <row r="998" spans="1:6" x14ac:dyDescent="0.25">
      <c r="A998" s="7"/>
      <c r="E998" s="7"/>
      <c r="F998" s="7"/>
    </row>
    <row r="999" spans="1:6" x14ac:dyDescent="0.25">
      <c r="A999" s="7"/>
      <c r="E999" s="7"/>
      <c r="F999" s="7"/>
    </row>
    <row r="1000" spans="1:6" x14ac:dyDescent="0.25">
      <c r="A1000" s="7"/>
      <c r="E1000" s="7"/>
      <c r="F1000" s="7"/>
    </row>
    <row r="1001" spans="1:6" x14ac:dyDescent="0.25">
      <c r="A1001" s="7"/>
      <c r="E1001" s="7"/>
      <c r="F1001" s="7"/>
    </row>
    <row r="1002" spans="1:6" x14ac:dyDescent="0.25">
      <c r="A1002" s="7"/>
      <c r="E1002" s="7"/>
      <c r="F1002" s="7"/>
    </row>
    <row r="1003" spans="1:6" x14ac:dyDescent="0.25">
      <c r="A1003" s="7"/>
      <c r="E1003" s="7"/>
      <c r="F1003" s="7"/>
    </row>
    <row r="1004" spans="1:6" x14ac:dyDescent="0.25">
      <c r="A1004" s="7"/>
      <c r="E1004" s="7"/>
      <c r="F1004" s="7"/>
    </row>
  </sheetData>
  <mergeCells count="4">
    <mergeCell ref="A1:I1"/>
    <mergeCell ref="A2:I2"/>
    <mergeCell ref="B3:C3"/>
    <mergeCell ref="A18:I18"/>
  </mergeCells>
  <printOptions horizontalCentered="1" gridLines="1"/>
  <pageMargins left="0.25" right="0.25" top="0.75" bottom="0.75" header="0" footer="0"/>
  <pageSetup fitToHeight="0" pageOrder="overThenDown" orientation="landscape" cellComments="atEnd"/>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pageSetUpPr fitToPage="1"/>
  </sheetPr>
  <dimension ref="A1:V1002"/>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7.33203125" customWidth="1"/>
    <col min="2" max="3" width="7.88671875" customWidth="1"/>
    <col min="4" max="4" width="16.77734375" customWidth="1"/>
    <col min="5" max="5" width="17.77734375" customWidth="1"/>
  </cols>
  <sheetData>
    <row r="1" spans="1:22" ht="13.2" x14ac:dyDescent="0.25">
      <c r="A1" s="141"/>
      <c r="B1" s="142"/>
      <c r="C1" s="142"/>
      <c r="D1" s="142"/>
      <c r="E1" s="142"/>
      <c r="F1" s="142"/>
      <c r="G1" s="142"/>
      <c r="H1" s="143"/>
    </row>
    <row r="2" spans="1:22" ht="13.2" x14ac:dyDescent="0.25">
      <c r="A2" s="144"/>
      <c r="B2" s="142"/>
      <c r="C2" s="142"/>
      <c r="D2" s="142"/>
      <c r="E2" s="142"/>
      <c r="F2" s="142"/>
      <c r="G2" s="142"/>
      <c r="H2" s="143"/>
    </row>
    <row r="3" spans="1:22" ht="13.2" x14ac:dyDescent="0.25">
      <c r="A3" s="145" t="s">
        <v>408</v>
      </c>
      <c r="B3" s="143"/>
      <c r="C3" s="49" t="s">
        <v>370</v>
      </c>
      <c r="D3" s="50" t="s">
        <v>371</v>
      </c>
      <c r="E3" s="51" t="s">
        <v>372</v>
      </c>
      <c r="F3" s="52" t="s">
        <v>373</v>
      </c>
      <c r="G3" s="53" t="s">
        <v>409</v>
      </c>
      <c r="H3" s="53" t="s">
        <v>410</v>
      </c>
      <c r="I3" s="7"/>
      <c r="J3" s="7"/>
      <c r="K3" s="7"/>
      <c r="L3" s="7"/>
      <c r="M3" s="7"/>
      <c r="N3" s="7"/>
      <c r="O3" s="7"/>
      <c r="P3" s="7"/>
      <c r="Q3" s="7"/>
      <c r="R3" s="7"/>
      <c r="S3" s="7"/>
      <c r="T3" s="7"/>
      <c r="U3" s="7"/>
      <c r="V3" s="7"/>
    </row>
    <row r="4" spans="1:22" ht="13.2" x14ac:dyDescent="0.25">
      <c r="A4" s="54">
        <f>SUM(A5:A8)/3</f>
        <v>1</v>
      </c>
      <c r="B4" s="55">
        <f>C4*A4</f>
        <v>0.7</v>
      </c>
      <c r="C4" s="56">
        <v>0.7</v>
      </c>
      <c r="D4" s="57"/>
      <c r="E4" s="57"/>
      <c r="F4" s="58"/>
      <c r="G4" s="58"/>
      <c r="H4" s="58"/>
    </row>
    <row r="5" spans="1:22" ht="13.2" x14ac:dyDescent="0.25">
      <c r="A5" s="59">
        <v>1</v>
      </c>
      <c r="B5" s="60"/>
      <c r="C5" s="60"/>
      <c r="D5" s="42"/>
      <c r="E5" s="61"/>
      <c r="F5" s="59">
        <v>0.8</v>
      </c>
      <c r="G5" s="59">
        <v>0.8</v>
      </c>
      <c r="H5" s="59">
        <v>1</v>
      </c>
    </row>
    <row r="6" spans="1:22" ht="13.2" x14ac:dyDescent="0.25">
      <c r="A6" s="59">
        <v>1</v>
      </c>
      <c r="B6" s="60"/>
      <c r="C6" s="60"/>
      <c r="D6" s="42"/>
      <c r="E6" s="61"/>
      <c r="F6" s="59">
        <v>0.8</v>
      </c>
      <c r="G6" s="59">
        <v>0.8</v>
      </c>
      <c r="H6" s="59">
        <v>1</v>
      </c>
    </row>
    <row r="7" spans="1:22" ht="13.2" x14ac:dyDescent="0.25">
      <c r="A7" s="59">
        <v>1</v>
      </c>
      <c r="B7" s="60"/>
      <c r="C7" s="60"/>
      <c r="D7" s="42"/>
      <c r="E7" s="61"/>
      <c r="F7" s="59">
        <v>0.8</v>
      </c>
      <c r="G7" s="59">
        <v>0.8</v>
      </c>
      <c r="H7" s="59">
        <v>1</v>
      </c>
    </row>
    <row r="8" spans="1:22" ht="13.2" hidden="1" x14ac:dyDescent="0.25">
      <c r="A8" s="62"/>
      <c r="B8" s="60"/>
      <c r="C8" s="60"/>
      <c r="D8" s="42"/>
      <c r="E8" s="42"/>
      <c r="F8" s="60"/>
      <c r="G8" s="60"/>
      <c r="H8" s="60"/>
    </row>
    <row r="9" spans="1:22" ht="13.2" x14ac:dyDescent="0.25">
      <c r="A9" s="54">
        <f>SUM(A10:A11)/2</f>
        <v>0.5</v>
      </c>
      <c r="B9" s="55">
        <f>C9*A9</f>
        <v>0.1</v>
      </c>
      <c r="C9" s="56">
        <v>0.2</v>
      </c>
      <c r="D9" s="57"/>
      <c r="E9" s="57"/>
      <c r="F9" s="58"/>
      <c r="G9" s="58"/>
      <c r="H9" s="58"/>
    </row>
    <row r="10" spans="1:22" ht="57.6" x14ac:dyDescent="0.3">
      <c r="A10" s="59">
        <v>1</v>
      </c>
      <c r="B10" s="60"/>
      <c r="C10" s="60"/>
      <c r="D10" s="93" t="s">
        <v>568</v>
      </c>
      <c r="E10" s="42" t="s">
        <v>425</v>
      </c>
      <c r="F10" s="59">
        <v>1</v>
      </c>
      <c r="G10" s="59"/>
      <c r="H10" s="59"/>
    </row>
    <row r="11" spans="1:22" ht="14.4" hidden="1" x14ac:dyDescent="0.3">
      <c r="A11" s="59"/>
      <c r="B11" s="60"/>
      <c r="C11" s="60"/>
      <c r="D11" s="93"/>
      <c r="E11" s="42"/>
      <c r="F11" s="59"/>
      <c r="G11" s="59"/>
      <c r="H11" s="59"/>
    </row>
    <row r="12" spans="1:22" ht="13.2" x14ac:dyDescent="0.25">
      <c r="A12" s="54">
        <f>SUM(A13:A14)/2</f>
        <v>1</v>
      </c>
      <c r="B12" s="55">
        <f>C12*A12</f>
        <v>0.1</v>
      </c>
      <c r="C12" s="56">
        <v>0.1</v>
      </c>
      <c r="D12" s="57"/>
      <c r="E12" s="57"/>
      <c r="F12" s="58"/>
      <c r="G12" s="58"/>
      <c r="H12" s="58"/>
    </row>
    <row r="13" spans="1:22" ht="13.2" x14ac:dyDescent="0.25">
      <c r="A13" s="59">
        <v>1</v>
      </c>
      <c r="B13" s="60"/>
      <c r="C13" s="53"/>
      <c r="D13" s="42"/>
      <c r="E13" s="42" t="s">
        <v>418</v>
      </c>
      <c r="F13" s="59">
        <v>0.8</v>
      </c>
      <c r="G13" s="59">
        <v>0.8</v>
      </c>
      <c r="H13" s="59">
        <v>1</v>
      </c>
    </row>
    <row r="14" spans="1:22" ht="26.4" x14ac:dyDescent="0.25">
      <c r="A14" s="59">
        <v>1</v>
      </c>
      <c r="B14" s="60"/>
      <c r="C14" s="53"/>
      <c r="D14" s="42"/>
      <c r="E14" s="42" t="s">
        <v>419</v>
      </c>
      <c r="F14" s="59">
        <v>0.8</v>
      </c>
      <c r="G14" s="59">
        <v>0.8</v>
      </c>
      <c r="H14" s="59">
        <v>1</v>
      </c>
    </row>
    <row r="15" spans="1:22" ht="13.2" x14ac:dyDescent="0.25">
      <c r="A15" s="60"/>
      <c r="B15" s="64">
        <f t="shared" ref="B15:C15" si="0">SUM(B4+B9+B12)</f>
        <v>0.89999999999999991</v>
      </c>
      <c r="C15" s="64">
        <f t="shared" si="0"/>
        <v>0.99999999999999989</v>
      </c>
      <c r="D15" s="42"/>
      <c r="E15" s="42"/>
      <c r="F15" s="60"/>
      <c r="G15" s="60"/>
      <c r="H15" s="60"/>
    </row>
    <row r="16" spans="1:22" ht="13.2" x14ac:dyDescent="0.25">
      <c r="A16" s="152"/>
      <c r="B16" s="142"/>
      <c r="C16" s="142"/>
      <c r="D16" s="142"/>
      <c r="E16" s="142"/>
      <c r="F16" s="142"/>
      <c r="G16" s="142"/>
      <c r="H16" s="143"/>
    </row>
    <row r="17" spans="1:8" ht="66" x14ac:dyDescent="0.25">
      <c r="A17" s="67" t="s">
        <v>423</v>
      </c>
      <c r="B17" s="64"/>
      <c r="C17" s="64"/>
      <c r="D17" s="68" t="s">
        <v>152</v>
      </c>
      <c r="E17" s="42" t="s">
        <v>425</v>
      </c>
      <c r="F17" s="42"/>
      <c r="G17" s="60"/>
      <c r="H17" s="60"/>
    </row>
    <row r="18" spans="1:8" ht="13.2" hidden="1" x14ac:dyDescent="0.25">
      <c r="A18" s="67"/>
      <c r="B18" s="64"/>
      <c r="C18" s="64"/>
      <c r="D18" s="68"/>
      <c r="E18" s="42"/>
      <c r="F18" s="69"/>
      <c r="G18" s="60"/>
      <c r="H18" s="60"/>
    </row>
    <row r="19" spans="1:8" ht="13.2" hidden="1" x14ac:dyDescent="0.25">
      <c r="A19" s="67"/>
      <c r="B19" s="64"/>
      <c r="C19" s="64"/>
      <c r="D19" s="68"/>
      <c r="E19" s="42"/>
      <c r="F19" s="42"/>
      <c r="G19" s="60"/>
      <c r="H19" s="60"/>
    </row>
    <row r="20" spans="1:8" ht="13.2" x14ac:dyDescent="0.25">
      <c r="D20" s="7"/>
      <c r="E20" s="7"/>
    </row>
    <row r="21" spans="1:8" ht="13.2" x14ac:dyDescent="0.25">
      <c r="D21" s="7"/>
      <c r="E21" s="7"/>
    </row>
    <row r="22" spans="1:8" ht="13.2" x14ac:dyDescent="0.25">
      <c r="D22" s="7"/>
      <c r="E22" s="7"/>
    </row>
    <row r="23" spans="1:8" ht="13.2" x14ac:dyDescent="0.25">
      <c r="D23" s="7"/>
      <c r="E23" s="7"/>
    </row>
    <row r="24" spans="1:8" ht="13.2" x14ac:dyDescent="0.25">
      <c r="D24" s="7"/>
      <c r="E24" s="7"/>
    </row>
    <row r="25" spans="1:8" ht="13.2" x14ac:dyDescent="0.25">
      <c r="D25" s="7"/>
      <c r="E25" s="7"/>
    </row>
    <row r="26" spans="1:8" ht="13.2" x14ac:dyDescent="0.25">
      <c r="D26" s="7"/>
      <c r="E26" s="7"/>
    </row>
    <row r="27" spans="1:8" ht="13.2" x14ac:dyDescent="0.25">
      <c r="D27" s="7"/>
      <c r="E27" s="7"/>
    </row>
    <row r="28" spans="1:8" ht="13.2" x14ac:dyDescent="0.25">
      <c r="D28" s="7"/>
      <c r="E28" s="7"/>
    </row>
    <row r="29" spans="1:8" ht="13.2" x14ac:dyDescent="0.25">
      <c r="D29" s="7"/>
      <c r="E29" s="7"/>
    </row>
    <row r="30" spans="1:8" ht="13.2" x14ac:dyDescent="0.25">
      <c r="D30" s="7"/>
      <c r="E30" s="7"/>
    </row>
    <row r="31" spans="1:8" ht="13.2" x14ac:dyDescent="0.25">
      <c r="D31" s="7"/>
      <c r="E31" s="7"/>
    </row>
    <row r="32" spans="1:8" ht="13.2" x14ac:dyDescent="0.25">
      <c r="D32" s="7"/>
      <c r="E32" s="7"/>
    </row>
    <row r="33" spans="4:5" ht="13.2" x14ac:dyDescent="0.25">
      <c r="D33" s="7"/>
      <c r="E33" s="7"/>
    </row>
    <row r="34" spans="4:5" ht="13.2" x14ac:dyDescent="0.25">
      <c r="D34" s="7"/>
      <c r="E34" s="7"/>
    </row>
    <row r="35" spans="4:5" ht="13.2" x14ac:dyDescent="0.25">
      <c r="D35" s="7"/>
      <c r="E35" s="7"/>
    </row>
    <row r="36" spans="4:5" ht="13.2" x14ac:dyDescent="0.25">
      <c r="D36" s="7"/>
      <c r="E36" s="7"/>
    </row>
    <row r="37" spans="4:5" ht="13.2" x14ac:dyDescent="0.25">
      <c r="D37" s="7"/>
      <c r="E37" s="7"/>
    </row>
    <row r="38" spans="4:5" ht="13.2" x14ac:dyDescent="0.25">
      <c r="D38" s="7"/>
      <c r="E38" s="7"/>
    </row>
    <row r="39" spans="4:5" ht="13.2" x14ac:dyDescent="0.25">
      <c r="D39" s="7"/>
      <c r="E39" s="7"/>
    </row>
    <row r="40" spans="4:5" ht="13.2" x14ac:dyDescent="0.25">
      <c r="D40" s="7"/>
      <c r="E40" s="7"/>
    </row>
    <row r="41" spans="4:5" ht="13.2" x14ac:dyDescent="0.25">
      <c r="D41" s="7"/>
      <c r="E41" s="7"/>
    </row>
    <row r="42" spans="4:5" ht="13.2" x14ac:dyDescent="0.25">
      <c r="D42" s="7"/>
      <c r="E42" s="7"/>
    </row>
    <row r="43" spans="4:5" ht="13.2" x14ac:dyDescent="0.25">
      <c r="D43" s="7"/>
      <c r="E43" s="7"/>
    </row>
    <row r="44" spans="4:5" ht="13.2" x14ac:dyDescent="0.25">
      <c r="D44" s="7"/>
      <c r="E44" s="7"/>
    </row>
    <row r="45" spans="4:5" ht="13.2" x14ac:dyDescent="0.25">
      <c r="D45" s="7"/>
      <c r="E45" s="7"/>
    </row>
    <row r="46" spans="4:5" ht="13.2" x14ac:dyDescent="0.25">
      <c r="D46" s="7"/>
      <c r="E46" s="7"/>
    </row>
    <row r="47" spans="4:5" ht="13.2" x14ac:dyDescent="0.25">
      <c r="D47" s="7"/>
      <c r="E47" s="7"/>
    </row>
    <row r="48" spans="4:5" ht="13.2" x14ac:dyDescent="0.25">
      <c r="D48" s="7"/>
      <c r="E48" s="7"/>
    </row>
    <row r="49" spans="4:5" ht="13.2" x14ac:dyDescent="0.25">
      <c r="D49" s="7"/>
      <c r="E49" s="7"/>
    </row>
    <row r="50" spans="4:5" ht="13.2" x14ac:dyDescent="0.25">
      <c r="D50" s="7"/>
      <c r="E50" s="7"/>
    </row>
    <row r="51" spans="4:5" ht="13.2" x14ac:dyDescent="0.25">
      <c r="D51" s="7"/>
      <c r="E51" s="7"/>
    </row>
    <row r="52" spans="4:5" ht="13.2" x14ac:dyDescent="0.25">
      <c r="D52" s="7"/>
      <c r="E52" s="7"/>
    </row>
    <row r="53" spans="4:5" ht="13.2" x14ac:dyDescent="0.25">
      <c r="D53" s="7"/>
      <c r="E53" s="7"/>
    </row>
    <row r="54" spans="4:5" ht="13.2" x14ac:dyDescent="0.25">
      <c r="D54" s="7"/>
      <c r="E54" s="7"/>
    </row>
    <row r="55" spans="4:5" ht="13.2" x14ac:dyDescent="0.25">
      <c r="D55" s="7"/>
      <c r="E55" s="7"/>
    </row>
    <row r="56" spans="4:5" ht="13.2" x14ac:dyDescent="0.25">
      <c r="D56" s="7"/>
      <c r="E56" s="7"/>
    </row>
    <row r="57" spans="4:5" ht="13.2" x14ac:dyDescent="0.25">
      <c r="D57" s="7"/>
      <c r="E57" s="7"/>
    </row>
    <row r="58" spans="4:5" ht="13.2" x14ac:dyDescent="0.25">
      <c r="D58" s="7"/>
      <c r="E58" s="7"/>
    </row>
    <row r="59" spans="4:5" ht="13.2" x14ac:dyDescent="0.25">
      <c r="D59" s="7"/>
      <c r="E59" s="7"/>
    </row>
    <row r="60" spans="4:5" ht="13.2" x14ac:dyDescent="0.25">
      <c r="D60" s="7"/>
      <c r="E60" s="7"/>
    </row>
    <row r="61" spans="4:5" ht="13.2" x14ac:dyDescent="0.25">
      <c r="D61" s="7"/>
      <c r="E61" s="7"/>
    </row>
    <row r="62" spans="4:5" ht="13.2" x14ac:dyDescent="0.25">
      <c r="D62" s="7"/>
      <c r="E62" s="7"/>
    </row>
    <row r="63" spans="4:5" ht="13.2" x14ac:dyDescent="0.25">
      <c r="D63" s="7"/>
      <c r="E63" s="7"/>
    </row>
    <row r="64" spans="4:5" ht="13.2" x14ac:dyDescent="0.25">
      <c r="D64" s="7"/>
      <c r="E64" s="7"/>
    </row>
    <row r="65" spans="4:5" ht="13.2" x14ac:dyDescent="0.25">
      <c r="D65" s="7"/>
      <c r="E65" s="7"/>
    </row>
    <row r="66" spans="4:5" ht="13.2" x14ac:dyDescent="0.25">
      <c r="D66" s="7"/>
      <c r="E66" s="7"/>
    </row>
    <row r="67" spans="4:5" ht="13.2" x14ac:dyDescent="0.25">
      <c r="D67" s="7"/>
      <c r="E67" s="7"/>
    </row>
    <row r="68" spans="4:5" ht="13.2" x14ac:dyDescent="0.25">
      <c r="D68" s="7"/>
      <c r="E68" s="7"/>
    </row>
    <row r="69" spans="4:5" ht="13.2" x14ac:dyDescent="0.25">
      <c r="D69" s="7"/>
      <c r="E69" s="7"/>
    </row>
    <row r="70" spans="4:5" ht="13.2" x14ac:dyDescent="0.25">
      <c r="D70" s="7"/>
      <c r="E70" s="7"/>
    </row>
    <row r="71" spans="4:5" ht="13.2" x14ac:dyDescent="0.25">
      <c r="D71" s="7"/>
      <c r="E71" s="7"/>
    </row>
    <row r="72" spans="4:5" ht="13.2" x14ac:dyDescent="0.25">
      <c r="D72" s="7"/>
      <c r="E72" s="7"/>
    </row>
    <row r="73" spans="4:5" ht="13.2" x14ac:dyDescent="0.25">
      <c r="D73" s="7"/>
      <c r="E73" s="7"/>
    </row>
    <row r="74" spans="4:5" ht="13.2" x14ac:dyDescent="0.25">
      <c r="D74" s="7"/>
      <c r="E74" s="7"/>
    </row>
    <row r="75" spans="4:5" ht="13.2" x14ac:dyDescent="0.25">
      <c r="D75" s="7"/>
      <c r="E75" s="7"/>
    </row>
    <row r="76" spans="4:5" ht="13.2" x14ac:dyDescent="0.25">
      <c r="D76" s="7"/>
      <c r="E76" s="7"/>
    </row>
    <row r="77" spans="4:5" ht="13.2" x14ac:dyDescent="0.25">
      <c r="D77" s="7"/>
      <c r="E77" s="7"/>
    </row>
    <row r="78" spans="4:5" ht="13.2" x14ac:dyDescent="0.25">
      <c r="D78" s="7"/>
      <c r="E78" s="7"/>
    </row>
    <row r="79" spans="4:5" ht="13.2" x14ac:dyDescent="0.25">
      <c r="D79" s="7"/>
      <c r="E79" s="7"/>
    </row>
    <row r="80" spans="4:5" ht="13.2" x14ac:dyDescent="0.25">
      <c r="D80" s="7"/>
      <c r="E80" s="7"/>
    </row>
    <row r="81" spans="4:5" ht="13.2" x14ac:dyDescent="0.25">
      <c r="D81" s="7"/>
      <c r="E81" s="7"/>
    </row>
    <row r="82" spans="4:5" ht="13.2" x14ac:dyDescent="0.25">
      <c r="D82" s="7"/>
      <c r="E82" s="7"/>
    </row>
    <row r="83" spans="4:5" ht="13.2" x14ac:dyDescent="0.25">
      <c r="D83" s="7"/>
      <c r="E83" s="7"/>
    </row>
    <row r="84" spans="4:5" ht="13.2" x14ac:dyDescent="0.25">
      <c r="D84" s="7"/>
      <c r="E84" s="7"/>
    </row>
    <row r="85" spans="4:5" ht="13.2" x14ac:dyDescent="0.25">
      <c r="D85" s="7"/>
      <c r="E85" s="7"/>
    </row>
    <row r="86" spans="4:5" ht="13.2" x14ac:dyDescent="0.25">
      <c r="D86" s="7"/>
      <c r="E86" s="7"/>
    </row>
    <row r="87" spans="4:5" ht="13.2" x14ac:dyDescent="0.25">
      <c r="D87" s="7"/>
      <c r="E87" s="7"/>
    </row>
    <row r="88" spans="4:5" ht="13.2" x14ac:dyDescent="0.25">
      <c r="D88" s="7"/>
      <c r="E88" s="7"/>
    </row>
    <row r="89" spans="4:5" ht="13.2" x14ac:dyDescent="0.25">
      <c r="D89" s="7"/>
      <c r="E89" s="7"/>
    </row>
    <row r="90" spans="4:5" ht="13.2" x14ac:dyDescent="0.25">
      <c r="D90" s="7"/>
      <c r="E90" s="7"/>
    </row>
    <row r="91" spans="4:5" ht="13.2" x14ac:dyDescent="0.25">
      <c r="D91" s="7"/>
      <c r="E91" s="7"/>
    </row>
    <row r="92" spans="4:5" ht="13.2" x14ac:dyDescent="0.25">
      <c r="D92" s="7"/>
      <c r="E92" s="7"/>
    </row>
    <row r="93" spans="4:5" ht="13.2" x14ac:dyDescent="0.25">
      <c r="D93" s="7"/>
      <c r="E93" s="7"/>
    </row>
    <row r="94" spans="4:5" ht="13.2" x14ac:dyDescent="0.25">
      <c r="D94" s="7"/>
      <c r="E94" s="7"/>
    </row>
    <row r="95" spans="4:5" ht="13.2" x14ac:dyDescent="0.25">
      <c r="D95" s="7"/>
      <c r="E95" s="7"/>
    </row>
    <row r="96" spans="4:5" ht="13.2" x14ac:dyDescent="0.25">
      <c r="D96" s="7"/>
      <c r="E96" s="7"/>
    </row>
    <row r="97" spans="4:5" ht="13.2" x14ac:dyDescent="0.25">
      <c r="D97" s="7"/>
      <c r="E97" s="7"/>
    </row>
    <row r="98" spans="4:5" ht="13.2" x14ac:dyDescent="0.25">
      <c r="D98" s="7"/>
      <c r="E98" s="7"/>
    </row>
    <row r="99" spans="4:5" ht="13.2" x14ac:dyDescent="0.25">
      <c r="D99" s="7"/>
      <c r="E99" s="7"/>
    </row>
    <row r="100" spans="4:5" ht="13.2" x14ac:dyDescent="0.25">
      <c r="D100" s="7"/>
      <c r="E100" s="7"/>
    </row>
    <row r="101" spans="4:5" ht="13.2" x14ac:dyDescent="0.25">
      <c r="D101" s="7"/>
      <c r="E101" s="7"/>
    </row>
    <row r="102" spans="4:5" ht="13.2" x14ac:dyDescent="0.25">
      <c r="D102" s="7"/>
      <c r="E102" s="7"/>
    </row>
    <row r="103" spans="4:5" ht="13.2" x14ac:dyDescent="0.25">
      <c r="D103" s="7"/>
      <c r="E103" s="7"/>
    </row>
    <row r="104" spans="4:5" ht="13.2" x14ac:dyDescent="0.25">
      <c r="D104" s="7"/>
      <c r="E104" s="7"/>
    </row>
    <row r="105" spans="4:5" ht="13.2" x14ac:dyDescent="0.25">
      <c r="D105" s="7"/>
      <c r="E105" s="7"/>
    </row>
    <row r="106" spans="4:5" ht="13.2" x14ac:dyDescent="0.25">
      <c r="D106" s="7"/>
      <c r="E106" s="7"/>
    </row>
    <row r="107" spans="4:5" ht="13.2" x14ac:dyDescent="0.25">
      <c r="D107" s="7"/>
      <c r="E107" s="7"/>
    </row>
    <row r="108" spans="4:5" ht="13.2" x14ac:dyDescent="0.25">
      <c r="D108" s="7"/>
      <c r="E108" s="7"/>
    </row>
    <row r="109" spans="4:5" ht="13.2" x14ac:dyDescent="0.25">
      <c r="D109" s="7"/>
      <c r="E109" s="7"/>
    </row>
    <row r="110" spans="4:5" ht="13.2" x14ac:dyDescent="0.25">
      <c r="D110" s="7"/>
      <c r="E110" s="7"/>
    </row>
    <row r="111" spans="4:5" ht="13.2" x14ac:dyDescent="0.25">
      <c r="D111" s="7"/>
      <c r="E111" s="7"/>
    </row>
    <row r="112" spans="4:5" ht="13.2" x14ac:dyDescent="0.25">
      <c r="D112" s="7"/>
      <c r="E112" s="7"/>
    </row>
    <row r="113" spans="4:5" ht="13.2" x14ac:dyDescent="0.25">
      <c r="D113" s="7"/>
      <c r="E113" s="7"/>
    </row>
    <row r="114" spans="4:5" ht="13.2" x14ac:dyDescent="0.25">
      <c r="D114" s="7"/>
      <c r="E114" s="7"/>
    </row>
    <row r="115" spans="4:5" ht="13.2" x14ac:dyDescent="0.25">
      <c r="D115" s="7"/>
      <c r="E115" s="7"/>
    </row>
    <row r="116" spans="4:5" ht="13.2" x14ac:dyDescent="0.25">
      <c r="D116" s="7"/>
      <c r="E116" s="7"/>
    </row>
    <row r="117" spans="4:5" ht="13.2" x14ac:dyDescent="0.25">
      <c r="D117" s="7"/>
      <c r="E117" s="7"/>
    </row>
    <row r="118" spans="4:5" ht="13.2" x14ac:dyDescent="0.25">
      <c r="D118" s="7"/>
      <c r="E118" s="7"/>
    </row>
    <row r="119" spans="4:5" ht="13.2" x14ac:dyDescent="0.25">
      <c r="D119" s="7"/>
      <c r="E119" s="7"/>
    </row>
    <row r="120" spans="4:5" ht="13.2" x14ac:dyDescent="0.25">
      <c r="D120" s="7"/>
      <c r="E120" s="7"/>
    </row>
    <row r="121" spans="4:5" ht="13.2" x14ac:dyDescent="0.25">
      <c r="D121" s="7"/>
      <c r="E121" s="7"/>
    </row>
    <row r="122" spans="4:5" ht="13.2" x14ac:dyDescent="0.25">
      <c r="D122" s="7"/>
      <c r="E122" s="7"/>
    </row>
    <row r="123" spans="4:5" ht="13.2" x14ac:dyDescent="0.25">
      <c r="D123" s="7"/>
      <c r="E123" s="7"/>
    </row>
    <row r="124" spans="4:5" ht="13.2" x14ac:dyDescent="0.25">
      <c r="D124" s="7"/>
      <c r="E124" s="7"/>
    </row>
    <row r="125" spans="4:5" ht="13.2" x14ac:dyDescent="0.25">
      <c r="D125" s="7"/>
      <c r="E125" s="7"/>
    </row>
    <row r="126" spans="4:5" ht="13.2" x14ac:dyDescent="0.25">
      <c r="D126" s="7"/>
      <c r="E126" s="7"/>
    </row>
    <row r="127" spans="4:5" ht="13.2" x14ac:dyDescent="0.25">
      <c r="D127" s="7"/>
      <c r="E127" s="7"/>
    </row>
    <row r="128" spans="4:5" ht="13.2" x14ac:dyDescent="0.25">
      <c r="D128" s="7"/>
      <c r="E128" s="7"/>
    </row>
    <row r="129" spans="4:5" ht="13.2" x14ac:dyDescent="0.25">
      <c r="D129" s="7"/>
      <c r="E129" s="7"/>
    </row>
    <row r="130" spans="4:5" ht="13.2" x14ac:dyDescent="0.25">
      <c r="D130" s="7"/>
      <c r="E130" s="7"/>
    </row>
    <row r="131" spans="4:5" ht="13.2" x14ac:dyDescent="0.25">
      <c r="D131" s="7"/>
      <c r="E131" s="7"/>
    </row>
    <row r="132" spans="4:5" ht="13.2" x14ac:dyDescent="0.25">
      <c r="D132" s="7"/>
      <c r="E132" s="7"/>
    </row>
    <row r="133" spans="4:5" ht="13.2" x14ac:dyDescent="0.25">
      <c r="D133" s="7"/>
      <c r="E133" s="7"/>
    </row>
    <row r="134" spans="4:5" ht="13.2" x14ac:dyDescent="0.25">
      <c r="D134" s="7"/>
      <c r="E134" s="7"/>
    </row>
    <row r="135" spans="4:5" ht="13.2" x14ac:dyDescent="0.25">
      <c r="D135" s="7"/>
      <c r="E135" s="7"/>
    </row>
    <row r="136" spans="4:5" ht="13.2" x14ac:dyDescent="0.25">
      <c r="D136" s="7"/>
      <c r="E136" s="7"/>
    </row>
    <row r="137" spans="4:5" ht="13.2" x14ac:dyDescent="0.25">
      <c r="D137" s="7"/>
      <c r="E137" s="7"/>
    </row>
    <row r="138" spans="4:5" ht="13.2" x14ac:dyDescent="0.25">
      <c r="D138" s="7"/>
      <c r="E138" s="7"/>
    </row>
    <row r="139" spans="4:5" ht="13.2" x14ac:dyDescent="0.25">
      <c r="D139" s="7"/>
      <c r="E139" s="7"/>
    </row>
    <row r="140" spans="4:5" ht="13.2" x14ac:dyDescent="0.25">
      <c r="D140" s="7"/>
      <c r="E140" s="7"/>
    </row>
    <row r="141" spans="4:5" ht="13.2" x14ac:dyDescent="0.25">
      <c r="D141" s="7"/>
      <c r="E141" s="7"/>
    </row>
    <row r="142" spans="4:5" ht="13.2" x14ac:dyDescent="0.25">
      <c r="D142" s="7"/>
      <c r="E142" s="7"/>
    </row>
    <row r="143" spans="4:5" ht="13.2" x14ac:dyDescent="0.25">
      <c r="D143" s="7"/>
      <c r="E143" s="7"/>
    </row>
    <row r="144" spans="4:5" ht="13.2" x14ac:dyDescent="0.25">
      <c r="D144" s="7"/>
      <c r="E144" s="7"/>
    </row>
    <row r="145" spans="4:5" ht="13.2" x14ac:dyDescent="0.25">
      <c r="D145" s="7"/>
      <c r="E145" s="7"/>
    </row>
    <row r="146" spans="4:5" ht="13.2" x14ac:dyDescent="0.25">
      <c r="D146" s="7"/>
      <c r="E146" s="7"/>
    </row>
    <row r="147" spans="4:5" ht="13.2" x14ac:dyDescent="0.25">
      <c r="D147" s="7"/>
      <c r="E147" s="7"/>
    </row>
    <row r="148" spans="4:5" ht="13.2" x14ac:dyDescent="0.25">
      <c r="D148" s="7"/>
      <c r="E148" s="7"/>
    </row>
    <row r="149" spans="4:5" ht="13.2" x14ac:dyDescent="0.25">
      <c r="D149" s="7"/>
      <c r="E149" s="7"/>
    </row>
    <row r="150" spans="4:5" ht="13.2" x14ac:dyDescent="0.25">
      <c r="D150" s="7"/>
      <c r="E150" s="7"/>
    </row>
    <row r="151" spans="4:5" ht="13.2" x14ac:dyDescent="0.25">
      <c r="D151" s="7"/>
      <c r="E151" s="7"/>
    </row>
    <row r="152" spans="4:5" ht="13.2" x14ac:dyDescent="0.25">
      <c r="D152" s="7"/>
      <c r="E152" s="7"/>
    </row>
    <row r="153" spans="4:5" ht="13.2" x14ac:dyDescent="0.25">
      <c r="D153" s="7"/>
      <c r="E153" s="7"/>
    </row>
    <row r="154" spans="4:5" ht="13.2" x14ac:dyDescent="0.25">
      <c r="D154" s="7"/>
      <c r="E154" s="7"/>
    </row>
    <row r="155" spans="4:5" ht="13.2" x14ac:dyDescent="0.25">
      <c r="D155" s="7"/>
      <c r="E155" s="7"/>
    </row>
    <row r="156" spans="4:5" ht="13.2" x14ac:dyDescent="0.25">
      <c r="D156" s="7"/>
      <c r="E156" s="7"/>
    </row>
    <row r="157" spans="4:5" ht="13.2" x14ac:dyDescent="0.25">
      <c r="D157" s="7"/>
      <c r="E157" s="7"/>
    </row>
    <row r="158" spans="4:5" ht="13.2" x14ac:dyDescent="0.25">
      <c r="D158" s="7"/>
      <c r="E158" s="7"/>
    </row>
    <row r="159" spans="4:5" ht="13.2" x14ac:dyDescent="0.25">
      <c r="D159" s="7"/>
      <c r="E159" s="7"/>
    </row>
    <row r="160" spans="4:5" ht="13.2" x14ac:dyDescent="0.25">
      <c r="D160" s="7"/>
      <c r="E160" s="7"/>
    </row>
    <row r="161" spans="4:5" ht="13.2" x14ac:dyDescent="0.25">
      <c r="D161" s="7"/>
      <c r="E161" s="7"/>
    </row>
    <row r="162" spans="4:5" ht="13.2" x14ac:dyDescent="0.25">
      <c r="D162" s="7"/>
      <c r="E162" s="7"/>
    </row>
    <row r="163" spans="4:5" ht="13.2" x14ac:dyDescent="0.25">
      <c r="D163" s="7"/>
      <c r="E163" s="7"/>
    </row>
    <row r="164" spans="4:5" ht="13.2" x14ac:dyDescent="0.25">
      <c r="D164" s="7"/>
      <c r="E164" s="7"/>
    </row>
    <row r="165" spans="4:5" ht="13.2" x14ac:dyDescent="0.25">
      <c r="D165" s="7"/>
      <c r="E165" s="7"/>
    </row>
    <row r="166" spans="4:5" ht="13.2" x14ac:dyDescent="0.25">
      <c r="D166" s="7"/>
      <c r="E166" s="7"/>
    </row>
    <row r="167" spans="4:5" ht="13.2" x14ac:dyDescent="0.25">
      <c r="D167" s="7"/>
      <c r="E167" s="7"/>
    </row>
    <row r="168" spans="4:5" ht="13.2" x14ac:dyDescent="0.25">
      <c r="D168" s="7"/>
      <c r="E168" s="7"/>
    </row>
    <row r="169" spans="4:5" ht="13.2" x14ac:dyDescent="0.25">
      <c r="D169" s="7"/>
      <c r="E169" s="7"/>
    </row>
    <row r="170" spans="4:5" ht="13.2" x14ac:dyDescent="0.25">
      <c r="D170" s="7"/>
      <c r="E170" s="7"/>
    </row>
    <row r="171" spans="4:5" ht="13.2" x14ac:dyDescent="0.25">
      <c r="D171" s="7"/>
      <c r="E171" s="7"/>
    </row>
    <row r="172" spans="4:5" ht="13.2" x14ac:dyDescent="0.25">
      <c r="D172" s="7"/>
      <c r="E172" s="7"/>
    </row>
    <row r="173" spans="4:5" ht="13.2" x14ac:dyDescent="0.25">
      <c r="D173" s="7"/>
      <c r="E173" s="7"/>
    </row>
    <row r="174" spans="4:5" ht="13.2" x14ac:dyDescent="0.25">
      <c r="D174" s="7"/>
      <c r="E174" s="7"/>
    </row>
    <row r="175" spans="4:5" ht="13.2" x14ac:dyDescent="0.25">
      <c r="D175" s="7"/>
      <c r="E175" s="7"/>
    </row>
    <row r="176" spans="4:5" ht="13.2" x14ac:dyDescent="0.25">
      <c r="D176" s="7"/>
      <c r="E176" s="7"/>
    </row>
    <row r="177" spans="4:5" ht="13.2" x14ac:dyDescent="0.25">
      <c r="D177" s="7"/>
      <c r="E177" s="7"/>
    </row>
    <row r="178" spans="4:5" ht="13.2" x14ac:dyDescent="0.25">
      <c r="D178" s="7"/>
      <c r="E178" s="7"/>
    </row>
    <row r="179" spans="4:5" ht="13.2" x14ac:dyDescent="0.25">
      <c r="D179" s="7"/>
      <c r="E179" s="7"/>
    </row>
    <row r="180" spans="4:5" ht="13.2" x14ac:dyDescent="0.25">
      <c r="D180" s="7"/>
      <c r="E180" s="7"/>
    </row>
    <row r="181" spans="4:5" ht="13.2" x14ac:dyDescent="0.25">
      <c r="D181" s="7"/>
      <c r="E181" s="7"/>
    </row>
    <row r="182" spans="4:5" ht="13.2" x14ac:dyDescent="0.25">
      <c r="D182" s="7"/>
      <c r="E182" s="7"/>
    </row>
    <row r="183" spans="4:5" ht="13.2" x14ac:dyDescent="0.25">
      <c r="D183" s="7"/>
      <c r="E183" s="7"/>
    </row>
    <row r="184" spans="4:5" ht="13.2" x14ac:dyDescent="0.25">
      <c r="D184" s="7"/>
      <c r="E184" s="7"/>
    </row>
    <row r="185" spans="4:5" ht="13.2" x14ac:dyDescent="0.25">
      <c r="D185" s="7"/>
      <c r="E185" s="7"/>
    </row>
    <row r="186" spans="4:5" ht="13.2" x14ac:dyDescent="0.25">
      <c r="D186" s="7"/>
      <c r="E186" s="7"/>
    </row>
    <row r="187" spans="4:5" ht="13.2" x14ac:dyDescent="0.25">
      <c r="D187" s="7"/>
      <c r="E187" s="7"/>
    </row>
    <row r="188" spans="4:5" ht="13.2" x14ac:dyDescent="0.25">
      <c r="D188" s="7"/>
      <c r="E188" s="7"/>
    </row>
    <row r="189" spans="4:5" ht="13.2" x14ac:dyDescent="0.25">
      <c r="D189" s="7"/>
      <c r="E189" s="7"/>
    </row>
    <row r="190" spans="4:5" ht="13.2" x14ac:dyDescent="0.25">
      <c r="D190" s="7"/>
      <c r="E190" s="7"/>
    </row>
    <row r="191" spans="4:5" ht="13.2" x14ac:dyDescent="0.25">
      <c r="D191" s="7"/>
      <c r="E191" s="7"/>
    </row>
    <row r="192" spans="4:5" ht="13.2" x14ac:dyDescent="0.25">
      <c r="D192" s="7"/>
      <c r="E192" s="7"/>
    </row>
    <row r="193" spans="4:5" ht="13.2" x14ac:dyDescent="0.25">
      <c r="D193" s="7"/>
      <c r="E193" s="7"/>
    </row>
    <row r="194" spans="4:5" ht="13.2" x14ac:dyDescent="0.25">
      <c r="D194" s="7"/>
      <c r="E194" s="7"/>
    </row>
    <row r="195" spans="4:5" ht="13.2" x14ac:dyDescent="0.25">
      <c r="D195" s="7"/>
      <c r="E195" s="7"/>
    </row>
    <row r="196" spans="4:5" ht="13.2" x14ac:dyDescent="0.25">
      <c r="D196" s="7"/>
      <c r="E196" s="7"/>
    </row>
    <row r="197" spans="4:5" ht="13.2" x14ac:dyDescent="0.25">
      <c r="D197" s="7"/>
      <c r="E197" s="7"/>
    </row>
    <row r="198" spans="4:5" ht="13.2" x14ac:dyDescent="0.25">
      <c r="D198" s="7"/>
      <c r="E198" s="7"/>
    </row>
    <row r="199" spans="4:5" ht="13.2" x14ac:dyDescent="0.25">
      <c r="D199" s="7"/>
      <c r="E199" s="7"/>
    </row>
    <row r="200" spans="4:5" ht="13.2" x14ac:dyDescent="0.25">
      <c r="D200" s="7"/>
      <c r="E200" s="7"/>
    </row>
    <row r="201" spans="4:5" ht="13.2" x14ac:dyDescent="0.25">
      <c r="D201" s="7"/>
      <c r="E201" s="7"/>
    </row>
    <row r="202" spans="4:5" ht="13.2" x14ac:dyDescent="0.25">
      <c r="D202" s="7"/>
      <c r="E202" s="7"/>
    </row>
    <row r="203" spans="4:5" ht="13.2" x14ac:dyDescent="0.25">
      <c r="D203" s="7"/>
      <c r="E203" s="7"/>
    </row>
    <row r="204" spans="4:5" ht="13.2" x14ac:dyDescent="0.25">
      <c r="D204" s="7"/>
      <c r="E204" s="7"/>
    </row>
    <row r="205" spans="4:5" ht="13.2" x14ac:dyDescent="0.25">
      <c r="D205" s="7"/>
      <c r="E205" s="7"/>
    </row>
    <row r="206" spans="4:5" ht="13.2" x14ac:dyDescent="0.25">
      <c r="D206" s="7"/>
      <c r="E206" s="7"/>
    </row>
    <row r="207" spans="4:5" ht="13.2" x14ac:dyDescent="0.25">
      <c r="D207" s="7"/>
      <c r="E207" s="7"/>
    </row>
    <row r="208" spans="4:5" ht="13.2" x14ac:dyDescent="0.25">
      <c r="D208" s="7"/>
      <c r="E208" s="7"/>
    </row>
    <row r="209" spans="4:5" ht="13.2" x14ac:dyDescent="0.25">
      <c r="D209" s="7"/>
      <c r="E209" s="7"/>
    </row>
    <row r="210" spans="4:5" ht="13.2" x14ac:dyDescent="0.25">
      <c r="D210" s="7"/>
      <c r="E210" s="7"/>
    </row>
    <row r="211" spans="4:5" ht="13.2" x14ac:dyDescent="0.25">
      <c r="D211" s="7"/>
      <c r="E211" s="7"/>
    </row>
    <row r="212" spans="4:5" ht="13.2" x14ac:dyDescent="0.25">
      <c r="D212" s="7"/>
      <c r="E212" s="7"/>
    </row>
    <row r="213" spans="4:5" ht="13.2" x14ac:dyDescent="0.25">
      <c r="D213" s="7"/>
      <c r="E213" s="7"/>
    </row>
    <row r="214" spans="4:5" ht="13.2" x14ac:dyDescent="0.25">
      <c r="D214" s="7"/>
      <c r="E214" s="7"/>
    </row>
    <row r="215" spans="4:5" ht="13.2" x14ac:dyDescent="0.25">
      <c r="D215" s="7"/>
      <c r="E215" s="7"/>
    </row>
    <row r="216" spans="4:5" ht="13.2" x14ac:dyDescent="0.25">
      <c r="D216" s="7"/>
      <c r="E216" s="7"/>
    </row>
    <row r="217" spans="4:5" ht="13.2" x14ac:dyDescent="0.25">
      <c r="D217" s="7"/>
      <c r="E217" s="7"/>
    </row>
    <row r="218" spans="4:5" ht="13.2" x14ac:dyDescent="0.25">
      <c r="D218" s="7"/>
      <c r="E218" s="7"/>
    </row>
    <row r="219" spans="4:5" ht="13.2" x14ac:dyDescent="0.25">
      <c r="D219" s="7"/>
      <c r="E219" s="7"/>
    </row>
    <row r="220" spans="4:5" ht="13.2" x14ac:dyDescent="0.25">
      <c r="D220" s="7"/>
      <c r="E220" s="7"/>
    </row>
    <row r="221" spans="4:5" ht="13.2" x14ac:dyDescent="0.25">
      <c r="D221" s="7"/>
      <c r="E221" s="7"/>
    </row>
    <row r="222" spans="4:5" ht="13.2" x14ac:dyDescent="0.25">
      <c r="D222" s="7"/>
      <c r="E222" s="7"/>
    </row>
    <row r="223" spans="4:5" ht="13.2" x14ac:dyDescent="0.25">
      <c r="D223" s="7"/>
      <c r="E223" s="7"/>
    </row>
    <row r="224" spans="4:5" ht="13.2" x14ac:dyDescent="0.25">
      <c r="D224" s="7"/>
      <c r="E224" s="7"/>
    </row>
    <row r="225" spans="4:5" ht="13.2" x14ac:dyDescent="0.25">
      <c r="D225" s="7"/>
      <c r="E225" s="7"/>
    </row>
    <row r="226" spans="4:5" ht="13.2" x14ac:dyDescent="0.25">
      <c r="D226" s="7"/>
      <c r="E226" s="7"/>
    </row>
    <row r="227" spans="4:5" ht="13.2" x14ac:dyDescent="0.25">
      <c r="D227" s="7"/>
      <c r="E227" s="7"/>
    </row>
    <row r="228" spans="4:5" ht="13.2" x14ac:dyDescent="0.25">
      <c r="D228" s="7"/>
      <c r="E228" s="7"/>
    </row>
    <row r="229" spans="4:5" ht="13.2" x14ac:dyDescent="0.25">
      <c r="D229" s="7"/>
      <c r="E229" s="7"/>
    </row>
    <row r="230" spans="4:5" ht="13.2" x14ac:dyDescent="0.25">
      <c r="D230" s="7"/>
      <c r="E230" s="7"/>
    </row>
    <row r="231" spans="4:5" ht="13.2" x14ac:dyDescent="0.25">
      <c r="D231" s="7"/>
      <c r="E231" s="7"/>
    </row>
    <row r="232" spans="4:5" ht="13.2" x14ac:dyDescent="0.25">
      <c r="D232" s="7"/>
      <c r="E232" s="7"/>
    </row>
    <row r="233" spans="4:5" ht="13.2" x14ac:dyDescent="0.25">
      <c r="D233" s="7"/>
      <c r="E233" s="7"/>
    </row>
    <row r="234" spans="4:5" ht="13.2" x14ac:dyDescent="0.25">
      <c r="D234" s="7"/>
      <c r="E234" s="7"/>
    </row>
    <row r="235" spans="4:5" ht="13.2" x14ac:dyDescent="0.25">
      <c r="D235" s="7"/>
      <c r="E235" s="7"/>
    </row>
    <row r="236" spans="4:5" ht="13.2" x14ac:dyDescent="0.25">
      <c r="D236" s="7"/>
      <c r="E236" s="7"/>
    </row>
    <row r="237" spans="4:5" ht="13.2" x14ac:dyDescent="0.25">
      <c r="D237" s="7"/>
      <c r="E237" s="7"/>
    </row>
    <row r="238" spans="4:5" ht="13.2" x14ac:dyDescent="0.25">
      <c r="D238" s="7"/>
      <c r="E238" s="7"/>
    </row>
    <row r="239" spans="4:5" ht="13.2" x14ac:dyDescent="0.25">
      <c r="D239" s="7"/>
      <c r="E239" s="7"/>
    </row>
    <row r="240" spans="4:5" ht="13.2" x14ac:dyDescent="0.25">
      <c r="D240" s="7"/>
      <c r="E240" s="7"/>
    </row>
    <row r="241" spans="4:5" ht="13.2" x14ac:dyDescent="0.25">
      <c r="D241" s="7"/>
      <c r="E241" s="7"/>
    </row>
    <row r="242" spans="4:5" ht="13.2" x14ac:dyDescent="0.25">
      <c r="D242" s="7"/>
      <c r="E242" s="7"/>
    </row>
    <row r="243" spans="4:5" ht="13.2" x14ac:dyDescent="0.25">
      <c r="D243" s="7"/>
      <c r="E243" s="7"/>
    </row>
    <row r="244" spans="4:5" ht="13.2" x14ac:dyDescent="0.25">
      <c r="D244" s="7"/>
      <c r="E244" s="7"/>
    </row>
    <row r="245" spans="4:5" ht="13.2" x14ac:dyDescent="0.25">
      <c r="D245" s="7"/>
      <c r="E245" s="7"/>
    </row>
    <row r="246" spans="4:5" ht="13.2" x14ac:dyDescent="0.25">
      <c r="D246" s="7"/>
      <c r="E246" s="7"/>
    </row>
    <row r="247" spans="4:5" ht="13.2" x14ac:dyDescent="0.25">
      <c r="D247" s="7"/>
      <c r="E247" s="7"/>
    </row>
    <row r="248" spans="4:5" ht="13.2" x14ac:dyDescent="0.25">
      <c r="D248" s="7"/>
      <c r="E248" s="7"/>
    </row>
    <row r="249" spans="4:5" ht="13.2" x14ac:dyDescent="0.25">
      <c r="D249" s="7"/>
      <c r="E249" s="7"/>
    </row>
    <row r="250" spans="4:5" ht="13.2" x14ac:dyDescent="0.25">
      <c r="D250" s="7"/>
      <c r="E250" s="7"/>
    </row>
    <row r="251" spans="4:5" ht="13.2" x14ac:dyDescent="0.25">
      <c r="D251" s="7"/>
      <c r="E251" s="7"/>
    </row>
    <row r="252" spans="4:5" ht="13.2" x14ac:dyDescent="0.25">
      <c r="D252" s="7"/>
      <c r="E252" s="7"/>
    </row>
    <row r="253" spans="4:5" ht="13.2" x14ac:dyDescent="0.25">
      <c r="D253" s="7"/>
      <c r="E253" s="7"/>
    </row>
    <row r="254" spans="4:5" ht="13.2" x14ac:dyDescent="0.25">
      <c r="D254" s="7"/>
      <c r="E254" s="7"/>
    </row>
    <row r="255" spans="4:5" ht="13.2" x14ac:dyDescent="0.25">
      <c r="D255" s="7"/>
      <c r="E255" s="7"/>
    </row>
    <row r="256" spans="4:5" ht="13.2" x14ac:dyDescent="0.25">
      <c r="D256" s="7"/>
      <c r="E256" s="7"/>
    </row>
    <row r="257" spans="4:5" ht="13.2" x14ac:dyDescent="0.25">
      <c r="D257" s="7"/>
      <c r="E257" s="7"/>
    </row>
    <row r="258" spans="4:5" ht="13.2" x14ac:dyDescent="0.25">
      <c r="D258" s="7"/>
      <c r="E258" s="7"/>
    </row>
    <row r="259" spans="4:5" ht="13.2" x14ac:dyDescent="0.25">
      <c r="D259" s="7"/>
      <c r="E259" s="7"/>
    </row>
    <row r="260" spans="4:5" ht="13.2" x14ac:dyDescent="0.25">
      <c r="D260" s="7"/>
      <c r="E260" s="7"/>
    </row>
    <row r="261" spans="4:5" ht="13.2" x14ac:dyDescent="0.25">
      <c r="D261" s="7"/>
      <c r="E261" s="7"/>
    </row>
    <row r="262" spans="4:5" ht="13.2" x14ac:dyDescent="0.25">
      <c r="D262" s="7"/>
      <c r="E262" s="7"/>
    </row>
    <row r="263" spans="4:5" ht="13.2" x14ac:dyDescent="0.25">
      <c r="D263" s="7"/>
      <c r="E263" s="7"/>
    </row>
    <row r="264" spans="4:5" ht="13.2" x14ac:dyDescent="0.25">
      <c r="D264" s="7"/>
      <c r="E264" s="7"/>
    </row>
    <row r="265" spans="4:5" ht="13.2" x14ac:dyDescent="0.25">
      <c r="D265" s="7"/>
      <c r="E265" s="7"/>
    </row>
    <row r="266" spans="4:5" ht="13.2" x14ac:dyDescent="0.25">
      <c r="D266" s="7"/>
      <c r="E266" s="7"/>
    </row>
    <row r="267" spans="4:5" ht="13.2" x14ac:dyDescent="0.25">
      <c r="D267" s="7"/>
      <c r="E267" s="7"/>
    </row>
    <row r="268" spans="4:5" ht="13.2" x14ac:dyDescent="0.25">
      <c r="D268" s="7"/>
      <c r="E268" s="7"/>
    </row>
    <row r="269" spans="4:5" ht="13.2" x14ac:dyDescent="0.25">
      <c r="D269" s="7"/>
      <c r="E269" s="7"/>
    </row>
    <row r="270" spans="4:5" ht="13.2" x14ac:dyDescent="0.25">
      <c r="D270" s="7"/>
      <c r="E270" s="7"/>
    </row>
    <row r="271" spans="4:5" ht="13.2" x14ac:dyDescent="0.25">
      <c r="D271" s="7"/>
      <c r="E271" s="7"/>
    </row>
    <row r="272" spans="4:5" ht="13.2" x14ac:dyDescent="0.25">
      <c r="D272" s="7"/>
      <c r="E272" s="7"/>
    </row>
    <row r="273" spans="4:5" ht="13.2" x14ac:dyDescent="0.25">
      <c r="D273" s="7"/>
      <c r="E273" s="7"/>
    </row>
    <row r="274" spans="4:5" ht="13.2" x14ac:dyDescent="0.25">
      <c r="D274" s="7"/>
      <c r="E274" s="7"/>
    </row>
    <row r="275" spans="4:5" ht="13.2" x14ac:dyDescent="0.25">
      <c r="D275" s="7"/>
      <c r="E275" s="7"/>
    </row>
    <row r="276" spans="4:5" ht="13.2" x14ac:dyDescent="0.25">
      <c r="D276" s="7"/>
      <c r="E276" s="7"/>
    </row>
    <row r="277" spans="4:5" ht="13.2" x14ac:dyDescent="0.25">
      <c r="D277" s="7"/>
      <c r="E277" s="7"/>
    </row>
    <row r="278" spans="4:5" ht="13.2" x14ac:dyDescent="0.25">
      <c r="D278" s="7"/>
      <c r="E278" s="7"/>
    </row>
    <row r="279" spans="4:5" ht="13.2" x14ac:dyDescent="0.25">
      <c r="D279" s="7"/>
      <c r="E279" s="7"/>
    </row>
    <row r="280" spans="4:5" ht="13.2" x14ac:dyDescent="0.25">
      <c r="D280" s="7"/>
      <c r="E280" s="7"/>
    </row>
    <row r="281" spans="4:5" ht="13.2" x14ac:dyDescent="0.25">
      <c r="D281" s="7"/>
      <c r="E281" s="7"/>
    </row>
    <row r="282" spans="4:5" ht="13.2" x14ac:dyDescent="0.25">
      <c r="D282" s="7"/>
      <c r="E282" s="7"/>
    </row>
    <row r="283" spans="4:5" ht="13.2" x14ac:dyDescent="0.25">
      <c r="D283" s="7"/>
      <c r="E283" s="7"/>
    </row>
    <row r="284" spans="4:5" ht="13.2" x14ac:dyDescent="0.25">
      <c r="D284" s="7"/>
      <c r="E284" s="7"/>
    </row>
    <row r="285" spans="4:5" ht="13.2" x14ac:dyDescent="0.25">
      <c r="D285" s="7"/>
      <c r="E285" s="7"/>
    </row>
    <row r="286" spans="4:5" ht="13.2" x14ac:dyDescent="0.25">
      <c r="D286" s="7"/>
      <c r="E286" s="7"/>
    </row>
    <row r="287" spans="4:5" ht="13.2" x14ac:dyDescent="0.25">
      <c r="D287" s="7"/>
      <c r="E287" s="7"/>
    </row>
    <row r="288" spans="4:5" ht="13.2" x14ac:dyDescent="0.25">
      <c r="D288" s="7"/>
      <c r="E288" s="7"/>
    </row>
    <row r="289" spans="4:5" ht="13.2" x14ac:dyDescent="0.25">
      <c r="D289" s="7"/>
      <c r="E289" s="7"/>
    </row>
    <row r="290" spans="4:5" ht="13.2" x14ac:dyDescent="0.25">
      <c r="D290" s="7"/>
      <c r="E290" s="7"/>
    </row>
    <row r="291" spans="4:5" ht="13.2" x14ac:dyDescent="0.25">
      <c r="D291" s="7"/>
      <c r="E291" s="7"/>
    </row>
    <row r="292" spans="4:5" ht="13.2" x14ac:dyDescent="0.25">
      <c r="D292" s="7"/>
      <c r="E292" s="7"/>
    </row>
    <row r="293" spans="4:5" ht="13.2" x14ac:dyDescent="0.25">
      <c r="D293" s="7"/>
      <c r="E293" s="7"/>
    </row>
    <row r="294" spans="4:5" ht="13.2" x14ac:dyDescent="0.25">
      <c r="D294" s="7"/>
      <c r="E294" s="7"/>
    </row>
    <row r="295" spans="4:5" ht="13.2" x14ac:dyDescent="0.25">
      <c r="D295" s="7"/>
      <c r="E295" s="7"/>
    </row>
    <row r="296" spans="4:5" ht="13.2" x14ac:dyDescent="0.25">
      <c r="D296" s="7"/>
      <c r="E296" s="7"/>
    </row>
    <row r="297" spans="4:5" ht="13.2" x14ac:dyDescent="0.25">
      <c r="D297" s="7"/>
      <c r="E297" s="7"/>
    </row>
    <row r="298" spans="4:5" ht="13.2" x14ac:dyDescent="0.25">
      <c r="D298" s="7"/>
      <c r="E298" s="7"/>
    </row>
    <row r="299" spans="4:5" ht="13.2" x14ac:dyDescent="0.25">
      <c r="D299" s="7"/>
      <c r="E299" s="7"/>
    </row>
    <row r="300" spans="4:5" ht="13.2" x14ac:dyDescent="0.25">
      <c r="D300" s="7"/>
      <c r="E300" s="7"/>
    </row>
    <row r="301" spans="4:5" ht="13.2" x14ac:dyDescent="0.25">
      <c r="D301" s="7"/>
      <c r="E301" s="7"/>
    </row>
    <row r="302" spans="4:5" ht="13.2" x14ac:dyDescent="0.25">
      <c r="D302" s="7"/>
      <c r="E302" s="7"/>
    </row>
    <row r="303" spans="4:5" ht="13.2" x14ac:dyDescent="0.25">
      <c r="D303" s="7"/>
      <c r="E303" s="7"/>
    </row>
    <row r="304" spans="4:5" ht="13.2" x14ac:dyDescent="0.25">
      <c r="D304" s="7"/>
      <c r="E304" s="7"/>
    </row>
    <row r="305" spans="4:5" ht="13.2" x14ac:dyDescent="0.25">
      <c r="D305" s="7"/>
      <c r="E305" s="7"/>
    </row>
    <row r="306" spans="4:5" ht="13.2" x14ac:dyDescent="0.25">
      <c r="D306" s="7"/>
      <c r="E306" s="7"/>
    </row>
    <row r="307" spans="4:5" ht="13.2" x14ac:dyDescent="0.25">
      <c r="D307" s="7"/>
      <c r="E307" s="7"/>
    </row>
    <row r="308" spans="4:5" ht="13.2" x14ac:dyDescent="0.25">
      <c r="D308" s="7"/>
      <c r="E308" s="7"/>
    </row>
    <row r="309" spans="4:5" ht="13.2" x14ac:dyDescent="0.25">
      <c r="D309" s="7"/>
      <c r="E309" s="7"/>
    </row>
    <row r="310" spans="4:5" ht="13.2" x14ac:dyDescent="0.25">
      <c r="D310" s="7"/>
      <c r="E310" s="7"/>
    </row>
    <row r="311" spans="4:5" ht="13.2" x14ac:dyDescent="0.25">
      <c r="D311" s="7"/>
      <c r="E311" s="7"/>
    </row>
    <row r="312" spans="4:5" ht="13.2" x14ac:dyDescent="0.25">
      <c r="D312" s="7"/>
      <c r="E312" s="7"/>
    </row>
    <row r="313" spans="4:5" ht="13.2" x14ac:dyDescent="0.25">
      <c r="D313" s="7"/>
      <c r="E313" s="7"/>
    </row>
    <row r="314" spans="4:5" ht="13.2" x14ac:dyDescent="0.25">
      <c r="D314" s="7"/>
      <c r="E314" s="7"/>
    </row>
    <row r="315" spans="4:5" ht="13.2" x14ac:dyDescent="0.25">
      <c r="D315" s="7"/>
      <c r="E315" s="7"/>
    </row>
    <row r="316" spans="4:5" ht="13.2" x14ac:dyDescent="0.25">
      <c r="D316" s="7"/>
      <c r="E316" s="7"/>
    </row>
    <row r="317" spans="4:5" ht="13.2" x14ac:dyDescent="0.25">
      <c r="D317" s="7"/>
      <c r="E317" s="7"/>
    </row>
    <row r="318" spans="4:5" ht="13.2" x14ac:dyDescent="0.25">
      <c r="D318" s="7"/>
      <c r="E318" s="7"/>
    </row>
    <row r="319" spans="4:5" ht="13.2" x14ac:dyDescent="0.25">
      <c r="D319" s="7"/>
      <c r="E319" s="7"/>
    </row>
    <row r="320" spans="4:5" ht="13.2" x14ac:dyDescent="0.25">
      <c r="D320" s="7"/>
      <c r="E320" s="7"/>
    </row>
    <row r="321" spans="4:5" ht="13.2" x14ac:dyDescent="0.25">
      <c r="D321" s="7"/>
      <c r="E321" s="7"/>
    </row>
    <row r="322" spans="4:5" ht="13.2" x14ac:dyDescent="0.25">
      <c r="D322" s="7"/>
      <c r="E322" s="7"/>
    </row>
    <row r="323" spans="4:5" ht="13.2" x14ac:dyDescent="0.25">
      <c r="D323" s="7"/>
      <c r="E323" s="7"/>
    </row>
    <row r="324" spans="4:5" ht="13.2" x14ac:dyDescent="0.25">
      <c r="D324" s="7"/>
      <c r="E324" s="7"/>
    </row>
    <row r="325" spans="4:5" ht="13.2" x14ac:dyDescent="0.25">
      <c r="D325" s="7"/>
      <c r="E325" s="7"/>
    </row>
    <row r="326" spans="4:5" ht="13.2" x14ac:dyDescent="0.25">
      <c r="D326" s="7"/>
      <c r="E326" s="7"/>
    </row>
    <row r="327" spans="4:5" ht="13.2" x14ac:dyDescent="0.25">
      <c r="D327" s="7"/>
      <c r="E327" s="7"/>
    </row>
    <row r="328" spans="4:5" ht="13.2" x14ac:dyDescent="0.25">
      <c r="D328" s="7"/>
      <c r="E328" s="7"/>
    </row>
    <row r="329" spans="4:5" ht="13.2" x14ac:dyDescent="0.25">
      <c r="D329" s="7"/>
      <c r="E329" s="7"/>
    </row>
    <row r="330" spans="4:5" ht="13.2" x14ac:dyDescent="0.25">
      <c r="D330" s="7"/>
      <c r="E330" s="7"/>
    </row>
    <row r="331" spans="4:5" ht="13.2" x14ac:dyDescent="0.25">
      <c r="D331" s="7"/>
      <c r="E331" s="7"/>
    </row>
    <row r="332" spans="4:5" ht="13.2" x14ac:dyDescent="0.25">
      <c r="D332" s="7"/>
      <c r="E332" s="7"/>
    </row>
    <row r="333" spans="4:5" ht="13.2" x14ac:dyDescent="0.25">
      <c r="D333" s="7"/>
      <c r="E333" s="7"/>
    </row>
    <row r="334" spans="4:5" ht="13.2" x14ac:dyDescent="0.25">
      <c r="D334" s="7"/>
      <c r="E334" s="7"/>
    </row>
    <row r="335" spans="4:5" ht="13.2" x14ac:dyDescent="0.25">
      <c r="D335" s="7"/>
      <c r="E335" s="7"/>
    </row>
    <row r="336" spans="4:5" ht="13.2" x14ac:dyDescent="0.25">
      <c r="D336" s="7"/>
      <c r="E336" s="7"/>
    </row>
    <row r="337" spans="4:5" ht="13.2" x14ac:dyDescent="0.25">
      <c r="D337" s="7"/>
      <c r="E337" s="7"/>
    </row>
    <row r="338" spans="4:5" ht="13.2" x14ac:dyDescent="0.25">
      <c r="D338" s="7"/>
      <c r="E338" s="7"/>
    </row>
    <row r="339" spans="4:5" ht="13.2" x14ac:dyDescent="0.25">
      <c r="D339" s="7"/>
      <c r="E339" s="7"/>
    </row>
    <row r="340" spans="4:5" ht="13.2" x14ac:dyDescent="0.25">
      <c r="D340" s="7"/>
      <c r="E340" s="7"/>
    </row>
    <row r="341" spans="4:5" ht="13.2" x14ac:dyDescent="0.25">
      <c r="D341" s="7"/>
      <c r="E341" s="7"/>
    </row>
    <row r="342" spans="4:5" ht="13.2" x14ac:dyDescent="0.25">
      <c r="D342" s="7"/>
      <c r="E342" s="7"/>
    </row>
    <row r="343" spans="4:5" ht="13.2" x14ac:dyDescent="0.25">
      <c r="D343" s="7"/>
      <c r="E343" s="7"/>
    </row>
    <row r="344" spans="4:5" ht="13.2" x14ac:dyDescent="0.25">
      <c r="D344" s="7"/>
      <c r="E344" s="7"/>
    </row>
    <row r="345" spans="4:5" ht="13.2" x14ac:dyDescent="0.25">
      <c r="D345" s="7"/>
      <c r="E345" s="7"/>
    </row>
    <row r="346" spans="4:5" ht="13.2" x14ac:dyDescent="0.25">
      <c r="D346" s="7"/>
      <c r="E346" s="7"/>
    </row>
    <row r="347" spans="4:5" ht="13.2" x14ac:dyDescent="0.25">
      <c r="D347" s="7"/>
      <c r="E347" s="7"/>
    </row>
    <row r="348" spans="4:5" ht="13.2" x14ac:dyDescent="0.25">
      <c r="D348" s="7"/>
      <c r="E348" s="7"/>
    </row>
    <row r="349" spans="4:5" ht="13.2" x14ac:dyDescent="0.25">
      <c r="D349" s="7"/>
      <c r="E349" s="7"/>
    </row>
    <row r="350" spans="4:5" ht="13.2" x14ac:dyDescent="0.25">
      <c r="D350" s="7"/>
      <c r="E350" s="7"/>
    </row>
    <row r="351" spans="4:5" ht="13.2" x14ac:dyDescent="0.25">
      <c r="D351" s="7"/>
      <c r="E351" s="7"/>
    </row>
    <row r="352" spans="4:5" ht="13.2" x14ac:dyDescent="0.25">
      <c r="D352" s="7"/>
      <c r="E352" s="7"/>
    </row>
    <row r="353" spans="4:5" ht="13.2" x14ac:dyDescent="0.25">
      <c r="D353" s="7"/>
      <c r="E353" s="7"/>
    </row>
    <row r="354" spans="4:5" ht="13.2" x14ac:dyDescent="0.25">
      <c r="D354" s="7"/>
      <c r="E354" s="7"/>
    </row>
    <row r="355" spans="4:5" ht="13.2" x14ac:dyDescent="0.25">
      <c r="D355" s="7"/>
      <c r="E355" s="7"/>
    </row>
    <row r="356" spans="4:5" ht="13.2" x14ac:dyDescent="0.25">
      <c r="D356" s="7"/>
      <c r="E356" s="7"/>
    </row>
    <row r="357" spans="4:5" ht="13.2" x14ac:dyDescent="0.25">
      <c r="D357" s="7"/>
      <c r="E357" s="7"/>
    </row>
    <row r="358" spans="4:5" ht="13.2" x14ac:dyDescent="0.25">
      <c r="D358" s="7"/>
      <c r="E358" s="7"/>
    </row>
    <row r="359" spans="4:5" ht="13.2" x14ac:dyDescent="0.25">
      <c r="D359" s="7"/>
      <c r="E359" s="7"/>
    </row>
    <row r="360" spans="4:5" ht="13.2" x14ac:dyDescent="0.25">
      <c r="D360" s="7"/>
      <c r="E360" s="7"/>
    </row>
    <row r="361" spans="4:5" ht="13.2" x14ac:dyDescent="0.25">
      <c r="D361" s="7"/>
      <c r="E361" s="7"/>
    </row>
    <row r="362" spans="4:5" ht="13.2" x14ac:dyDescent="0.25">
      <c r="D362" s="7"/>
      <c r="E362" s="7"/>
    </row>
    <row r="363" spans="4:5" ht="13.2" x14ac:dyDescent="0.25">
      <c r="D363" s="7"/>
      <c r="E363" s="7"/>
    </row>
    <row r="364" spans="4:5" ht="13.2" x14ac:dyDescent="0.25">
      <c r="D364" s="7"/>
      <c r="E364" s="7"/>
    </row>
    <row r="365" spans="4:5" ht="13.2" x14ac:dyDescent="0.25">
      <c r="D365" s="7"/>
      <c r="E365" s="7"/>
    </row>
    <row r="366" spans="4:5" ht="13.2" x14ac:dyDescent="0.25">
      <c r="D366" s="7"/>
      <c r="E366" s="7"/>
    </row>
    <row r="367" spans="4:5" ht="13.2" x14ac:dyDescent="0.25">
      <c r="D367" s="7"/>
      <c r="E367" s="7"/>
    </row>
    <row r="368" spans="4:5" ht="13.2" x14ac:dyDescent="0.25">
      <c r="D368" s="7"/>
      <c r="E368" s="7"/>
    </row>
    <row r="369" spans="4:5" ht="13.2" x14ac:dyDescent="0.25">
      <c r="D369" s="7"/>
      <c r="E369" s="7"/>
    </row>
    <row r="370" spans="4:5" ht="13.2" x14ac:dyDescent="0.25">
      <c r="D370" s="7"/>
      <c r="E370" s="7"/>
    </row>
    <row r="371" spans="4:5" ht="13.2" x14ac:dyDescent="0.25">
      <c r="D371" s="7"/>
      <c r="E371" s="7"/>
    </row>
    <row r="372" spans="4:5" ht="13.2" x14ac:dyDescent="0.25">
      <c r="D372" s="7"/>
      <c r="E372" s="7"/>
    </row>
    <row r="373" spans="4:5" ht="13.2" x14ac:dyDescent="0.25">
      <c r="D373" s="7"/>
      <c r="E373" s="7"/>
    </row>
    <row r="374" spans="4:5" ht="13.2" x14ac:dyDescent="0.25">
      <c r="D374" s="7"/>
      <c r="E374" s="7"/>
    </row>
    <row r="375" spans="4:5" ht="13.2" x14ac:dyDescent="0.25">
      <c r="D375" s="7"/>
      <c r="E375" s="7"/>
    </row>
    <row r="376" spans="4:5" ht="13.2" x14ac:dyDescent="0.25">
      <c r="D376" s="7"/>
      <c r="E376" s="7"/>
    </row>
    <row r="377" spans="4:5" ht="13.2" x14ac:dyDescent="0.25">
      <c r="D377" s="7"/>
      <c r="E377" s="7"/>
    </row>
    <row r="378" spans="4:5" ht="13.2" x14ac:dyDescent="0.25">
      <c r="D378" s="7"/>
      <c r="E378" s="7"/>
    </row>
    <row r="379" spans="4:5" ht="13.2" x14ac:dyDescent="0.25">
      <c r="D379" s="7"/>
      <c r="E379" s="7"/>
    </row>
    <row r="380" spans="4:5" ht="13.2" x14ac:dyDescent="0.25">
      <c r="D380" s="7"/>
      <c r="E380" s="7"/>
    </row>
    <row r="381" spans="4:5" ht="13.2" x14ac:dyDescent="0.25">
      <c r="D381" s="7"/>
      <c r="E381" s="7"/>
    </row>
    <row r="382" spans="4:5" ht="13.2" x14ac:dyDescent="0.25">
      <c r="D382" s="7"/>
      <c r="E382" s="7"/>
    </row>
    <row r="383" spans="4:5" ht="13.2" x14ac:dyDescent="0.25">
      <c r="D383" s="7"/>
      <c r="E383" s="7"/>
    </row>
    <row r="384" spans="4:5" ht="13.2" x14ac:dyDescent="0.25">
      <c r="D384" s="7"/>
      <c r="E384" s="7"/>
    </row>
    <row r="385" spans="4:5" ht="13.2" x14ac:dyDescent="0.25">
      <c r="D385" s="7"/>
      <c r="E385" s="7"/>
    </row>
    <row r="386" spans="4:5" ht="13.2" x14ac:dyDescent="0.25">
      <c r="D386" s="7"/>
      <c r="E386" s="7"/>
    </row>
    <row r="387" spans="4:5" ht="13.2" x14ac:dyDescent="0.25">
      <c r="D387" s="7"/>
      <c r="E387" s="7"/>
    </row>
    <row r="388" spans="4:5" ht="13.2" x14ac:dyDescent="0.25">
      <c r="D388" s="7"/>
      <c r="E388" s="7"/>
    </row>
    <row r="389" spans="4:5" ht="13.2" x14ac:dyDescent="0.25">
      <c r="D389" s="7"/>
      <c r="E389" s="7"/>
    </row>
    <row r="390" spans="4:5" ht="13.2" x14ac:dyDescent="0.25">
      <c r="D390" s="7"/>
      <c r="E390" s="7"/>
    </row>
    <row r="391" spans="4:5" ht="13.2" x14ac:dyDescent="0.25">
      <c r="D391" s="7"/>
      <c r="E391" s="7"/>
    </row>
    <row r="392" spans="4:5" ht="13.2" x14ac:dyDescent="0.25">
      <c r="D392" s="7"/>
      <c r="E392" s="7"/>
    </row>
    <row r="393" spans="4:5" ht="13.2" x14ac:dyDescent="0.25">
      <c r="D393" s="7"/>
      <c r="E393" s="7"/>
    </row>
    <row r="394" spans="4:5" ht="13.2" x14ac:dyDescent="0.25">
      <c r="D394" s="7"/>
      <c r="E394" s="7"/>
    </row>
    <row r="395" spans="4:5" ht="13.2" x14ac:dyDescent="0.25">
      <c r="D395" s="7"/>
      <c r="E395" s="7"/>
    </row>
    <row r="396" spans="4:5" ht="13.2" x14ac:dyDescent="0.25">
      <c r="D396" s="7"/>
      <c r="E396" s="7"/>
    </row>
    <row r="397" spans="4:5" ht="13.2" x14ac:dyDescent="0.25">
      <c r="D397" s="7"/>
      <c r="E397" s="7"/>
    </row>
    <row r="398" spans="4:5" ht="13.2" x14ac:dyDescent="0.25">
      <c r="D398" s="7"/>
      <c r="E398" s="7"/>
    </row>
    <row r="399" spans="4:5" ht="13.2" x14ac:dyDescent="0.25">
      <c r="D399" s="7"/>
      <c r="E399" s="7"/>
    </row>
    <row r="400" spans="4:5" ht="13.2" x14ac:dyDescent="0.25">
      <c r="D400" s="7"/>
      <c r="E400" s="7"/>
    </row>
    <row r="401" spans="4:5" ht="13.2" x14ac:dyDescent="0.25">
      <c r="D401" s="7"/>
      <c r="E401" s="7"/>
    </row>
    <row r="402" spans="4:5" ht="13.2" x14ac:dyDescent="0.25">
      <c r="D402" s="7"/>
      <c r="E402" s="7"/>
    </row>
    <row r="403" spans="4:5" ht="13.2" x14ac:dyDescent="0.25">
      <c r="D403" s="7"/>
      <c r="E403" s="7"/>
    </row>
    <row r="404" spans="4:5" ht="13.2" x14ac:dyDescent="0.25">
      <c r="D404" s="7"/>
      <c r="E404" s="7"/>
    </row>
    <row r="405" spans="4:5" ht="13.2" x14ac:dyDescent="0.25">
      <c r="D405" s="7"/>
      <c r="E405" s="7"/>
    </row>
    <row r="406" spans="4:5" ht="13.2" x14ac:dyDescent="0.25">
      <c r="D406" s="7"/>
      <c r="E406" s="7"/>
    </row>
    <row r="407" spans="4:5" ht="13.2" x14ac:dyDescent="0.25">
      <c r="D407" s="7"/>
      <c r="E407" s="7"/>
    </row>
    <row r="408" spans="4:5" ht="13.2" x14ac:dyDescent="0.25">
      <c r="D408" s="7"/>
      <c r="E408" s="7"/>
    </row>
    <row r="409" spans="4:5" ht="13.2" x14ac:dyDescent="0.25">
      <c r="D409" s="7"/>
      <c r="E409" s="7"/>
    </row>
    <row r="410" spans="4:5" ht="13.2" x14ac:dyDescent="0.25">
      <c r="D410" s="7"/>
      <c r="E410" s="7"/>
    </row>
    <row r="411" spans="4:5" ht="13.2" x14ac:dyDescent="0.25">
      <c r="D411" s="7"/>
      <c r="E411" s="7"/>
    </row>
    <row r="412" spans="4:5" ht="13.2" x14ac:dyDescent="0.25">
      <c r="D412" s="7"/>
      <c r="E412" s="7"/>
    </row>
    <row r="413" spans="4:5" ht="13.2" x14ac:dyDescent="0.25">
      <c r="D413" s="7"/>
      <c r="E413" s="7"/>
    </row>
    <row r="414" spans="4:5" ht="13.2" x14ac:dyDescent="0.25">
      <c r="D414" s="7"/>
      <c r="E414" s="7"/>
    </row>
    <row r="415" spans="4:5" ht="13.2" x14ac:dyDescent="0.25">
      <c r="D415" s="7"/>
      <c r="E415" s="7"/>
    </row>
    <row r="416" spans="4:5" ht="13.2" x14ac:dyDescent="0.25">
      <c r="D416" s="7"/>
      <c r="E416" s="7"/>
    </row>
    <row r="417" spans="4:5" ht="13.2" x14ac:dyDescent="0.25">
      <c r="D417" s="7"/>
      <c r="E417" s="7"/>
    </row>
    <row r="418" spans="4:5" ht="13.2" x14ac:dyDescent="0.25">
      <c r="D418" s="7"/>
      <c r="E418" s="7"/>
    </row>
    <row r="419" spans="4:5" ht="13.2" x14ac:dyDescent="0.25">
      <c r="D419" s="7"/>
      <c r="E419" s="7"/>
    </row>
    <row r="420" spans="4:5" ht="13.2" x14ac:dyDescent="0.25">
      <c r="D420" s="7"/>
      <c r="E420" s="7"/>
    </row>
    <row r="421" spans="4:5" ht="13.2" x14ac:dyDescent="0.25">
      <c r="D421" s="7"/>
      <c r="E421" s="7"/>
    </row>
    <row r="422" spans="4:5" ht="13.2" x14ac:dyDescent="0.25">
      <c r="D422" s="7"/>
      <c r="E422" s="7"/>
    </row>
    <row r="423" spans="4:5" ht="13.2" x14ac:dyDescent="0.25">
      <c r="D423" s="7"/>
      <c r="E423" s="7"/>
    </row>
    <row r="424" spans="4:5" ht="13.2" x14ac:dyDescent="0.25">
      <c r="D424" s="7"/>
      <c r="E424" s="7"/>
    </row>
    <row r="425" spans="4:5" ht="13.2" x14ac:dyDescent="0.25">
      <c r="D425" s="7"/>
      <c r="E425" s="7"/>
    </row>
    <row r="426" spans="4:5" ht="13.2" x14ac:dyDescent="0.25">
      <c r="D426" s="7"/>
      <c r="E426" s="7"/>
    </row>
    <row r="427" spans="4:5" ht="13.2" x14ac:dyDescent="0.25">
      <c r="D427" s="7"/>
      <c r="E427" s="7"/>
    </row>
    <row r="428" spans="4:5" ht="13.2" x14ac:dyDescent="0.25">
      <c r="D428" s="7"/>
      <c r="E428" s="7"/>
    </row>
    <row r="429" spans="4:5" ht="13.2" x14ac:dyDescent="0.25">
      <c r="D429" s="7"/>
      <c r="E429" s="7"/>
    </row>
    <row r="430" spans="4:5" ht="13.2" x14ac:dyDescent="0.25">
      <c r="D430" s="7"/>
      <c r="E430" s="7"/>
    </row>
    <row r="431" spans="4:5" ht="13.2" x14ac:dyDescent="0.25">
      <c r="D431" s="7"/>
      <c r="E431" s="7"/>
    </row>
    <row r="432" spans="4:5" ht="13.2" x14ac:dyDescent="0.25">
      <c r="D432" s="7"/>
      <c r="E432" s="7"/>
    </row>
    <row r="433" spans="4:5" ht="13.2" x14ac:dyDescent="0.25">
      <c r="D433" s="7"/>
      <c r="E433" s="7"/>
    </row>
    <row r="434" spans="4:5" ht="13.2" x14ac:dyDescent="0.25">
      <c r="D434" s="7"/>
      <c r="E434" s="7"/>
    </row>
    <row r="435" spans="4:5" ht="13.2" x14ac:dyDescent="0.25">
      <c r="D435" s="7"/>
      <c r="E435" s="7"/>
    </row>
    <row r="436" spans="4:5" ht="13.2" x14ac:dyDescent="0.25">
      <c r="D436" s="7"/>
      <c r="E436" s="7"/>
    </row>
    <row r="437" spans="4:5" ht="13.2" x14ac:dyDescent="0.25">
      <c r="D437" s="7"/>
      <c r="E437" s="7"/>
    </row>
    <row r="438" spans="4:5" ht="13.2" x14ac:dyDescent="0.25">
      <c r="D438" s="7"/>
      <c r="E438" s="7"/>
    </row>
    <row r="439" spans="4:5" ht="13.2" x14ac:dyDescent="0.25">
      <c r="D439" s="7"/>
      <c r="E439" s="7"/>
    </row>
    <row r="440" spans="4:5" ht="13.2" x14ac:dyDescent="0.25">
      <c r="D440" s="7"/>
      <c r="E440" s="7"/>
    </row>
    <row r="441" spans="4:5" ht="13.2" x14ac:dyDescent="0.25">
      <c r="D441" s="7"/>
      <c r="E441" s="7"/>
    </row>
    <row r="442" spans="4:5" ht="13.2" x14ac:dyDescent="0.25">
      <c r="D442" s="7"/>
      <c r="E442" s="7"/>
    </row>
    <row r="443" spans="4:5" ht="13.2" x14ac:dyDescent="0.25">
      <c r="D443" s="7"/>
      <c r="E443" s="7"/>
    </row>
    <row r="444" spans="4:5" ht="13.2" x14ac:dyDescent="0.25">
      <c r="D444" s="7"/>
      <c r="E444" s="7"/>
    </row>
    <row r="445" spans="4:5" ht="13.2" x14ac:dyDescent="0.25">
      <c r="D445" s="7"/>
      <c r="E445" s="7"/>
    </row>
    <row r="446" spans="4:5" ht="13.2" x14ac:dyDescent="0.25">
      <c r="D446" s="7"/>
      <c r="E446" s="7"/>
    </row>
    <row r="447" spans="4:5" ht="13.2" x14ac:dyDescent="0.25">
      <c r="D447" s="7"/>
      <c r="E447" s="7"/>
    </row>
    <row r="448" spans="4:5" ht="13.2" x14ac:dyDescent="0.25">
      <c r="D448" s="7"/>
      <c r="E448" s="7"/>
    </row>
    <row r="449" spans="4:5" ht="13.2" x14ac:dyDescent="0.25">
      <c r="D449" s="7"/>
      <c r="E449" s="7"/>
    </row>
    <row r="450" spans="4:5" ht="13.2" x14ac:dyDescent="0.25">
      <c r="D450" s="7"/>
      <c r="E450" s="7"/>
    </row>
    <row r="451" spans="4:5" ht="13.2" x14ac:dyDescent="0.25">
      <c r="D451" s="7"/>
      <c r="E451" s="7"/>
    </row>
    <row r="452" spans="4:5" ht="13.2" x14ac:dyDescent="0.25">
      <c r="D452" s="7"/>
      <c r="E452" s="7"/>
    </row>
    <row r="453" spans="4:5" ht="13.2" x14ac:dyDescent="0.25">
      <c r="D453" s="7"/>
      <c r="E453" s="7"/>
    </row>
    <row r="454" spans="4:5" ht="13.2" x14ac:dyDescent="0.25">
      <c r="D454" s="7"/>
      <c r="E454" s="7"/>
    </row>
    <row r="455" spans="4:5" ht="13.2" x14ac:dyDescent="0.25">
      <c r="D455" s="7"/>
      <c r="E455" s="7"/>
    </row>
    <row r="456" spans="4:5" ht="13.2" x14ac:dyDescent="0.25">
      <c r="D456" s="7"/>
      <c r="E456" s="7"/>
    </row>
    <row r="457" spans="4:5" ht="13.2" x14ac:dyDescent="0.25">
      <c r="D457" s="7"/>
      <c r="E457" s="7"/>
    </row>
    <row r="458" spans="4:5" ht="13.2" x14ac:dyDescent="0.25">
      <c r="D458" s="7"/>
      <c r="E458" s="7"/>
    </row>
    <row r="459" spans="4:5" ht="13.2" x14ac:dyDescent="0.25">
      <c r="D459" s="7"/>
      <c r="E459" s="7"/>
    </row>
    <row r="460" spans="4:5" ht="13.2" x14ac:dyDescent="0.25">
      <c r="D460" s="7"/>
      <c r="E460" s="7"/>
    </row>
    <row r="461" spans="4:5" ht="13.2" x14ac:dyDescent="0.25">
      <c r="D461" s="7"/>
      <c r="E461" s="7"/>
    </row>
    <row r="462" spans="4:5" ht="13.2" x14ac:dyDescent="0.25">
      <c r="D462" s="7"/>
      <c r="E462" s="7"/>
    </row>
    <row r="463" spans="4:5" ht="13.2" x14ac:dyDescent="0.25">
      <c r="D463" s="7"/>
      <c r="E463" s="7"/>
    </row>
    <row r="464" spans="4:5" ht="13.2" x14ac:dyDescent="0.25">
      <c r="D464" s="7"/>
      <c r="E464" s="7"/>
    </row>
    <row r="465" spans="4:5" ht="13.2" x14ac:dyDescent="0.25">
      <c r="D465" s="7"/>
      <c r="E465" s="7"/>
    </row>
    <row r="466" spans="4:5" ht="13.2" x14ac:dyDescent="0.25">
      <c r="D466" s="7"/>
      <c r="E466" s="7"/>
    </row>
    <row r="467" spans="4:5" ht="13.2" x14ac:dyDescent="0.25">
      <c r="D467" s="7"/>
      <c r="E467" s="7"/>
    </row>
    <row r="468" spans="4:5" ht="13.2" x14ac:dyDescent="0.25">
      <c r="D468" s="7"/>
      <c r="E468" s="7"/>
    </row>
    <row r="469" spans="4:5" ht="13.2" x14ac:dyDescent="0.25">
      <c r="D469" s="7"/>
      <c r="E469" s="7"/>
    </row>
    <row r="470" spans="4:5" ht="13.2" x14ac:dyDescent="0.25">
      <c r="D470" s="7"/>
      <c r="E470" s="7"/>
    </row>
    <row r="471" spans="4:5" ht="13.2" x14ac:dyDescent="0.25">
      <c r="D471" s="7"/>
      <c r="E471" s="7"/>
    </row>
    <row r="472" spans="4:5" ht="13.2" x14ac:dyDescent="0.25">
      <c r="D472" s="7"/>
      <c r="E472" s="7"/>
    </row>
    <row r="473" spans="4:5" ht="13.2" x14ac:dyDescent="0.25">
      <c r="D473" s="7"/>
      <c r="E473" s="7"/>
    </row>
    <row r="474" spans="4:5" ht="13.2" x14ac:dyDescent="0.25">
      <c r="D474" s="7"/>
      <c r="E474" s="7"/>
    </row>
    <row r="475" spans="4:5" ht="13.2" x14ac:dyDescent="0.25">
      <c r="D475" s="7"/>
      <c r="E475" s="7"/>
    </row>
    <row r="476" spans="4:5" ht="13.2" x14ac:dyDescent="0.25">
      <c r="D476" s="7"/>
      <c r="E476" s="7"/>
    </row>
    <row r="477" spans="4:5" ht="13.2" x14ac:dyDescent="0.25">
      <c r="D477" s="7"/>
      <c r="E477" s="7"/>
    </row>
    <row r="478" spans="4:5" ht="13.2" x14ac:dyDescent="0.25">
      <c r="D478" s="7"/>
      <c r="E478" s="7"/>
    </row>
    <row r="479" spans="4:5" ht="13.2" x14ac:dyDescent="0.25">
      <c r="D479" s="7"/>
      <c r="E479" s="7"/>
    </row>
    <row r="480" spans="4:5" ht="13.2" x14ac:dyDescent="0.25">
      <c r="D480" s="7"/>
      <c r="E480" s="7"/>
    </row>
    <row r="481" spans="4:5" ht="13.2" x14ac:dyDescent="0.25">
      <c r="D481" s="7"/>
      <c r="E481" s="7"/>
    </row>
    <row r="482" spans="4:5" ht="13.2" x14ac:dyDescent="0.25">
      <c r="D482" s="7"/>
      <c r="E482" s="7"/>
    </row>
    <row r="483" spans="4:5" ht="13.2" x14ac:dyDescent="0.25">
      <c r="D483" s="7"/>
      <c r="E483" s="7"/>
    </row>
    <row r="484" spans="4:5" ht="13.2" x14ac:dyDescent="0.25">
      <c r="D484" s="7"/>
      <c r="E484" s="7"/>
    </row>
    <row r="485" spans="4:5" ht="13.2" x14ac:dyDescent="0.25">
      <c r="D485" s="7"/>
      <c r="E485" s="7"/>
    </row>
    <row r="486" spans="4:5" ht="13.2" x14ac:dyDescent="0.25">
      <c r="D486" s="7"/>
      <c r="E486" s="7"/>
    </row>
    <row r="487" spans="4:5" ht="13.2" x14ac:dyDescent="0.25">
      <c r="D487" s="7"/>
      <c r="E487" s="7"/>
    </row>
    <row r="488" spans="4:5" ht="13.2" x14ac:dyDescent="0.25">
      <c r="D488" s="7"/>
      <c r="E488" s="7"/>
    </row>
    <row r="489" spans="4:5" ht="13.2" x14ac:dyDescent="0.25">
      <c r="D489" s="7"/>
      <c r="E489" s="7"/>
    </row>
    <row r="490" spans="4:5" ht="13.2" x14ac:dyDescent="0.25">
      <c r="D490" s="7"/>
      <c r="E490" s="7"/>
    </row>
    <row r="491" spans="4:5" ht="13.2" x14ac:dyDescent="0.25">
      <c r="D491" s="7"/>
      <c r="E491" s="7"/>
    </row>
    <row r="492" spans="4:5" ht="13.2" x14ac:dyDescent="0.25">
      <c r="D492" s="7"/>
      <c r="E492" s="7"/>
    </row>
    <row r="493" spans="4:5" ht="13.2" x14ac:dyDescent="0.25">
      <c r="D493" s="7"/>
      <c r="E493" s="7"/>
    </row>
    <row r="494" spans="4:5" ht="13.2" x14ac:dyDescent="0.25">
      <c r="D494" s="7"/>
      <c r="E494" s="7"/>
    </row>
    <row r="495" spans="4:5" ht="13.2" x14ac:dyDescent="0.25">
      <c r="D495" s="7"/>
      <c r="E495" s="7"/>
    </row>
    <row r="496" spans="4:5" ht="13.2" x14ac:dyDescent="0.25">
      <c r="D496" s="7"/>
      <c r="E496" s="7"/>
    </row>
    <row r="497" spans="4:5" ht="13.2" x14ac:dyDescent="0.25">
      <c r="D497" s="7"/>
      <c r="E497" s="7"/>
    </row>
    <row r="498" spans="4:5" ht="13.2" x14ac:dyDescent="0.25">
      <c r="D498" s="7"/>
      <c r="E498" s="7"/>
    </row>
    <row r="499" spans="4:5" ht="13.2" x14ac:dyDescent="0.25">
      <c r="D499" s="7"/>
      <c r="E499" s="7"/>
    </row>
    <row r="500" spans="4:5" ht="13.2" x14ac:dyDescent="0.25">
      <c r="D500" s="7"/>
      <c r="E500" s="7"/>
    </row>
    <row r="501" spans="4:5" ht="13.2" x14ac:dyDescent="0.25">
      <c r="D501" s="7"/>
      <c r="E501" s="7"/>
    </row>
    <row r="502" spans="4:5" ht="13.2" x14ac:dyDescent="0.25">
      <c r="D502" s="7"/>
      <c r="E502" s="7"/>
    </row>
    <row r="503" spans="4:5" ht="13.2" x14ac:dyDescent="0.25">
      <c r="D503" s="7"/>
      <c r="E503" s="7"/>
    </row>
    <row r="504" spans="4:5" ht="13.2" x14ac:dyDescent="0.25">
      <c r="D504" s="7"/>
      <c r="E504" s="7"/>
    </row>
    <row r="505" spans="4:5" ht="13.2" x14ac:dyDescent="0.25">
      <c r="D505" s="7"/>
      <c r="E505" s="7"/>
    </row>
    <row r="506" spans="4:5" ht="13.2" x14ac:dyDescent="0.25">
      <c r="D506" s="7"/>
      <c r="E506" s="7"/>
    </row>
    <row r="507" spans="4:5" ht="13.2" x14ac:dyDescent="0.25">
      <c r="D507" s="7"/>
      <c r="E507" s="7"/>
    </row>
    <row r="508" spans="4:5" ht="13.2" x14ac:dyDescent="0.25">
      <c r="D508" s="7"/>
      <c r="E508" s="7"/>
    </row>
    <row r="509" spans="4:5" ht="13.2" x14ac:dyDescent="0.25">
      <c r="D509" s="7"/>
      <c r="E509" s="7"/>
    </row>
    <row r="510" spans="4:5" ht="13.2" x14ac:dyDescent="0.25">
      <c r="D510" s="7"/>
      <c r="E510" s="7"/>
    </row>
    <row r="511" spans="4:5" ht="13.2" x14ac:dyDescent="0.25">
      <c r="D511" s="7"/>
      <c r="E511" s="7"/>
    </row>
    <row r="512" spans="4:5" ht="13.2" x14ac:dyDescent="0.25">
      <c r="D512" s="7"/>
      <c r="E512" s="7"/>
    </row>
    <row r="513" spans="4:5" ht="13.2" x14ac:dyDescent="0.25">
      <c r="D513" s="7"/>
      <c r="E513" s="7"/>
    </row>
    <row r="514" spans="4:5" ht="13.2" x14ac:dyDescent="0.25">
      <c r="D514" s="7"/>
      <c r="E514" s="7"/>
    </row>
    <row r="515" spans="4:5" ht="13.2" x14ac:dyDescent="0.25">
      <c r="D515" s="7"/>
      <c r="E515" s="7"/>
    </row>
    <row r="516" spans="4:5" ht="13.2" x14ac:dyDescent="0.25">
      <c r="D516" s="7"/>
      <c r="E516" s="7"/>
    </row>
    <row r="517" spans="4:5" ht="13.2" x14ac:dyDescent="0.25">
      <c r="D517" s="7"/>
      <c r="E517" s="7"/>
    </row>
    <row r="518" spans="4:5" ht="13.2" x14ac:dyDescent="0.25">
      <c r="D518" s="7"/>
      <c r="E518" s="7"/>
    </row>
    <row r="519" spans="4:5" ht="13.2" x14ac:dyDescent="0.25">
      <c r="D519" s="7"/>
      <c r="E519" s="7"/>
    </row>
    <row r="520" spans="4:5" ht="13.2" x14ac:dyDescent="0.25">
      <c r="D520" s="7"/>
      <c r="E520" s="7"/>
    </row>
    <row r="521" spans="4:5" ht="13.2" x14ac:dyDescent="0.25">
      <c r="D521" s="7"/>
      <c r="E521" s="7"/>
    </row>
    <row r="522" spans="4:5" ht="13.2" x14ac:dyDescent="0.25">
      <c r="D522" s="7"/>
      <c r="E522" s="7"/>
    </row>
    <row r="523" spans="4:5" ht="13.2" x14ac:dyDescent="0.25">
      <c r="D523" s="7"/>
      <c r="E523" s="7"/>
    </row>
    <row r="524" spans="4:5" ht="13.2" x14ac:dyDescent="0.25">
      <c r="D524" s="7"/>
      <c r="E524" s="7"/>
    </row>
    <row r="525" spans="4:5" ht="13.2" x14ac:dyDescent="0.25">
      <c r="D525" s="7"/>
      <c r="E525" s="7"/>
    </row>
    <row r="526" spans="4:5" ht="13.2" x14ac:dyDescent="0.25">
      <c r="D526" s="7"/>
      <c r="E526" s="7"/>
    </row>
    <row r="527" spans="4:5" ht="13.2" x14ac:dyDescent="0.25">
      <c r="D527" s="7"/>
      <c r="E527" s="7"/>
    </row>
    <row r="528" spans="4:5" ht="13.2" x14ac:dyDescent="0.25">
      <c r="D528" s="7"/>
      <c r="E528" s="7"/>
    </row>
    <row r="529" spans="4:5" ht="13.2" x14ac:dyDescent="0.25">
      <c r="D529" s="7"/>
      <c r="E529" s="7"/>
    </row>
    <row r="530" spans="4:5" ht="13.2" x14ac:dyDescent="0.25">
      <c r="D530" s="7"/>
      <c r="E530" s="7"/>
    </row>
    <row r="531" spans="4:5" ht="13.2" x14ac:dyDescent="0.25">
      <c r="D531" s="7"/>
      <c r="E531" s="7"/>
    </row>
    <row r="532" spans="4:5" ht="13.2" x14ac:dyDescent="0.25">
      <c r="D532" s="7"/>
      <c r="E532" s="7"/>
    </row>
    <row r="533" spans="4:5" ht="13.2" x14ac:dyDescent="0.25">
      <c r="D533" s="7"/>
      <c r="E533" s="7"/>
    </row>
    <row r="534" spans="4:5" ht="13.2" x14ac:dyDescent="0.25">
      <c r="D534" s="7"/>
      <c r="E534" s="7"/>
    </row>
    <row r="535" spans="4:5" ht="13.2" x14ac:dyDescent="0.25">
      <c r="D535" s="7"/>
      <c r="E535" s="7"/>
    </row>
    <row r="536" spans="4:5" ht="13.2" x14ac:dyDescent="0.25">
      <c r="D536" s="7"/>
      <c r="E536" s="7"/>
    </row>
    <row r="537" spans="4:5" ht="13.2" x14ac:dyDescent="0.25">
      <c r="D537" s="7"/>
      <c r="E537" s="7"/>
    </row>
    <row r="538" spans="4:5" ht="13.2" x14ac:dyDescent="0.25">
      <c r="D538" s="7"/>
      <c r="E538" s="7"/>
    </row>
    <row r="539" spans="4:5" ht="13.2" x14ac:dyDescent="0.25">
      <c r="D539" s="7"/>
      <c r="E539" s="7"/>
    </row>
    <row r="540" spans="4:5" ht="13.2" x14ac:dyDescent="0.25">
      <c r="D540" s="7"/>
      <c r="E540" s="7"/>
    </row>
    <row r="541" spans="4:5" ht="13.2" x14ac:dyDescent="0.25">
      <c r="D541" s="7"/>
      <c r="E541" s="7"/>
    </row>
    <row r="542" spans="4:5" ht="13.2" x14ac:dyDescent="0.25">
      <c r="D542" s="7"/>
      <c r="E542" s="7"/>
    </row>
    <row r="543" spans="4:5" ht="13.2" x14ac:dyDescent="0.25">
      <c r="D543" s="7"/>
      <c r="E543" s="7"/>
    </row>
    <row r="544" spans="4:5" ht="13.2" x14ac:dyDescent="0.25">
      <c r="D544" s="7"/>
      <c r="E544" s="7"/>
    </row>
    <row r="545" spans="4:5" ht="13.2" x14ac:dyDescent="0.25">
      <c r="D545" s="7"/>
      <c r="E545" s="7"/>
    </row>
    <row r="546" spans="4:5" ht="13.2" x14ac:dyDescent="0.25">
      <c r="D546" s="7"/>
      <c r="E546" s="7"/>
    </row>
    <row r="547" spans="4:5" ht="13.2" x14ac:dyDescent="0.25">
      <c r="D547" s="7"/>
      <c r="E547" s="7"/>
    </row>
    <row r="548" spans="4:5" ht="13.2" x14ac:dyDescent="0.25">
      <c r="D548" s="7"/>
      <c r="E548" s="7"/>
    </row>
    <row r="549" spans="4:5" ht="13.2" x14ac:dyDescent="0.25">
      <c r="D549" s="7"/>
      <c r="E549" s="7"/>
    </row>
    <row r="550" spans="4:5" ht="13.2" x14ac:dyDescent="0.25">
      <c r="D550" s="7"/>
      <c r="E550" s="7"/>
    </row>
    <row r="551" spans="4:5" ht="13.2" x14ac:dyDescent="0.25">
      <c r="D551" s="7"/>
      <c r="E551" s="7"/>
    </row>
    <row r="552" spans="4:5" ht="13.2" x14ac:dyDescent="0.25">
      <c r="D552" s="7"/>
      <c r="E552" s="7"/>
    </row>
    <row r="553" spans="4:5" ht="13.2" x14ac:dyDescent="0.25">
      <c r="D553" s="7"/>
      <c r="E553" s="7"/>
    </row>
    <row r="554" spans="4:5" ht="13.2" x14ac:dyDescent="0.25">
      <c r="D554" s="7"/>
      <c r="E554" s="7"/>
    </row>
    <row r="555" spans="4:5" ht="13.2" x14ac:dyDescent="0.25">
      <c r="D555" s="7"/>
      <c r="E555" s="7"/>
    </row>
    <row r="556" spans="4:5" ht="13.2" x14ac:dyDescent="0.25">
      <c r="D556" s="7"/>
      <c r="E556" s="7"/>
    </row>
    <row r="557" spans="4:5" ht="13.2" x14ac:dyDescent="0.25">
      <c r="D557" s="7"/>
      <c r="E557" s="7"/>
    </row>
    <row r="558" spans="4:5" ht="13.2" x14ac:dyDescent="0.25">
      <c r="D558" s="7"/>
      <c r="E558" s="7"/>
    </row>
    <row r="559" spans="4:5" ht="13.2" x14ac:dyDescent="0.25">
      <c r="D559" s="7"/>
      <c r="E559" s="7"/>
    </row>
    <row r="560" spans="4:5" ht="13.2" x14ac:dyDescent="0.25">
      <c r="D560" s="7"/>
      <c r="E560" s="7"/>
    </row>
    <row r="561" spans="4:5" ht="13.2" x14ac:dyDescent="0.25">
      <c r="D561" s="7"/>
      <c r="E561" s="7"/>
    </row>
    <row r="562" spans="4:5" ht="13.2" x14ac:dyDescent="0.25">
      <c r="D562" s="7"/>
      <c r="E562" s="7"/>
    </row>
    <row r="563" spans="4:5" ht="13.2" x14ac:dyDescent="0.25">
      <c r="D563" s="7"/>
      <c r="E563" s="7"/>
    </row>
    <row r="564" spans="4:5" ht="13.2" x14ac:dyDescent="0.25">
      <c r="D564" s="7"/>
      <c r="E564" s="7"/>
    </row>
    <row r="565" spans="4:5" ht="13.2" x14ac:dyDescent="0.25">
      <c r="D565" s="7"/>
      <c r="E565" s="7"/>
    </row>
    <row r="566" spans="4:5" ht="13.2" x14ac:dyDescent="0.25">
      <c r="D566" s="7"/>
      <c r="E566" s="7"/>
    </row>
    <row r="567" spans="4:5" ht="13.2" x14ac:dyDescent="0.25">
      <c r="D567" s="7"/>
      <c r="E567" s="7"/>
    </row>
    <row r="568" spans="4:5" ht="13.2" x14ac:dyDescent="0.25">
      <c r="D568" s="7"/>
      <c r="E568" s="7"/>
    </row>
    <row r="569" spans="4:5" ht="13.2" x14ac:dyDescent="0.25">
      <c r="D569" s="7"/>
      <c r="E569" s="7"/>
    </row>
    <row r="570" spans="4:5" ht="13.2" x14ac:dyDescent="0.25">
      <c r="D570" s="7"/>
      <c r="E570" s="7"/>
    </row>
    <row r="571" spans="4:5" ht="13.2" x14ac:dyDescent="0.25">
      <c r="D571" s="7"/>
      <c r="E571" s="7"/>
    </row>
    <row r="572" spans="4:5" ht="13.2" x14ac:dyDescent="0.25">
      <c r="D572" s="7"/>
      <c r="E572" s="7"/>
    </row>
    <row r="573" spans="4:5" ht="13.2" x14ac:dyDescent="0.25">
      <c r="D573" s="7"/>
      <c r="E573" s="7"/>
    </row>
    <row r="574" spans="4:5" ht="13.2" x14ac:dyDescent="0.25">
      <c r="D574" s="7"/>
      <c r="E574" s="7"/>
    </row>
    <row r="575" spans="4:5" ht="13.2" x14ac:dyDescent="0.25">
      <c r="D575" s="7"/>
      <c r="E575" s="7"/>
    </row>
    <row r="576" spans="4:5" ht="13.2" x14ac:dyDescent="0.25">
      <c r="D576" s="7"/>
      <c r="E576" s="7"/>
    </row>
    <row r="577" spans="4:5" ht="13.2" x14ac:dyDescent="0.25">
      <c r="D577" s="7"/>
      <c r="E577" s="7"/>
    </row>
    <row r="578" spans="4:5" ht="13.2" x14ac:dyDescent="0.25">
      <c r="D578" s="7"/>
      <c r="E578" s="7"/>
    </row>
    <row r="579" spans="4:5" ht="13.2" x14ac:dyDescent="0.25">
      <c r="D579" s="7"/>
      <c r="E579" s="7"/>
    </row>
    <row r="580" spans="4:5" ht="13.2" x14ac:dyDescent="0.25">
      <c r="D580" s="7"/>
      <c r="E580" s="7"/>
    </row>
    <row r="581" spans="4:5" ht="13.2" x14ac:dyDescent="0.25">
      <c r="D581" s="7"/>
      <c r="E581" s="7"/>
    </row>
    <row r="582" spans="4:5" ht="13.2" x14ac:dyDescent="0.25">
      <c r="D582" s="7"/>
      <c r="E582" s="7"/>
    </row>
    <row r="583" spans="4:5" ht="13.2" x14ac:dyDescent="0.25">
      <c r="D583" s="7"/>
      <c r="E583" s="7"/>
    </row>
    <row r="584" spans="4:5" ht="13.2" x14ac:dyDescent="0.25">
      <c r="D584" s="7"/>
      <c r="E584" s="7"/>
    </row>
    <row r="585" spans="4:5" ht="13.2" x14ac:dyDescent="0.25">
      <c r="D585" s="7"/>
      <c r="E585" s="7"/>
    </row>
    <row r="586" spans="4:5" ht="13.2" x14ac:dyDescent="0.25">
      <c r="D586" s="7"/>
      <c r="E586" s="7"/>
    </row>
    <row r="587" spans="4:5" ht="13.2" x14ac:dyDescent="0.25">
      <c r="D587" s="7"/>
      <c r="E587" s="7"/>
    </row>
    <row r="588" spans="4:5" ht="13.2" x14ac:dyDescent="0.25">
      <c r="D588" s="7"/>
      <c r="E588" s="7"/>
    </row>
    <row r="589" spans="4:5" ht="13.2" x14ac:dyDescent="0.25">
      <c r="D589" s="7"/>
      <c r="E589" s="7"/>
    </row>
    <row r="590" spans="4:5" ht="13.2" x14ac:dyDescent="0.25">
      <c r="D590" s="7"/>
      <c r="E590" s="7"/>
    </row>
    <row r="591" spans="4:5" ht="13.2" x14ac:dyDescent="0.25">
      <c r="D591" s="7"/>
      <c r="E591" s="7"/>
    </row>
    <row r="592" spans="4:5" ht="13.2" x14ac:dyDescent="0.25">
      <c r="D592" s="7"/>
      <c r="E592" s="7"/>
    </row>
    <row r="593" spans="4:5" ht="13.2" x14ac:dyDescent="0.25">
      <c r="D593" s="7"/>
      <c r="E593" s="7"/>
    </row>
    <row r="594" spans="4:5" ht="13.2" x14ac:dyDescent="0.25">
      <c r="D594" s="7"/>
      <c r="E594" s="7"/>
    </row>
    <row r="595" spans="4:5" ht="13.2" x14ac:dyDescent="0.25">
      <c r="D595" s="7"/>
      <c r="E595" s="7"/>
    </row>
    <row r="596" spans="4:5" ht="13.2" x14ac:dyDescent="0.25">
      <c r="D596" s="7"/>
      <c r="E596" s="7"/>
    </row>
    <row r="597" spans="4:5" ht="13.2" x14ac:dyDescent="0.25">
      <c r="D597" s="7"/>
      <c r="E597" s="7"/>
    </row>
    <row r="598" spans="4:5" ht="13.2" x14ac:dyDescent="0.25">
      <c r="D598" s="7"/>
      <c r="E598" s="7"/>
    </row>
    <row r="599" spans="4:5" ht="13.2" x14ac:dyDescent="0.25">
      <c r="D599" s="7"/>
      <c r="E599" s="7"/>
    </row>
    <row r="600" spans="4:5" ht="13.2" x14ac:dyDescent="0.25">
      <c r="D600" s="7"/>
      <c r="E600" s="7"/>
    </row>
    <row r="601" spans="4:5" ht="13.2" x14ac:dyDescent="0.25">
      <c r="D601" s="7"/>
      <c r="E601" s="7"/>
    </row>
    <row r="602" spans="4:5" ht="13.2" x14ac:dyDescent="0.25">
      <c r="D602" s="7"/>
      <c r="E602" s="7"/>
    </row>
    <row r="603" spans="4:5" ht="13.2" x14ac:dyDescent="0.25">
      <c r="D603" s="7"/>
      <c r="E603" s="7"/>
    </row>
    <row r="604" spans="4:5" ht="13.2" x14ac:dyDescent="0.25">
      <c r="D604" s="7"/>
      <c r="E604" s="7"/>
    </row>
    <row r="605" spans="4:5" ht="13.2" x14ac:dyDescent="0.25">
      <c r="D605" s="7"/>
      <c r="E605" s="7"/>
    </row>
    <row r="606" spans="4:5" ht="13.2" x14ac:dyDescent="0.25">
      <c r="D606" s="7"/>
      <c r="E606" s="7"/>
    </row>
    <row r="607" spans="4:5" ht="13.2" x14ac:dyDescent="0.25">
      <c r="D607" s="7"/>
      <c r="E607" s="7"/>
    </row>
    <row r="608" spans="4:5" ht="13.2" x14ac:dyDescent="0.25">
      <c r="D608" s="7"/>
      <c r="E608" s="7"/>
    </row>
    <row r="609" spans="4:5" ht="13.2" x14ac:dyDescent="0.25">
      <c r="D609" s="7"/>
      <c r="E609" s="7"/>
    </row>
    <row r="610" spans="4:5" ht="13.2" x14ac:dyDescent="0.25">
      <c r="D610" s="7"/>
      <c r="E610" s="7"/>
    </row>
    <row r="611" spans="4:5" ht="13.2" x14ac:dyDescent="0.25">
      <c r="D611" s="7"/>
      <c r="E611" s="7"/>
    </row>
    <row r="612" spans="4:5" ht="13.2" x14ac:dyDescent="0.25">
      <c r="D612" s="7"/>
      <c r="E612" s="7"/>
    </row>
    <row r="613" spans="4:5" ht="13.2" x14ac:dyDescent="0.25">
      <c r="D613" s="7"/>
      <c r="E613" s="7"/>
    </row>
    <row r="614" spans="4:5" ht="13.2" x14ac:dyDescent="0.25">
      <c r="D614" s="7"/>
      <c r="E614" s="7"/>
    </row>
    <row r="615" spans="4:5" ht="13.2" x14ac:dyDescent="0.25">
      <c r="D615" s="7"/>
      <c r="E615" s="7"/>
    </row>
    <row r="616" spans="4:5" ht="13.2" x14ac:dyDescent="0.25">
      <c r="D616" s="7"/>
      <c r="E616" s="7"/>
    </row>
    <row r="617" spans="4:5" ht="13.2" x14ac:dyDescent="0.25">
      <c r="D617" s="7"/>
      <c r="E617" s="7"/>
    </row>
    <row r="618" spans="4:5" ht="13.2" x14ac:dyDescent="0.25">
      <c r="D618" s="7"/>
      <c r="E618" s="7"/>
    </row>
    <row r="619" spans="4:5" ht="13.2" x14ac:dyDescent="0.25">
      <c r="D619" s="7"/>
      <c r="E619" s="7"/>
    </row>
    <row r="620" spans="4:5" ht="13.2" x14ac:dyDescent="0.25">
      <c r="D620" s="7"/>
      <c r="E620" s="7"/>
    </row>
    <row r="621" spans="4:5" ht="13.2" x14ac:dyDescent="0.25">
      <c r="D621" s="7"/>
      <c r="E621" s="7"/>
    </row>
    <row r="622" spans="4:5" ht="13.2" x14ac:dyDescent="0.25">
      <c r="D622" s="7"/>
      <c r="E622" s="7"/>
    </row>
    <row r="623" spans="4:5" ht="13.2" x14ac:dyDescent="0.25">
      <c r="D623" s="7"/>
      <c r="E623" s="7"/>
    </row>
    <row r="624" spans="4:5" ht="13.2" x14ac:dyDescent="0.25">
      <c r="D624" s="7"/>
      <c r="E624" s="7"/>
    </row>
    <row r="625" spans="4:5" ht="13.2" x14ac:dyDescent="0.25">
      <c r="D625" s="7"/>
      <c r="E625" s="7"/>
    </row>
    <row r="626" spans="4:5" ht="13.2" x14ac:dyDescent="0.25">
      <c r="D626" s="7"/>
      <c r="E626" s="7"/>
    </row>
    <row r="627" spans="4:5" ht="13.2" x14ac:dyDescent="0.25">
      <c r="D627" s="7"/>
      <c r="E627" s="7"/>
    </row>
    <row r="628" spans="4:5" ht="13.2" x14ac:dyDescent="0.25">
      <c r="D628" s="7"/>
      <c r="E628" s="7"/>
    </row>
    <row r="629" spans="4:5" ht="13.2" x14ac:dyDescent="0.25">
      <c r="D629" s="7"/>
      <c r="E629" s="7"/>
    </row>
    <row r="630" spans="4:5" ht="13.2" x14ac:dyDescent="0.25">
      <c r="D630" s="7"/>
      <c r="E630" s="7"/>
    </row>
    <row r="631" spans="4:5" ht="13.2" x14ac:dyDescent="0.25">
      <c r="D631" s="7"/>
      <c r="E631" s="7"/>
    </row>
    <row r="632" spans="4:5" ht="13.2" x14ac:dyDescent="0.25">
      <c r="D632" s="7"/>
      <c r="E632" s="7"/>
    </row>
    <row r="633" spans="4:5" ht="13.2" x14ac:dyDescent="0.25">
      <c r="D633" s="7"/>
      <c r="E633" s="7"/>
    </row>
    <row r="634" spans="4:5" ht="13.2" x14ac:dyDescent="0.25">
      <c r="D634" s="7"/>
      <c r="E634" s="7"/>
    </row>
    <row r="635" spans="4:5" ht="13.2" x14ac:dyDescent="0.25">
      <c r="D635" s="7"/>
      <c r="E635" s="7"/>
    </row>
    <row r="636" spans="4:5" ht="13.2" x14ac:dyDescent="0.25">
      <c r="D636" s="7"/>
      <c r="E636" s="7"/>
    </row>
    <row r="637" spans="4:5" ht="13.2" x14ac:dyDescent="0.25">
      <c r="D637" s="7"/>
      <c r="E637" s="7"/>
    </row>
    <row r="638" spans="4:5" ht="13.2" x14ac:dyDescent="0.25">
      <c r="D638" s="7"/>
      <c r="E638" s="7"/>
    </row>
    <row r="639" spans="4:5" ht="13.2" x14ac:dyDescent="0.25">
      <c r="D639" s="7"/>
      <c r="E639" s="7"/>
    </row>
    <row r="640" spans="4:5" ht="13.2" x14ac:dyDescent="0.25">
      <c r="D640" s="7"/>
      <c r="E640" s="7"/>
    </row>
    <row r="641" spans="4:5" ht="13.2" x14ac:dyDescent="0.25">
      <c r="D641" s="7"/>
      <c r="E641" s="7"/>
    </row>
    <row r="642" spans="4:5" ht="13.2" x14ac:dyDescent="0.25">
      <c r="D642" s="7"/>
      <c r="E642" s="7"/>
    </row>
    <row r="643" spans="4:5" ht="13.2" x14ac:dyDescent="0.25">
      <c r="D643" s="7"/>
      <c r="E643" s="7"/>
    </row>
    <row r="644" spans="4:5" ht="13.2" x14ac:dyDescent="0.25">
      <c r="D644" s="7"/>
      <c r="E644" s="7"/>
    </row>
    <row r="645" spans="4:5" ht="13.2" x14ac:dyDescent="0.25">
      <c r="D645" s="7"/>
      <c r="E645" s="7"/>
    </row>
    <row r="646" spans="4:5" ht="13.2" x14ac:dyDescent="0.25">
      <c r="D646" s="7"/>
      <c r="E646" s="7"/>
    </row>
    <row r="647" spans="4:5" ht="13.2" x14ac:dyDescent="0.25">
      <c r="D647" s="7"/>
      <c r="E647" s="7"/>
    </row>
    <row r="648" spans="4:5" ht="13.2" x14ac:dyDescent="0.25">
      <c r="D648" s="7"/>
      <c r="E648" s="7"/>
    </row>
    <row r="649" spans="4:5" ht="13.2" x14ac:dyDescent="0.25">
      <c r="D649" s="7"/>
      <c r="E649" s="7"/>
    </row>
    <row r="650" spans="4:5" ht="13.2" x14ac:dyDescent="0.25">
      <c r="D650" s="7"/>
      <c r="E650" s="7"/>
    </row>
    <row r="651" spans="4:5" ht="13.2" x14ac:dyDescent="0.25">
      <c r="D651" s="7"/>
      <c r="E651" s="7"/>
    </row>
    <row r="652" spans="4:5" ht="13.2" x14ac:dyDescent="0.25">
      <c r="D652" s="7"/>
      <c r="E652" s="7"/>
    </row>
    <row r="653" spans="4:5" ht="13.2" x14ac:dyDescent="0.25">
      <c r="D653" s="7"/>
      <c r="E653" s="7"/>
    </row>
    <row r="654" spans="4:5" ht="13.2" x14ac:dyDescent="0.25">
      <c r="D654" s="7"/>
      <c r="E654" s="7"/>
    </row>
    <row r="655" spans="4:5" ht="13.2" x14ac:dyDescent="0.25">
      <c r="D655" s="7"/>
      <c r="E655" s="7"/>
    </row>
    <row r="656" spans="4:5" ht="13.2" x14ac:dyDescent="0.25">
      <c r="D656" s="7"/>
      <c r="E656" s="7"/>
    </row>
    <row r="657" spans="4:5" ht="13.2" x14ac:dyDescent="0.25">
      <c r="D657" s="7"/>
      <c r="E657" s="7"/>
    </row>
    <row r="658" spans="4:5" ht="13.2" x14ac:dyDescent="0.25">
      <c r="D658" s="7"/>
      <c r="E658" s="7"/>
    </row>
    <row r="659" spans="4:5" ht="13.2" x14ac:dyDescent="0.25">
      <c r="D659" s="7"/>
      <c r="E659" s="7"/>
    </row>
    <row r="660" spans="4:5" ht="13.2" x14ac:dyDescent="0.25">
      <c r="D660" s="7"/>
      <c r="E660" s="7"/>
    </row>
    <row r="661" spans="4:5" ht="13.2" x14ac:dyDescent="0.25">
      <c r="D661" s="7"/>
      <c r="E661" s="7"/>
    </row>
    <row r="662" spans="4:5" ht="13.2" x14ac:dyDescent="0.25">
      <c r="D662" s="7"/>
      <c r="E662" s="7"/>
    </row>
    <row r="663" spans="4:5" ht="13.2" x14ac:dyDescent="0.25">
      <c r="D663" s="7"/>
      <c r="E663" s="7"/>
    </row>
    <row r="664" spans="4:5" ht="13.2" x14ac:dyDescent="0.25">
      <c r="D664" s="7"/>
      <c r="E664" s="7"/>
    </row>
    <row r="665" spans="4:5" ht="13.2" x14ac:dyDescent="0.25">
      <c r="D665" s="7"/>
      <c r="E665" s="7"/>
    </row>
    <row r="666" spans="4:5" ht="13.2" x14ac:dyDescent="0.25">
      <c r="D666" s="7"/>
      <c r="E666" s="7"/>
    </row>
    <row r="667" spans="4:5" ht="13.2" x14ac:dyDescent="0.25">
      <c r="D667" s="7"/>
      <c r="E667" s="7"/>
    </row>
    <row r="668" spans="4:5" ht="13.2" x14ac:dyDescent="0.25">
      <c r="D668" s="7"/>
      <c r="E668" s="7"/>
    </row>
    <row r="669" spans="4:5" ht="13.2" x14ac:dyDescent="0.25">
      <c r="D669" s="7"/>
      <c r="E669" s="7"/>
    </row>
    <row r="670" spans="4:5" ht="13.2" x14ac:dyDescent="0.25">
      <c r="D670" s="7"/>
      <c r="E670" s="7"/>
    </row>
    <row r="671" spans="4:5" ht="13.2" x14ac:dyDescent="0.25">
      <c r="D671" s="7"/>
      <c r="E671" s="7"/>
    </row>
    <row r="672" spans="4:5" ht="13.2" x14ac:dyDescent="0.25">
      <c r="D672" s="7"/>
      <c r="E672" s="7"/>
    </row>
    <row r="673" spans="4:5" ht="13.2" x14ac:dyDescent="0.25">
      <c r="D673" s="7"/>
      <c r="E673" s="7"/>
    </row>
    <row r="674" spans="4:5" ht="13.2" x14ac:dyDescent="0.25">
      <c r="D674" s="7"/>
      <c r="E674" s="7"/>
    </row>
    <row r="675" spans="4:5" ht="13.2" x14ac:dyDescent="0.25">
      <c r="D675" s="7"/>
      <c r="E675" s="7"/>
    </row>
    <row r="676" spans="4:5" ht="13.2" x14ac:dyDescent="0.25">
      <c r="D676" s="7"/>
      <c r="E676" s="7"/>
    </row>
    <row r="677" spans="4:5" ht="13.2" x14ac:dyDescent="0.25">
      <c r="D677" s="7"/>
      <c r="E677" s="7"/>
    </row>
    <row r="678" spans="4:5" ht="13.2" x14ac:dyDescent="0.25">
      <c r="D678" s="7"/>
      <c r="E678" s="7"/>
    </row>
    <row r="679" spans="4:5" ht="13.2" x14ac:dyDescent="0.25">
      <c r="D679" s="7"/>
      <c r="E679" s="7"/>
    </row>
    <row r="680" spans="4:5" ht="13.2" x14ac:dyDescent="0.25">
      <c r="D680" s="7"/>
      <c r="E680" s="7"/>
    </row>
    <row r="681" spans="4:5" ht="13.2" x14ac:dyDescent="0.25">
      <c r="D681" s="7"/>
      <c r="E681" s="7"/>
    </row>
    <row r="682" spans="4:5" ht="13.2" x14ac:dyDescent="0.25">
      <c r="D682" s="7"/>
      <c r="E682" s="7"/>
    </row>
    <row r="683" spans="4:5" ht="13.2" x14ac:dyDescent="0.25">
      <c r="D683" s="7"/>
      <c r="E683" s="7"/>
    </row>
    <row r="684" spans="4:5" ht="13.2" x14ac:dyDescent="0.25">
      <c r="D684" s="7"/>
      <c r="E684" s="7"/>
    </row>
    <row r="685" spans="4:5" ht="13.2" x14ac:dyDescent="0.25">
      <c r="D685" s="7"/>
      <c r="E685" s="7"/>
    </row>
    <row r="686" spans="4:5" ht="13.2" x14ac:dyDescent="0.25">
      <c r="D686" s="7"/>
      <c r="E686" s="7"/>
    </row>
    <row r="687" spans="4:5" ht="13.2" x14ac:dyDescent="0.25">
      <c r="D687" s="7"/>
      <c r="E687" s="7"/>
    </row>
    <row r="688" spans="4:5" ht="13.2" x14ac:dyDescent="0.25">
      <c r="D688" s="7"/>
      <c r="E688" s="7"/>
    </row>
    <row r="689" spans="4:5" ht="13.2" x14ac:dyDescent="0.25">
      <c r="D689" s="7"/>
      <c r="E689" s="7"/>
    </row>
    <row r="690" spans="4:5" ht="13.2" x14ac:dyDescent="0.25">
      <c r="D690" s="7"/>
      <c r="E690" s="7"/>
    </row>
    <row r="691" spans="4:5" ht="13.2" x14ac:dyDescent="0.25">
      <c r="D691" s="7"/>
      <c r="E691" s="7"/>
    </row>
    <row r="692" spans="4:5" ht="13.2" x14ac:dyDescent="0.25">
      <c r="D692" s="7"/>
      <c r="E692" s="7"/>
    </row>
    <row r="693" spans="4:5" ht="13.2" x14ac:dyDescent="0.25">
      <c r="D693" s="7"/>
      <c r="E693" s="7"/>
    </row>
    <row r="694" spans="4:5" ht="13.2" x14ac:dyDescent="0.25">
      <c r="D694" s="7"/>
      <c r="E694" s="7"/>
    </row>
    <row r="695" spans="4:5" ht="13.2" x14ac:dyDescent="0.25">
      <c r="D695" s="7"/>
      <c r="E695" s="7"/>
    </row>
    <row r="696" spans="4:5" ht="13.2" x14ac:dyDescent="0.25">
      <c r="D696" s="7"/>
      <c r="E696" s="7"/>
    </row>
    <row r="697" spans="4:5" ht="13.2" x14ac:dyDescent="0.25">
      <c r="D697" s="7"/>
      <c r="E697" s="7"/>
    </row>
    <row r="698" spans="4:5" ht="13.2" x14ac:dyDescent="0.25">
      <c r="D698" s="7"/>
      <c r="E698" s="7"/>
    </row>
    <row r="699" spans="4:5" ht="13.2" x14ac:dyDescent="0.25">
      <c r="D699" s="7"/>
      <c r="E699" s="7"/>
    </row>
    <row r="700" spans="4:5" ht="13.2" x14ac:dyDescent="0.25">
      <c r="D700" s="7"/>
      <c r="E700" s="7"/>
    </row>
    <row r="701" spans="4:5" ht="13.2" x14ac:dyDescent="0.25">
      <c r="D701" s="7"/>
      <c r="E701" s="7"/>
    </row>
    <row r="702" spans="4:5" ht="13.2" x14ac:dyDescent="0.25">
      <c r="D702" s="7"/>
      <c r="E702" s="7"/>
    </row>
    <row r="703" spans="4:5" ht="13.2" x14ac:dyDescent="0.25">
      <c r="D703" s="7"/>
      <c r="E703" s="7"/>
    </row>
    <row r="704" spans="4:5" ht="13.2" x14ac:dyDescent="0.25">
      <c r="D704" s="7"/>
      <c r="E704" s="7"/>
    </row>
    <row r="705" spans="4:5" ht="13.2" x14ac:dyDescent="0.25">
      <c r="D705" s="7"/>
      <c r="E705" s="7"/>
    </row>
    <row r="706" spans="4:5" ht="13.2" x14ac:dyDescent="0.25">
      <c r="D706" s="7"/>
      <c r="E706" s="7"/>
    </row>
    <row r="707" spans="4:5" ht="13.2" x14ac:dyDescent="0.25">
      <c r="D707" s="7"/>
      <c r="E707" s="7"/>
    </row>
    <row r="708" spans="4:5" ht="13.2" x14ac:dyDescent="0.25">
      <c r="D708" s="7"/>
      <c r="E708" s="7"/>
    </row>
    <row r="709" spans="4:5" ht="13.2" x14ac:dyDescent="0.25">
      <c r="D709" s="7"/>
      <c r="E709" s="7"/>
    </row>
    <row r="710" spans="4:5" ht="13.2" x14ac:dyDescent="0.25">
      <c r="D710" s="7"/>
      <c r="E710" s="7"/>
    </row>
    <row r="711" spans="4:5" ht="13.2" x14ac:dyDescent="0.25">
      <c r="D711" s="7"/>
      <c r="E711" s="7"/>
    </row>
    <row r="712" spans="4:5" ht="13.2" x14ac:dyDescent="0.25">
      <c r="D712" s="7"/>
      <c r="E712" s="7"/>
    </row>
    <row r="713" spans="4:5" ht="13.2" x14ac:dyDescent="0.25">
      <c r="D713" s="7"/>
      <c r="E713" s="7"/>
    </row>
    <row r="714" spans="4:5" ht="13.2" x14ac:dyDescent="0.25">
      <c r="D714" s="7"/>
      <c r="E714" s="7"/>
    </row>
    <row r="715" spans="4:5" ht="13.2" x14ac:dyDescent="0.25">
      <c r="D715" s="7"/>
      <c r="E715" s="7"/>
    </row>
    <row r="716" spans="4:5" ht="13.2" x14ac:dyDescent="0.25">
      <c r="D716" s="7"/>
      <c r="E716" s="7"/>
    </row>
    <row r="717" spans="4:5" ht="13.2" x14ac:dyDescent="0.25">
      <c r="D717" s="7"/>
      <c r="E717" s="7"/>
    </row>
    <row r="718" spans="4:5" ht="13.2" x14ac:dyDescent="0.25">
      <c r="D718" s="7"/>
      <c r="E718" s="7"/>
    </row>
    <row r="719" spans="4:5" ht="13.2" x14ac:dyDescent="0.25">
      <c r="D719" s="7"/>
      <c r="E719" s="7"/>
    </row>
    <row r="720" spans="4:5" ht="13.2" x14ac:dyDescent="0.25">
      <c r="D720" s="7"/>
      <c r="E720" s="7"/>
    </row>
    <row r="721" spans="4:5" ht="13.2" x14ac:dyDescent="0.25">
      <c r="D721" s="7"/>
      <c r="E721" s="7"/>
    </row>
    <row r="722" spans="4:5" ht="13.2" x14ac:dyDescent="0.25">
      <c r="D722" s="7"/>
      <c r="E722" s="7"/>
    </row>
    <row r="723" spans="4:5" ht="13.2" x14ac:dyDescent="0.25">
      <c r="D723" s="7"/>
      <c r="E723" s="7"/>
    </row>
    <row r="724" spans="4:5" ht="13.2" x14ac:dyDescent="0.25">
      <c r="D724" s="7"/>
      <c r="E724" s="7"/>
    </row>
    <row r="725" spans="4:5" ht="13.2" x14ac:dyDescent="0.25">
      <c r="D725" s="7"/>
      <c r="E725" s="7"/>
    </row>
    <row r="726" spans="4:5" ht="13.2" x14ac:dyDescent="0.25">
      <c r="D726" s="7"/>
      <c r="E726" s="7"/>
    </row>
    <row r="727" spans="4:5" ht="13.2" x14ac:dyDescent="0.25">
      <c r="D727" s="7"/>
      <c r="E727" s="7"/>
    </row>
    <row r="728" spans="4:5" ht="13.2" x14ac:dyDescent="0.25">
      <c r="D728" s="7"/>
      <c r="E728" s="7"/>
    </row>
    <row r="729" spans="4:5" ht="13.2" x14ac:dyDescent="0.25">
      <c r="D729" s="7"/>
      <c r="E729" s="7"/>
    </row>
    <row r="730" spans="4:5" ht="13.2" x14ac:dyDescent="0.25">
      <c r="D730" s="7"/>
      <c r="E730" s="7"/>
    </row>
    <row r="731" spans="4:5" ht="13.2" x14ac:dyDescent="0.25">
      <c r="D731" s="7"/>
      <c r="E731" s="7"/>
    </row>
    <row r="732" spans="4:5" ht="13.2" x14ac:dyDescent="0.25">
      <c r="D732" s="7"/>
      <c r="E732" s="7"/>
    </row>
    <row r="733" spans="4:5" ht="13.2" x14ac:dyDescent="0.25">
      <c r="D733" s="7"/>
      <c r="E733" s="7"/>
    </row>
    <row r="734" spans="4:5" ht="13.2" x14ac:dyDescent="0.25">
      <c r="D734" s="7"/>
      <c r="E734" s="7"/>
    </row>
    <row r="735" spans="4:5" ht="13.2" x14ac:dyDescent="0.25">
      <c r="D735" s="7"/>
      <c r="E735" s="7"/>
    </row>
    <row r="736" spans="4:5" ht="13.2" x14ac:dyDescent="0.25">
      <c r="D736" s="7"/>
      <c r="E736" s="7"/>
    </row>
    <row r="737" spans="4:5" ht="13.2" x14ac:dyDescent="0.25">
      <c r="D737" s="7"/>
      <c r="E737" s="7"/>
    </row>
    <row r="738" spans="4:5" ht="13.2" x14ac:dyDescent="0.25">
      <c r="D738" s="7"/>
      <c r="E738" s="7"/>
    </row>
    <row r="739" spans="4:5" ht="13.2" x14ac:dyDescent="0.25">
      <c r="D739" s="7"/>
      <c r="E739" s="7"/>
    </row>
    <row r="740" spans="4:5" ht="13.2" x14ac:dyDescent="0.25">
      <c r="D740" s="7"/>
      <c r="E740" s="7"/>
    </row>
    <row r="741" spans="4:5" ht="13.2" x14ac:dyDescent="0.25">
      <c r="D741" s="7"/>
      <c r="E741" s="7"/>
    </row>
    <row r="742" spans="4:5" ht="13.2" x14ac:dyDescent="0.25">
      <c r="D742" s="7"/>
      <c r="E742" s="7"/>
    </row>
    <row r="743" spans="4:5" ht="13.2" x14ac:dyDescent="0.25">
      <c r="D743" s="7"/>
      <c r="E743" s="7"/>
    </row>
    <row r="744" spans="4:5" ht="13.2" x14ac:dyDescent="0.25">
      <c r="D744" s="7"/>
      <c r="E744" s="7"/>
    </row>
    <row r="745" spans="4:5" ht="13.2" x14ac:dyDescent="0.25">
      <c r="D745" s="7"/>
      <c r="E745" s="7"/>
    </row>
    <row r="746" spans="4:5" ht="13.2" x14ac:dyDescent="0.25">
      <c r="D746" s="7"/>
      <c r="E746" s="7"/>
    </row>
    <row r="747" spans="4:5" ht="13.2" x14ac:dyDescent="0.25">
      <c r="D747" s="7"/>
      <c r="E747" s="7"/>
    </row>
    <row r="748" spans="4:5" ht="13.2" x14ac:dyDescent="0.25">
      <c r="D748" s="7"/>
      <c r="E748" s="7"/>
    </row>
    <row r="749" spans="4:5" ht="13.2" x14ac:dyDescent="0.25">
      <c r="D749" s="7"/>
      <c r="E749" s="7"/>
    </row>
    <row r="750" spans="4:5" ht="13.2" x14ac:dyDescent="0.25">
      <c r="D750" s="7"/>
      <c r="E750" s="7"/>
    </row>
    <row r="751" spans="4:5" ht="13.2" x14ac:dyDescent="0.25">
      <c r="D751" s="7"/>
      <c r="E751" s="7"/>
    </row>
    <row r="752" spans="4:5" ht="13.2" x14ac:dyDescent="0.25">
      <c r="D752" s="7"/>
      <c r="E752" s="7"/>
    </row>
    <row r="753" spans="4:5" ht="13.2" x14ac:dyDescent="0.25">
      <c r="D753" s="7"/>
      <c r="E753" s="7"/>
    </row>
    <row r="754" spans="4:5" ht="13.2" x14ac:dyDescent="0.25">
      <c r="D754" s="7"/>
      <c r="E754" s="7"/>
    </row>
    <row r="755" spans="4:5" ht="13.2" x14ac:dyDescent="0.25">
      <c r="D755" s="7"/>
      <c r="E755" s="7"/>
    </row>
    <row r="756" spans="4:5" ht="13.2" x14ac:dyDescent="0.25">
      <c r="D756" s="7"/>
      <c r="E756" s="7"/>
    </row>
    <row r="757" spans="4:5" ht="13.2" x14ac:dyDescent="0.25">
      <c r="D757" s="7"/>
      <c r="E757" s="7"/>
    </row>
    <row r="758" spans="4:5" ht="13.2" x14ac:dyDescent="0.25">
      <c r="D758" s="7"/>
      <c r="E758" s="7"/>
    </row>
    <row r="759" spans="4:5" ht="13.2" x14ac:dyDescent="0.25">
      <c r="D759" s="7"/>
      <c r="E759" s="7"/>
    </row>
    <row r="760" spans="4:5" ht="13.2" x14ac:dyDescent="0.25">
      <c r="D760" s="7"/>
      <c r="E760" s="7"/>
    </row>
    <row r="761" spans="4:5" ht="13.2" x14ac:dyDescent="0.25">
      <c r="D761" s="7"/>
      <c r="E761" s="7"/>
    </row>
    <row r="762" spans="4:5" ht="13.2" x14ac:dyDescent="0.25">
      <c r="D762" s="7"/>
      <c r="E762" s="7"/>
    </row>
    <row r="763" spans="4:5" ht="13.2" x14ac:dyDescent="0.25">
      <c r="D763" s="7"/>
      <c r="E763" s="7"/>
    </row>
    <row r="764" spans="4:5" ht="13.2" x14ac:dyDescent="0.25">
      <c r="D764" s="7"/>
      <c r="E764" s="7"/>
    </row>
    <row r="765" spans="4:5" ht="13.2" x14ac:dyDescent="0.25">
      <c r="D765" s="7"/>
      <c r="E765" s="7"/>
    </row>
    <row r="766" spans="4:5" ht="13.2" x14ac:dyDescent="0.25">
      <c r="D766" s="7"/>
      <c r="E766" s="7"/>
    </row>
    <row r="767" spans="4:5" ht="13.2" x14ac:dyDescent="0.25">
      <c r="D767" s="7"/>
      <c r="E767" s="7"/>
    </row>
    <row r="768" spans="4:5" ht="13.2" x14ac:dyDescent="0.25">
      <c r="D768" s="7"/>
      <c r="E768" s="7"/>
    </row>
    <row r="769" spans="4:5" ht="13.2" x14ac:dyDescent="0.25">
      <c r="D769" s="7"/>
      <c r="E769" s="7"/>
    </row>
    <row r="770" spans="4:5" ht="13.2" x14ac:dyDescent="0.25">
      <c r="D770" s="7"/>
      <c r="E770" s="7"/>
    </row>
    <row r="771" spans="4:5" ht="13.2" x14ac:dyDescent="0.25">
      <c r="D771" s="7"/>
      <c r="E771" s="7"/>
    </row>
    <row r="772" spans="4:5" ht="13.2" x14ac:dyDescent="0.25">
      <c r="D772" s="7"/>
      <c r="E772" s="7"/>
    </row>
    <row r="773" spans="4:5" ht="13.2" x14ac:dyDescent="0.25">
      <c r="D773" s="7"/>
      <c r="E773" s="7"/>
    </row>
    <row r="774" spans="4:5" ht="13.2" x14ac:dyDescent="0.25">
      <c r="D774" s="7"/>
      <c r="E774" s="7"/>
    </row>
    <row r="775" spans="4:5" ht="13.2" x14ac:dyDescent="0.25">
      <c r="D775" s="7"/>
      <c r="E775" s="7"/>
    </row>
    <row r="776" spans="4:5" ht="13.2" x14ac:dyDescent="0.25">
      <c r="D776" s="7"/>
      <c r="E776" s="7"/>
    </row>
    <row r="777" spans="4:5" ht="13.2" x14ac:dyDescent="0.25">
      <c r="D777" s="7"/>
      <c r="E777" s="7"/>
    </row>
    <row r="778" spans="4:5" ht="13.2" x14ac:dyDescent="0.25">
      <c r="D778" s="7"/>
      <c r="E778" s="7"/>
    </row>
    <row r="779" spans="4:5" ht="13.2" x14ac:dyDescent="0.25">
      <c r="D779" s="7"/>
      <c r="E779" s="7"/>
    </row>
    <row r="780" spans="4:5" ht="13.2" x14ac:dyDescent="0.25">
      <c r="D780" s="7"/>
      <c r="E780" s="7"/>
    </row>
    <row r="781" spans="4:5" ht="13.2" x14ac:dyDescent="0.25">
      <c r="D781" s="7"/>
      <c r="E781" s="7"/>
    </row>
    <row r="782" spans="4:5" ht="13.2" x14ac:dyDescent="0.25">
      <c r="D782" s="7"/>
      <c r="E782" s="7"/>
    </row>
    <row r="783" spans="4:5" ht="13.2" x14ac:dyDescent="0.25">
      <c r="D783" s="7"/>
      <c r="E783" s="7"/>
    </row>
    <row r="784" spans="4:5" ht="13.2" x14ac:dyDescent="0.25">
      <c r="D784" s="7"/>
      <c r="E784" s="7"/>
    </row>
    <row r="785" spans="4:5" ht="13.2" x14ac:dyDescent="0.25">
      <c r="D785" s="7"/>
      <c r="E785" s="7"/>
    </row>
    <row r="786" spans="4:5" ht="13.2" x14ac:dyDescent="0.25">
      <c r="D786" s="7"/>
      <c r="E786" s="7"/>
    </row>
    <row r="787" spans="4:5" ht="13.2" x14ac:dyDescent="0.25">
      <c r="D787" s="7"/>
      <c r="E787" s="7"/>
    </row>
    <row r="788" spans="4:5" ht="13.2" x14ac:dyDescent="0.25">
      <c r="D788" s="7"/>
      <c r="E788" s="7"/>
    </row>
    <row r="789" spans="4:5" ht="13.2" x14ac:dyDescent="0.25">
      <c r="D789" s="7"/>
      <c r="E789" s="7"/>
    </row>
    <row r="790" spans="4:5" ht="13.2" x14ac:dyDescent="0.25">
      <c r="D790" s="7"/>
      <c r="E790" s="7"/>
    </row>
    <row r="791" spans="4:5" ht="13.2" x14ac:dyDescent="0.25">
      <c r="D791" s="7"/>
      <c r="E791" s="7"/>
    </row>
    <row r="792" spans="4:5" ht="13.2" x14ac:dyDescent="0.25">
      <c r="D792" s="7"/>
      <c r="E792" s="7"/>
    </row>
    <row r="793" spans="4:5" ht="13.2" x14ac:dyDescent="0.25">
      <c r="D793" s="7"/>
      <c r="E793" s="7"/>
    </row>
    <row r="794" spans="4:5" ht="13.2" x14ac:dyDescent="0.25">
      <c r="D794" s="7"/>
      <c r="E794" s="7"/>
    </row>
    <row r="795" spans="4:5" ht="13.2" x14ac:dyDescent="0.25">
      <c r="D795" s="7"/>
      <c r="E795" s="7"/>
    </row>
    <row r="796" spans="4:5" ht="13.2" x14ac:dyDescent="0.25">
      <c r="D796" s="7"/>
      <c r="E796" s="7"/>
    </row>
    <row r="797" spans="4:5" ht="13.2" x14ac:dyDescent="0.25">
      <c r="D797" s="7"/>
      <c r="E797" s="7"/>
    </row>
    <row r="798" spans="4:5" ht="13.2" x14ac:dyDescent="0.25">
      <c r="D798" s="7"/>
      <c r="E798" s="7"/>
    </row>
    <row r="799" spans="4:5" ht="13.2" x14ac:dyDescent="0.25">
      <c r="D799" s="7"/>
      <c r="E799" s="7"/>
    </row>
    <row r="800" spans="4:5" ht="13.2" x14ac:dyDescent="0.25">
      <c r="D800" s="7"/>
      <c r="E800" s="7"/>
    </row>
    <row r="801" spans="4:5" ht="13.2" x14ac:dyDescent="0.25">
      <c r="D801" s="7"/>
      <c r="E801" s="7"/>
    </row>
    <row r="802" spans="4:5" ht="13.2" x14ac:dyDescent="0.25">
      <c r="D802" s="7"/>
      <c r="E802" s="7"/>
    </row>
    <row r="803" spans="4:5" ht="13.2" x14ac:dyDescent="0.25">
      <c r="D803" s="7"/>
      <c r="E803" s="7"/>
    </row>
    <row r="804" spans="4:5" ht="13.2" x14ac:dyDescent="0.25">
      <c r="D804" s="7"/>
      <c r="E804" s="7"/>
    </row>
    <row r="805" spans="4:5" ht="13.2" x14ac:dyDescent="0.25">
      <c r="D805" s="7"/>
      <c r="E805" s="7"/>
    </row>
    <row r="806" spans="4:5" ht="13.2" x14ac:dyDescent="0.25">
      <c r="D806" s="7"/>
      <c r="E806" s="7"/>
    </row>
    <row r="807" spans="4:5" ht="13.2" x14ac:dyDescent="0.25">
      <c r="D807" s="7"/>
      <c r="E807" s="7"/>
    </row>
    <row r="808" spans="4:5" ht="13.2" x14ac:dyDescent="0.25">
      <c r="D808" s="7"/>
      <c r="E808" s="7"/>
    </row>
    <row r="809" spans="4:5" ht="13.2" x14ac:dyDescent="0.25">
      <c r="D809" s="7"/>
      <c r="E809" s="7"/>
    </row>
    <row r="810" spans="4:5" ht="13.2" x14ac:dyDescent="0.25">
      <c r="D810" s="7"/>
      <c r="E810" s="7"/>
    </row>
    <row r="811" spans="4:5" ht="13.2" x14ac:dyDescent="0.25">
      <c r="D811" s="7"/>
      <c r="E811" s="7"/>
    </row>
    <row r="812" spans="4:5" ht="13.2" x14ac:dyDescent="0.25">
      <c r="D812" s="7"/>
      <c r="E812" s="7"/>
    </row>
    <row r="813" spans="4:5" ht="13.2" x14ac:dyDescent="0.25">
      <c r="D813" s="7"/>
      <c r="E813" s="7"/>
    </row>
    <row r="814" spans="4:5" ht="13.2" x14ac:dyDescent="0.25">
      <c r="D814" s="7"/>
      <c r="E814" s="7"/>
    </row>
    <row r="815" spans="4:5" ht="13.2" x14ac:dyDescent="0.25">
      <c r="D815" s="7"/>
      <c r="E815" s="7"/>
    </row>
    <row r="816" spans="4:5" ht="13.2" x14ac:dyDescent="0.25">
      <c r="D816" s="7"/>
      <c r="E816" s="7"/>
    </row>
    <row r="817" spans="4:5" ht="13.2" x14ac:dyDescent="0.25">
      <c r="D817" s="7"/>
      <c r="E817" s="7"/>
    </row>
    <row r="818" spans="4:5" ht="13.2" x14ac:dyDescent="0.25">
      <c r="D818" s="7"/>
      <c r="E818" s="7"/>
    </row>
    <row r="819" spans="4:5" ht="13.2" x14ac:dyDescent="0.25">
      <c r="D819" s="7"/>
      <c r="E819" s="7"/>
    </row>
    <row r="820" spans="4:5" ht="13.2" x14ac:dyDescent="0.25">
      <c r="D820" s="7"/>
      <c r="E820" s="7"/>
    </row>
    <row r="821" spans="4:5" ht="13.2" x14ac:dyDescent="0.25">
      <c r="D821" s="7"/>
      <c r="E821" s="7"/>
    </row>
    <row r="822" spans="4:5" ht="13.2" x14ac:dyDescent="0.25">
      <c r="D822" s="7"/>
      <c r="E822" s="7"/>
    </row>
    <row r="823" spans="4:5" ht="13.2" x14ac:dyDescent="0.25">
      <c r="D823" s="7"/>
      <c r="E823" s="7"/>
    </row>
    <row r="824" spans="4:5" ht="13.2" x14ac:dyDescent="0.25">
      <c r="D824" s="7"/>
      <c r="E824" s="7"/>
    </row>
    <row r="825" spans="4:5" ht="13.2" x14ac:dyDescent="0.25">
      <c r="D825" s="7"/>
      <c r="E825" s="7"/>
    </row>
    <row r="826" spans="4:5" ht="13.2" x14ac:dyDescent="0.25">
      <c r="D826" s="7"/>
      <c r="E826" s="7"/>
    </row>
    <row r="827" spans="4:5" ht="13.2" x14ac:dyDescent="0.25">
      <c r="D827" s="7"/>
      <c r="E827" s="7"/>
    </row>
    <row r="828" spans="4:5" ht="13.2" x14ac:dyDescent="0.25">
      <c r="D828" s="7"/>
      <c r="E828" s="7"/>
    </row>
    <row r="829" spans="4:5" ht="13.2" x14ac:dyDescent="0.25">
      <c r="D829" s="7"/>
      <c r="E829" s="7"/>
    </row>
    <row r="830" spans="4:5" ht="13.2" x14ac:dyDescent="0.25">
      <c r="D830" s="7"/>
      <c r="E830" s="7"/>
    </row>
    <row r="831" spans="4:5" ht="13.2" x14ac:dyDescent="0.25">
      <c r="D831" s="7"/>
      <c r="E831" s="7"/>
    </row>
    <row r="832" spans="4:5" ht="13.2" x14ac:dyDescent="0.25">
      <c r="D832" s="7"/>
      <c r="E832" s="7"/>
    </row>
    <row r="833" spans="4:5" ht="13.2" x14ac:dyDescent="0.25">
      <c r="D833" s="7"/>
      <c r="E833" s="7"/>
    </row>
    <row r="834" spans="4:5" ht="13.2" x14ac:dyDescent="0.25">
      <c r="D834" s="7"/>
      <c r="E834" s="7"/>
    </row>
    <row r="835" spans="4:5" ht="13.2" x14ac:dyDescent="0.25">
      <c r="D835" s="7"/>
      <c r="E835" s="7"/>
    </row>
    <row r="836" spans="4:5" ht="13.2" x14ac:dyDescent="0.25">
      <c r="D836" s="7"/>
      <c r="E836" s="7"/>
    </row>
    <row r="837" spans="4:5" ht="13.2" x14ac:dyDescent="0.25">
      <c r="D837" s="7"/>
      <c r="E837" s="7"/>
    </row>
    <row r="838" spans="4:5" ht="13.2" x14ac:dyDescent="0.25">
      <c r="D838" s="7"/>
      <c r="E838" s="7"/>
    </row>
    <row r="839" spans="4:5" ht="13.2" x14ac:dyDescent="0.25">
      <c r="D839" s="7"/>
      <c r="E839" s="7"/>
    </row>
    <row r="840" spans="4:5" ht="13.2" x14ac:dyDescent="0.25">
      <c r="D840" s="7"/>
      <c r="E840" s="7"/>
    </row>
    <row r="841" spans="4:5" ht="13.2" x14ac:dyDescent="0.25">
      <c r="D841" s="7"/>
      <c r="E841" s="7"/>
    </row>
    <row r="842" spans="4:5" ht="13.2" x14ac:dyDescent="0.25">
      <c r="D842" s="7"/>
      <c r="E842" s="7"/>
    </row>
    <row r="843" spans="4:5" ht="13.2" x14ac:dyDescent="0.25">
      <c r="D843" s="7"/>
      <c r="E843" s="7"/>
    </row>
    <row r="844" spans="4:5" ht="13.2" x14ac:dyDescent="0.25">
      <c r="D844" s="7"/>
      <c r="E844" s="7"/>
    </row>
    <row r="845" spans="4:5" ht="13.2" x14ac:dyDescent="0.25">
      <c r="D845" s="7"/>
      <c r="E845" s="7"/>
    </row>
    <row r="846" spans="4:5" ht="13.2" x14ac:dyDescent="0.25">
      <c r="D846" s="7"/>
      <c r="E846" s="7"/>
    </row>
    <row r="847" spans="4:5" ht="13.2" x14ac:dyDescent="0.25">
      <c r="D847" s="7"/>
      <c r="E847" s="7"/>
    </row>
    <row r="848" spans="4:5" ht="13.2" x14ac:dyDescent="0.25">
      <c r="D848" s="7"/>
      <c r="E848" s="7"/>
    </row>
    <row r="849" spans="4:5" ht="13.2" x14ac:dyDescent="0.25">
      <c r="D849" s="7"/>
      <c r="E849" s="7"/>
    </row>
    <row r="850" spans="4:5" ht="13.2" x14ac:dyDescent="0.25">
      <c r="D850" s="7"/>
      <c r="E850" s="7"/>
    </row>
    <row r="851" spans="4:5" ht="13.2" x14ac:dyDescent="0.25">
      <c r="D851" s="7"/>
      <c r="E851" s="7"/>
    </row>
    <row r="852" spans="4:5" ht="13.2" x14ac:dyDescent="0.25">
      <c r="D852" s="7"/>
      <c r="E852" s="7"/>
    </row>
    <row r="853" spans="4:5" ht="13.2" x14ac:dyDescent="0.25">
      <c r="D853" s="7"/>
      <c r="E853" s="7"/>
    </row>
    <row r="854" spans="4:5" ht="13.2" x14ac:dyDescent="0.25">
      <c r="D854" s="7"/>
      <c r="E854" s="7"/>
    </row>
    <row r="855" spans="4:5" ht="13.2" x14ac:dyDescent="0.25">
      <c r="D855" s="7"/>
      <c r="E855" s="7"/>
    </row>
    <row r="856" spans="4:5" ht="13.2" x14ac:dyDescent="0.25">
      <c r="D856" s="7"/>
      <c r="E856" s="7"/>
    </row>
    <row r="857" spans="4:5" ht="13.2" x14ac:dyDescent="0.25">
      <c r="D857" s="7"/>
      <c r="E857" s="7"/>
    </row>
    <row r="858" spans="4:5" ht="13.2" x14ac:dyDescent="0.25">
      <c r="D858" s="7"/>
      <c r="E858" s="7"/>
    </row>
    <row r="859" spans="4:5" ht="13.2" x14ac:dyDescent="0.25">
      <c r="D859" s="7"/>
      <c r="E859" s="7"/>
    </row>
    <row r="860" spans="4:5" ht="13.2" x14ac:dyDescent="0.25">
      <c r="D860" s="7"/>
      <c r="E860" s="7"/>
    </row>
    <row r="861" spans="4:5" ht="13.2" x14ac:dyDescent="0.25">
      <c r="D861" s="7"/>
      <c r="E861" s="7"/>
    </row>
    <row r="862" spans="4:5" ht="13.2" x14ac:dyDescent="0.25">
      <c r="D862" s="7"/>
      <c r="E862" s="7"/>
    </row>
    <row r="863" spans="4:5" ht="13.2" x14ac:dyDescent="0.25">
      <c r="D863" s="7"/>
      <c r="E863" s="7"/>
    </row>
    <row r="864" spans="4:5" ht="13.2" x14ac:dyDescent="0.25">
      <c r="D864" s="7"/>
      <c r="E864" s="7"/>
    </row>
    <row r="865" spans="4:5" ht="13.2" x14ac:dyDescent="0.25">
      <c r="D865" s="7"/>
      <c r="E865" s="7"/>
    </row>
    <row r="866" spans="4:5" ht="13.2" x14ac:dyDescent="0.25">
      <c r="D866" s="7"/>
      <c r="E866" s="7"/>
    </row>
    <row r="867" spans="4:5" ht="13.2" x14ac:dyDescent="0.25">
      <c r="D867" s="7"/>
      <c r="E867" s="7"/>
    </row>
    <row r="868" spans="4:5" ht="13.2" x14ac:dyDescent="0.25">
      <c r="D868" s="7"/>
      <c r="E868" s="7"/>
    </row>
    <row r="869" spans="4:5" ht="13.2" x14ac:dyDescent="0.25">
      <c r="D869" s="7"/>
      <c r="E869" s="7"/>
    </row>
    <row r="870" spans="4:5" ht="13.2" x14ac:dyDescent="0.25">
      <c r="D870" s="7"/>
      <c r="E870" s="7"/>
    </row>
    <row r="871" spans="4:5" ht="13.2" x14ac:dyDescent="0.25">
      <c r="D871" s="7"/>
      <c r="E871" s="7"/>
    </row>
    <row r="872" spans="4:5" ht="13.2" x14ac:dyDescent="0.25">
      <c r="D872" s="7"/>
      <c r="E872" s="7"/>
    </row>
    <row r="873" spans="4:5" ht="13.2" x14ac:dyDescent="0.25">
      <c r="D873" s="7"/>
      <c r="E873" s="7"/>
    </row>
    <row r="874" spans="4:5" ht="13.2" x14ac:dyDescent="0.25">
      <c r="D874" s="7"/>
      <c r="E874" s="7"/>
    </row>
    <row r="875" spans="4:5" ht="13.2" x14ac:dyDescent="0.25">
      <c r="D875" s="7"/>
      <c r="E875" s="7"/>
    </row>
    <row r="876" spans="4:5" ht="13.2" x14ac:dyDescent="0.25">
      <c r="D876" s="7"/>
      <c r="E876" s="7"/>
    </row>
    <row r="877" spans="4:5" ht="13.2" x14ac:dyDescent="0.25">
      <c r="D877" s="7"/>
      <c r="E877" s="7"/>
    </row>
    <row r="878" spans="4:5" ht="13.2" x14ac:dyDescent="0.25">
      <c r="D878" s="7"/>
      <c r="E878" s="7"/>
    </row>
    <row r="879" spans="4:5" ht="13.2" x14ac:dyDescent="0.25">
      <c r="D879" s="7"/>
      <c r="E879" s="7"/>
    </row>
    <row r="880" spans="4:5" ht="13.2" x14ac:dyDescent="0.25">
      <c r="D880" s="7"/>
      <c r="E880" s="7"/>
    </row>
    <row r="881" spans="4:5" ht="13.2" x14ac:dyDescent="0.25">
      <c r="D881" s="7"/>
      <c r="E881" s="7"/>
    </row>
    <row r="882" spans="4:5" ht="13.2" x14ac:dyDescent="0.25">
      <c r="D882" s="7"/>
      <c r="E882" s="7"/>
    </row>
    <row r="883" spans="4:5" ht="13.2" x14ac:dyDescent="0.25">
      <c r="D883" s="7"/>
      <c r="E883" s="7"/>
    </row>
    <row r="884" spans="4:5" ht="13.2" x14ac:dyDescent="0.25">
      <c r="D884" s="7"/>
      <c r="E884" s="7"/>
    </row>
    <row r="885" spans="4:5" ht="13.2" x14ac:dyDescent="0.25">
      <c r="D885" s="7"/>
      <c r="E885" s="7"/>
    </row>
    <row r="886" spans="4:5" ht="13.2" x14ac:dyDescent="0.25">
      <c r="D886" s="7"/>
      <c r="E886" s="7"/>
    </row>
    <row r="887" spans="4:5" ht="13.2" x14ac:dyDescent="0.25">
      <c r="D887" s="7"/>
      <c r="E887" s="7"/>
    </row>
    <row r="888" spans="4:5" ht="13.2" x14ac:dyDescent="0.25">
      <c r="D888" s="7"/>
      <c r="E888" s="7"/>
    </row>
    <row r="889" spans="4:5" ht="13.2" x14ac:dyDescent="0.25">
      <c r="D889" s="7"/>
      <c r="E889" s="7"/>
    </row>
    <row r="890" spans="4:5" ht="13.2" x14ac:dyDescent="0.25">
      <c r="D890" s="7"/>
      <c r="E890" s="7"/>
    </row>
    <row r="891" spans="4:5" ht="13.2" x14ac:dyDescent="0.25">
      <c r="D891" s="7"/>
      <c r="E891" s="7"/>
    </row>
    <row r="892" spans="4:5" ht="13.2" x14ac:dyDescent="0.25">
      <c r="D892" s="7"/>
      <c r="E892" s="7"/>
    </row>
    <row r="893" spans="4:5" ht="13.2" x14ac:dyDescent="0.25">
      <c r="D893" s="7"/>
      <c r="E893" s="7"/>
    </row>
    <row r="894" spans="4:5" ht="13.2" x14ac:dyDescent="0.25">
      <c r="D894" s="7"/>
      <c r="E894" s="7"/>
    </row>
    <row r="895" spans="4:5" ht="13.2" x14ac:dyDescent="0.25">
      <c r="D895" s="7"/>
      <c r="E895" s="7"/>
    </row>
    <row r="896" spans="4:5" ht="13.2" x14ac:dyDescent="0.25">
      <c r="D896" s="7"/>
      <c r="E896" s="7"/>
    </row>
    <row r="897" spans="4:5" ht="13.2" x14ac:dyDescent="0.25">
      <c r="D897" s="7"/>
      <c r="E897" s="7"/>
    </row>
    <row r="898" spans="4:5" ht="13.2" x14ac:dyDescent="0.25">
      <c r="D898" s="7"/>
      <c r="E898" s="7"/>
    </row>
    <row r="899" spans="4:5" ht="13.2" x14ac:dyDescent="0.25">
      <c r="D899" s="7"/>
      <c r="E899" s="7"/>
    </row>
    <row r="900" spans="4:5" ht="13.2" x14ac:dyDescent="0.25">
      <c r="D900" s="7"/>
      <c r="E900" s="7"/>
    </row>
    <row r="901" spans="4:5" ht="13.2" x14ac:dyDescent="0.25">
      <c r="D901" s="7"/>
      <c r="E901" s="7"/>
    </row>
    <row r="902" spans="4:5" ht="13.2" x14ac:dyDescent="0.25">
      <c r="D902" s="7"/>
      <c r="E902" s="7"/>
    </row>
    <row r="903" spans="4:5" ht="13.2" x14ac:dyDescent="0.25">
      <c r="D903" s="7"/>
      <c r="E903" s="7"/>
    </row>
    <row r="904" spans="4:5" ht="13.2" x14ac:dyDescent="0.25">
      <c r="D904" s="7"/>
      <c r="E904" s="7"/>
    </row>
    <row r="905" spans="4:5" ht="13.2" x14ac:dyDescent="0.25">
      <c r="D905" s="7"/>
      <c r="E905" s="7"/>
    </row>
    <row r="906" spans="4:5" ht="13.2" x14ac:dyDescent="0.25">
      <c r="D906" s="7"/>
      <c r="E906" s="7"/>
    </row>
    <row r="907" spans="4:5" ht="13.2" x14ac:dyDescent="0.25">
      <c r="D907" s="7"/>
      <c r="E907" s="7"/>
    </row>
    <row r="908" spans="4:5" ht="13.2" x14ac:dyDescent="0.25">
      <c r="D908" s="7"/>
      <c r="E908" s="7"/>
    </row>
    <row r="909" spans="4:5" ht="13.2" x14ac:dyDescent="0.25">
      <c r="D909" s="7"/>
      <c r="E909" s="7"/>
    </row>
    <row r="910" spans="4:5" ht="13.2" x14ac:dyDescent="0.25">
      <c r="D910" s="7"/>
      <c r="E910" s="7"/>
    </row>
    <row r="911" spans="4:5" ht="13.2" x14ac:dyDescent="0.25">
      <c r="D911" s="7"/>
      <c r="E911" s="7"/>
    </row>
    <row r="912" spans="4:5" ht="13.2" x14ac:dyDescent="0.25">
      <c r="D912" s="7"/>
      <c r="E912" s="7"/>
    </row>
    <row r="913" spans="4:5" ht="13.2" x14ac:dyDescent="0.25">
      <c r="D913" s="7"/>
      <c r="E913" s="7"/>
    </row>
    <row r="914" spans="4:5" ht="13.2" x14ac:dyDescent="0.25">
      <c r="D914" s="7"/>
      <c r="E914" s="7"/>
    </row>
    <row r="915" spans="4:5" ht="13.2" x14ac:dyDescent="0.25">
      <c r="D915" s="7"/>
      <c r="E915" s="7"/>
    </row>
    <row r="916" spans="4:5" ht="13.2" x14ac:dyDescent="0.25">
      <c r="D916" s="7"/>
      <c r="E916" s="7"/>
    </row>
    <row r="917" spans="4:5" ht="13.2" x14ac:dyDescent="0.25">
      <c r="D917" s="7"/>
      <c r="E917" s="7"/>
    </row>
    <row r="918" spans="4:5" ht="13.2" x14ac:dyDescent="0.25">
      <c r="D918" s="7"/>
      <c r="E918" s="7"/>
    </row>
    <row r="919" spans="4:5" ht="13.2" x14ac:dyDescent="0.25">
      <c r="D919" s="7"/>
      <c r="E919" s="7"/>
    </row>
    <row r="920" spans="4:5" ht="13.2" x14ac:dyDescent="0.25">
      <c r="D920" s="7"/>
      <c r="E920" s="7"/>
    </row>
    <row r="921" spans="4:5" ht="13.2" x14ac:dyDescent="0.25">
      <c r="D921" s="7"/>
      <c r="E921" s="7"/>
    </row>
    <row r="922" spans="4:5" ht="13.2" x14ac:dyDescent="0.25">
      <c r="D922" s="7"/>
      <c r="E922" s="7"/>
    </row>
    <row r="923" spans="4:5" ht="13.2" x14ac:dyDescent="0.25">
      <c r="D923" s="7"/>
      <c r="E923" s="7"/>
    </row>
    <row r="924" spans="4:5" ht="13.2" x14ac:dyDescent="0.25">
      <c r="D924" s="7"/>
      <c r="E924" s="7"/>
    </row>
    <row r="925" spans="4:5" ht="13.2" x14ac:dyDescent="0.25">
      <c r="D925" s="7"/>
      <c r="E925" s="7"/>
    </row>
    <row r="926" spans="4:5" ht="13.2" x14ac:dyDescent="0.25">
      <c r="D926" s="7"/>
      <c r="E926" s="7"/>
    </row>
    <row r="927" spans="4:5" ht="13.2" x14ac:dyDescent="0.25">
      <c r="D927" s="7"/>
      <c r="E927" s="7"/>
    </row>
    <row r="928" spans="4:5" ht="13.2" x14ac:dyDescent="0.25">
      <c r="D928" s="7"/>
      <c r="E928" s="7"/>
    </row>
    <row r="929" spans="4:5" ht="13.2" x14ac:dyDescent="0.25">
      <c r="D929" s="7"/>
      <c r="E929" s="7"/>
    </row>
    <row r="930" spans="4:5" ht="13.2" x14ac:dyDescent="0.25">
      <c r="D930" s="7"/>
      <c r="E930" s="7"/>
    </row>
    <row r="931" spans="4:5" ht="13.2" x14ac:dyDescent="0.25">
      <c r="D931" s="7"/>
      <c r="E931" s="7"/>
    </row>
    <row r="932" spans="4:5" ht="13.2" x14ac:dyDescent="0.25">
      <c r="D932" s="7"/>
      <c r="E932" s="7"/>
    </row>
    <row r="933" spans="4:5" ht="13.2" x14ac:dyDescent="0.25">
      <c r="D933" s="7"/>
      <c r="E933" s="7"/>
    </row>
    <row r="934" spans="4:5" ht="13.2" x14ac:dyDescent="0.25">
      <c r="D934" s="7"/>
      <c r="E934" s="7"/>
    </row>
    <row r="935" spans="4:5" ht="13.2" x14ac:dyDescent="0.25">
      <c r="D935" s="7"/>
      <c r="E935" s="7"/>
    </row>
    <row r="936" spans="4:5" ht="13.2" x14ac:dyDescent="0.25">
      <c r="D936" s="7"/>
      <c r="E936" s="7"/>
    </row>
    <row r="937" spans="4:5" ht="13.2" x14ac:dyDescent="0.25">
      <c r="D937" s="7"/>
      <c r="E937" s="7"/>
    </row>
    <row r="938" spans="4:5" ht="13.2" x14ac:dyDescent="0.25">
      <c r="D938" s="7"/>
      <c r="E938" s="7"/>
    </row>
    <row r="939" spans="4:5" ht="13.2" x14ac:dyDescent="0.25">
      <c r="D939" s="7"/>
      <c r="E939" s="7"/>
    </row>
    <row r="940" spans="4:5" ht="13.2" x14ac:dyDescent="0.25">
      <c r="D940" s="7"/>
      <c r="E940" s="7"/>
    </row>
    <row r="941" spans="4:5" ht="13.2" x14ac:dyDescent="0.25">
      <c r="D941" s="7"/>
      <c r="E941" s="7"/>
    </row>
    <row r="942" spans="4:5" ht="13.2" x14ac:dyDescent="0.25">
      <c r="D942" s="7"/>
      <c r="E942" s="7"/>
    </row>
    <row r="943" spans="4:5" ht="13.2" x14ac:dyDescent="0.25">
      <c r="D943" s="7"/>
      <c r="E943" s="7"/>
    </row>
    <row r="944" spans="4:5" ht="13.2" x14ac:dyDescent="0.25">
      <c r="D944" s="7"/>
      <c r="E944" s="7"/>
    </row>
    <row r="945" spans="4:5" ht="13.2" x14ac:dyDescent="0.25">
      <c r="D945" s="7"/>
      <c r="E945" s="7"/>
    </row>
    <row r="946" spans="4:5" ht="13.2" x14ac:dyDescent="0.25">
      <c r="D946" s="7"/>
      <c r="E946" s="7"/>
    </row>
    <row r="947" spans="4:5" ht="13.2" x14ac:dyDescent="0.25">
      <c r="D947" s="7"/>
      <c r="E947" s="7"/>
    </row>
    <row r="948" spans="4:5" ht="13.2" x14ac:dyDescent="0.25">
      <c r="D948" s="7"/>
      <c r="E948" s="7"/>
    </row>
    <row r="949" spans="4:5" ht="13.2" x14ac:dyDescent="0.25">
      <c r="D949" s="7"/>
      <c r="E949" s="7"/>
    </row>
    <row r="950" spans="4:5" ht="13.2" x14ac:dyDescent="0.25">
      <c r="D950" s="7"/>
      <c r="E950" s="7"/>
    </row>
    <row r="951" spans="4:5" ht="13.2" x14ac:dyDescent="0.25">
      <c r="D951" s="7"/>
      <c r="E951" s="7"/>
    </row>
    <row r="952" spans="4:5" ht="13.2" x14ac:dyDescent="0.25">
      <c r="D952" s="7"/>
      <c r="E952" s="7"/>
    </row>
    <row r="953" spans="4:5" ht="13.2" x14ac:dyDescent="0.25">
      <c r="D953" s="7"/>
      <c r="E953" s="7"/>
    </row>
    <row r="954" spans="4:5" ht="13.2" x14ac:dyDescent="0.25">
      <c r="D954" s="7"/>
      <c r="E954" s="7"/>
    </row>
    <row r="955" spans="4:5" ht="13.2" x14ac:dyDescent="0.25">
      <c r="D955" s="7"/>
      <c r="E955" s="7"/>
    </row>
    <row r="956" spans="4:5" ht="13.2" x14ac:dyDescent="0.25">
      <c r="D956" s="7"/>
      <c r="E956" s="7"/>
    </row>
    <row r="957" spans="4:5" ht="13.2" x14ac:dyDescent="0.25">
      <c r="D957" s="7"/>
      <c r="E957" s="7"/>
    </row>
    <row r="958" spans="4:5" ht="13.2" x14ac:dyDescent="0.25">
      <c r="D958" s="7"/>
      <c r="E958" s="7"/>
    </row>
    <row r="959" spans="4:5" ht="13.2" x14ac:dyDescent="0.25">
      <c r="D959" s="7"/>
      <c r="E959" s="7"/>
    </row>
    <row r="960" spans="4:5" ht="13.2" x14ac:dyDescent="0.25">
      <c r="D960" s="7"/>
      <c r="E960" s="7"/>
    </row>
    <row r="961" spans="4:5" ht="13.2" x14ac:dyDescent="0.25">
      <c r="D961" s="7"/>
      <c r="E961" s="7"/>
    </row>
    <row r="962" spans="4:5" ht="13.2" x14ac:dyDescent="0.25">
      <c r="D962" s="7"/>
      <c r="E962" s="7"/>
    </row>
    <row r="963" spans="4:5" ht="13.2" x14ac:dyDescent="0.25">
      <c r="D963" s="7"/>
      <c r="E963" s="7"/>
    </row>
    <row r="964" spans="4:5" ht="13.2" x14ac:dyDescent="0.25">
      <c r="D964" s="7"/>
      <c r="E964" s="7"/>
    </row>
    <row r="965" spans="4:5" ht="13.2" x14ac:dyDescent="0.25">
      <c r="D965" s="7"/>
      <c r="E965" s="7"/>
    </row>
    <row r="966" spans="4:5" ht="13.2" x14ac:dyDescent="0.25">
      <c r="D966" s="7"/>
      <c r="E966" s="7"/>
    </row>
    <row r="967" spans="4:5" ht="13.2" x14ac:dyDescent="0.25">
      <c r="D967" s="7"/>
      <c r="E967" s="7"/>
    </row>
    <row r="968" spans="4:5" ht="13.2" x14ac:dyDescent="0.25">
      <c r="D968" s="7"/>
      <c r="E968" s="7"/>
    </row>
    <row r="969" spans="4:5" ht="13.2" x14ac:dyDescent="0.25">
      <c r="D969" s="7"/>
      <c r="E969" s="7"/>
    </row>
    <row r="970" spans="4:5" ht="13.2" x14ac:dyDescent="0.25">
      <c r="D970" s="7"/>
      <c r="E970" s="7"/>
    </row>
    <row r="971" spans="4:5" ht="13.2" x14ac:dyDescent="0.25">
      <c r="D971" s="7"/>
      <c r="E971" s="7"/>
    </row>
    <row r="972" spans="4:5" ht="13.2" x14ac:dyDescent="0.25">
      <c r="D972" s="7"/>
      <c r="E972" s="7"/>
    </row>
    <row r="973" spans="4:5" ht="13.2" x14ac:dyDescent="0.25">
      <c r="D973" s="7"/>
      <c r="E973" s="7"/>
    </row>
    <row r="974" spans="4:5" ht="13.2" x14ac:dyDescent="0.25">
      <c r="D974" s="7"/>
      <c r="E974" s="7"/>
    </row>
    <row r="975" spans="4:5" ht="13.2" x14ac:dyDescent="0.25">
      <c r="D975" s="7"/>
      <c r="E975" s="7"/>
    </row>
    <row r="976" spans="4:5" ht="13.2" x14ac:dyDescent="0.25">
      <c r="D976" s="7"/>
      <c r="E976" s="7"/>
    </row>
    <row r="977" spans="4:5" ht="13.2" x14ac:dyDescent="0.25">
      <c r="D977" s="7"/>
      <c r="E977" s="7"/>
    </row>
    <row r="978" spans="4:5" ht="13.2" x14ac:dyDescent="0.25">
      <c r="D978" s="7"/>
      <c r="E978" s="7"/>
    </row>
    <row r="979" spans="4:5" ht="13.2" x14ac:dyDescent="0.25">
      <c r="D979" s="7"/>
      <c r="E979" s="7"/>
    </row>
    <row r="980" spans="4:5" ht="13.2" x14ac:dyDescent="0.25">
      <c r="D980" s="7"/>
      <c r="E980" s="7"/>
    </row>
    <row r="981" spans="4:5" ht="13.2" x14ac:dyDescent="0.25">
      <c r="D981" s="7"/>
      <c r="E981" s="7"/>
    </row>
    <row r="982" spans="4:5" ht="13.2" x14ac:dyDescent="0.25">
      <c r="D982" s="7"/>
      <c r="E982" s="7"/>
    </row>
    <row r="983" spans="4:5" ht="13.2" x14ac:dyDescent="0.25">
      <c r="D983" s="7"/>
      <c r="E983" s="7"/>
    </row>
    <row r="984" spans="4:5" ht="13.2" x14ac:dyDescent="0.25">
      <c r="D984" s="7"/>
      <c r="E984" s="7"/>
    </row>
    <row r="985" spans="4:5" ht="13.2" x14ac:dyDescent="0.25">
      <c r="D985" s="7"/>
      <c r="E985" s="7"/>
    </row>
    <row r="986" spans="4:5" ht="13.2" x14ac:dyDescent="0.25">
      <c r="D986" s="7"/>
      <c r="E986" s="7"/>
    </row>
    <row r="987" spans="4:5" ht="13.2" x14ac:dyDescent="0.25">
      <c r="D987" s="7"/>
      <c r="E987" s="7"/>
    </row>
    <row r="988" spans="4:5" ht="13.2" x14ac:dyDescent="0.25">
      <c r="D988" s="7"/>
      <c r="E988" s="7"/>
    </row>
    <row r="989" spans="4:5" ht="13.2" x14ac:dyDescent="0.25">
      <c r="D989" s="7"/>
      <c r="E989" s="7"/>
    </row>
    <row r="990" spans="4:5" ht="13.2" x14ac:dyDescent="0.25">
      <c r="D990" s="7"/>
      <c r="E990" s="7"/>
    </row>
    <row r="991" spans="4:5" ht="13.2" x14ac:dyDescent="0.25">
      <c r="D991" s="7"/>
      <c r="E991" s="7"/>
    </row>
    <row r="992" spans="4:5" ht="13.2" x14ac:dyDescent="0.25">
      <c r="D992" s="7"/>
      <c r="E992" s="7"/>
    </row>
    <row r="993" spans="4:5" ht="13.2" x14ac:dyDescent="0.25">
      <c r="D993" s="7"/>
      <c r="E993" s="7"/>
    </row>
    <row r="994" spans="4:5" ht="13.2" x14ac:dyDescent="0.25">
      <c r="D994" s="7"/>
      <c r="E994" s="7"/>
    </row>
    <row r="995" spans="4:5" ht="13.2" x14ac:dyDescent="0.25">
      <c r="D995" s="7"/>
      <c r="E995" s="7"/>
    </row>
    <row r="996" spans="4:5" ht="13.2" x14ac:dyDescent="0.25">
      <c r="D996" s="7"/>
      <c r="E996" s="7"/>
    </row>
    <row r="997" spans="4:5" ht="13.2" x14ac:dyDescent="0.25">
      <c r="D997" s="7"/>
      <c r="E997" s="7"/>
    </row>
    <row r="998" spans="4:5" ht="13.2" x14ac:dyDescent="0.25">
      <c r="D998" s="7"/>
      <c r="E998" s="7"/>
    </row>
    <row r="999" spans="4:5" ht="13.2" x14ac:dyDescent="0.25">
      <c r="D999" s="7"/>
      <c r="E999" s="7"/>
    </row>
    <row r="1000" spans="4:5" ht="13.2" x14ac:dyDescent="0.25">
      <c r="D1000" s="7"/>
      <c r="E1000" s="7"/>
    </row>
    <row r="1001" spans="4:5" ht="13.2" x14ac:dyDescent="0.25">
      <c r="D1001" s="7"/>
      <c r="E1001" s="7"/>
    </row>
    <row r="1002" spans="4:5" ht="13.2" x14ac:dyDescent="0.25">
      <c r="D1002" s="7"/>
      <c r="E1002" s="7"/>
    </row>
  </sheetData>
  <mergeCells count="4">
    <mergeCell ref="A1:H1"/>
    <mergeCell ref="A2:H2"/>
    <mergeCell ref="A3:B3"/>
    <mergeCell ref="A16:H16"/>
  </mergeCells>
  <printOptions horizontalCentered="1" gridLines="1"/>
  <pageMargins left="0.25" right="0.25" top="0.75" bottom="0.75" header="0" footer="0"/>
  <pageSetup fitToHeight="0" pageOrder="overThenDown" orientation="landscape" cellComments="atEnd"/>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B6D7A8"/>
    <outlinePr summaryBelow="0" summaryRight="0"/>
    <pageSetUpPr fitToPage="1"/>
  </sheetPr>
  <dimension ref="A1:W1006"/>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46.33203125" customWidth="1"/>
    <col min="2" max="2" width="7.33203125" customWidth="1"/>
    <col min="3" max="4" width="7.88671875" customWidth="1"/>
    <col min="5" max="5" width="22.21875" customWidth="1"/>
    <col min="6" max="6" width="14.6640625" customWidth="1"/>
    <col min="7" max="8" width="8.88671875" customWidth="1"/>
    <col min="9" max="9" width="8.6640625" customWidth="1"/>
    <col min="10" max="10" width="29.44140625" customWidth="1"/>
  </cols>
  <sheetData>
    <row r="1" spans="1:23" ht="13.2" x14ac:dyDescent="0.25">
      <c r="A1" s="141" t="s">
        <v>569</v>
      </c>
      <c r="B1" s="142"/>
      <c r="C1" s="142"/>
      <c r="D1" s="142"/>
      <c r="E1" s="142"/>
      <c r="F1" s="142"/>
      <c r="G1" s="142"/>
      <c r="H1" s="142"/>
      <c r="I1" s="142"/>
      <c r="J1" s="143"/>
    </row>
    <row r="2" spans="1:23" ht="13.2" x14ac:dyDescent="0.25">
      <c r="A2" s="144" t="s">
        <v>570</v>
      </c>
      <c r="B2" s="142"/>
      <c r="C2" s="142"/>
      <c r="D2" s="142"/>
      <c r="E2" s="142"/>
      <c r="F2" s="142"/>
      <c r="G2" s="142"/>
      <c r="H2" s="142"/>
      <c r="I2" s="142"/>
      <c r="J2" s="143"/>
    </row>
    <row r="3" spans="1:23" ht="13.2" x14ac:dyDescent="0.25">
      <c r="A3" s="43" t="s">
        <v>374</v>
      </c>
      <c r="B3" s="145" t="s">
        <v>408</v>
      </c>
      <c r="C3" s="143"/>
      <c r="D3" s="94" t="s">
        <v>370</v>
      </c>
      <c r="E3" s="50" t="s">
        <v>371</v>
      </c>
      <c r="F3" s="51" t="s">
        <v>372</v>
      </c>
      <c r="G3" s="52" t="s">
        <v>373</v>
      </c>
      <c r="H3" s="52" t="s">
        <v>409</v>
      </c>
      <c r="I3" s="52" t="s">
        <v>410</v>
      </c>
      <c r="J3" s="95" t="s">
        <v>571</v>
      </c>
      <c r="K3" s="7"/>
      <c r="L3" s="7"/>
      <c r="M3" s="7"/>
      <c r="N3" s="7"/>
      <c r="O3" s="7"/>
      <c r="P3" s="7"/>
      <c r="Q3" s="7"/>
      <c r="R3" s="7"/>
      <c r="S3" s="7"/>
      <c r="T3" s="7"/>
      <c r="U3" s="7"/>
      <c r="V3" s="7"/>
      <c r="W3" s="7"/>
    </row>
    <row r="4" spans="1:23" ht="13.2" x14ac:dyDescent="0.25">
      <c r="A4" s="41" t="s">
        <v>411</v>
      </c>
      <c r="B4" s="54">
        <f>SUM(B5:B9)/4</f>
        <v>1</v>
      </c>
      <c r="C4" s="55">
        <f>D4*B4</f>
        <v>0.7</v>
      </c>
      <c r="D4" s="56">
        <v>0.7</v>
      </c>
      <c r="E4" s="57"/>
      <c r="F4" s="57"/>
      <c r="G4" s="58"/>
      <c r="H4" s="58"/>
      <c r="I4" s="58"/>
      <c r="J4" s="96"/>
    </row>
    <row r="5" spans="1:23" ht="184.8" x14ac:dyDescent="0.25">
      <c r="A5" s="79" t="s">
        <v>572</v>
      </c>
      <c r="B5" s="59">
        <v>1</v>
      </c>
      <c r="C5" s="60"/>
      <c r="D5" s="60"/>
      <c r="E5" s="42" t="s">
        <v>573</v>
      </c>
      <c r="F5" s="42" t="s">
        <v>574</v>
      </c>
      <c r="G5" s="59">
        <v>0.8</v>
      </c>
      <c r="H5" s="59">
        <v>0.8</v>
      </c>
      <c r="I5" s="59">
        <v>1</v>
      </c>
      <c r="J5" s="79"/>
    </row>
    <row r="6" spans="1:23" ht="79.2" x14ac:dyDescent="0.25">
      <c r="A6" s="79" t="s">
        <v>575</v>
      </c>
      <c r="B6" s="59">
        <v>1</v>
      </c>
      <c r="C6" s="60"/>
      <c r="D6" s="60"/>
      <c r="E6" s="42" t="s">
        <v>576</v>
      </c>
      <c r="F6" s="42" t="s">
        <v>574</v>
      </c>
      <c r="G6" s="59">
        <v>0.8</v>
      </c>
      <c r="H6" s="59">
        <v>0.8</v>
      </c>
      <c r="I6" s="59">
        <v>1</v>
      </c>
      <c r="J6" s="79"/>
    </row>
    <row r="7" spans="1:23" ht="66" x14ac:dyDescent="0.25">
      <c r="A7" s="79" t="s">
        <v>577</v>
      </c>
      <c r="B7" s="59">
        <v>1</v>
      </c>
      <c r="C7" s="60"/>
      <c r="D7" s="60"/>
      <c r="E7" s="42" t="s">
        <v>578</v>
      </c>
      <c r="F7" s="42" t="s">
        <v>418</v>
      </c>
      <c r="G7" s="59">
        <v>0.8</v>
      </c>
      <c r="H7" s="59">
        <v>0.8</v>
      </c>
      <c r="I7" s="59">
        <v>1</v>
      </c>
      <c r="J7" s="79"/>
    </row>
    <row r="8" spans="1:23" ht="66" x14ac:dyDescent="0.25">
      <c r="A8" s="79" t="s">
        <v>579</v>
      </c>
      <c r="B8" s="59">
        <v>1</v>
      </c>
      <c r="C8" s="60"/>
      <c r="D8" s="60"/>
      <c r="E8" s="79" t="s">
        <v>580</v>
      </c>
      <c r="F8" s="42" t="s">
        <v>581</v>
      </c>
      <c r="G8" s="59">
        <v>0.8</v>
      </c>
      <c r="H8" s="59">
        <v>0.8</v>
      </c>
      <c r="I8" s="59">
        <v>1</v>
      </c>
      <c r="J8" s="79"/>
    </row>
    <row r="9" spans="1:23" ht="13.2" x14ac:dyDescent="0.25">
      <c r="A9" s="42"/>
      <c r="B9" s="62"/>
      <c r="C9" s="60"/>
      <c r="D9" s="60"/>
      <c r="E9" s="42"/>
      <c r="F9" s="42"/>
      <c r="G9" s="60"/>
      <c r="H9" s="60"/>
      <c r="I9" s="60"/>
      <c r="J9" s="79"/>
    </row>
    <row r="10" spans="1:23" ht="13.2" x14ac:dyDescent="0.25">
      <c r="A10" s="41" t="s">
        <v>415</v>
      </c>
      <c r="B10" s="54">
        <f>SUM(B11:B12)/2</f>
        <v>1</v>
      </c>
      <c r="C10" s="55">
        <f>D10*B10</f>
        <v>0.2</v>
      </c>
      <c r="D10" s="56">
        <v>0.2</v>
      </c>
      <c r="E10" s="57"/>
      <c r="F10" s="57"/>
      <c r="G10" s="58"/>
      <c r="H10" s="58"/>
      <c r="I10" s="58"/>
      <c r="J10" s="96"/>
    </row>
    <row r="11" spans="1:23" ht="27.75" customHeight="1" x14ac:dyDescent="0.25">
      <c r="A11" s="79" t="s">
        <v>582</v>
      </c>
      <c r="B11" s="80">
        <v>1</v>
      </c>
      <c r="C11" s="81"/>
      <c r="D11" s="81"/>
      <c r="E11" s="79" t="s">
        <v>583</v>
      </c>
      <c r="F11" s="42" t="s">
        <v>425</v>
      </c>
      <c r="G11" s="81">
        <v>1</v>
      </c>
      <c r="H11" s="80"/>
      <c r="I11" s="80"/>
      <c r="J11" s="79"/>
      <c r="K11" s="85"/>
      <c r="L11" s="85"/>
      <c r="M11" s="85"/>
      <c r="N11" s="85"/>
      <c r="O11" s="85"/>
      <c r="P11" s="85"/>
      <c r="Q11" s="85"/>
      <c r="R11" s="85"/>
      <c r="S11" s="85"/>
      <c r="T11" s="85"/>
      <c r="U11" s="85"/>
      <c r="V11" s="85"/>
      <c r="W11" s="85"/>
    </row>
    <row r="12" spans="1:23" ht="27.75" customHeight="1" x14ac:dyDescent="0.25">
      <c r="A12" s="79" t="s">
        <v>584</v>
      </c>
      <c r="B12" s="80">
        <v>1</v>
      </c>
      <c r="C12" s="81"/>
      <c r="D12" s="81"/>
      <c r="E12" s="79" t="s">
        <v>585</v>
      </c>
      <c r="F12" s="42" t="s">
        <v>425</v>
      </c>
      <c r="G12" s="81">
        <v>1</v>
      </c>
      <c r="H12" s="80"/>
      <c r="I12" s="80"/>
      <c r="J12" s="79"/>
      <c r="K12" s="85"/>
      <c r="L12" s="85"/>
      <c r="M12" s="85"/>
      <c r="N12" s="85"/>
      <c r="O12" s="85"/>
      <c r="P12" s="85"/>
      <c r="Q12" s="85"/>
      <c r="R12" s="85"/>
      <c r="S12" s="85"/>
      <c r="T12" s="85"/>
      <c r="U12" s="85"/>
      <c r="V12" s="85"/>
      <c r="W12" s="85"/>
    </row>
    <row r="13" spans="1:23" ht="13.2" x14ac:dyDescent="0.25">
      <c r="A13" s="41" t="s">
        <v>385</v>
      </c>
      <c r="B13" s="54">
        <f>SUM(B14:B16)/2</f>
        <v>1</v>
      </c>
      <c r="C13" s="55">
        <f>D13*B13</f>
        <v>0.1</v>
      </c>
      <c r="D13" s="56">
        <v>0.1</v>
      </c>
      <c r="E13" s="57"/>
      <c r="F13" s="57"/>
      <c r="G13" s="58"/>
      <c r="H13" s="58"/>
      <c r="I13" s="58"/>
      <c r="J13" s="96"/>
    </row>
    <row r="14" spans="1:23" ht="13.2" x14ac:dyDescent="0.25">
      <c r="A14" s="42" t="s">
        <v>386</v>
      </c>
      <c r="B14" s="59">
        <v>1</v>
      </c>
      <c r="C14" s="60"/>
      <c r="D14" s="53"/>
      <c r="E14" s="42"/>
      <c r="F14" s="42" t="s">
        <v>418</v>
      </c>
      <c r="G14" s="59">
        <v>0.8</v>
      </c>
      <c r="H14" s="59">
        <v>0.8</v>
      </c>
      <c r="I14" s="59">
        <v>1</v>
      </c>
      <c r="J14" s="79"/>
    </row>
    <row r="15" spans="1:23" ht="52.8" x14ac:dyDescent="0.25">
      <c r="A15" s="42" t="s">
        <v>387</v>
      </c>
      <c r="B15" s="59">
        <v>0.5</v>
      </c>
      <c r="C15" s="60"/>
      <c r="D15" s="53"/>
      <c r="E15" s="42"/>
      <c r="F15" s="42" t="s">
        <v>419</v>
      </c>
      <c r="G15" s="59">
        <v>0.8</v>
      </c>
      <c r="H15" s="59">
        <v>0.8</v>
      </c>
      <c r="I15" s="59">
        <v>1</v>
      </c>
      <c r="J15" s="79"/>
    </row>
    <row r="16" spans="1:23" ht="26.4" x14ac:dyDescent="0.25">
      <c r="A16" s="151" t="s">
        <v>506</v>
      </c>
      <c r="B16" s="148">
        <v>0.5</v>
      </c>
      <c r="C16" s="153"/>
      <c r="D16" s="153"/>
      <c r="E16" s="70" t="s">
        <v>586</v>
      </c>
      <c r="F16" s="70" t="s">
        <v>420</v>
      </c>
      <c r="G16" s="71">
        <v>1</v>
      </c>
      <c r="H16" s="71">
        <v>1</v>
      </c>
      <c r="I16" s="71">
        <v>1</v>
      </c>
      <c r="J16" s="79"/>
    </row>
    <row r="17" spans="1:11" ht="92.4" x14ac:dyDescent="0.25">
      <c r="A17" s="150"/>
      <c r="B17" s="150"/>
      <c r="C17" s="150"/>
      <c r="D17" s="150"/>
      <c r="E17" s="42" t="s">
        <v>587</v>
      </c>
      <c r="F17" s="70" t="s">
        <v>420</v>
      </c>
      <c r="G17" s="71">
        <v>1</v>
      </c>
      <c r="H17" s="71">
        <v>1</v>
      </c>
      <c r="I17" s="71">
        <v>1</v>
      </c>
      <c r="J17" s="79"/>
    </row>
    <row r="18" spans="1:11" ht="105.6" x14ac:dyDescent="0.25">
      <c r="A18" s="147"/>
      <c r="B18" s="147"/>
      <c r="C18" s="147"/>
      <c r="D18" s="147"/>
      <c r="E18" s="42" t="s">
        <v>588</v>
      </c>
      <c r="F18" s="70" t="s">
        <v>420</v>
      </c>
      <c r="G18" s="71">
        <v>1</v>
      </c>
      <c r="H18" s="71">
        <v>1</v>
      </c>
      <c r="I18" s="71">
        <v>1</v>
      </c>
      <c r="J18" s="79"/>
    </row>
    <row r="19" spans="1:11" ht="13.2" x14ac:dyDescent="0.25">
      <c r="A19" s="90"/>
      <c r="B19" s="71"/>
      <c r="C19" s="64">
        <f t="shared" ref="C19:D19" si="0">SUM(C4+C10+C13)</f>
        <v>0.99999999999999989</v>
      </c>
      <c r="D19" s="64">
        <f t="shared" si="0"/>
        <v>0.99999999999999989</v>
      </c>
      <c r="E19" s="42"/>
      <c r="F19" s="70"/>
      <c r="G19" s="71"/>
      <c r="H19" s="71"/>
      <c r="I19" s="71"/>
      <c r="J19" s="79"/>
    </row>
    <row r="20" spans="1:11" ht="13.2" x14ac:dyDescent="0.25">
      <c r="A20" s="152" t="s">
        <v>589</v>
      </c>
      <c r="B20" s="142"/>
      <c r="C20" s="142"/>
      <c r="D20" s="142"/>
      <c r="E20" s="142"/>
      <c r="F20" s="142"/>
      <c r="G20" s="142"/>
      <c r="H20" s="142"/>
      <c r="I20" s="142"/>
      <c r="J20" s="143"/>
    </row>
    <row r="21" spans="1:11" ht="66" x14ac:dyDescent="0.25">
      <c r="A21" s="66" t="s">
        <v>590</v>
      </c>
      <c r="B21" s="67" t="s">
        <v>427</v>
      </c>
      <c r="C21" s="64"/>
      <c r="D21" s="64"/>
      <c r="E21" s="68" t="s">
        <v>591</v>
      </c>
      <c r="F21" s="42" t="s">
        <v>425</v>
      </c>
      <c r="G21" s="42">
        <v>1</v>
      </c>
      <c r="H21" s="60">
        <v>0</v>
      </c>
      <c r="I21" s="60">
        <v>1</v>
      </c>
      <c r="J21" s="79" t="s">
        <v>592</v>
      </c>
    </row>
    <row r="22" spans="1:11" ht="105.6" x14ac:dyDescent="0.25">
      <c r="A22" s="97" t="s">
        <v>593</v>
      </c>
      <c r="B22" s="74" t="s">
        <v>423</v>
      </c>
      <c r="C22" s="64"/>
      <c r="D22" s="64"/>
      <c r="E22" s="68" t="s">
        <v>594</v>
      </c>
      <c r="F22" s="42" t="s">
        <v>425</v>
      </c>
      <c r="G22" s="42">
        <v>1</v>
      </c>
      <c r="H22" s="60">
        <v>0</v>
      </c>
      <c r="I22" s="60">
        <v>1</v>
      </c>
      <c r="J22" s="79" t="s">
        <v>595</v>
      </c>
    </row>
    <row r="23" spans="1:11" ht="66" x14ac:dyDescent="0.25">
      <c r="A23" s="66" t="s">
        <v>596</v>
      </c>
      <c r="B23" s="67" t="s">
        <v>423</v>
      </c>
      <c r="C23" s="64"/>
      <c r="D23" s="64"/>
      <c r="E23" s="68" t="s">
        <v>597</v>
      </c>
      <c r="F23" s="42" t="s">
        <v>425</v>
      </c>
      <c r="G23" s="42">
        <v>1</v>
      </c>
      <c r="H23" s="60">
        <v>0</v>
      </c>
      <c r="I23" s="60">
        <v>1</v>
      </c>
      <c r="J23" s="79" t="s">
        <v>598</v>
      </c>
    </row>
    <row r="24" spans="1:11" ht="52.8" x14ac:dyDescent="0.25">
      <c r="A24" s="66" t="s">
        <v>599</v>
      </c>
      <c r="B24" s="67" t="s">
        <v>427</v>
      </c>
      <c r="C24" s="64"/>
      <c r="D24" s="64"/>
      <c r="E24" s="68" t="s">
        <v>600</v>
      </c>
      <c r="F24" s="42" t="s">
        <v>425</v>
      </c>
      <c r="G24" s="42">
        <v>1</v>
      </c>
      <c r="H24" s="60">
        <v>0</v>
      </c>
      <c r="I24" s="60">
        <v>1</v>
      </c>
      <c r="J24" s="79" t="s">
        <v>601</v>
      </c>
    </row>
    <row r="25" spans="1:11" ht="211.2" x14ac:dyDescent="0.25">
      <c r="A25" s="66" t="s">
        <v>602</v>
      </c>
      <c r="B25" s="67" t="s">
        <v>427</v>
      </c>
      <c r="C25" s="64"/>
      <c r="D25" s="64"/>
      <c r="E25" s="98" t="s">
        <v>603</v>
      </c>
      <c r="F25" s="98" t="s">
        <v>603</v>
      </c>
      <c r="G25" s="98" t="s">
        <v>603</v>
      </c>
      <c r="H25" s="98" t="s">
        <v>603</v>
      </c>
      <c r="I25" s="98" t="s">
        <v>603</v>
      </c>
      <c r="J25" s="79" t="s">
        <v>604</v>
      </c>
      <c r="K25" s="19"/>
    </row>
    <row r="26" spans="1:11" ht="79.2" x14ac:dyDescent="0.25">
      <c r="A26" s="66" t="s">
        <v>605</v>
      </c>
      <c r="B26" s="67" t="s">
        <v>427</v>
      </c>
      <c r="C26" s="64"/>
      <c r="D26" s="64"/>
      <c r="E26" s="68" t="s">
        <v>606</v>
      </c>
      <c r="F26" s="42" t="s">
        <v>425</v>
      </c>
      <c r="G26" s="42">
        <v>1</v>
      </c>
      <c r="H26" s="60">
        <v>0</v>
      </c>
      <c r="I26" s="60">
        <v>1</v>
      </c>
      <c r="J26" s="79" t="s">
        <v>598</v>
      </c>
    </row>
    <row r="27" spans="1:11" ht="52.8" x14ac:dyDescent="0.25">
      <c r="A27" s="66" t="s">
        <v>607</v>
      </c>
      <c r="B27" s="67" t="s">
        <v>427</v>
      </c>
      <c r="C27" s="64"/>
      <c r="D27" s="64"/>
      <c r="E27" s="68" t="s">
        <v>608</v>
      </c>
      <c r="F27" s="42" t="s">
        <v>425</v>
      </c>
      <c r="G27" s="42">
        <v>1</v>
      </c>
      <c r="H27" s="60">
        <v>0</v>
      </c>
      <c r="I27" s="60">
        <v>1</v>
      </c>
      <c r="J27" s="79" t="s">
        <v>598</v>
      </c>
    </row>
    <row r="28" spans="1:11" ht="105.6" x14ac:dyDescent="0.25">
      <c r="A28" s="66" t="s">
        <v>609</v>
      </c>
      <c r="B28" s="67" t="s">
        <v>427</v>
      </c>
      <c r="C28" s="64"/>
      <c r="D28" s="64"/>
      <c r="E28" s="68" t="s">
        <v>610</v>
      </c>
      <c r="F28" s="42" t="s">
        <v>425</v>
      </c>
      <c r="G28" s="42">
        <v>1</v>
      </c>
      <c r="H28" s="60">
        <v>0</v>
      </c>
      <c r="I28" s="60">
        <v>1</v>
      </c>
      <c r="J28" s="79" t="s">
        <v>598</v>
      </c>
    </row>
    <row r="29" spans="1:11" ht="66" x14ac:dyDescent="0.25">
      <c r="A29" s="66" t="s">
        <v>611</v>
      </c>
      <c r="B29" s="67" t="s">
        <v>427</v>
      </c>
      <c r="C29" s="64"/>
      <c r="D29" s="64"/>
      <c r="E29" s="68" t="s">
        <v>612</v>
      </c>
      <c r="F29" s="42" t="s">
        <v>425</v>
      </c>
      <c r="G29" s="42">
        <v>1</v>
      </c>
      <c r="H29" s="60">
        <v>0</v>
      </c>
      <c r="I29" s="60">
        <v>1</v>
      </c>
      <c r="J29" s="79" t="s">
        <v>598</v>
      </c>
    </row>
    <row r="30" spans="1:11" ht="52.8" x14ac:dyDescent="0.25">
      <c r="A30" s="66" t="s">
        <v>613</v>
      </c>
      <c r="B30" s="67" t="s">
        <v>427</v>
      </c>
      <c r="C30" s="64"/>
      <c r="D30" s="64"/>
      <c r="E30" s="68" t="s">
        <v>614</v>
      </c>
      <c r="F30" s="42" t="s">
        <v>425</v>
      </c>
      <c r="G30" s="42">
        <v>1</v>
      </c>
      <c r="H30" s="60">
        <v>0</v>
      </c>
      <c r="I30" s="60">
        <v>1</v>
      </c>
      <c r="J30" s="79" t="s">
        <v>598</v>
      </c>
    </row>
    <row r="31" spans="1:11" ht="13.2" x14ac:dyDescent="0.25">
      <c r="A31" s="7"/>
      <c r="E31" s="7"/>
      <c r="F31" s="7"/>
      <c r="J31" s="99"/>
    </row>
    <row r="32" spans="1:11" ht="13.2" x14ac:dyDescent="0.25">
      <c r="A32" s="7"/>
      <c r="E32" s="7"/>
      <c r="F32" s="7"/>
      <c r="J32" s="99"/>
    </row>
    <row r="33" spans="1:10" ht="15.6" x14ac:dyDescent="0.3">
      <c r="A33" s="100" t="s">
        <v>615</v>
      </c>
      <c r="B33" s="101"/>
      <c r="E33" s="100" t="s">
        <v>616</v>
      </c>
      <c r="F33" s="7"/>
      <c r="J33" s="99"/>
    </row>
    <row r="34" spans="1:10" ht="13.2" x14ac:dyDescent="0.25">
      <c r="A34" s="101"/>
      <c r="B34" s="101"/>
      <c r="E34" s="101"/>
      <c r="F34" s="7"/>
      <c r="J34" s="99"/>
    </row>
    <row r="35" spans="1:10" ht="13.2" x14ac:dyDescent="0.25">
      <c r="A35" s="101"/>
      <c r="B35" s="101"/>
      <c r="E35" s="101"/>
      <c r="F35" s="7"/>
      <c r="J35" s="99"/>
    </row>
    <row r="36" spans="1:10" ht="31.2" x14ac:dyDescent="0.3">
      <c r="A36" s="102" t="s">
        <v>617</v>
      </c>
      <c r="B36" s="102"/>
      <c r="E36" s="102" t="s">
        <v>618</v>
      </c>
      <c r="F36" s="7"/>
      <c r="J36" s="99"/>
    </row>
    <row r="37" spans="1:10" ht="15.6" x14ac:dyDescent="0.3">
      <c r="A37" s="100" t="s">
        <v>619</v>
      </c>
      <c r="B37" s="100"/>
      <c r="E37" s="100" t="s">
        <v>620</v>
      </c>
      <c r="F37" s="7"/>
      <c r="J37" s="99"/>
    </row>
    <row r="38" spans="1:10" ht="13.2" x14ac:dyDescent="0.25">
      <c r="A38" s="7"/>
      <c r="E38" s="7"/>
      <c r="F38" s="7"/>
      <c r="J38" s="99"/>
    </row>
    <row r="39" spans="1:10" ht="13.2" x14ac:dyDescent="0.25">
      <c r="A39" s="7"/>
      <c r="E39" s="7"/>
      <c r="F39" s="7"/>
      <c r="J39" s="99"/>
    </row>
    <row r="40" spans="1:10" ht="13.2" x14ac:dyDescent="0.25">
      <c r="A40" s="7"/>
      <c r="E40" s="7"/>
      <c r="F40" s="7"/>
      <c r="J40" s="99"/>
    </row>
    <row r="41" spans="1:10" ht="13.2" x14ac:dyDescent="0.25">
      <c r="A41" s="7"/>
      <c r="E41" s="7"/>
      <c r="F41" s="7"/>
      <c r="J41" s="99"/>
    </row>
    <row r="42" spans="1:10" ht="13.2" x14ac:dyDescent="0.25">
      <c r="A42" s="7"/>
      <c r="E42" s="7"/>
      <c r="F42" s="7"/>
      <c r="J42" s="99"/>
    </row>
    <row r="43" spans="1:10" ht="13.2" x14ac:dyDescent="0.25">
      <c r="A43" s="7"/>
      <c r="E43" s="7"/>
      <c r="F43" s="7"/>
      <c r="J43" s="99"/>
    </row>
    <row r="44" spans="1:10" ht="13.2" x14ac:dyDescent="0.25">
      <c r="A44" s="7"/>
      <c r="E44" s="7"/>
      <c r="F44" s="7"/>
      <c r="J44" s="99"/>
    </row>
    <row r="45" spans="1:10" ht="13.2" x14ac:dyDescent="0.25">
      <c r="A45" s="7"/>
      <c r="E45" s="7"/>
      <c r="F45" s="7"/>
      <c r="J45" s="99"/>
    </row>
    <row r="46" spans="1:10" ht="13.2" x14ac:dyDescent="0.25">
      <c r="A46" s="7"/>
      <c r="E46" s="7"/>
      <c r="F46" s="7"/>
      <c r="J46" s="99"/>
    </row>
    <row r="47" spans="1:10" ht="13.2" x14ac:dyDescent="0.25">
      <c r="A47" s="7"/>
      <c r="E47" s="7"/>
      <c r="F47" s="7"/>
      <c r="J47" s="99"/>
    </row>
    <row r="48" spans="1:10" ht="13.2" x14ac:dyDescent="0.25">
      <c r="A48" s="7"/>
      <c r="E48" s="7"/>
      <c r="F48" s="7"/>
      <c r="J48" s="99"/>
    </row>
    <row r="49" spans="1:10" ht="13.2" x14ac:dyDescent="0.25">
      <c r="A49" s="7"/>
      <c r="E49" s="7"/>
      <c r="F49" s="7"/>
      <c r="J49" s="99"/>
    </row>
    <row r="50" spans="1:10" ht="13.2" x14ac:dyDescent="0.25">
      <c r="A50" s="7"/>
      <c r="E50" s="7"/>
      <c r="F50" s="7"/>
      <c r="J50" s="99"/>
    </row>
    <row r="51" spans="1:10" ht="13.2" x14ac:dyDescent="0.25">
      <c r="A51" s="7"/>
      <c r="E51" s="7"/>
      <c r="F51" s="7"/>
      <c r="J51" s="99"/>
    </row>
    <row r="52" spans="1:10" ht="13.2" x14ac:dyDescent="0.25">
      <c r="A52" s="7"/>
      <c r="E52" s="7"/>
      <c r="F52" s="7"/>
      <c r="J52" s="99"/>
    </row>
    <row r="53" spans="1:10" ht="13.2" x14ac:dyDescent="0.25">
      <c r="A53" s="7"/>
      <c r="E53" s="7"/>
      <c r="F53" s="7"/>
      <c r="J53" s="99"/>
    </row>
    <row r="54" spans="1:10" ht="13.2" x14ac:dyDescent="0.25">
      <c r="A54" s="7"/>
      <c r="E54" s="7"/>
      <c r="F54" s="7"/>
      <c r="J54" s="99"/>
    </row>
    <row r="55" spans="1:10" ht="13.2" x14ac:dyDescent="0.25">
      <c r="A55" s="7"/>
      <c r="E55" s="7"/>
      <c r="F55" s="7"/>
      <c r="J55" s="99"/>
    </row>
    <row r="56" spans="1:10" ht="13.2" x14ac:dyDescent="0.25">
      <c r="A56" s="7"/>
      <c r="E56" s="7"/>
      <c r="F56" s="7"/>
      <c r="J56" s="99"/>
    </row>
    <row r="57" spans="1:10" ht="13.2" x14ac:dyDescent="0.25">
      <c r="A57" s="7"/>
      <c r="E57" s="7"/>
      <c r="F57" s="7"/>
      <c r="J57" s="99"/>
    </row>
    <row r="58" spans="1:10" ht="13.2" x14ac:dyDescent="0.25">
      <c r="A58" s="7"/>
      <c r="E58" s="7"/>
      <c r="F58" s="7"/>
      <c r="J58" s="99"/>
    </row>
    <row r="59" spans="1:10" ht="13.2" x14ac:dyDescent="0.25">
      <c r="A59" s="7"/>
      <c r="E59" s="7"/>
      <c r="F59" s="7"/>
      <c r="J59" s="99"/>
    </row>
    <row r="60" spans="1:10" ht="13.2" x14ac:dyDescent="0.25">
      <c r="A60" s="7"/>
      <c r="E60" s="7"/>
      <c r="F60" s="7"/>
      <c r="J60" s="99"/>
    </row>
    <row r="61" spans="1:10" ht="13.2" x14ac:dyDescent="0.25">
      <c r="A61" s="7"/>
      <c r="E61" s="7"/>
      <c r="F61" s="7"/>
      <c r="J61" s="99"/>
    </row>
    <row r="62" spans="1:10" ht="13.2" x14ac:dyDescent="0.25">
      <c r="A62" s="7"/>
      <c r="E62" s="7"/>
      <c r="F62" s="7"/>
      <c r="J62" s="99"/>
    </row>
    <row r="63" spans="1:10" ht="13.2" x14ac:dyDescent="0.25">
      <c r="A63" s="7"/>
      <c r="E63" s="7"/>
      <c r="F63" s="7"/>
      <c r="J63" s="99"/>
    </row>
    <row r="64" spans="1:10" ht="13.2" x14ac:dyDescent="0.25">
      <c r="A64" s="7"/>
      <c r="E64" s="7"/>
      <c r="F64" s="7"/>
      <c r="J64" s="99"/>
    </row>
    <row r="65" spans="1:10" ht="13.2" x14ac:dyDescent="0.25">
      <c r="A65" s="7"/>
      <c r="E65" s="7"/>
      <c r="F65" s="7"/>
      <c r="J65" s="99"/>
    </row>
    <row r="66" spans="1:10" ht="13.2" x14ac:dyDescent="0.25">
      <c r="A66" s="7"/>
      <c r="E66" s="7"/>
      <c r="F66" s="7"/>
      <c r="J66" s="99"/>
    </row>
    <row r="67" spans="1:10" ht="13.2" x14ac:dyDescent="0.25">
      <c r="A67" s="7"/>
      <c r="E67" s="7"/>
      <c r="F67" s="7"/>
      <c r="J67" s="99"/>
    </row>
    <row r="68" spans="1:10" ht="13.2" x14ac:dyDescent="0.25">
      <c r="A68" s="7"/>
      <c r="E68" s="7"/>
      <c r="F68" s="7"/>
      <c r="J68" s="99"/>
    </row>
    <row r="69" spans="1:10" ht="13.2" x14ac:dyDescent="0.25">
      <c r="A69" s="7"/>
      <c r="E69" s="7"/>
      <c r="F69" s="7"/>
      <c r="J69" s="99"/>
    </row>
    <row r="70" spans="1:10" ht="13.2" x14ac:dyDescent="0.25">
      <c r="A70" s="7"/>
      <c r="E70" s="7"/>
      <c r="F70" s="7"/>
      <c r="J70" s="99"/>
    </row>
    <row r="71" spans="1:10" ht="13.2" x14ac:dyDescent="0.25">
      <c r="A71" s="7"/>
      <c r="E71" s="7"/>
      <c r="F71" s="7"/>
      <c r="J71" s="99"/>
    </row>
    <row r="72" spans="1:10" ht="13.2" x14ac:dyDescent="0.25">
      <c r="A72" s="7"/>
      <c r="E72" s="7"/>
      <c r="F72" s="7"/>
      <c r="J72" s="99"/>
    </row>
    <row r="73" spans="1:10" ht="13.2" x14ac:dyDescent="0.25">
      <c r="A73" s="7"/>
      <c r="E73" s="7"/>
      <c r="F73" s="7"/>
      <c r="J73" s="99"/>
    </row>
    <row r="74" spans="1:10" ht="13.2" x14ac:dyDescent="0.25">
      <c r="A74" s="7"/>
      <c r="E74" s="7"/>
      <c r="F74" s="7"/>
      <c r="J74" s="99"/>
    </row>
    <row r="75" spans="1:10" ht="13.2" x14ac:dyDescent="0.25">
      <c r="A75" s="7"/>
      <c r="E75" s="7"/>
      <c r="F75" s="7"/>
      <c r="J75" s="99"/>
    </row>
    <row r="76" spans="1:10" ht="13.2" x14ac:dyDescent="0.25">
      <c r="A76" s="7"/>
      <c r="E76" s="7"/>
      <c r="F76" s="7"/>
      <c r="J76" s="99"/>
    </row>
    <row r="77" spans="1:10" ht="13.2" x14ac:dyDescent="0.25">
      <c r="A77" s="7"/>
      <c r="E77" s="7"/>
      <c r="F77" s="7"/>
      <c r="J77" s="99"/>
    </row>
    <row r="78" spans="1:10" ht="13.2" x14ac:dyDescent="0.25">
      <c r="A78" s="7"/>
      <c r="E78" s="7"/>
      <c r="F78" s="7"/>
      <c r="J78" s="99"/>
    </row>
    <row r="79" spans="1:10" ht="13.2" x14ac:dyDescent="0.25">
      <c r="A79" s="7"/>
      <c r="E79" s="7"/>
      <c r="F79" s="7"/>
      <c r="J79" s="99"/>
    </row>
    <row r="80" spans="1:10" ht="13.2" x14ac:dyDescent="0.25">
      <c r="A80" s="7"/>
      <c r="E80" s="7"/>
      <c r="F80" s="7"/>
      <c r="J80" s="99"/>
    </row>
    <row r="81" spans="1:10" ht="13.2" x14ac:dyDescent="0.25">
      <c r="A81" s="7"/>
      <c r="E81" s="7"/>
      <c r="F81" s="7"/>
      <c r="J81" s="99"/>
    </row>
    <row r="82" spans="1:10" ht="13.2" x14ac:dyDescent="0.25">
      <c r="A82" s="7"/>
      <c r="E82" s="7"/>
      <c r="F82" s="7"/>
      <c r="J82" s="99"/>
    </row>
    <row r="83" spans="1:10" ht="13.2" x14ac:dyDescent="0.25">
      <c r="A83" s="7"/>
      <c r="E83" s="7"/>
      <c r="F83" s="7"/>
      <c r="J83" s="99"/>
    </row>
    <row r="84" spans="1:10" ht="13.2" x14ac:dyDescent="0.25">
      <c r="A84" s="7"/>
      <c r="E84" s="7"/>
      <c r="F84" s="7"/>
      <c r="J84" s="99"/>
    </row>
    <row r="85" spans="1:10" ht="13.2" x14ac:dyDescent="0.25">
      <c r="A85" s="7"/>
      <c r="E85" s="7"/>
      <c r="F85" s="7"/>
      <c r="J85" s="99"/>
    </row>
    <row r="86" spans="1:10" ht="13.2" x14ac:dyDescent="0.25">
      <c r="A86" s="7"/>
      <c r="E86" s="7"/>
      <c r="F86" s="7"/>
      <c r="J86" s="99"/>
    </row>
    <row r="87" spans="1:10" ht="13.2" x14ac:dyDescent="0.25">
      <c r="A87" s="7"/>
      <c r="E87" s="7"/>
      <c r="F87" s="7"/>
      <c r="J87" s="99"/>
    </row>
    <row r="88" spans="1:10" ht="13.2" x14ac:dyDescent="0.25">
      <c r="A88" s="7"/>
      <c r="E88" s="7"/>
      <c r="F88" s="7"/>
      <c r="J88" s="99"/>
    </row>
    <row r="89" spans="1:10" ht="13.2" x14ac:dyDescent="0.25">
      <c r="A89" s="7"/>
      <c r="E89" s="7"/>
      <c r="F89" s="7"/>
      <c r="J89" s="99"/>
    </row>
    <row r="90" spans="1:10" ht="13.2" x14ac:dyDescent="0.25">
      <c r="A90" s="7"/>
      <c r="E90" s="7"/>
      <c r="F90" s="7"/>
      <c r="J90" s="99"/>
    </row>
    <row r="91" spans="1:10" ht="13.2" x14ac:dyDescent="0.25">
      <c r="A91" s="7"/>
      <c r="E91" s="7"/>
      <c r="F91" s="7"/>
      <c r="J91" s="99"/>
    </row>
    <row r="92" spans="1:10" ht="13.2" x14ac:dyDescent="0.25">
      <c r="A92" s="7"/>
      <c r="E92" s="7"/>
      <c r="F92" s="7"/>
      <c r="J92" s="99"/>
    </row>
    <row r="93" spans="1:10" ht="13.2" x14ac:dyDescent="0.25">
      <c r="A93" s="7"/>
      <c r="E93" s="7"/>
      <c r="F93" s="7"/>
      <c r="J93" s="99"/>
    </row>
    <row r="94" spans="1:10" ht="13.2" x14ac:dyDescent="0.25">
      <c r="A94" s="7"/>
      <c r="E94" s="7"/>
      <c r="F94" s="7"/>
      <c r="J94" s="99"/>
    </row>
    <row r="95" spans="1:10" ht="13.2" x14ac:dyDescent="0.25">
      <c r="A95" s="7"/>
      <c r="E95" s="7"/>
      <c r="F95" s="7"/>
      <c r="J95" s="99"/>
    </row>
    <row r="96" spans="1:10" ht="13.2" x14ac:dyDescent="0.25">
      <c r="A96" s="7"/>
      <c r="E96" s="7"/>
      <c r="F96" s="7"/>
      <c r="J96" s="99"/>
    </row>
    <row r="97" spans="1:10" ht="13.2" x14ac:dyDescent="0.25">
      <c r="A97" s="7"/>
      <c r="E97" s="7"/>
      <c r="F97" s="7"/>
      <c r="J97" s="99"/>
    </row>
    <row r="98" spans="1:10" ht="13.2" x14ac:dyDescent="0.25">
      <c r="A98" s="7"/>
      <c r="E98" s="7"/>
      <c r="F98" s="7"/>
      <c r="J98" s="99"/>
    </row>
    <row r="99" spans="1:10" ht="13.2" x14ac:dyDescent="0.25">
      <c r="A99" s="7"/>
      <c r="E99" s="7"/>
      <c r="F99" s="7"/>
      <c r="J99" s="99"/>
    </row>
    <row r="100" spans="1:10" ht="13.2" x14ac:dyDescent="0.25">
      <c r="A100" s="7"/>
      <c r="E100" s="7"/>
      <c r="F100" s="7"/>
      <c r="J100" s="99"/>
    </row>
    <row r="101" spans="1:10" ht="13.2" x14ac:dyDescent="0.25">
      <c r="A101" s="7"/>
      <c r="E101" s="7"/>
      <c r="F101" s="7"/>
      <c r="J101" s="99"/>
    </row>
    <row r="102" spans="1:10" ht="13.2" x14ac:dyDescent="0.25">
      <c r="A102" s="7"/>
      <c r="E102" s="7"/>
      <c r="F102" s="7"/>
      <c r="J102" s="99"/>
    </row>
    <row r="103" spans="1:10" ht="13.2" x14ac:dyDescent="0.25">
      <c r="A103" s="7"/>
      <c r="E103" s="7"/>
      <c r="F103" s="7"/>
      <c r="J103" s="99"/>
    </row>
    <row r="104" spans="1:10" ht="13.2" x14ac:dyDescent="0.25">
      <c r="A104" s="7"/>
      <c r="E104" s="7"/>
      <c r="F104" s="7"/>
      <c r="J104" s="99"/>
    </row>
    <row r="105" spans="1:10" ht="13.2" x14ac:dyDescent="0.25">
      <c r="A105" s="7"/>
      <c r="E105" s="7"/>
      <c r="F105" s="7"/>
      <c r="J105" s="99"/>
    </row>
    <row r="106" spans="1:10" ht="13.2" x14ac:dyDescent="0.25">
      <c r="A106" s="7"/>
      <c r="E106" s="7"/>
      <c r="F106" s="7"/>
      <c r="J106" s="99"/>
    </row>
    <row r="107" spans="1:10" ht="13.2" x14ac:dyDescent="0.25">
      <c r="A107" s="7"/>
      <c r="E107" s="7"/>
      <c r="F107" s="7"/>
      <c r="J107" s="99"/>
    </row>
    <row r="108" spans="1:10" ht="13.2" x14ac:dyDescent="0.25">
      <c r="A108" s="7"/>
      <c r="E108" s="7"/>
      <c r="F108" s="7"/>
      <c r="J108" s="99"/>
    </row>
    <row r="109" spans="1:10" ht="13.2" x14ac:dyDescent="0.25">
      <c r="A109" s="7"/>
      <c r="E109" s="7"/>
      <c r="F109" s="7"/>
      <c r="J109" s="99"/>
    </row>
    <row r="110" spans="1:10" ht="13.2" x14ac:dyDescent="0.25">
      <c r="A110" s="7"/>
      <c r="E110" s="7"/>
      <c r="F110" s="7"/>
      <c r="J110" s="99"/>
    </row>
    <row r="111" spans="1:10" ht="13.2" x14ac:dyDescent="0.25">
      <c r="A111" s="7"/>
      <c r="E111" s="7"/>
      <c r="F111" s="7"/>
      <c r="J111" s="99"/>
    </row>
    <row r="112" spans="1:10" ht="13.2" x14ac:dyDescent="0.25">
      <c r="A112" s="7"/>
      <c r="E112" s="7"/>
      <c r="F112" s="7"/>
      <c r="J112" s="99"/>
    </row>
    <row r="113" spans="1:10" ht="13.2" x14ac:dyDescent="0.25">
      <c r="A113" s="7"/>
      <c r="E113" s="7"/>
      <c r="F113" s="7"/>
      <c r="J113" s="99"/>
    </row>
    <row r="114" spans="1:10" ht="13.2" x14ac:dyDescent="0.25">
      <c r="A114" s="7"/>
      <c r="E114" s="7"/>
      <c r="F114" s="7"/>
      <c r="J114" s="99"/>
    </row>
    <row r="115" spans="1:10" ht="13.2" x14ac:dyDescent="0.25">
      <c r="A115" s="7"/>
      <c r="E115" s="7"/>
      <c r="F115" s="7"/>
      <c r="J115" s="99"/>
    </row>
    <row r="116" spans="1:10" ht="13.2" x14ac:dyDescent="0.25">
      <c r="A116" s="7"/>
      <c r="E116" s="7"/>
      <c r="F116" s="7"/>
      <c r="J116" s="99"/>
    </row>
    <row r="117" spans="1:10" ht="13.2" x14ac:dyDescent="0.25">
      <c r="A117" s="7"/>
      <c r="E117" s="7"/>
      <c r="F117" s="7"/>
      <c r="J117" s="99"/>
    </row>
    <row r="118" spans="1:10" ht="13.2" x14ac:dyDescent="0.25">
      <c r="A118" s="7"/>
      <c r="E118" s="7"/>
      <c r="F118" s="7"/>
      <c r="J118" s="99"/>
    </row>
    <row r="119" spans="1:10" ht="13.2" x14ac:dyDescent="0.25">
      <c r="A119" s="7"/>
      <c r="E119" s="7"/>
      <c r="F119" s="7"/>
      <c r="J119" s="99"/>
    </row>
    <row r="120" spans="1:10" ht="13.2" x14ac:dyDescent="0.25">
      <c r="A120" s="7"/>
      <c r="E120" s="7"/>
      <c r="F120" s="7"/>
      <c r="J120" s="99"/>
    </row>
    <row r="121" spans="1:10" ht="13.2" x14ac:dyDescent="0.25">
      <c r="A121" s="7"/>
      <c r="E121" s="7"/>
      <c r="F121" s="7"/>
      <c r="J121" s="99"/>
    </row>
    <row r="122" spans="1:10" ht="13.2" x14ac:dyDescent="0.25">
      <c r="A122" s="7"/>
      <c r="E122" s="7"/>
      <c r="F122" s="7"/>
      <c r="J122" s="99"/>
    </row>
    <row r="123" spans="1:10" ht="13.2" x14ac:dyDescent="0.25">
      <c r="A123" s="7"/>
      <c r="E123" s="7"/>
      <c r="F123" s="7"/>
      <c r="J123" s="99"/>
    </row>
    <row r="124" spans="1:10" ht="13.2" x14ac:dyDescent="0.25">
      <c r="A124" s="7"/>
      <c r="E124" s="7"/>
      <c r="F124" s="7"/>
      <c r="J124" s="99"/>
    </row>
    <row r="125" spans="1:10" ht="13.2" x14ac:dyDescent="0.25">
      <c r="A125" s="7"/>
      <c r="E125" s="7"/>
      <c r="F125" s="7"/>
      <c r="J125" s="99"/>
    </row>
    <row r="126" spans="1:10" ht="13.2" x14ac:dyDescent="0.25">
      <c r="A126" s="7"/>
      <c r="E126" s="7"/>
      <c r="F126" s="7"/>
      <c r="J126" s="99"/>
    </row>
    <row r="127" spans="1:10" ht="13.2" x14ac:dyDescent="0.25">
      <c r="A127" s="7"/>
      <c r="E127" s="7"/>
      <c r="F127" s="7"/>
      <c r="J127" s="99"/>
    </row>
    <row r="128" spans="1:10" ht="13.2" x14ac:dyDescent="0.25">
      <c r="A128" s="7"/>
      <c r="E128" s="7"/>
      <c r="F128" s="7"/>
      <c r="J128" s="99"/>
    </row>
    <row r="129" spans="1:10" ht="13.2" x14ac:dyDescent="0.25">
      <c r="A129" s="7"/>
      <c r="E129" s="7"/>
      <c r="F129" s="7"/>
      <c r="J129" s="99"/>
    </row>
    <row r="130" spans="1:10" ht="13.2" x14ac:dyDescent="0.25">
      <c r="A130" s="7"/>
      <c r="E130" s="7"/>
      <c r="F130" s="7"/>
      <c r="J130" s="99"/>
    </row>
    <row r="131" spans="1:10" ht="13.2" x14ac:dyDescent="0.25">
      <c r="A131" s="7"/>
      <c r="E131" s="7"/>
      <c r="F131" s="7"/>
      <c r="J131" s="99"/>
    </row>
    <row r="132" spans="1:10" ht="13.2" x14ac:dyDescent="0.25">
      <c r="A132" s="7"/>
      <c r="E132" s="7"/>
      <c r="F132" s="7"/>
      <c r="J132" s="99"/>
    </row>
    <row r="133" spans="1:10" ht="13.2" x14ac:dyDescent="0.25">
      <c r="A133" s="7"/>
      <c r="E133" s="7"/>
      <c r="F133" s="7"/>
      <c r="J133" s="99"/>
    </row>
    <row r="134" spans="1:10" ht="13.2" x14ac:dyDescent="0.25">
      <c r="A134" s="7"/>
      <c r="E134" s="7"/>
      <c r="F134" s="7"/>
      <c r="J134" s="99"/>
    </row>
    <row r="135" spans="1:10" ht="13.2" x14ac:dyDescent="0.25">
      <c r="A135" s="7"/>
      <c r="E135" s="7"/>
      <c r="F135" s="7"/>
      <c r="J135" s="99"/>
    </row>
    <row r="136" spans="1:10" ht="13.2" x14ac:dyDescent="0.25">
      <c r="A136" s="7"/>
      <c r="E136" s="7"/>
      <c r="F136" s="7"/>
      <c r="J136" s="99"/>
    </row>
    <row r="137" spans="1:10" ht="13.2" x14ac:dyDescent="0.25">
      <c r="A137" s="7"/>
      <c r="E137" s="7"/>
      <c r="F137" s="7"/>
      <c r="J137" s="99"/>
    </row>
    <row r="138" spans="1:10" ht="13.2" x14ac:dyDescent="0.25">
      <c r="A138" s="7"/>
      <c r="E138" s="7"/>
      <c r="F138" s="7"/>
      <c r="J138" s="99"/>
    </row>
    <row r="139" spans="1:10" ht="13.2" x14ac:dyDescent="0.25">
      <c r="A139" s="7"/>
      <c r="E139" s="7"/>
      <c r="F139" s="7"/>
      <c r="J139" s="99"/>
    </row>
    <row r="140" spans="1:10" ht="13.2" x14ac:dyDescent="0.25">
      <c r="A140" s="7"/>
      <c r="E140" s="7"/>
      <c r="F140" s="7"/>
      <c r="J140" s="99"/>
    </row>
    <row r="141" spans="1:10" ht="13.2" x14ac:dyDescent="0.25">
      <c r="A141" s="7"/>
      <c r="E141" s="7"/>
      <c r="F141" s="7"/>
      <c r="J141" s="99"/>
    </row>
    <row r="142" spans="1:10" ht="13.2" x14ac:dyDescent="0.25">
      <c r="A142" s="7"/>
      <c r="E142" s="7"/>
      <c r="F142" s="7"/>
      <c r="J142" s="99"/>
    </row>
    <row r="143" spans="1:10" ht="13.2" x14ac:dyDescent="0.25">
      <c r="A143" s="7"/>
      <c r="E143" s="7"/>
      <c r="F143" s="7"/>
      <c r="J143" s="99"/>
    </row>
    <row r="144" spans="1:10" ht="13.2" x14ac:dyDescent="0.25">
      <c r="A144" s="7"/>
      <c r="E144" s="7"/>
      <c r="F144" s="7"/>
      <c r="J144" s="99"/>
    </row>
    <row r="145" spans="1:10" ht="13.2" x14ac:dyDescent="0.25">
      <c r="A145" s="7"/>
      <c r="E145" s="7"/>
      <c r="F145" s="7"/>
      <c r="J145" s="99"/>
    </row>
    <row r="146" spans="1:10" ht="13.2" x14ac:dyDescent="0.25">
      <c r="A146" s="7"/>
      <c r="E146" s="7"/>
      <c r="F146" s="7"/>
      <c r="J146" s="99"/>
    </row>
    <row r="147" spans="1:10" ht="13.2" x14ac:dyDescent="0.25">
      <c r="A147" s="7"/>
      <c r="E147" s="7"/>
      <c r="F147" s="7"/>
      <c r="J147" s="99"/>
    </row>
    <row r="148" spans="1:10" ht="13.2" x14ac:dyDescent="0.25">
      <c r="A148" s="7"/>
      <c r="E148" s="7"/>
      <c r="F148" s="7"/>
      <c r="J148" s="99"/>
    </row>
    <row r="149" spans="1:10" ht="13.2" x14ac:dyDescent="0.25">
      <c r="A149" s="7"/>
      <c r="E149" s="7"/>
      <c r="F149" s="7"/>
      <c r="J149" s="99"/>
    </row>
    <row r="150" spans="1:10" ht="13.2" x14ac:dyDescent="0.25">
      <c r="A150" s="7"/>
      <c r="E150" s="7"/>
      <c r="F150" s="7"/>
      <c r="J150" s="99"/>
    </row>
    <row r="151" spans="1:10" ht="13.2" x14ac:dyDescent="0.25">
      <c r="A151" s="7"/>
      <c r="E151" s="7"/>
      <c r="F151" s="7"/>
      <c r="J151" s="99"/>
    </row>
    <row r="152" spans="1:10" ht="13.2" x14ac:dyDescent="0.25">
      <c r="A152" s="7"/>
      <c r="E152" s="7"/>
      <c r="F152" s="7"/>
      <c r="J152" s="99"/>
    </row>
    <row r="153" spans="1:10" ht="13.2" x14ac:dyDescent="0.25">
      <c r="A153" s="7"/>
      <c r="E153" s="7"/>
      <c r="F153" s="7"/>
      <c r="J153" s="99"/>
    </row>
    <row r="154" spans="1:10" ht="13.2" x14ac:dyDescent="0.25">
      <c r="A154" s="7"/>
      <c r="E154" s="7"/>
      <c r="F154" s="7"/>
      <c r="J154" s="99"/>
    </row>
    <row r="155" spans="1:10" ht="13.2" x14ac:dyDescent="0.25">
      <c r="A155" s="7"/>
      <c r="E155" s="7"/>
      <c r="F155" s="7"/>
      <c r="J155" s="99"/>
    </row>
    <row r="156" spans="1:10" ht="13.2" x14ac:dyDescent="0.25">
      <c r="A156" s="7"/>
      <c r="E156" s="7"/>
      <c r="F156" s="7"/>
      <c r="J156" s="99"/>
    </row>
    <row r="157" spans="1:10" ht="13.2" x14ac:dyDescent="0.25">
      <c r="A157" s="7"/>
      <c r="E157" s="7"/>
      <c r="F157" s="7"/>
      <c r="J157" s="99"/>
    </row>
    <row r="158" spans="1:10" ht="13.2" x14ac:dyDescent="0.25">
      <c r="A158" s="7"/>
      <c r="E158" s="7"/>
      <c r="F158" s="7"/>
      <c r="J158" s="99"/>
    </row>
    <row r="159" spans="1:10" ht="13.2" x14ac:dyDescent="0.25">
      <c r="A159" s="7"/>
      <c r="E159" s="7"/>
      <c r="F159" s="7"/>
      <c r="J159" s="99"/>
    </row>
    <row r="160" spans="1:10" ht="13.2" x14ac:dyDescent="0.25">
      <c r="A160" s="7"/>
      <c r="E160" s="7"/>
      <c r="F160" s="7"/>
      <c r="J160" s="99"/>
    </row>
    <row r="161" spans="1:10" ht="13.2" x14ac:dyDescent="0.25">
      <c r="A161" s="7"/>
      <c r="E161" s="7"/>
      <c r="F161" s="7"/>
      <c r="J161" s="99"/>
    </row>
    <row r="162" spans="1:10" ht="13.2" x14ac:dyDescent="0.25">
      <c r="A162" s="7"/>
      <c r="E162" s="7"/>
      <c r="F162" s="7"/>
      <c r="J162" s="99"/>
    </row>
    <row r="163" spans="1:10" ht="13.2" x14ac:dyDescent="0.25">
      <c r="A163" s="7"/>
      <c r="E163" s="7"/>
      <c r="F163" s="7"/>
      <c r="J163" s="99"/>
    </row>
    <row r="164" spans="1:10" ht="13.2" x14ac:dyDescent="0.25">
      <c r="A164" s="7"/>
      <c r="E164" s="7"/>
      <c r="F164" s="7"/>
      <c r="J164" s="99"/>
    </row>
    <row r="165" spans="1:10" ht="13.2" x14ac:dyDescent="0.25">
      <c r="A165" s="7"/>
      <c r="E165" s="7"/>
      <c r="F165" s="7"/>
      <c r="J165" s="99"/>
    </row>
    <row r="166" spans="1:10" ht="13.2" x14ac:dyDescent="0.25">
      <c r="A166" s="7"/>
      <c r="E166" s="7"/>
      <c r="F166" s="7"/>
      <c r="J166" s="99"/>
    </row>
    <row r="167" spans="1:10" ht="13.2" x14ac:dyDescent="0.25">
      <c r="A167" s="7"/>
      <c r="E167" s="7"/>
      <c r="F167" s="7"/>
      <c r="J167" s="99"/>
    </row>
    <row r="168" spans="1:10" ht="13.2" x14ac:dyDescent="0.25">
      <c r="A168" s="7"/>
      <c r="E168" s="7"/>
      <c r="F168" s="7"/>
      <c r="J168" s="99"/>
    </row>
    <row r="169" spans="1:10" ht="13.2" x14ac:dyDescent="0.25">
      <c r="A169" s="7"/>
      <c r="E169" s="7"/>
      <c r="F169" s="7"/>
      <c r="J169" s="99"/>
    </row>
    <row r="170" spans="1:10" ht="13.2" x14ac:dyDescent="0.25">
      <c r="A170" s="7"/>
      <c r="E170" s="7"/>
      <c r="F170" s="7"/>
      <c r="J170" s="99"/>
    </row>
    <row r="171" spans="1:10" ht="13.2" x14ac:dyDescent="0.25">
      <c r="A171" s="7"/>
      <c r="E171" s="7"/>
      <c r="F171" s="7"/>
      <c r="J171" s="99"/>
    </row>
    <row r="172" spans="1:10" ht="13.2" x14ac:dyDescent="0.25">
      <c r="A172" s="7"/>
      <c r="E172" s="7"/>
      <c r="F172" s="7"/>
      <c r="J172" s="99"/>
    </row>
    <row r="173" spans="1:10" ht="13.2" x14ac:dyDescent="0.25">
      <c r="A173" s="7"/>
      <c r="E173" s="7"/>
      <c r="F173" s="7"/>
      <c r="J173" s="99"/>
    </row>
    <row r="174" spans="1:10" ht="13.2" x14ac:dyDescent="0.25">
      <c r="A174" s="7"/>
      <c r="E174" s="7"/>
      <c r="F174" s="7"/>
      <c r="J174" s="99"/>
    </row>
    <row r="175" spans="1:10" ht="13.2" x14ac:dyDescent="0.25">
      <c r="A175" s="7"/>
      <c r="E175" s="7"/>
      <c r="F175" s="7"/>
      <c r="J175" s="99"/>
    </row>
    <row r="176" spans="1:10" ht="13.2" x14ac:dyDescent="0.25">
      <c r="A176" s="7"/>
      <c r="E176" s="7"/>
      <c r="F176" s="7"/>
      <c r="J176" s="99"/>
    </row>
    <row r="177" spans="1:10" ht="13.2" x14ac:dyDescent="0.25">
      <c r="A177" s="7"/>
      <c r="E177" s="7"/>
      <c r="F177" s="7"/>
      <c r="J177" s="99"/>
    </row>
    <row r="178" spans="1:10" ht="13.2" x14ac:dyDescent="0.25">
      <c r="A178" s="7"/>
      <c r="E178" s="7"/>
      <c r="F178" s="7"/>
      <c r="J178" s="99"/>
    </row>
    <row r="179" spans="1:10" ht="13.2" x14ac:dyDescent="0.25">
      <c r="A179" s="7"/>
      <c r="E179" s="7"/>
      <c r="F179" s="7"/>
      <c r="J179" s="99"/>
    </row>
    <row r="180" spans="1:10" ht="13.2" x14ac:dyDescent="0.25">
      <c r="A180" s="7"/>
      <c r="E180" s="7"/>
      <c r="F180" s="7"/>
      <c r="J180" s="99"/>
    </row>
    <row r="181" spans="1:10" ht="13.2" x14ac:dyDescent="0.25">
      <c r="A181" s="7"/>
      <c r="E181" s="7"/>
      <c r="F181" s="7"/>
      <c r="J181" s="99"/>
    </row>
    <row r="182" spans="1:10" ht="13.2" x14ac:dyDescent="0.25">
      <c r="A182" s="7"/>
      <c r="E182" s="7"/>
      <c r="F182" s="7"/>
      <c r="J182" s="99"/>
    </row>
    <row r="183" spans="1:10" ht="13.2" x14ac:dyDescent="0.25">
      <c r="A183" s="7"/>
      <c r="E183" s="7"/>
      <c r="F183" s="7"/>
      <c r="J183" s="99"/>
    </row>
    <row r="184" spans="1:10" ht="13.2" x14ac:dyDescent="0.25">
      <c r="A184" s="7"/>
      <c r="E184" s="7"/>
      <c r="F184" s="7"/>
      <c r="J184" s="99"/>
    </row>
    <row r="185" spans="1:10" ht="13.2" x14ac:dyDescent="0.25">
      <c r="A185" s="7"/>
      <c r="E185" s="7"/>
      <c r="F185" s="7"/>
      <c r="J185" s="99"/>
    </row>
    <row r="186" spans="1:10" ht="13.2" x14ac:dyDescent="0.25">
      <c r="A186" s="7"/>
      <c r="E186" s="7"/>
      <c r="F186" s="7"/>
      <c r="J186" s="99"/>
    </row>
    <row r="187" spans="1:10" ht="13.2" x14ac:dyDescent="0.25">
      <c r="A187" s="7"/>
      <c r="E187" s="7"/>
      <c r="F187" s="7"/>
      <c r="J187" s="99"/>
    </row>
    <row r="188" spans="1:10" ht="13.2" x14ac:dyDescent="0.25">
      <c r="A188" s="7"/>
      <c r="E188" s="7"/>
      <c r="F188" s="7"/>
      <c r="J188" s="99"/>
    </row>
    <row r="189" spans="1:10" ht="13.2" x14ac:dyDescent="0.25">
      <c r="A189" s="7"/>
      <c r="E189" s="7"/>
      <c r="F189" s="7"/>
      <c r="J189" s="99"/>
    </row>
    <row r="190" spans="1:10" ht="13.2" x14ac:dyDescent="0.25">
      <c r="A190" s="7"/>
      <c r="E190" s="7"/>
      <c r="F190" s="7"/>
      <c r="J190" s="99"/>
    </row>
    <row r="191" spans="1:10" ht="13.2" x14ac:dyDescent="0.25">
      <c r="A191" s="7"/>
      <c r="E191" s="7"/>
      <c r="F191" s="7"/>
      <c r="J191" s="99"/>
    </row>
    <row r="192" spans="1:10" ht="13.2" x14ac:dyDescent="0.25">
      <c r="A192" s="7"/>
      <c r="E192" s="7"/>
      <c r="F192" s="7"/>
      <c r="J192" s="99"/>
    </row>
    <row r="193" spans="1:10" ht="13.2" x14ac:dyDescent="0.25">
      <c r="A193" s="7"/>
      <c r="E193" s="7"/>
      <c r="F193" s="7"/>
      <c r="J193" s="99"/>
    </row>
    <row r="194" spans="1:10" ht="13.2" x14ac:dyDescent="0.25">
      <c r="A194" s="7"/>
      <c r="E194" s="7"/>
      <c r="F194" s="7"/>
      <c r="J194" s="99"/>
    </row>
    <row r="195" spans="1:10" ht="13.2" x14ac:dyDescent="0.25">
      <c r="A195" s="7"/>
      <c r="E195" s="7"/>
      <c r="F195" s="7"/>
      <c r="J195" s="99"/>
    </row>
    <row r="196" spans="1:10" ht="13.2" x14ac:dyDescent="0.25">
      <c r="A196" s="7"/>
      <c r="E196" s="7"/>
      <c r="F196" s="7"/>
      <c r="J196" s="99"/>
    </row>
    <row r="197" spans="1:10" ht="13.2" x14ac:dyDescent="0.25">
      <c r="A197" s="7"/>
      <c r="E197" s="7"/>
      <c r="F197" s="7"/>
      <c r="J197" s="99"/>
    </row>
    <row r="198" spans="1:10" ht="13.2" x14ac:dyDescent="0.25">
      <c r="A198" s="7"/>
      <c r="E198" s="7"/>
      <c r="F198" s="7"/>
      <c r="J198" s="99"/>
    </row>
    <row r="199" spans="1:10" ht="13.2" x14ac:dyDescent="0.25">
      <c r="A199" s="7"/>
      <c r="E199" s="7"/>
      <c r="F199" s="7"/>
      <c r="J199" s="99"/>
    </row>
    <row r="200" spans="1:10" ht="13.2" x14ac:dyDescent="0.25">
      <c r="A200" s="7"/>
      <c r="E200" s="7"/>
      <c r="F200" s="7"/>
      <c r="J200" s="99"/>
    </row>
    <row r="201" spans="1:10" ht="13.2" x14ac:dyDescent="0.25">
      <c r="A201" s="7"/>
      <c r="E201" s="7"/>
      <c r="F201" s="7"/>
      <c r="J201" s="99"/>
    </row>
    <row r="202" spans="1:10" ht="13.2" x14ac:dyDescent="0.25">
      <c r="A202" s="7"/>
      <c r="E202" s="7"/>
      <c r="F202" s="7"/>
      <c r="J202" s="99"/>
    </row>
    <row r="203" spans="1:10" ht="13.2" x14ac:dyDescent="0.25">
      <c r="A203" s="7"/>
      <c r="E203" s="7"/>
      <c r="F203" s="7"/>
      <c r="J203" s="99"/>
    </row>
    <row r="204" spans="1:10" ht="13.2" x14ac:dyDescent="0.25">
      <c r="A204" s="7"/>
      <c r="E204" s="7"/>
      <c r="F204" s="7"/>
      <c r="J204" s="99"/>
    </row>
    <row r="205" spans="1:10" ht="13.2" x14ac:dyDescent="0.25">
      <c r="A205" s="7"/>
      <c r="E205" s="7"/>
      <c r="F205" s="7"/>
      <c r="J205" s="99"/>
    </row>
    <row r="206" spans="1:10" ht="13.2" x14ac:dyDescent="0.25">
      <c r="A206" s="7"/>
      <c r="E206" s="7"/>
      <c r="F206" s="7"/>
      <c r="J206" s="99"/>
    </row>
    <row r="207" spans="1:10" ht="13.2" x14ac:dyDescent="0.25">
      <c r="A207" s="7"/>
      <c r="E207" s="7"/>
      <c r="F207" s="7"/>
      <c r="J207" s="99"/>
    </row>
    <row r="208" spans="1:10" ht="13.2" x14ac:dyDescent="0.25">
      <c r="A208" s="7"/>
      <c r="E208" s="7"/>
      <c r="F208" s="7"/>
      <c r="J208" s="99"/>
    </row>
    <row r="209" spans="1:10" ht="13.2" x14ac:dyDescent="0.25">
      <c r="A209" s="7"/>
      <c r="E209" s="7"/>
      <c r="F209" s="7"/>
      <c r="J209" s="99"/>
    </row>
    <row r="210" spans="1:10" ht="13.2" x14ac:dyDescent="0.25">
      <c r="A210" s="7"/>
      <c r="E210" s="7"/>
      <c r="F210" s="7"/>
      <c r="J210" s="99"/>
    </row>
    <row r="211" spans="1:10" ht="13.2" x14ac:dyDescent="0.25">
      <c r="A211" s="7"/>
      <c r="E211" s="7"/>
      <c r="F211" s="7"/>
      <c r="J211" s="99"/>
    </row>
    <row r="212" spans="1:10" ht="13.2" x14ac:dyDescent="0.25">
      <c r="A212" s="7"/>
      <c r="E212" s="7"/>
      <c r="F212" s="7"/>
      <c r="J212" s="99"/>
    </row>
    <row r="213" spans="1:10" ht="13.2" x14ac:dyDescent="0.25">
      <c r="A213" s="7"/>
      <c r="E213" s="7"/>
      <c r="F213" s="7"/>
      <c r="J213" s="99"/>
    </row>
    <row r="214" spans="1:10" ht="13.2" x14ac:dyDescent="0.25">
      <c r="A214" s="7"/>
      <c r="E214" s="7"/>
      <c r="F214" s="7"/>
      <c r="J214" s="99"/>
    </row>
    <row r="215" spans="1:10" ht="13.2" x14ac:dyDescent="0.25">
      <c r="A215" s="7"/>
      <c r="E215" s="7"/>
      <c r="F215" s="7"/>
      <c r="J215" s="99"/>
    </row>
    <row r="216" spans="1:10" ht="13.2" x14ac:dyDescent="0.25">
      <c r="A216" s="7"/>
      <c r="E216" s="7"/>
      <c r="F216" s="7"/>
      <c r="J216" s="99"/>
    </row>
    <row r="217" spans="1:10" ht="13.2" x14ac:dyDescent="0.25">
      <c r="A217" s="7"/>
      <c r="E217" s="7"/>
      <c r="F217" s="7"/>
      <c r="J217" s="99"/>
    </row>
    <row r="218" spans="1:10" ht="13.2" x14ac:dyDescent="0.25">
      <c r="A218" s="7"/>
      <c r="E218" s="7"/>
      <c r="F218" s="7"/>
      <c r="J218" s="99"/>
    </row>
    <row r="219" spans="1:10" ht="13.2" x14ac:dyDescent="0.25">
      <c r="A219" s="7"/>
      <c r="E219" s="7"/>
      <c r="F219" s="7"/>
      <c r="J219" s="99"/>
    </row>
    <row r="220" spans="1:10" ht="13.2" x14ac:dyDescent="0.25">
      <c r="A220" s="7"/>
      <c r="E220" s="7"/>
      <c r="F220" s="7"/>
      <c r="J220" s="99"/>
    </row>
    <row r="221" spans="1:10" ht="13.2" x14ac:dyDescent="0.25">
      <c r="A221" s="7"/>
      <c r="E221" s="7"/>
      <c r="F221" s="7"/>
      <c r="J221" s="99"/>
    </row>
    <row r="222" spans="1:10" ht="13.2" x14ac:dyDescent="0.25">
      <c r="A222" s="7"/>
      <c r="E222" s="7"/>
      <c r="F222" s="7"/>
      <c r="J222" s="99"/>
    </row>
    <row r="223" spans="1:10" ht="13.2" x14ac:dyDescent="0.25">
      <c r="A223" s="7"/>
      <c r="E223" s="7"/>
      <c r="F223" s="7"/>
      <c r="J223" s="99"/>
    </row>
    <row r="224" spans="1:10" ht="13.2" x14ac:dyDescent="0.25">
      <c r="A224" s="7"/>
      <c r="E224" s="7"/>
      <c r="F224" s="7"/>
      <c r="J224" s="99"/>
    </row>
    <row r="225" spans="1:10" ht="13.2" x14ac:dyDescent="0.25">
      <c r="A225" s="7"/>
      <c r="E225" s="7"/>
      <c r="F225" s="7"/>
      <c r="J225" s="99"/>
    </row>
    <row r="226" spans="1:10" ht="13.2" x14ac:dyDescent="0.25">
      <c r="A226" s="7"/>
      <c r="E226" s="7"/>
      <c r="F226" s="7"/>
      <c r="J226" s="99"/>
    </row>
    <row r="227" spans="1:10" ht="13.2" x14ac:dyDescent="0.25">
      <c r="A227" s="7"/>
      <c r="E227" s="7"/>
      <c r="F227" s="7"/>
      <c r="J227" s="99"/>
    </row>
    <row r="228" spans="1:10" ht="13.2" x14ac:dyDescent="0.25">
      <c r="A228" s="7"/>
      <c r="E228" s="7"/>
      <c r="F228" s="7"/>
      <c r="J228" s="99"/>
    </row>
    <row r="229" spans="1:10" ht="13.2" x14ac:dyDescent="0.25">
      <c r="A229" s="7"/>
      <c r="E229" s="7"/>
      <c r="F229" s="7"/>
      <c r="J229" s="99"/>
    </row>
    <row r="230" spans="1:10" ht="13.2" x14ac:dyDescent="0.25">
      <c r="A230" s="7"/>
      <c r="E230" s="7"/>
      <c r="F230" s="7"/>
      <c r="J230" s="99"/>
    </row>
    <row r="231" spans="1:10" ht="13.2" x14ac:dyDescent="0.25">
      <c r="A231" s="7"/>
      <c r="E231" s="7"/>
      <c r="F231" s="7"/>
      <c r="J231" s="99"/>
    </row>
    <row r="232" spans="1:10" ht="13.2" x14ac:dyDescent="0.25">
      <c r="A232" s="7"/>
      <c r="E232" s="7"/>
      <c r="F232" s="7"/>
      <c r="J232" s="99"/>
    </row>
    <row r="233" spans="1:10" ht="13.2" x14ac:dyDescent="0.25">
      <c r="A233" s="7"/>
      <c r="E233" s="7"/>
      <c r="F233" s="7"/>
      <c r="J233" s="99"/>
    </row>
    <row r="234" spans="1:10" ht="13.2" x14ac:dyDescent="0.25">
      <c r="A234" s="7"/>
      <c r="E234" s="7"/>
      <c r="F234" s="7"/>
      <c r="J234" s="99"/>
    </row>
    <row r="235" spans="1:10" ht="13.2" x14ac:dyDescent="0.25">
      <c r="A235" s="7"/>
      <c r="E235" s="7"/>
      <c r="F235" s="7"/>
      <c r="J235" s="99"/>
    </row>
    <row r="236" spans="1:10" ht="13.2" x14ac:dyDescent="0.25">
      <c r="A236" s="7"/>
      <c r="E236" s="7"/>
      <c r="F236" s="7"/>
      <c r="J236" s="99"/>
    </row>
    <row r="237" spans="1:10" ht="13.2" x14ac:dyDescent="0.25">
      <c r="A237" s="7"/>
      <c r="E237" s="7"/>
      <c r="F237" s="7"/>
      <c r="J237" s="99"/>
    </row>
    <row r="238" spans="1:10" ht="13.2" x14ac:dyDescent="0.25">
      <c r="A238" s="7"/>
      <c r="E238" s="7"/>
      <c r="F238" s="7"/>
      <c r="J238" s="99"/>
    </row>
    <row r="239" spans="1:10" ht="13.2" x14ac:dyDescent="0.25">
      <c r="A239" s="7"/>
      <c r="E239" s="7"/>
      <c r="F239" s="7"/>
      <c r="J239" s="99"/>
    </row>
    <row r="240" spans="1:10" ht="13.2" x14ac:dyDescent="0.25">
      <c r="A240" s="7"/>
      <c r="E240" s="7"/>
      <c r="F240" s="7"/>
      <c r="J240" s="99"/>
    </row>
    <row r="241" spans="1:10" ht="13.2" x14ac:dyDescent="0.25">
      <c r="A241" s="7"/>
      <c r="E241" s="7"/>
      <c r="F241" s="7"/>
      <c r="J241" s="99"/>
    </row>
    <row r="242" spans="1:10" ht="13.2" x14ac:dyDescent="0.25">
      <c r="A242" s="7"/>
      <c r="E242" s="7"/>
      <c r="F242" s="7"/>
      <c r="J242" s="99"/>
    </row>
    <row r="243" spans="1:10" ht="13.2" x14ac:dyDescent="0.25">
      <c r="A243" s="7"/>
      <c r="E243" s="7"/>
      <c r="F243" s="7"/>
      <c r="J243" s="99"/>
    </row>
    <row r="244" spans="1:10" ht="13.2" x14ac:dyDescent="0.25">
      <c r="A244" s="7"/>
      <c r="E244" s="7"/>
      <c r="F244" s="7"/>
      <c r="J244" s="99"/>
    </row>
    <row r="245" spans="1:10" ht="13.2" x14ac:dyDescent="0.25">
      <c r="A245" s="7"/>
      <c r="E245" s="7"/>
      <c r="F245" s="7"/>
      <c r="J245" s="99"/>
    </row>
    <row r="246" spans="1:10" ht="13.2" x14ac:dyDescent="0.25">
      <c r="A246" s="7"/>
      <c r="E246" s="7"/>
      <c r="F246" s="7"/>
      <c r="J246" s="99"/>
    </row>
    <row r="247" spans="1:10" ht="13.2" x14ac:dyDescent="0.25">
      <c r="A247" s="7"/>
      <c r="E247" s="7"/>
      <c r="F247" s="7"/>
      <c r="J247" s="99"/>
    </row>
    <row r="248" spans="1:10" ht="13.2" x14ac:dyDescent="0.25">
      <c r="A248" s="7"/>
      <c r="E248" s="7"/>
      <c r="F248" s="7"/>
      <c r="J248" s="99"/>
    </row>
    <row r="249" spans="1:10" ht="13.2" x14ac:dyDescent="0.25">
      <c r="A249" s="7"/>
      <c r="E249" s="7"/>
      <c r="F249" s="7"/>
      <c r="J249" s="99"/>
    </row>
    <row r="250" spans="1:10" ht="13.2" x14ac:dyDescent="0.25">
      <c r="A250" s="7"/>
      <c r="E250" s="7"/>
      <c r="F250" s="7"/>
      <c r="J250" s="99"/>
    </row>
    <row r="251" spans="1:10" ht="13.2" x14ac:dyDescent="0.25">
      <c r="A251" s="7"/>
      <c r="E251" s="7"/>
      <c r="F251" s="7"/>
      <c r="J251" s="99"/>
    </row>
    <row r="252" spans="1:10" ht="13.2" x14ac:dyDescent="0.25">
      <c r="A252" s="7"/>
      <c r="E252" s="7"/>
      <c r="F252" s="7"/>
      <c r="J252" s="99"/>
    </row>
    <row r="253" spans="1:10" ht="13.2" x14ac:dyDescent="0.25">
      <c r="A253" s="7"/>
      <c r="E253" s="7"/>
      <c r="F253" s="7"/>
      <c r="J253" s="99"/>
    </row>
    <row r="254" spans="1:10" ht="13.2" x14ac:dyDescent="0.25">
      <c r="A254" s="7"/>
      <c r="E254" s="7"/>
      <c r="F254" s="7"/>
      <c r="J254" s="99"/>
    </row>
    <row r="255" spans="1:10" ht="13.2" x14ac:dyDescent="0.25">
      <c r="A255" s="7"/>
      <c r="E255" s="7"/>
      <c r="F255" s="7"/>
      <c r="J255" s="99"/>
    </row>
    <row r="256" spans="1:10" ht="13.2" x14ac:dyDescent="0.25">
      <c r="A256" s="7"/>
      <c r="E256" s="7"/>
      <c r="F256" s="7"/>
      <c r="J256" s="99"/>
    </row>
    <row r="257" spans="1:10" ht="13.2" x14ac:dyDescent="0.25">
      <c r="A257" s="7"/>
      <c r="E257" s="7"/>
      <c r="F257" s="7"/>
      <c r="J257" s="99"/>
    </row>
    <row r="258" spans="1:10" ht="13.2" x14ac:dyDescent="0.25">
      <c r="A258" s="7"/>
      <c r="E258" s="7"/>
      <c r="F258" s="7"/>
      <c r="J258" s="99"/>
    </row>
    <row r="259" spans="1:10" ht="13.2" x14ac:dyDescent="0.25">
      <c r="A259" s="7"/>
      <c r="E259" s="7"/>
      <c r="F259" s="7"/>
      <c r="J259" s="99"/>
    </row>
    <row r="260" spans="1:10" ht="13.2" x14ac:dyDescent="0.25">
      <c r="A260" s="7"/>
      <c r="E260" s="7"/>
      <c r="F260" s="7"/>
      <c r="J260" s="99"/>
    </row>
    <row r="261" spans="1:10" ht="13.2" x14ac:dyDescent="0.25">
      <c r="A261" s="7"/>
      <c r="E261" s="7"/>
      <c r="F261" s="7"/>
      <c r="J261" s="99"/>
    </row>
    <row r="262" spans="1:10" ht="13.2" x14ac:dyDescent="0.25">
      <c r="A262" s="7"/>
      <c r="E262" s="7"/>
      <c r="F262" s="7"/>
      <c r="J262" s="99"/>
    </row>
    <row r="263" spans="1:10" ht="13.2" x14ac:dyDescent="0.25">
      <c r="A263" s="7"/>
      <c r="E263" s="7"/>
      <c r="F263" s="7"/>
      <c r="J263" s="99"/>
    </row>
    <row r="264" spans="1:10" ht="13.2" x14ac:dyDescent="0.25">
      <c r="A264" s="7"/>
      <c r="E264" s="7"/>
      <c r="F264" s="7"/>
      <c r="J264" s="99"/>
    </row>
    <row r="265" spans="1:10" ht="13.2" x14ac:dyDescent="0.25">
      <c r="A265" s="7"/>
      <c r="E265" s="7"/>
      <c r="F265" s="7"/>
      <c r="J265" s="99"/>
    </row>
    <row r="266" spans="1:10" ht="13.2" x14ac:dyDescent="0.25">
      <c r="A266" s="7"/>
      <c r="E266" s="7"/>
      <c r="F266" s="7"/>
      <c r="J266" s="99"/>
    </row>
    <row r="267" spans="1:10" ht="13.2" x14ac:dyDescent="0.25">
      <c r="A267" s="7"/>
      <c r="E267" s="7"/>
      <c r="F267" s="7"/>
      <c r="J267" s="99"/>
    </row>
    <row r="268" spans="1:10" ht="13.2" x14ac:dyDescent="0.25">
      <c r="A268" s="7"/>
      <c r="E268" s="7"/>
      <c r="F268" s="7"/>
      <c r="J268" s="99"/>
    </row>
    <row r="269" spans="1:10" ht="13.2" x14ac:dyDescent="0.25">
      <c r="A269" s="7"/>
      <c r="E269" s="7"/>
      <c r="F269" s="7"/>
      <c r="J269" s="99"/>
    </row>
    <row r="270" spans="1:10" ht="13.2" x14ac:dyDescent="0.25">
      <c r="A270" s="7"/>
      <c r="E270" s="7"/>
      <c r="F270" s="7"/>
      <c r="J270" s="99"/>
    </row>
    <row r="271" spans="1:10" ht="13.2" x14ac:dyDescent="0.25">
      <c r="A271" s="7"/>
      <c r="E271" s="7"/>
      <c r="F271" s="7"/>
      <c r="J271" s="99"/>
    </row>
    <row r="272" spans="1:10" ht="13.2" x14ac:dyDescent="0.25">
      <c r="A272" s="7"/>
      <c r="E272" s="7"/>
      <c r="F272" s="7"/>
      <c r="J272" s="99"/>
    </row>
    <row r="273" spans="1:10" ht="13.2" x14ac:dyDescent="0.25">
      <c r="A273" s="7"/>
      <c r="E273" s="7"/>
      <c r="F273" s="7"/>
      <c r="J273" s="99"/>
    </row>
    <row r="274" spans="1:10" ht="13.2" x14ac:dyDescent="0.25">
      <c r="A274" s="7"/>
      <c r="E274" s="7"/>
      <c r="F274" s="7"/>
      <c r="J274" s="99"/>
    </row>
    <row r="275" spans="1:10" ht="13.2" x14ac:dyDescent="0.25">
      <c r="A275" s="7"/>
      <c r="E275" s="7"/>
      <c r="F275" s="7"/>
      <c r="J275" s="99"/>
    </row>
    <row r="276" spans="1:10" ht="13.2" x14ac:dyDescent="0.25">
      <c r="A276" s="7"/>
      <c r="E276" s="7"/>
      <c r="F276" s="7"/>
      <c r="J276" s="99"/>
    </row>
    <row r="277" spans="1:10" ht="13.2" x14ac:dyDescent="0.25">
      <c r="A277" s="7"/>
      <c r="E277" s="7"/>
      <c r="F277" s="7"/>
      <c r="J277" s="99"/>
    </row>
    <row r="278" spans="1:10" ht="13.2" x14ac:dyDescent="0.25">
      <c r="A278" s="7"/>
      <c r="E278" s="7"/>
      <c r="F278" s="7"/>
      <c r="J278" s="99"/>
    </row>
    <row r="279" spans="1:10" ht="13.2" x14ac:dyDescent="0.25">
      <c r="A279" s="7"/>
      <c r="E279" s="7"/>
      <c r="F279" s="7"/>
      <c r="J279" s="99"/>
    </row>
    <row r="280" spans="1:10" ht="13.2" x14ac:dyDescent="0.25">
      <c r="A280" s="7"/>
      <c r="E280" s="7"/>
      <c r="F280" s="7"/>
      <c r="J280" s="99"/>
    </row>
    <row r="281" spans="1:10" ht="13.2" x14ac:dyDescent="0.25">
      <c r="A281" s="7"/>
      <c r="E281" s="7"/>
      <c r="F281" s="7"/>
      <c r="J281" s="99"/>
    </row>
    <row r="282" spans="1:10" ht="13.2" x14ac:dyDescent="0.25">
      <c r="A282" s="7"/>
      <c r="E282" s="7"/>
      <c r="F282" s="7"/>
      <c r="J282" s="99"/>
    </row>
    <row r="283" spans="1:10" ht="13.2" x14ac:dyDescent="0.25">
      <c r="A283" s="7"/>
      <c r="E283" s="7"/>
      <c r="F283" s="7"/>
      <c r="J283" s="99"/>
    </row>
    <row r="284" spans="1:10" ht="13.2" x14ac:dyDescent="0.25">
      <c r="A284" s="7"/>
      <c r="E284" s="7"/>
      <c r="F284" s="7"/>
      <c r="J284" s="99"/>
    </row>
    <row r="285" spans="1:10" ht="13.2" x14ac:dyDescent="0.25">
      <c r="A285" s="7"/>
      <c r="E285" s="7"/>
      <c r="F285" s="7"/>
      <c r="J285" s="99"/>
    </row>
    <row r="286" spans="1:10" ht="13.2" x14ac:dyDescent="0.25">
      <c r="A286" s="7"/>
      <c r="E286" s="7"/>
      <c r="F286" s="7"/>
      <c r="J286" s="99"/>
    </row>
    <row r="287" spans="1:10" ht="13.2" x14ac:dyDescent="0.25">
      <c r="A287" s="7"/>
      <c r="E287" s="7"/>
      <c r="F287" s="7"/>
      <c r="J287" s="99"/>
    </row>
    <row r="288" spans="1:10" ht="13.2" x14ac:dyDescent="0.25">
      <c r="A288" s="7"/>
      <c r="E288" s="7"/>
      <c r="F288" s="7"/>
      <c r="J288" s="99"/>
    </row>
    <row r="289" spans="1:10" ht="13.2" x14ac:dyDescent="0.25">
      <c r="A289" s="7"/>
      <c r="E289" s="7"/>
      <c r="F289" s="7"/>
      <c r="J289" s="99"/>
    </row>
    <row r="290" spans="1:10" ht="13.2" x14ac:dyDescent="0.25">
      <c r="A290" s="7"/>
      <c r="E290" s="7"/>
      <c r="F290" s="7"/>
      <c r="J290" s="99"/>
    </row>
    <row r="291" spans="1:10" ht="13.2" x14ac:dyDescent="0.25">
      <c r="A291" s="7"/>
      <c r="E291" s="7"/>
      <c r="F291" s="7"/>
      <c r="J291" s="99"/>
    </row>
    <row r="292" spans="1:10" ht="13.2" x14ac:dyDescent="0.25">
      <c r="A292" s="7"/>
      <c r="E292" s="7"/>
      <c r="F292" s="7"/>
      <c r="J292" s="99"/>
    </row>
    <row r="293" spans="1:10" ht="13.2" x14ac:dyDescent="0.25">
      <c r="A293" s="7"/>
      <c r="E293" s="7"/>
      <c r="F293" s="7"/>
      <c r="J293" s="99"/>
    </row>
    <row r="294" spans="1:10" ht="13.2" x14ac:dyDescent="0.25">
      <c r="A294" s="7"/>
      <c r="E294" s="7"/>
      <c r="F294" s="7"/>
      <c r="J294" s="99"/>
    </row>
    <row r="295" spans="1:10" ht="13.2" x14ac:dyDescent="0.25">
      <c r="A295" s="7"/>
      <c r="E295" s="7"/>
      <c r="F295" s="7"/>
      <c r="J295" s="99"/>
    </row>
    <row r="296" spans="1:10" ht="13.2" x14ac:dyDescent="0.25">
      <c r="A296" s="7"/>
      <c r="E296" s="7"/>
      <c r="F296" s="7"/>
      <c r="J296" s="99"/>
    </row>
    <row r="297" spans="1:10" ht="13.2" x14ac:dyDescent="0.25">
      <c r="A297" s="7"/>
      <c r="E297" s="7"/>
      <c r="F297" s="7"/>
      <c r="J297" s="99"/>
    </row>
    <row r="298" spans="1:10" ht="13.2" x14ac:dyDescent="0.25">
      <c r="A298" s="7"/>
      <c r="E298" s="7"/>
      <c r="F298" s="7"/>
      <c r="J298" s="99"/>
    </row>
    <row r="299" spans="1:10" ht="13.2" x14ac:dyDescent="0.25">
      <c r="A299" s="7"/>
      <c r="E299" s="7"/>
      <c r="F299" s="7"/>
      <c r="J299" s="99"/>
    </row>
    <row r="300" spans="1:10" ht="13.2" x14ac:dyDescent="0.25">
      <c r="A300" s="7"/>
      <c r="E300" s="7"/>
      <c r="F300" s="7"/>
      <c r="J300" s="99"/>
    </row>
    <row r="301" spans="1:10" ht="13.2" x14ac:dyDescent="0.25">
      <c r="A301" s="7"/>
      <c r="E301" s="7"/>
      <c r="F301" s="7"/>
      <c r="J301" s="99"/>
    </row>
    <row r="302" spans="1:10" ht="13.2" x14ac:dyDescent="0.25">
      <c r="A302" s="7"/>
      <c r="E302" s="7"/>
      <c r="F302" s="7"/>
      <c r="J302" s="99"/>
    </row>
    <row r="303" spans="1:10" ht="13.2" x14ac:dyDescent="0.25">
      <c r="A303" s="7"/>
      <c r="E303" s="7"/>
      <c r="F303" s="7"/>
      <c r="J303" s="99"/>
    </row>
    <row r="304" spans="1:10" ht="13.2" x14ac:dyDescent="0.25">
      <c r="A304" s="7"/>
      <c r="E304" s="7"/>
      <c r="F304" s="7"/>
      <c r="J304" s="99"/>
    </row>
    <row r="305" spans="1:10" ht="13.2" x14ac:dyDescent="0.25">
      <c r="A305" s="7"/>
      <c r="E305" s="7"/>
      <c r="F305" s="7"/>
      <c r="J305" s="99"/>
    </row>
    <row r="306" spans="1:10" ht="13.2" x14ac:dyDescent="0.25">
      <c r="A306" s="7"/>
      <c r="E306" s="7"/>
      <c r="F306" s="7"/>
      <c r="J306" s="99"/>
    </row>
    <row r="307" spans="1:10" ht="13.2" x14ac:dyDescent="0.25">
      <c r="A307" s="7"/>
      <c r="E307" s="7"/>
      <c r="F307" s="7"/>
      <c r="J307" s="99"/>
    </row>
    <row r="308" spans="1:10" ht="13.2" x14ac:dyDescent="0.25">
      <c r="A308" s="7"/>
      <c r="E308" s="7"/>
      <c r="F308" s="7"/>
      <c r="J308" s="99"/>
    </row>
    <row r="309" spans="1:10" ht="13.2" x14ac:dyDescent="0.25">
      <c r="A309" s="7"/>
      <c r="E309" s="7"/>
      <c r="F309" s="7"/>
      <c r="J309" s="99"/>
    </row>
    <row r="310" spans="1:10" ht="13.2" x14ac:dyDescent="0.25">
      <c r="A310" s="7"/>
      <c r="E310" s="7"/>
      <c r="F310" s="7"/>
      <c r="J310" s="99"/>
    </row>
    <row r="311" spans="1:10" ht="13.2" x14ac:dyDescent="0.25">
      <c r="A311" s="7"/>
      <c r="E311" s="7"/>
      <c r="F311" s="7"/>
      <c r="J311" s="99"/>
    </row>
    <row r="312" spans="1:10" ht="13.2" x14ac:dyDescent="0.25">
      <c r="A312" s="7"/>
      <c r="E312" s="7"/>
      <c r="F312" s="7"/>
      <c r="J312" s="99"/>
    </row>
    <row r="313" spans="1:10" ht="13.2" x14ac:dyDescent="0.25">
      <c r="A313" s="7"/>
      <c r="E313" s="7"/>
      <c r="F313" s="7"/>
      <c r="J313" s="99"/>
    </row>
    <row r="314" spans="1:10" ht="13.2" x14ac:dyDescent="0.25">
      <c r="A314" s="7"/>
      <c r="E314" s="7"/>
      <c r="F314" s="7"/>
      <c r="J314" s="99"/>
    </row>
    <row r="315" spans="1:10" ht="13.2" x14ac:dyDescent="0.25">
      <c r="A315" s="7"/>
      <c r="E315" s="7"/>
      <c r="F315" s="7"/>
      <c r="J315" s="99"/>
    </row>
    <row r="316" spans="1:10" ht="13.2" x14ac:dyDescent="0.25">
      <c r="A316" s="7"/>
      <c r="E316" s="7"/>
      <c r="F316" s="7"/>
      <c r="J316" s="99"/>
    </row>
    <row r="317" spans="1:10" ht="13.2" x14ac:dyDescent="0.25">
      <c r="A317" s="7"/>
      <c r="E317" s="7"/>
      <c r="F317" s="7"/>
      <c r="J317" s="99"/>
    </row>
    <row r="318" spans="1:10" ht="13.2" x14ac:dyDescent="0.25">
      <c r="A318" s="7"/>
      <c r="E318" s="7"/>
      <c r="F318" s="7"/>
      <c r="J318" s="99"/>
    </row>
    <row r="319" spans="1:10" ht="13.2" x14ac:dyDescent="0.25">
      <c r="A319" s="7"/>
      <c r="E319" s="7"/>
      <c r="F319" s="7"/>
      <c r="J319" s="99"/>
    </row>
    <row r="320" spans="1:10" ht="13.2" x14ac:dyDescent="0.25">
      <c r="A320" s="7"/>
      <c r="E320" s="7"/>
      <c r="F320" s="7"/>
      <c r="J320" s="99"/>
    </row>
    <row r="321" spans="1:10" ht="13.2" x14ac:dyDescent="0.25">
      <c r="A321" s="7"/>
      <c r="E321" s="7"/>
      <c r="F321" s="7"/>
      <c r="J321" s="99"/>
    </row>
    <row r="322" spans="1:10" ht="13.2" x14ac:dyDescent="0.25">
      <c r="A322" s="7"/>
      <c r="E322" s="7"/>
      <c r="F322" s="7"/>
      <c r="J322" s="99"/>
    </row>
    <row r="323" spans="1:10" ht="13.2" x14ac:dyDescent="0.25">
      <c r="A323" s="7"/>
      <c r="E323" s="7"/>
      <c r="F323" s="7"/>
      <c r="J323" s="99"/>
    </row>
    <row r="324" spans="1:10" ht="13.2" x14ac:dyDescent="0.25">
      <c r="A324" s="7"/>
      <c r="E324" s="7"/>
      <c r="F324" s="7"/>
      <c r="J324" s="99"/>
    </row>
    <row r="325" spans="1:10" ht="13.2" x14ac:dyDescent="0.25">
      <c r="A325" s="7"/>
      <c r="E325" s="7"/>
      <c r="F325" s="7"/>
      <c r="J325" s="99"/>
    </row>
    <row r="326" spans="1:10" ht="13.2" x14ac:dyDescent="0.25">
      <c r="A326" s="7"/>
      <c r="E326" s="7"/>
      <c r="F326" s="7"/>
      <c r="J326" s="99"/>
    </row>
    <row r="327" spans="1:10" ht="13.2" x14ac:dyDescent="0.25">
      <c r="A327" s="7"/>
      <c r="E327" s="7"/>
      <c r="F327" s="7"/>
      <c r="J327" s="99"/>
    </row>
    <row r="328" spans="1:10" ht="13.2" x14ac:dyDescent="0.25">
      <c r="A328" s="7"/>
      <c r="E328" s="7"/>
      <c r="F328" s="7"/>
      <c r="J328" s="99"/>
    </row>
    <row r="329" spans="1:10" ht="13.2" x14ac:dyDescent="0.25">
      <c r="A329" s="7"/>
      <c r="E329" s="7"/>
      <c r="F329" s="7"/>
      <c r="J329" s="99"/>
    </row>
    <row r="330" spans="1:10" ht="13.2" x14ac:dyDescent="0.25">
      <c r="A330" s="7"/>
      <c r="E330" s="7"/>
      <c r="F330" s="7"/>
      <c r="J330" s="99"/>
    </row>
    <row r="331" spans="1:10" ht="13.2" x14ac:dyDescent="0.25">
      <c r="A331" s="7"/>
      <c r="E331" s="7"/>
      <c r="F331" s="7"/>
      <c r="J331" s="99"/>
    </row>
    <row r="332" spans="1:10" ht="13.2" x14ac:dyDescent="0.25">
      <c r="A332" s="7"/>
      <c r="E332" s="7"/>
      <c r="F332" s="7"/>
      <c r="J332" s="99"/>
    </row>
    <row r="333" spans="1:10" ht="13.2" x14ac:dyDescent="0.25">
      <c r="A333" s="7"/>
      <c r="E333" s="7"/>
      <c r="F333" s="7"/>
      <c r="J333" s="99"/>
    </row>
    <row r="334" spans="1:10" ht="13.2" x14ac:dyDescent="0.25">
      <c r="A334" s="7"/>
      <c r="E334" s="7"/>
      <c r="F334" s="7"/>
      <c r="J334" s="99"/>
    </row>
    <row r="335" spans="1:10" ht="13.2" x14ac:dyDescent="0.25">
      <c r="A335" s="7"/>
      <c r="E335" s="7"/>
      <c r="F335" s="7"/>
      <c r="J335" s="99"/>
    </row>
    <row r="336" spans="1:10" ht="13.2" x14ac:dyDescent="0.25">
      <c r="A336" s="7"/>
      <c r="E336" s="7"/>
      <c r="F336" s="7"/>
      <c r="J336" s="99"/>
    </row>
    <row r="337" spans="1:10" ht="13.2" x14ac:dyDescent="0.25">
      <c r="A337" s="7"/>
      <c r="E337" s="7"/>
      <c r="F337" s="7"/>
      <c r="J337" s="99"/>
    </row>
    <row r="338" spans="1:10" ht="13.2" x14ac:dyDescent="0.25">
      <c r="A338" s="7"/>
      <c r="E338" s="7"/>
      <c r="F338" s="7"/>
      <c r="J338" s="99"/>
    </row>
    <row r="339" spans="1:10" ht="13.2" x14ac:dyDescent="0.25">
      <c r="A339" s="7"/>
      <c r="E339" s="7"/>
      <c r="F339" s="7"/>
      <c r="J339" s="99"/>
    </row>
    <row r="340" spans="1:10" ht="13.2" x14ac:dyDescent="0.25">
      <c r="A340" s="7"/>
      <c r="E340" s="7"/>
      <c r="F340" s="7"/>
      <c r="J340" s="99"/>
    </row>
    <row r="341" spans="1:10" ht="13.2" x14ac:dyDescent="0.25">
      <c r="A341" s="7"/>
      <c r="E341" s="7"/>
      <c r="F341" s="7"/>
      <c r="J341" s="99"/>
    </row>
    <row r="342" spans="1:10" ht="13.2" x14ac:dyDescent="0.25">
      <c r="A342" s="7"/>
      <c r="E342" s="7"/>
      <c r="F342" s="7"/>
      <c r="J342" s="99"/>
    </row>
    <row r="343" spans="1:10" ht="13.2" x14ac:dyDescent="0.25">
      <c r="A343" s="7"/>
      <c r="E343" s="7"/>
      <c r="F343" s="7"/>
      <c r="J343" s="99"/>
    </row>
    <row r="344" spans="1:10" ht="13.2" x14ac:dyDescent="0.25">
      <c r="A344" s="7"/>
      <c r="E344" s="7"/>
      <c r="F344" s="7"/>
      <c r="J344" s="99"/>
    </row>
    <row r="345" spans="1:10" ht="13.2" x14ac:dyDescent="0.25">
      <c r="A345" s="7"/>
      <c r="E345" s="7"/>
      <c r="F345" s="7"/>
      <c r="J345" s="99"/>
    </row>
    <row r="346" spans="1:10" ht="13.2" x14ac:dyDescent="0.25">
      <c r="A346" s="7"/>
      <c r="E346" s="7"/>
      <c r="F346" s="7"/>
      <c r="J346" s="99"/>
    </row>
    <row r="347" spans="1:10" ht="13.2" x14ac:dyDescent="0.25">
      <c r="A347" s="7"/>
      <c r="E347" s="7"/>
      <c r="F347" s="7"/>
      <c r="J347" s="99"/>
    </row>
    <row r="348" spans="1:10" ht="13.2" x14ac:dyDescent="0.25">
      <c r="A348" s="7"/>
      <c r="E348" s="7"/>
      <c r="F348" s="7"/>
      <c r="J348" s="99"/>
    </row>
    <row r="349" spans="1:10" ht="13.2" x14ac:dyDescent="0.25">
      <c r="A349" s="7"/>
      <c r="E349" s="7"/>
      <c r="F349" s="7"/>
      <c r="J349" s="99"/>
    </row>
    <row r="350" spans="1:10" ht="13.2" x14ac:dyDescent="0.25">
      <c r="A350" s="7"/>
      <c r="E350" s="7"/>
      <c r="F350" s="7"/>
      <c r="J350" s="99"/>
    </row>
    <row r="351" spans="1:10" ht="13.2" x14ac:dyDescent="0.25">
      <c r="A351" s="7"/>
      <c r="E351" s="7"/>
      <c r="F351" s="7"/>
      <c r="J351" s="99"/>
    </row>
    <row r="352" spans="1:10" ht="13.2" x14ac:dyDescent="0.25">
      <c r="A352" s="7"/>
      <c r="E352" s="7"/>
      <c r="F352" s="7"/>
      <c r="J352" s="99"/>
    </row>
    <row r="353" spans="1:10" ht="13.2" x14ac:dyDescent="0.25">
      <c r="A353" s="7"/>
      <c r="E353" s="7"/>
      <c r="F353" s="7"/>
      <c r="J353" s="99"/>
    </row>
    <row r="354" spans="1:10" ht="13.2" x14ac:dyDescent="0.25">
      <c r="A354" s="7"/>
      <c r="E354" s="7"/>
      <c r="F354" s="7"/>
      <c r="J354" s="99"/>
    </row>
    <row r="355" spans="1:10" ht="13.2" x14ac:dyDescent="0.25">
      <c r="A355" s="7"/>
      <c r="E355" s="7"/>
      <c r="F355" s="7"/>
      <c r="J355" s="99"/>
    </row>
    <row r="356" spans="1:10" ht="13.2" x14ac:dyDescent="0.25">
      <c r="A356" s="7"/>
      <c r="E356" s="7"/>
      <c r="F356" s="7"/>
      <c r="J356" s="99"/>
    </row>
    <row r="357" spans="1:10" ht="13.2" x14ac:dyDescent="0.25">
      <c r="A357" s="7"/>
      <c r="E357" s="7"/>
      <c r="F357" s="7"/>
      <c r="J357" s="99"/>
    </row>
    <row r="358" spans="1:10" ht="13.2" x14ac:dyDescent="0.25">
      <c r="A358" s="7"/>
      <c r="E358" s="7"/>
      <c r="F358" s="7"/>
      <c r="J358" s="99"/>
    </row>
    <row r="359" spans="1:10" ht="13.2" x14ac:dyDescent="0.25">
      <c r="A359" s="7"/>
      <c r="E359" s="7"/>
      <c r="F359" s="7"/>
      <c r="J359" s="99"/>
    </row>
    <row r="360" spans="1:10" ht="13.2" x14ac:dyDescent="0.25">
      <c r="A360" s="7"/>
      <c r="E360" s="7"/>
      <c r="F360" s="7"/>
      <c r="J360" s="99"/>
    </row>
    <row r="361" spans="1:10" ht="13.2" x14ac:dyDescent="0.25">
      <c r="A361" s="7"/>
      <c r="E361" s="7"/>
      <c r="F361" s="7"/>
      <c r="J361" s="99"/>
    </row>
    <row r="362" spans="1:10" ht="13.2" x14ac:dyDescent="0.25">
      <c r="A362" s="7"/>
      <c r="E362" s="7"/>
      <c r="F362" s="7"/>
      <c r="J362" s="99"/>
    </row>
    <row r="363" spans="1:10" ht="13.2" x14ac:dyDescent="0.25">
      <c r="A363" s="7"/>
      <c r="E363" s="7"/>
      <c r="F363" s="7"/>
      <c r="J363" s="99"/>
    </row>
    <row r="364" spans="1:10" ht="13.2" x14ac:dyDescent="0.25">
      <c r="A364" s="7"/>
      <c r="E364" s="7"/>
      <c r="F364" s="7"/>
      <c r="J364" s="99"/>
    </row>
    <row r="365" spans="1:10" ht="13.2" x14ac:dyDescent="0.25">
      <c r="A365" s="7"/>
      <c r="E365" s="7"/>
      <c r="F365" s="7"/>
      <c r="J365" s="99"/>
    </row>
    <row r="366" spans="1:10" ht="13.2" x14ac:dyDescent="0.25">
      <c r="A366" s="7"/>
      <c r="E366" s="7"/>
      <c r="F366" s="7"/>
      <c r="J366" s="99"/>
    </row>
    <row r="367" spans="1:10" ht="13.2" x14ac:dyDescent="0.25">
      <c r="A367" s="7"/>
      <c r="E367" s="7"/>
      <c r="F367" s="7"/>
      <c r="J367" s="99"/>
    </row>
    <row r="368" spans="1:10" ht="13.2" x14ac:dyDescent="0.25">
      <c r="A368" s="7"/>
      <c r="E368" s="7"/>
      <c r="F368" s="7"/>
      <c r="J368" s="99"/>
    </row>
    <row r="369" spans="1:10" ht="13.2" x14ac:dyDescent="0.25">
      <c r="A369" s="7"/>
      <c r="E369" s="7"/>
      <c r="F369" s="7"/>
      <c r="J369" s="99"/>
    </row>
    <row r="370" spans="1:10" ht="13.2" x14ac:dyDescent="0.25">
      <c r="A370" s="7"/>
      <c r="E370" s="7"/>
      <c r="F370" s="7"/>
      <c r="J370" s="99"/>
    </row>
    <row r="371" spans="1:10" ht="13.2" x14ac:dyDescent="0.25">
      <c r="A371" s="7"/>
      <c r="E371" s="7"/>
      <c r="F371" s="7"/>
      <c r="J371" s="99"/>
    </row>
    <row r="372" spans="1:10" ht="13.2" x14ac:dyDescent="0.25">
      <c r="A372" s="7"/>
      <c r="E372" s="7"/>
      <c r="F372" s="7"/>
      <c r="J372" s="99"/>
    </row>
    <row r="373" spans="1:10" ht="13.2" x14ac:dyDescent="0.25">
      <c r="A373" s="7"/>
      <c r="E373" s="7"/>
      <c r="F373" s="7"/>
      <c r="J373" s="99"/>
    </row>
    <row r="374" spans="1:10" ht="13.2" x14ac:dyDescent="0.25">
      <c r="A374" s="7"/>
      <c r="E374" s="7"/>
      <c r="F374" s="7"/>
      <c r="J374" s="99"/>
    </row>
    <row r="375" spans="1:10" ht="13.2" x14ac:dyDescent="0.25">
      <c r="A375" s="7"/>
      <c r="E375" s="7"/>
      <c r="F375" s="7"/>
      <c r="J375" s="99"/>
    </row>
    <row r="376" spans="1:10" ht="13.2" x14ac:dyDescent="0.25">
      <c r="A376" s="7"/>
      <c r="E376" s="7"/>
      <c r="F376" s="7"/>
      <c r="J376" s="99"/>
    </row>
    <row r="377" spans="1:10" ht="13.2" x14ac:dyDescent="0.25">
      <c r="A377" s="7"/>
      <c r="E377" s="7"/>
      <c r="F377" s="7"/>
      <c r="J377" s="99"/>
    </row>
    <row r="378" spans="1:10" ht="13.2" x14ac:dyDescent="0.25">
      <c r="A378" s="7"/>
      <c r="E378" s="7"/>
      <c r="F378" s="7"/>
      <c r="J378" s="99"/>
    </row>
    <row r="379" spans="1:10" ht="13.2" x14ac:dyDescent="0.25">
      <c r="A379" s="7"/>
      <c r="E379" s="7"/>
      <c r="F379" s="7"/>
      <c r="J379" s="99"/>
    </row>
    <row r="380" spans="1:10" ht="13.2" x14ac:dyDescent="0.25">
      <c r="A380" s="7"/>
      <c r="E380" s="7"/>
      <c r="F380" s="7"/>
      <c r="J380" s="99"/>
    </row>
    <row r="381" spans="1:10" ht="13.2" x14ac:dyDescent="0.25">
      <c r="A381" s="7"/>
      <c r="E381" s="7"/>
      <c r="F381" s="7"/>
      <c r="J381" s="99"/>
    </row>
    <row r="382" spans="1:10" ht="13.2" x14ac:dyDescent="0.25">
      <c r="A382" s="7"/>
      <c r="E382" s="7"/>
      <c r="F382" s="7"/>
      <c r="J382" s="99"/>
    </row>
    <row r="383" spans="1:10" ht="13.2" x14ac:dyDescent="0.25">
      <c r="A383" s="7"/>
      <c r="E383" s="7"/>
      <c r="F383" s="7"/>
      <c r="J383" s="99"/>
    </row>
    <row r="384" spans="1:10" ht="13.2" x14ac:dyDescent="0.25">
      <c r="A384" s="7"/>
      <c r="E384" s="7"/>
      <c r="F384" s="7"/>
      <c r="J384" s="99"/>
    </row>
    <row r="385" spans="1:10" ht="13.2" x14ac:dyDescent="0.25">
      <c r="A385" s="7"/>
      <c r="E385" s="7"/>
      <c r="F385" s="7"/>
      <c r="J385" s="99"/>
    </row>
    <row r="386" spans="1:10" ht="13.2" x14ac:dyDescent="0.25">
      <c r="A386" s="7"/>
      <c r="E386" s="7"/>
      <c r="F386" s="7"/>
      <c r="J386" s="99"/>
    </row>
    <row r="387" spans="1:10" ht="13.2" x14ac:dyDescent="0.25">
      <c r="A387" s="7"/>
      <c r="E387" s="7"/>
      <c r="F387" s="7"/>
      <c r="J387" s="99"/>
    </row>
    <row r="388" spans="1:10" ht="13.2" x14ac:dyDescent="0.25">
      <c r="A388" s="7"/>
      <c r="E388" s="7"/>
      <c r="F388" s="7"/>
      <c r="J388" s="99"/>
    </row>
    <row r="389" spans="1:10" ht="13.2" x14ac:dyDescent="0.25">
      <c r="A389" s="7"/>
      <c r="E389" s="7"/>
      <c r="F389" s="7"/>
      <c r="J389" s="99"/>
    </row>
    <row r="390" spans="1:10" ht="13.2" x14ac:dyDescent="0.25">
      <c r="A390" s="7"/>
      <c r="E390" s="7"/>
      <c r="F390" s="7"/>
      <c r="J390" s="99"/>
    </row>
    <row r="391" spans="1:10" ht="13.2" x14ac:dyDescent="0.25">
      <c r="A391" s="7"/>
      <c r="E391" s="7"/>
      <c r="F391" s="7"/>
      <c r="J391" s="99"/>
    </row>
    <row r="392" spans="1:10" ht="13.2" x14ac:dyDescent="0.25">
      <c r="A392" s="7"/>
      <c r="E392" s="7"/>
      <c r="F392" s="7"/>
      <c r="J392" s="99"/>
    </row>
    <row r="393" spans="1:10" ht="13.2" x14ac:dyDescent="0.25">
      <c r="A393" s="7"/>
      <c r="E393" s="7"/>
      <c r="F393" s="7"/>
      <c r="J393" s="99"/>
    </row>
    <row r="394" spans="1:10" ht="13.2" x14ac:dyDescent="0.25">
      <c r="A394" s="7"/>
      <c r="E394" s="7"/>
      <c r="F394" s="7"/>
      <c r="J394" s="99"/>
    </row>
    <row r="395" spans="1:10" ht="13.2" x14ac:dyDescent="0.25">
      <c r="A395" s="7"/>
      <c r="E395" s="7"/>
      <c r="F395" s="7"/>
      <c r="J395" s="99"/>
    </row>
    <row r="396" spans="1:10" ht="13.2" x14ac:dyDescent="0.25">
      <c r="A396" s="7"/>
      <c r="E396" s="7"/>
      <c r="F396" s="7"/>
      <c r="J396" s="99"/>
    </row>
    <row r="397" spans="1:10" ht="13.2" x14ac:dyDescent="0.25">
      <c r="A397" s="7"/>
      <c r="E397" s="7"/>
      <c r="F397" s="7"/>
      <c r="J397" s="99"/>
    </row>
    <row r="398" spans="1:10" ht="13.2" x14ac:dyDescent="0.25">
      <c r="A398" s="7"/>
      <c r="E398" s="7"/>
      <c r="F398" s="7"/>
      <c r="J398" s="99"/>
    </row>
    <row r="399" spans="1:10" ht="13.2" x14ac:dyDescent="0.25">
      <c r="A399" s="7"/>
      <c r="E399" s="7"/>
      <c r="F399" s="7"/>
      <c r="J399" s="99"/>
    </row>
    <row r="400" spans="1:10" ht="13.2" x14ac:dyDescent="0.25">
      <c r="A400" s="7"/>
      <c r="E400" s="7"/>
      <c r="F400" s="7"/>
      <c r="J400" s="99"/>
    </row>
    <row r="401" spans="1:10" ht="13.2" x14ac:dyDescent="0.25">
      <c r="A401" s="7"/>
      <c r="E401" s="7"/>
      <c r="F401" s="7"/>
      <c r="J401" s="99"/>
    </row>
    <row r="402" spans="1:10" ht="13.2" x14ac:dyDescent="0.25">
      <c r="A402" s="7"/>
      <c r="E402" s="7"/>
      <c r="F402" s="7"/>
      <c r="J402" s="99"/>
    </row>
    <row r="403" spans="1:10" ht="13.2" x14ac:dyDescent="0.25">
      <c r="A403" s="7"/>
      <c r="E403" s="7"/>
      <c r="F403" s="7"/>
      <c r="J403" s="99"/>
    </row>
    <row r="404" spans="1:10" ht="13.2" x14ac:dyDescent="0.25">
      <c r="A404" s="7"/>
      <c r="E404" s="7"/>
      <c r="F404" s="7"/>
      <c r="J404" s="99"/>
    </row>
    <row r="405" spans="1:10" ht="13.2" x14ac:dyDescent="0.25">
      <c r="A405" s="7"/>
      <c r="E405" s="7"/>
      <c r="F405" s="7"/>
      <c r="J405" s="99"/>
    </row>
    <row r="406" spans="1:10" ht="13.2" x14ac:dyDescent="0.25">
      <c r="A406" s="7"/>
      <c r="E406" s="7"/>
      <c r="F406" s="7"/>
      <c r="J406" s="99"/>
    </row>
    <row r="407" spans="1:10" ht="13.2" x14ac:dyDescent="0.25">
      <c r="A407" s="7"/>
      <c r="E407" s="7"/>
      <c r="F407" s="7"/>
      <c r="J407" s="99"/>
    </row>
    <row r="408" spans="1:10" ht="13.2" x14ac:dyDescent="0.25">
      <c r="A408" s="7"/>
      <c r="E408" s="7"/>
      <c r="F408" s="7"/>
      <c r="J408" s="99"/>
    </row>
    <row r="409" spans="1:10" ht="13.2" x14ac:dyDescent="0.25">
      <c r="A409" s="7"/>
      <c r="E409" s="7"/>
      <c r="F409" s="7"/>
      <c r="J409" s="99"/>
    </row>
    <row r="410" spans="1:10" ht="13.2" x14ac:dyDescent="0.25">
      <c r="A410" s="7"/>
      <c r="E410" s="7"/>
      <c r="F410" s="7"/>
      <c r="J410" s="99"/>
    </row>
    <row r="411" spans="1:10" ht="13.2" x14ac:dyDescent="0.25">
      <c r="A411" s="7"/>
      <c r="E411" s="7"/>
      <c r="F411" s="7"/>
      <c r="J411" s="99"/>
    </row>
    <row r="412" spans="1:10" ht="13.2" x14ac:dyDescent="0.25">
      <c r="A412" s="7"/>
      <c r="E412" s="7"/>
      <c r="F412" s="7"/>
      <c r="J412" s="99"/>
    </row>
    <row r="413" spans="1:10" ht="13.2" x14ac:dyDescent="0.25">
      <c r="A413" s="7"/>
      <c r="E413" s="7"/>
      <c r="F413" s="7"/>
      <c r="J413" s="99"/>
    </row>
    <row r="414" spans="1:10" ht="13.2" x14ac:dyDescent="0.25">
      <c r="A414" s="7"/>
      <c r="E414" s="7"/>
      <c r="F414" s="7"/>
      <c r="J414" s="99"/>
    </row>
    <row r="415" spans="1:10" ht="13.2" x14ac:dyDescent="0.25">
      <c r="A415" s="7"/>
      <c r="E415" s="7"/>
      <c r="F415" s="7"/>
      <c r="J415" s="99"/>
    </row>
    <row r="416" spans="1:10" ht="13.2" x14ac:dyDescent="0.25">
      <c r="A416" s="7"/>
      <c r="E416" s="7"/>
      <c r="F416" s="7"/>
      <c r="J416" s="99"/>
    </row>
    <row r="417" spans="1:10" ht="13.2" x14ac:dyDescent="0.25">
      <c r="A417" s="7"/>
      <c r="E417" s="7"/>
      <c r="F417" s="7"/>
      <c r="J417" s="99"/>
    </row>
    <row r="418" spans="1:10" ht="13.2" x14ac:dyDescent="0.25">
      <c r="A418" s="7"/>
      <c r="E418" s="7"/>
      <c r="F418" s="7"/>
      <c r="J418" s="99"/>
    </row>
    <row r="419" spans="1:10" ht="13.2" x14ac:dyDescent="0.25">
      <c r="A419" s="7"/>
      <c r="E419" s="7"/>
      <c r="F419" s="7"/>
      <c r="J419" s="99"/>
    </row>
    <row r="420" spans="1:10" ht="13.2" x14ac:dyDescent="0.25">
      <c r="A420" s="7"/>
      <c r="E420" s="7"/>
      <c r="F420" s="7"/>
      <c r="J420" s="99"/>
    </row>
    <row r="421" spans="1:10" ht="13.2" x14ac:dyDescent="0.25">
      <c r="A421" s="7"/>
      <c r="E421" s="7"/>
      <c r="F421" s="7"/>
      <c r="J421" s="99"/>
    </row>
    <row r="422" spans="1:10" ht="13.2" x14ac:dyDescent="0.25">
      <c r="A422" s="7"/>
      <c r="E422" s="7"/>
      <c r="F422" s="7"/>
      <c r="J422" s="99"/>
    </row>
    <row r="423" spans="1:10" ht="13.2" x14ac:dyDescent="0.25">
      <c r="A423" s="7"/>
      <c r="E423" s="7"/>
      <c r="F423" s="7"/>
      <c r="J423" s="99"/>
    </row>
    <row r="424" spans="1:10" ht="13.2" x14ac:dyDescent="0.25">
      <c r="A424" s="7"/>
      <c r="E424" s="7"/>
      <c r="F424" s="7"/>
      <c r="J424" s="99"/>
    </row>
    <row r="425" spans="1:10" ht="13.2" x14ac:dyDescent="0.25">
      <c r="A425" s="7"/>
      <c r="E425" s="7"/>
      <c r="F425" s="7"/>
      <c r="J425" s="99"/>
    </row>
    <row r="426" spans="1:10" ht="13.2" x14ac:dyDescent="0.25">
      <c r="A426" s="7"/>
      <c r="E426" s="7"/>
      <c r="F426" s="7"/>
      <c r="J426" s="99"/>
    </row>
    <row r="427" spans="1:10" ht="13.2" x14ac:dyDescent="0.25">
      <c r="A427" s="7"/>
      <c r="E427" s="7"/>
      <c r="F427" s="7"/>
      <c r="J427" s="99"/>
    </row>
    <row r="428" spans="1:10" ht="13.2" x14ac:dyDescent="0.25">
      <c r="A428" s="7"/>
      <c r="E428" s="7"/>
      <c r="F428" s="7"/>
      <c r="J428" s="99"/>
    </row>
    <row r="429" spans="1:10" ht="13.2" x14ac:dyDescent="0.25">
      <c r="A429" s="7"/>
      <c r="E429" s="7"/>
      <c r="F429" s="7"/>
      <c r="J429" s="99"/>
    </row>
    <row r="430" spans="1:10" ht="13.2" x14ac:dyDescent="0.25">
      <c r="A430" s="7"/>
      <c r="E430" s="7"/>
      <c r="F430" s="7"/>
      <c r="J430" s="99"/>
    </row>
    <row r="431" spans="1:10" ht="13.2" x14ac:dyDescent="0.25">
      <c r="A431" s="7"/>
      <c r="E431" s="7"/>
      <c r="F431" s="7"/>
      <c r="J431" s="99"/>
    </row>
    <row r="432" spans="1:10" ht="13.2" x14ac:dyDescent="0.25">
      <c r="A432" s="7"/>
      <c r="E432" s="7"/>
      <c r="F432" s="7"/>
      <c r="J432" s="99"/>
    </row>
    <row r="433" spans="1:10" ht="13.2" x14ac:dyDescent="0.25">
      <c r="A433" s="7"/>
      <c r="E433" s="7"/>
      <c r="F433" s="7"/>
      <c r="J433" s="99"/>
    </row>
    <row r="434" spans="1:10" ht="13.2" x14ac:dyDescent="0.25">
      <c r="A434" s="7"/>
      <c r="E434" s="7"/>
      <c r="F434" s="7"/>
      <c r="J434" s="99"/>
    </row>
    <row r="435" spans="1:10" ht="13.2" x14ac:dyDescent="0.25">
      <c r="A435" s="7"/>
      <c r="E435" s="7"/>
      <c r="F435" s="7"/>
      <c r="J435" s="99"/>
    </row>
    <row r="436" spans="1:10" ht="13.2" x14ac:dyDescent="0.25">
      <c r="A436" s="7"/>
      <c r="E436" s="7"/>
      <c r="F436" s="7"/>
      <c r="J436" s="99"/>
    </row>
    <row r="437" spans="1:10" ht="13.2" x14ac:dyDescent="0.25">
      <c r="A437" s="7"/>
      <c r="E437" s="7"/>
      <c r="F437" s="7"/>
      <c r="J437" s="99"/>
    </row>
    <row r="438" spans="1:10" ht="13.2" x14ac:dyDescent="0.25">
      <c r="A438" s="7"/>
      <c r="E438" s="7"/>
      <c r="F438" s="7"/>
      <c r="J438" s="99"/>
    </row>
    <row r="439" spans="1:10" ht="13.2" x14ac:dyDescent="0.25">
      <c r="A439" s="7"/>
      <c r="E439" s="7"/>
      <c r="F439" s="7"/>
      <c r="J439" s="99"/>
    </row>
    <row r="440" spans="1:10" ht="13.2" x14ac:dyDescent="0.25">
      <c r="A440" s="7"/>
      <c r="E440" s="7"/>
      <c r="F440" s="7"/>
      <c r="J440" s="99"/>
    </row>
    <row r="441" spans="1:10" ht="13.2" x14ac:dyDescent="0.25">
      <c r="A441" s="7"/>
      <c r="E441" s="7"/>
      <c r="F441" s="7"/>
      <c r="J441" s="99"/>
    </row>
    <row r="442" spans="1:10" ht="13.2" x14ac:dyDescent="0.25">
      <c r="A442" s="7"/>
      <c r="E442" s="7"/>
      <c r="F442" s="7"/>
      <c r="J442" s="99"/>
    </row>
    <row r="443" spans="1:10" ht="13.2" x14ac:dyDescent="0.25">
      <c r="A443" s="7"/>
      <c r="E443" s="7"/>
      <c r="F443" s="7"/>
      <c r="J443" s="99"/>
    </row>
    <row r="444" spans="1:10" ht="13.2" x14ac:dyDescent="0.25">
      <c r="A444" s="7"/>
      <c r="E444" s="7"/>
      <c r="F444" s="7"/>
      <c r="J444" s="99"/>
    </row>
    <row r="445" spans="1:10" ht="13.2" x14ac:dyDescent="0.25">
      <c r="A445" s="7"/>
      <c r="E445" s="7"/>
      <c r="F445" s="7"/>
      <c r="J445" s="99"/>
    </row>
    <row r="446" spans="1:10" ht="13.2" x14ac:dyDescent="0.25">
      <c r="A446" s="7"/>
      <c r="E446" s="7"/>
      <c r="F446" s="7"/>
      <c r="J446" s="99"/>
    </row>
    <row r="447" spans="1:10" ht="13.2" x14ac:dyDescent="0.25">
      <c r="A447" s="7"/>
      <c r="E447" s="7"/>
      <c r="F447" s="7"/>
      <c r="J447" s="99"/>
    </row>
    <row r="448" spans="1:10" ht="13.2" x14ac:dyDescent="0.25">
      <c r="A448" s="7"/>
      <c r="E448" s="7"/>
      <c r="F448" s="7"/>
      <c r="J448" s="99"/>
    </row>
    <row r="449" spans="1:10" ht="13.2" x14ac:dyDescent="0.25">
      <c r="A449" s="7"/>
      <c r="E449" s="7"/>
      <c r="F449" s="7"/>
      <c r="J449" s="99"/>
    </row>
    <row r="450" spans="1:10" ht="13.2" x14ac:dyDescent="0.25">
      <c r="A450" s="7"/>
      <c r="E450" s="7"/>
      <c r="F450" s="7"/>
      <c r="J450" s="99"/>
    </row>
    <row r="451" spans="1:10" ht="13.2" x14ac:dyDescent="0.25">
      <c r="A451" s="7"/>
      <c r="E451" s="7"/>
      <c r="F451" s="7"/>
      <c r="J451" s="99"/>
    </row>
    <row r="452" spans="1:10" ht="13.2" x14ac:dyDescent="0.25">
      <c r="A452" s="7"/>
      <c r="E452" s="7"/>
      <c r="F452" s="7"/>
      <c r="J452" s="99"/>
    </row>
    <row r="453" spans="1:10" ht="13.2" x14ac:dyDescent="0.25">
      <c r="A453" s="7"/>
      <c r="E453" s="7"/>
      <c r="F453" s="7"/>
      <c r="J453" s="99"/>
    </row>
    <row r="454" spans="1:10" ht="13.2" x14ac:dyDescent="0.25">
      <c r="A454" s="7"/>
      <c r="E454" s="7"/>
      <c r="F454" s="7"/>
      <c r="J454" s="99"/>
    </row>
    <row r="455" spans="1:10" ht="13.2" x14ac:dyDescent="0.25">
      <c r="A455" s="7"/>
      <c r="E455" s="7"/>
      <c r="F455" s="7"/>
      <c r="J455" s="99"/>
    </row>
    <row r="456" spans="1:10" ht="13.2" x14ac:dyDescent="0.25">
      <c r="A456" s="7"/>
      <c r="E456" s="7"/>
      <c r="F456" s="7"/>
      <c r="J456" s="99"/>
    </row>
    <row r="457" spans="1:10" ht="13.2" x14ac:dyDescent="0.25">
      <c r="A457" s="7"/>
      <c r="E457" s="7"/>
      <c r="F457" s="7"/>
      <c r="J457" s="99"/>
    </row>
    <row r="458" spans="1:10" ht="13.2" x14ac:dyDescent="0.25">
      <c r="A458" s="7"/>
      <c r="E458" s="7"/>
      <c r="F458" s="7"/>
      <c r="J458" s="99"/>
    </row>
    <row r="459" spans="1:10" ht="13.2" x14ac:dyDescent="0.25">
      <c r="A459" s="7"/>
      <c r="E459" s="7"/>
      <c r="F459" s="7"/>
      <c r="J459" s="99"/>
    </row>
    <row r="460" spans="1:10" ht="13.2" x14ac:dyDescent="0.25">
      <c r="A460" s="7"/>
      <c r="E460" s="7"/>
      <c r="F460" s="7"/>
      <c r="J460" s="99"/>
    </row>
    <row r="461" spans="1:10" ht="13.2" x14ac:dyDescent="0.25">
      <c r="A461" s="7"/>
      <c r="E461" s="7"/>
      <c r="F461" s="7"/>
      <c r="J461" s="99"/>
    </row>
    <row r="462" spans="1:10" ht="13.2" x14ac:dyDescent="0.25">
      <c r="A462" s="7"/>
      <c r="E462" s="7"/>
      <c r="F462" s="7"/>
      <c r="J462" s="99"/>
    </row>
    <row r="463" spans="1:10" ht="13.2" x14ac:dyDescent="0.25">
      <c r="A463" s="7"/>
      <c r="E463" s="7"/>
      <c r="F463" s="7"/>
      <c r="J463" s="99"/>
    </row>
    <row r="464" spans="1:10" ht="13.2" x14ac:dyDescent="0.25">
      <c r="A464" s="7"/>
      <c r="E464" s="7"/>
      <c r="F464" s="7"/>
      <c r="J464" s="99"/>
    </row>
    <row r="465" spans="1:10" ht="13.2" x14ac:dyDescent="0.25">
      <c r="A465" s="7"/>
      <c r="E465" s="7"/>
      <c r="F465" s="7"/>
      <c r="J465" s="99"/>
    </row>
    <row r="466" spans="1:10" ht="13.2" x14ac:dyDescent="0.25">
      <c r="A466" s="7"/>
      <c r="E466" s="7"/>
      <c r="F466" s="7"/>
      <c r="J466" s="99"/>
    </row>
    <row r="467" spans="1:10" ht="13.2" x14ac:dyDescent="0.25">
      <c r="A467" s="7"/>
      <c r="E467" s="7"/>
      <c r="F467" s="7"/>
      <c r="J467" s="99"/>
    </row>
    <row r="468" spans="1:10" ht="13.2" x14ac:dyDescent="0.25">
      <c r="A468" s="7"/>
      <c r="E468" s="7"/>
      <c r="F468" s="7"/>
      <c r="J468" s="99"/>
    </row>
    <row r="469" spans="1:10" ht="13.2" x14ac:dyDescent="0.25">
      <c r="A469" s="7"/>
      <c r="E469" s="7"/>
      <c r="F469" s="7"/>
      <c r="J469" s="99"/>
    </row>
    <row r="470" spans="1:10" ht="13.2" x14ac:dyDescent="0.25">
      <c r="A470" s="7"/>
      <c r="E470" s="7"/>
      <c r="F470" s="7"/>
      <c r="J470" s="99"/>
    </row>
    <row r="471" spans="1:10" ht="13.2" x14ac:dyDescent="0.25">
      <c r="A471" s="7"/>
      <c r="E471" s="7"/>
      <c r="F471" s="7"/>
      <c r="J471" s="99"/>
    </row>
    <row r="472" spans="1:10" ht="13.2" x14ac:dyDescent="0.25">
      <c r="A472" s="7"/>
      <c r="E472" s="7"/>
      <c r="F472" s="7"/>
      <c r="J472" s="99"/>
    </row>
    <row r="473" spans="1:10" ht="13.2" x14ac:dyDescent="0.25">
      <c r="A473" s="7"/>
      <c r="E473" s="7"/>
      <c r="F473" s="7"/>
      <c r="J473" s="99"/>
    </row>
    <row r="474" spans="1:10" ht="13.2" x14ac:dyDescent="0.25">
      <c r="A474" s="7"/>
      <c r="E474" s="7"/>
      <c r="F474" s="7"/>
      <c r="J474" s="99"/>
    </row>
    <row r="475" spans="1:10" ht="13.2" x14ac:dyDescent="0.25">
      <c r="A475" s="7"/>
      <c r="E475" s="7"/>
      <c r="F475" s="7"/>
      <c r="J475" s="99"/>
    </row>
    <row r="476" spans="1:10" ht="13.2" x14ac:dyDescent="0.25">
      <c r="A476" s="7"/>
      <c r="E476" s="7"/>
      <c r="F476" s="7"/>
      <c r="J476" s="99"/>
    </row>
    <row r="477" spans="1:10" ht="13.2" x14ac:dyDescent="0.25">
      <c r="A477" s="7"/>
      <c r="E477" s="7"/>
      <c r="F477" s="7"/>
      <c r="J477" s="99"/>
    </row>
    <row r="478" spans="1:10" ht="13.2" x14ac:dyDescent="0.25">
      <c r="A478" s="7"/>
      <c r="E478" s="7"/>
      <c r="F478" s="7"/>
      <c r="J478" s="99"/>
    </row>
    <row r="479" spans="1:10" ht="13.2" x14ac:dyDescent="0.25">
      <c r="A479" s="7"/>
      <c r="E479" s="7"/>
      <c r="F479" s="7"/>
      <c r="J479" s="99"/>
    </row>
    <row r="480" spans="1:10" ht="13.2" x14ac:dyDescent="0.25">
      <c r="A480" s="7"/>
      <c r="E480" s="7"/>
      <c r="F480" s="7"/>
      <c r="J480" s="99"/>
    </row>
    <row r="481" spans="1:10" ht="13.2" x14ac:dyDescent="0.25">
      <c r="A481" s="7"/>
      <c r="E481" s="7"/>
      <c r="F481" s="7"/>
      <c r="J481" s="99"/>
    </row>
    <row r="482" spans="1:10" ht="13.2" x14ac:dyDescent="0.25">
      <c r="A482" s="7"/>
      <c r="E482" s="7"/>
      <c r="F482" s="7"/>
      <c r="J482" s="99"/>
    </row>
    <row r="483" spans="1:10" ht="13.2" x14ac:dyDescent="0.25">
      <c r="A483" s="7"/>
      <c r="E483" s="7"/>
      <c r="F483" s="7"/>
      <c r="J483" s="99"/>
    </row>
    <row r="484" spans="1:10" ht="13.2" x14ac:dyDescent="0.25">
      <c r="A484" s="7"/>
      <c r="E484" s="7"/>
      <c r="F484" s="7"/>
      <c r="J484" s="99"/>
    </row>
    <row r="485" spans="1:10" ht="13.2" x14ac:dyDescent="0.25">
      <c r="A485" s="7"/>
      <c r="E485" s="7"/>
      <c r="F485" s="7"/>
      <c r="J485" s="99"/>
    </row>
    <row r="486" spans="1:10" ht="13.2" x14ac:dyDescent="0.25">
      <c r="A486" s="7"/>
      <c r="E486" s="7"/>
      <c r="F486" s="7"/>
      <c r="J486" s="99"/>
    </row>
    <row r="487" spans="1:10" ht="13.2" x14ac:dyDescent="0.25">
      <c r="A487" s="7"/>
      <c r="E487" s="7"/>
      <c r="F487" s="7"/>
      <c r="J487" s="99"/>
    </row>
    <row r="488" spans="1:10" ht="13.2" x14ac:dyDescent="0.25">
      <c r="A488" s="7"/>
      <c r="E488" s="7"/>
      <c r="F488" s="7"/>
      <c r="J488" s="99"/>
    </row>
    <row r="489" spans="1:10" ht="13.2" x14ac:dyDescent="0.25">
      <c r="A489" s="7"/>
      <c r="E489" s="7"/>
      <c r="F489" s="7"/>
      <c r="J489" s="99"/>
    </row>
    <row r="490" spans="1:10" ht="13.2" x14ac:dyDescent="0.25">
      <c r="A490" s="7"/>
      <c r="E490" s="7"/>
      <c r="F490" s="7"/>
      <c r="J490" s="99"/>
    </row>
    <row r="491" spans="1:10" ht="13.2" x14ac:dyDescent="0.25">
      <c r="A491" s="7"/>
      <c r="E491" s="7"/>
      <c r="F491" s="7"/>
      <c r="J491" s="99"/>
    </row>
    <row r="492" spans="1:10" ht="13.2" x14ac:dyDescent="0.25">
      <c r="A492" s="7"/>
      <c r="E492" s="7"/>
      <c r="F492" s="7"/>
      <c r="J492" s="99"/>
    </row>
    <row r="493" spans="1:10" ht="13.2" x14ac:dyDescent="0.25">
      <c r="A493" s="7"/>
      <c r="E493" s="7"/>
      <c r="F493" s="7"/>
      <c r="J493" s="99"/>
    </row>
    <row r="494" spans="1:10" ht="13.2" x14ac:dyDescent="0.25">
      <c r="A494" s="7"/>
      <c r="E494" s="7"/>
      <c r="F494" s="7"/>
      <c r="J494" s="99"/>
    </row>
    <row r="495" spans="1:10" ht="13.2" x14ac:dyDescent="0.25">
      <c r="A495" s="7"/>
      <c r="E495" s="7"/>
      <c r="F495" s="7"/>
      <c r="J495" s="99"/>
    </row>
    <row r="496" spans="1:10" ht="13.2" x14ac:dyDescent="0.25">
      <c r="A496" s="7"/>
      <c r="E496" s="7"/>
      <c r="F496" s="7"/>
      <c r="J496" s="99"/>
    </row>
    <row r="497" spans="1:10" ht="13.2" x14ac:dyDescent="0.25">
      <c r="A497" s="7"/>
      <c r="E497" s="7"/>
      <c r="F497" s="7"/>
      <c r="J497" s="99"/>
    </row>
    <row r="498" spans="1:10" ht="13.2" x14ac:dyDescent="0.25">
      <c r="A498" s="7"/>
      <c r="E498" s="7"/>
      <c r="F498" s="7"/>
      <c r="J498" s="99"/>
    </row>
    <row r="499" spans="1:10" ht="13.2" x14ac:dyDescent="0.25">
      <c r="A499" s="7"/>
      <c r="E499" s="7"/>
      <c r="F499" s="7"/>
      <c r="J499" s="99"/>
    </row>
    <row r="500" spans="1:10" ht="13.2" x14ac:dyDescent="0.25">
      <c r="A500" s="7"/>
      <c r="E500" s="7"/>
      <c r="F500" s="7"/>
      <c r="J500" s="99"/>
    </row>
    <row r="501" spans="1:10" ht="13.2" x14ac:dyDescent="0.25">
      <c r="A501" s="7"/>
      <c r="E501" s="7"/>
      <c r="F501" s="7"/>
      <c r="J501" s="99"/>
    </row>
    <row r="502" spans="1:10" ht="13.2" x14ac:dyDescent="0.25">
      <c r="A502" s="7"/>
      <c r="E502" s="7"/>
      <c r="F502" s="7"/>
      <c r="J502" s="99"/>
    </row>
    <row r="503" spans="1:10" ht="13.2" x14ac:dyDescent="0.25">
      <c r="A503" s="7"/>
      <c r="E503" s="7"/>
      <c r="F503" s="7"/>
      <c r="J503" s="99"/>
    </row>
    <row r="504" spans="1:10" ht="13.2" x14ac:dyDescent="0.25">
      <c r="A504" s="7"/>
      <c r="E504" s="7"/>
      <c r="F504" s="7"/>
      <c r="J504" s="99"/>
    </row>
    <row r="505" spans="1:10" ht="13.2" x14ac:dyDescent="0.25">
      <c r="A505" s="7"/>
      <c r="E505" s="7"/>
      <c r="F505" s="7"/>
      <c r="J505" s="99"/>
    </row>
    <row r="506" spans="1:10" ht="13.2" x14ac:dyDescent="0.25">
      <c r="A506" s="7"/>
      <c r="E506" s="7"/>
      <c r="F506" s="7"/>
      <c r="J506" s="99"/>
    </row>
    <row r="507" spans="1:10" ht="13.2" x14ac:dyDescent="0.25">
      <c r="A507" s="7"/>
      <c r="E507" s="7"/>
      <c r="F507" s="7"/>
      <c r="J507" s="99"/>
    </row>
    <row r="508" spans="1:10" ht="13.2" x14ac:dyDescent="0.25">
      <c r="A508" s="7"/>
      <c r="E508" s="7"/>
      <c r="F508" s="7"/>
      <c r="J508" s="99"/>
    </row>
    <row r="509" spans="1:10" ht="13.2" x14ac:dyDescent="0.25">
      <c r="A509" s="7"/>
      <c r="E509" s="7"/>
      <c r="F509" s="7"/>
      <c r="J509" s="99"/>
    </row>
    <row r="510" spans="1:10" ht="13.2" x14ac:dyDescent="0.25">
      <c r="A510" s="7"/>
      <c r="E510" s="7"/>
      <c r="F510" s="7"/>
      <c r="J510" s="99"/>
    </row>
    <row r="511" spans="1:10" ht="13.2" x14ac:dyDescent="0.25">
      <c r="A511" s="7"/>
      <c r="E511" s="7"/>
      <c r="F511" s="7"/>
      <c r="J511" s="99"/>
    </row>
    <row r="512" spans="1:10" ht="13.2" x14ac:dyDescent="0.25">
      <c r="A512" s="7"/>
      <c r="E512" s="7"/>
      <c r="F512" s="7"/>
      <c r="J512" s="99"/>
    </row>
    <row r="513" spans="1:10" ht="13.2" x14ac:dyDescent="0.25">
      <c r="A513" s="7"/>
      <c r="E513" s="7"/>
      <c r="F513" s="7"/>
      <c r="J513" s="99"/>
    </row>
    <row r="514" spans="1:10" ht="13.2" x14ac:dyDescent="0.25">
      <c r="A514" s="7"/>
      <c r="E514" s="7"/>
      <c r="F514" s="7"/>
      <c r="J514" s="99"/>
    </row>
    <row r="515" spans="1:10" ht="13.2" x14ac:dyDescent="0.25">
      <c r="A515" s="7"/>
      <c r="E515" s="7"/>
      <c r="F515" s="7"/>
      <c r="J515" s="99"/>
    </row>
    <row r="516" spans="1:10" ht="13.2" x14ac:dyDescent="0.25">
      <c r="A516" s="7"/>
      <c r="E516" s="7"/>
      <c r="F516" s="7"/>
      <c r="J516" s="99"/>
    </row>
    <row r="517" spans="1:10" ht="13.2" x14ac:dyDescent="0.25">
      <c r="A517" s="7"/>
      <c r="E517" s="7"/>
      <c r="F517" s="7"/>
      <c r="J517" s="99"/>
    </row>
    <row r="518" spans="1:10" ht="13.2" x14ac:dyDescent="0.25">
      <c r="A518" s="7"/>
      <c r="E518" s="7"/>
      <c r="F518" s="7"/>
      <c r="J518" s="99"/>
    </row>
    <row r="519" spans="1:10" ht="13.2" x14ac:dyDescent="0.25">
      <c r="A519" s="7"/>
      <c r="E519" s="7"/>
      <c r="F519" s="7"/>
      <c r="J519" s="99"/>
    </row>
    <row r="520" spans="1:10" ht="13.2" x14ac:dyDescent="0.25">
      <c r="A520" s="7"/>
      <c r="E520" s="7"/>
      <c r="F520" s="7"/>
      <c r="J520" s="99"/>
    </row>
    <row r="521" spans="1:10" ht="13.2" x14ac:dyDescent="0.25">
      <c r="A521" s="7"/>
      <c r="E521" s="7"/>
      <c r="F521" s="7"/>
      <c r="J521" s="99"/>
    </row>
    <row r="522" spans="1:10" ht="13.2" x14ac:dyDescent="0.25">
      <c r="A522" s="7"/>
      <c r="E522" s="7"/>
      <c r="F522" s="7"/>
      <c r="J522" s="99"/>
    </row>
    <row r="523" spans="1:10" ht="13.2" x14ac:dyDescent="0.25">
      <c r="A523" s="7"/>
      <c r="E523" s="7"/>
      <c r="F523" s="7"/>
      <c r="J523" s="99"/>
    </row>
    <row r="524" spans="1:10" ht="13.2" x14ac:dyDescent="0.25">
      <c r="A524" s="7"/>
      <c r="E524" s="7"/>
      <c r="F524" s="7"/>
      <c r="J524" s="99"/>
    </row>
    <row r="525" spans="1:10" ht="13.2" x14ac:dyDescent="0.25">
      <c r="A525" s="7"/>
      <c r="E525" s="7"/>
      <c r="F525" s="7"/>
      <c r="J525" s="99"/>
    </row>
    <row r="526" spans="1:10" ht="13.2" x14ac:dyDescent="0.25">
      <c r="A526" s="7"/>
      <c r="E526" s="7"/>
      <c r="F526" s="7"/>
      <c r="J526" s="99"/>
    </row>
    <row r="527" spans="1:10" ht="13.2" x14ac:dyDescent="0.25">
      <c r="A527" s="7"/>
      <c r="E527" s="7"/>
      <c r="F527" s="7"/>
      <c r="J527" s="99"/>
    </row>
    <row r="528" spans="1:10" ht="13.2" x14ac:dyDescent="0.25">
      <c r="A528" s="7"/>
      <c r="E528" s="7"/>
      <c r="F528" s="7"/>
      <c r="J528" s="99"/>
    </row>
    <row r="529" spans="1:10" ht="13.2" x14ac:dyDescent="0.25">
      <c r="A529" s="7"/>
      <c r="E529" s="7"/>
      <c r="F529" s="7"/>
      <c r="J529" s="99"/>
    </row>
    <row r="530" spans="1:10" ht="13.2" x14ac:dyDescent="0.25">
      <c r="A530" s="7"/>
      <c r="E530" s="7"/>
      <c r="F530" s="7"/>
      <c r="J530" s="99"/>
    </row>
    <row r="531" spans="1:10" ht="13.2" x14ac:dyDescent="0.25">
      <c r="A531" s="7"/>
      <c r="E531" s="7"/>
      <c r="F531" s="7"/>
      <c r="J531" s="99"/>
    </row>
    <row r="532" spans="1:10" ht="13.2" x14ac:dyDescent="0.25">
      <c r="A532" s="7"/>
      <c r="E532" s="7"/>
      <c r="F532" s="7"/>
      <c r="J532" s="99"/>
    </row>
    <row r="533" spans="1:10" ht="13.2" x14ac:dyDescent="0.25">
      <c r="A533" s="7"/>
      <c r="E533" s="7"/>
      <c r="F533" s="7"/>
      <c r="J533" s="99"/>
    </row>
    <row r="534" spans="1:10" ht="13.2" x14ac:dyDescent="0.25">
      <c r="A534" s="7"/>
      <c r="E534" s="7"/>
      <c r="F534" s="7"/>
      <c r="J534" s="99"/>
    </row>
    <row r="535" spans="1:10" ht="13.2" x14ac:dyDescent="0.25">
      <c r="A535" s="7"/>
      <c r="E535" s="7"/>
      <c r="F535" s="7"/>
      <c r="J535" s="99"/>
    </row>
    <row r="536" spans="1:10" ht="13.2" x14ac:dyDescent="0.25">
      <c r="A536" s="7"/>
      <c r="E536" s="7"/>
      <c r="F536" s="7"/>
      <c r="J536" s="99"/>
    </row>
    <row r="537" spans="1:10" ht="13.2" x14ac:dyDescent="0.25">
      <c r="A537" s="7"/>
      <c r="E537" s="7"/>
      <c r="F537" s="7"/>
      <c r="J537" s="99"/>
    </row>
    <row r="538" spans="1:10" ht="13.2" x14ac:dyDescent="0.25">
      <c r="A538" s="7"/>
      <c r="E538" s="7"/>
      <c r="F538" s="7"/>
      <c r="J538" s="99"/>
    </row>
    <row r="539" spans="1:10" ht="13.2" x14ac:dyDescent="0.25">
      <c r="A539" s="7"/>
      <c r="E539" s="7"/>
      <c r="F539" s="7"/>
      <c r="J539" s="99"/>
    </row>
    <row r="540" spans="1:10" ht="13.2" x14ac:dyDescent="0.25">
      <c r="A540" s="7"/>
      <c r="E540" s="7"/>
      <c r="F540" s="7"/>
      <c r="J540" s="99"/>
    </row>
    <row r="541" spans="1:10" ht="13.2" x14ac:dyDescent="0.25">
      <c r="A541" s="7"/>
      <c r="E541" s="7"/>
      <c r="F541" s="7"/>
      <c r="J541" s="99"/>
    </row>
    <row r="542" spans="1:10" ht="13.2" x14ac:dyDescent="0.25">
      <c r="A542" s="7"/>
      <c r="E542" s="7"/>
      <c r="F542" s="7"/>
      <c r="J542" s="99"/>
    </row>
    <row r="543" spans="1:10" ht="13.2" x14ac:dyDescent="0.25">
      <c r="A543" s="7"/>
      <c r="E543" s="7"/>
      <c r="F543" s="7"/>
      <c r="J543" s="99"/>
    </row>
    <row r="544" spans="1:10" ht="13.2" x14ac:dyDescent="0.25">
      <c r="A544" s="7"/>
      <c r="E544" s="7"/>
      <c r="F544" s="7"/>
      <c r="J544" s="99"/>
    </row>
    <row r="545" spans="1:10" ht="13.2" x14ac:dyDescent="0.25">
      <c r="A545" s="7"/>
      <c r="E545" s="7"/>
      <c r="F545" s="7"/>
      <c r="J545" s="99"/>
    </row>
    <row r="546" spans="1:10" ht="13.2" x14ac:dyDescent="0.25">
      <c r="A546" s="7"/>
      <c r="E546" s="7"/>
      <c r="F546" s="7"/>
      <c r="J546" s="99"/>
    </row>
    <row r="547" spans="1:10" ht="13.2" x14ac:dyDescent="0.25">
      <c r="A547" s="7"/>
      <c r="E547" s="7"/>
      <c r="F547" s="7"/>
      <c r="J547" s="99"/>
    </row>
    <row r="548" spans="1:10" ht="13.2" x14ac:dyDescent="0.25">
      <c r="A548" s="7"/>
      <c r="E548" s="7"/>
      <c r="F548" s="7"/>
      <c r="J548" s="99"/>
    </row>
    <row r="549" spans="1:10" ht="13.2" x14ac:dyDescent="0.25">
      <c r="A549" s="7"/>
      <c r="E549" s="7"/>
      <c r="F549" s="7"/>
      <c r="J549" s="99"/>
    </row>
    <row r="550" spans="1:10" ht="13.2" x14ac:dyDescent="0.25">
      <c r="A550" s="7"/>
      <c r="E550" s="7"/>
      <c r="F550" s="7"/>
      <c r="J550" s="99"/>
    </row>
    <row r="551" spans="1:10" ht="13.2" x14ac:dyDescent="0.25">
      <c r="A551" s="7"/>
      <c r="E551" s="7"/>
      <c r="F551" s="7"/>
      <c r="J551" s="99"/>
    </row>
    <row r="552" spans="1:10" ht="13.2" x14ac:dyDescent="0.25">
      <c r="A552" s="7"/>
      <c r="E552" s="7"/>
      <c r="F552" s="7"/>
      <c r="J552" s="99"/>
    </row>
    <row r="553" spans="1:10" ht="13.2" x14ac:dyDescent="0.25">
      <c r="A553" s="7"/>
      <c r="E553" s="7"/>
      <c r="F553" s="7"/>
      <c r="J553" s="99"/>
    </row>
    <row r="554" spans="1:10" ht="13.2" x14ac:dyDescent="0.25">
      <c r="A554" s="7"/>
      <c r="E554" s="7"/>
      <c r="F554" s="7"/>
      <c r="J554" s="99"/>
    </row>
    <row r="555" spans="1:10" ht="13.2" x14ac:dyDescent="0.25">
      <c r="A555" s="7"/>
      <c r="E555" s="7"/>
      <c r="F555" s="7"/>
      <c r="J555" s="99"/>
    </row>
    <row r="556" spans="1:10" ht="13.2" x14ac:dyDescent="0.25">
      <c r="A556" s="7"/>
      <c r="E556" s="7"/>
      <c r="F556" s="7"/>
      <c r="J556" s="99"/>
    </row>
    <row r="557" spans="1:10" ht="13.2" x14ac:dyDescent="0.25">
      <c r="A557" s="7"/>
      <c r="E557" s="7"/>
      <c r="F557" s="7"/>
      <c r="J557" s="99"/>
    </row>
    <row r="558" spans="1:10" ht="13.2" x14ac:dyDescent="0.25">
      <c r="A558" s="7"/>
      <c r="E558" s="7"/>
      <c r="F558" s="7"/>
      <c r="J558" s="99"/>
    </row>
    <row r="559" spans="1:10" ht="13.2" x14ac:dyDescent="0.25">
      <c r="A559" s="7"/>
      <c r="E559" s="7"/>
      <c r="F559" s="7"/>
      <c r="J559" s="99"/>
    </row>
    <row r="560" spans="1:10" ht="13.2" x14ac:dyDescent="0.25">
      <c r="A560" s="7"/>
      <c r="E560" s="7"/>
      <c r="F560" s="7"/>
      <c r="J560" s="99"/>
    </row>
    <row r="561" spans="1:10" ht="13.2" x14ac:dyDescent="0.25">
      <c r="A561" s="7"/>
      <c r="E561" s="7"/>
      <c r="F561" s="7"/>
      <c r="J561" s="99"/>
    </row>
    <row r="562" spans="1:10" ht="13.2" x14ac:dyDescent="0.25">
      <c r="A562" s="7"/>
      <c r="E562" s="7"/>
      <c r="F562" s="7"/>
      <c r="J562" s="99"/>
    </row>
    <row r="563" spans="1:10" ht="13.2" x14ac:dyDescent="0.25">
      <c r="A563" s="7"/>
      <c r="E563" s="7"/>
      <c r="F563" s="7"/>
      <c r="J563" s="99"/>
    </row>
    <row r="564" spans="1:10" ht="13.2" x14ac:dyDescent="0.25">
      <c r="A564" s="7"/>
      <c r="E564" s="7"/>
      <c r="F564" s="7"/>
      <c r="J564" s="99"/>
    </row>
    <row r="565" spans="1:10" ht="13.2" x14ac:dyDescent="0.25">
      <c r="A565" s="7"/>
      <c r="E565" s="7"/>
      <c r="F565" s="7"/>
      <c r="J565" s="99"/>
    </row>
    <row r="566" spans="1:10" ht="13.2" x14ac:dyDescent="0.25">
      <c r="A566" s="7"/>
      <c r="E566" s="7"/>
      <c r="F566" s="7"/>
      <c r="J566" s="99"/>
    </row>
    <row r="567" spans="1:10" ht="13.2" x14ac:dyDescent="0.25">
      <c r="A567" s="7"/>
      <c r="E567" s="7"/>
      <c r="F567" s="7"/>
      <c r="J567" s="99"/>
    </row>
    <row r="568" spans="1:10" ht="13.2" x14ac:dyDescent="0.25">
      <c r="A568" s="7"/>
      <c r="E568" s="7"/>
      <c r="F568" s="7"/>
      <c r="J568" s="99"/>
    </row>
    <row r="569" spans="1:10" ht="13.2" x14ac:dyDescent="0.25">
      <c r="A569" s="7"/>
      <c r="E569" s="7"/>
      <c r="F569" s="7"/>
      <c r="J569" s="99"/>
    </row>
    <row r="570" spans="1:10" ht="13.2" x14ac:dyDescent="0.25">
      <c r="A570" s="7"/>
      <c r="E570" s="7"/>
      <c r="F570" s="7"/>
      <c r="J570" s="99"/>
    </row>
    <row r="571" spans="1:10" ht="13.2" x14ac:dyDescent="0.25">
      <c r="A571" s="7"/>
      <c r="E571" s="7"/>
      <c r="F571" s="7"/>
      <c r="J571" s="99"/>
    </row>
    <row r="572" spans="1:10" ht="13.2" x14ac:dyDescent="0.25">
      <c r="A572" s="7"/>
      <c r="E572" s="7"/>
      <c r="F572" s="7"/>
      <c r="J572" s="99"/>
    </row>
    <row r="573" spans="1:10" ht="13.2" x14ac:dyDescent="0.25">
      <c r="A573" s="7"/>
      <c r="E573" s="7"/>
      <c r="F573" s="7"/>
      <c r="J573" s="99"/>
    </row>
    <row r="574" spans="1:10" ht="13.2" x14ac:dyDescent="0.25">
      <c r="A574" s="7"/>
      <c r="E574" s="7"/>
      <c r="F574" s="7"/>
      <c r="J574" s="99"/>
    </row>
    <row r="575" spans="1:10" ht="13.2" x14ac:dyDescent="0.25">
      <c r="A575" s="7"/>
      <c r="E575" s="7"/>
      <c r="F575" s="7"/>
      <c r="J575" s="99"/>
    </row>
    <row r="576" spans="1:10" ht="13.2" x14ac:dyDescent="0.25">
      <c r="A576" s="7"/>
      <c r="E576" s="7"/>
      <c r="F576" s="7"/>
      <c r="J576" s="99"/>
    </row>
    <row r="577" spans="1:10" ht="13.2" x14ac:dyDescent="0.25">
      <c r="A577" s="7"/>
      <c r="E577" s="7"/>
      <c r="F577" s="7"/>
      <c r="J577" s="99"/>
    </row>
    <row r="578" spans="1:10" ht="13.2" x14ac:dyDescent="0.25">
      <c r="A578" s="7"/>
      <c r="E578" s="7"/>
      <c r="F578" s="7"/>
      <c r="J578" s="99"/>
    </row>
    <row r="579" spans="1:10" ht="13.2" x14ac:dyDescent="0.25">
      <c r="A579" s="7"/>
      <c r="E579" s="7"/>
      <c r="F579" s="7"/>
      <c r="J579" s="99"/>
    </row>
    <row r="580" spans="1:10" ht="13.2" x14ac:dyDescent="0.25">
      <c r="A580" s="7"/>
      <c r="E580" s="7"/>
      <c r="F580" s="7"/>
      <c r="J580" s="99"/>
    </row>
    <row r="581" spans="1:10" ht="13.2" x14ac:dyDescent="0.25">
      <c r="A581" s="7"/>
      <c r="E581" s="7"/>
      <c r="F581" s="7"/>
      <c r="J581" s="99"/>
    </row>
    <row r="582" spans="1:10" ht="13.2" x14ac:dyDescent="0.25">
      <c r="A582" s="7"/>
      <c r="E582" s="7"/>
      <c r="F582" s="7"/>
      <c r="J582" s="99"/>
    </row>
    <row r="583" spans="1:10" ht="13.2" x14ac:dyDescent="0.25">
      <c r="A583" s="7"/>
      <c r="E583" s="7"/>
      <c r="F583" s="7"/>
      <c r="J583" s="99"/>
    </row>
    <row r="584" spans="1:10" ht="13.2" x14ac:dyDescent="0.25">
      <c r="A584" s="7"/>
      <c r="E584" s="7"/>
      <c r="F584" s="7"/>
      <c r="J584" s="99"/>
    </row>
    <row r="585" spans="1:10" ht="13.2" x14ac:dyDescent="0.25">
      <c r="A585" s="7"/>
      <c r="E585" s="7"/>
      <c r="F585" s="7"/>
      <c r="J585" s="99"/>
    </row>
    <row r="586" spans="1:10" ht="13.2" x14ac:dyDescent="0.25">
      <c r="A586" s="7"/>
      <c r="E586" s="7"/>
      <c r="F586" s="7"/>
      <c r="J586" s="99"/>
    </row>
    <row r="587" spans="1:10" ht="13.2" x14ac:dyDescent="0.25">
      <c r="A587" s="7"/>
      <c r="E587" s="7"/>
      <c r="F587" s="7"/>
      <c r="J587" s="99"/>
    </row>
    <row r="588" spans="1:10" ht="13.2" x14ac:dyDescent="0.25">
      <c r="A588" s="7"/>
      <c r="E588" s="7"/>
      <c r="F588" s="7"/>
      <c r="J588" s="99"/>
    </row>
    <row r="589" spans="1:10" ht="13.2" x14ac:dyDescent="0.25">
      <c r="A589" s="7"/>
      <c r="E589" s="7"/>
      <c r="F589" s="7"/>
      <c r="J589" s="99"/>
    </row>
    <row r="590" spans="1:10" ht="13.2" x14ac:dyDescent="0.25">
      <c r="A590" s="7"/>
      <c r="E590" s="7"/>
      <c r="F590" s="7"/>
      <c r="J590" s="99"/>
    </row>
    <row r="591" spans="1:10" ht="13.2" x14ac:dyDescent="0.25">
      <c r="A591" s="7"/>
      <c r="E591" s="7"/>
      <c r="F591" s="7"/>
      <c r="J591" s="99"/>
    </row>
    <row r="592" spans="1:10" ht="13.2" x14ac:dyDescent="0.25">
      <c r="A592" s="7"/>
      <c r="E592" s="7"/>
      <c r="F592" s="7"/>
      <c r="J592" s="99"/>
    </row>
    <row r="593" spans="1:10" ht="13.2" x14ac:dyDescent="0.25">
      <c r="A593" s="7"/>
      <c r="E593" s="7"/>
      <c r="F593" s="7"/>
      <c r="J593" s="99"/>
    </row>
    <row r="594" spans="1:10" ht="13.2" x14ac:dyDescent="0.25">
      <c r="A594" s="7"/>
      <c r="E594" s="7"/>
      <c r="F594" s="7"/>
      <c r="J594" s="99"/>
    </row>
    <row r="595" spans="1:10" ht="13.2" x14ac:dyDescent="0.25">
      <c r="A595" s="7"/>
      <c r="E595" s="7"/>
      <c r="F595" s="7"/>
      <c r="J595" s="99"/>
    </row>
    <row r="596" spans="1:10" ht="13.2" x14ac:dyDescent="0.25">
      <c r="A596" s="7"/>
      <c r="E596" s="7"/>
      <c r="F596" s="7"/>
      <c r="J596" s="99"/>
    </row>
    <row r="597" spans="1:10" ht="13.2" x14ac:dyDescent="0.25">
      <c r="A597" s="7"/>
      <c r="E597" s="7"/>
      <c r="F597" s="7"/>
      <c r="J597" s="99"/>
    </row>
    <row r="598" spans="1:10" ht="13.2" x14ac:dyDescent="0.25">
      <c r="A598" s="7"/>
      <c r="E598" s="7"/>
      <c r="F598" s="7"/>
      <c r="J598" s="99"/>
    </row>
    <row r="599" spans="1:10" ht="13.2" x14ac:dyDescent="0.25">
      <c r="A599" s="7"/>
      <c r="E599" s="7"/>
      <c r="F599" s="7"/>
      <c r="J599" s="99"/>
    </row>
    <row r="600" spans="1:10" ht="13.2" x14ac:dyDescent="0.25">
      <c r="A600" s="7"/>
      <c r="E600" s="7"/>
      <c r="F600" s="7"/>
      <c r="J600" s="99"/>
    </row>
    <row r="601" spans="1:10" ht="13.2" x14ac:dyDescent="0.25">
      <c r="A601" s="7"/>
      <c r="E601" s="7"/>
      <c r="F601" s="7"/>
      <c r="J601" s="99"/>
    </row>
    <row r="602" spans="1:10" ht="13.2" x14ac:dyDescent="0.25">
      <c r="A602" s="7"/>
      <c r="E602" s="7"/>
      <c r="F602" s="7"/>
      <c r="J602" s="99"/>
    </row>
    <row r="603" spans="1:10" ht="13.2" x14ac:dyDescent="0.25">
      <c r="A603" s="7"/>
      <c r="E603" s="7"/>
      <c r="F603" s="7"/>
      <c r="J603" s="99"/>
    </row>
    <row r="604" spans="1:10" ht="13.2" x14ac:dyDescent="0.25">
      <c r="A604" s="7"/>
      <c r="E604" s="7"/>
      <c r="F604" s="7"/>
      <c r="J604" s="99"/>
    </row>
    <row r="605" spans="1:10" ht="13.2" x14ac:dyDescent="0.25">
      <c r="A605" s="7"/>
      <c r="E605" s="7"/>
      <c r="F605" s="7"/>
      <c r="J605" s="99"/>
    </row>
    <row r="606" spans="1:10" ht="13.2" x14ac:dyDescent="0.25">
      <c r="A606" s="7"/>
      <c r="E606" s="7"/>
      <c r="F606" s="7"/>
      <c r="J606" s="99"/>
    </row>
    <row r="607" spans="1:10" ht="13.2" x14ac:dyDescent="0.25">
      <c r="A607" s="7"/>
      <c r="E607" s="7"/>
      <c r="F607" s="7"/>
      <c r="J607" s="99"/>
    </row>
    <row r="608" spans="1:10" ht="13.2" x14ac:dyDescent="0.25">
      <c r="A608" s="7"/>
      <c r="E608" s="7"/>
      <c r="F608" s="7"/>
      <c r="J608" s="99"/>
    </row>
    <row r="609" spans="1:10" ht="13.2" x14ac:dyDescent="0.25">
      <c r="A609" s="7"/>
      <c r="E609" s="7"/>
      <c r="F609" s="7"/>
      <c r="J609" s="99"/>
    </row>
    <row r="610" spans="1:10" ht="13.2" x14ac:dyDescent="0.25">
      <c r="A610" s="7"/>
      <c r="E610" s="7"/>
      <c r="F610" s="7"/>
      <c r="J610" s="99"/>
    </row>
    <row r="611" spans="1:10" ht="13.2" x14ac:dyDescent="0.25">
      <c r="A611" s="7"/>
      <c r="E611" s="7"/>
      <c r="F611" s="7"/>
      <c r="J611" s="99"/>
    </row>
    <row r="612" spans="1:10" ht="13.2" x14ac:dyDescent="0.25">
      <c r="A612" s="7"/>
      <c r="E612" s="7"/>
      <c r="F612" s="7"/>
      <c r="J612" s="99"/>
    </row>
    <row r="613" spans="1:10" ht="13.2" x14ac:dyDescent="0.25">
      <c r="A613" s="7"/>
      <c r="E613" s="7"/>
      <c r="F613" s="7"/>
      <c r="J613" s="99"/>
    </row>
    <row r="614" spans="1:10" ht="13.2" x14ac:dyDescent="0.25">
      <c r="A614" s="7"/>
      <c r="E614" s="7"/>
      <c r="F614" s="7"/>
      <c r="J614" s="99"/>
    </row>
    <row r="615" spans="1:10" ht="13.2" x14ac:dyDescent="0.25">
      <c r="A615" s="7"/>
      <c r="E615" s="7"/>
      <c r="F615" s="7"/>
      <c r="J615" s="99"/>
    </row>
    <row r="616" spans="1:10" ht="13.2" x14ac:dyDescent="0.25">
      <c r="A616" s="7"/>
      <c r="E616" s="7"/>
      <c r="F616" s="7"/>
      <c r="J616" s="99"/>
    </row>
    <row r="617" spans="1:10" ht="13.2" x14ac:dyDescent="0.25">
      <c r="A617" s="7"/>
      <c r="E617" s="7"/>
      <c r="F617" s="7"/>
      <c r="J617" s="99"/>
    </row>
    <row r="618" spans="1:10" ht="13.2" x14ac:dyDescent="0.25">
      <c r="A618" s="7"/>
      <c r="E618" s="7"/>
      <c r="F618" s="7"/>
      <c r="J618" s="99"/>
    </row>
    <row r="619" spans="1:10" ht="13.2" x14ac:dyDescent="0.25">
      <c r="A619" s="7"/>
      <c r="E619" s="7"/>
      <c r="F619" s="7"/>
      <c r="J619" s="99"/>
    </row>
    <row r="620" spans="1:10" ht="13.2" x14ac:dyDescent="0.25">
      <c r="A620" s="7"/>
      <c r="E620" s="7"/>
      <c r="F620" s="7"/>
      <c r="J620" s="99"/>
    </row>
    <row r="621" spans="1:10" ht="13.2" x14ac:dyDescent="0.25">
      <c r="A621" s="7"/>
      <c r="E621" s="7"/>
      <c r="F621" s="7"/>
      <c r="J621" s="99"/>
    </row>
    <row r="622" spans="1:10" ht="13.2" x14ac:dyDescent="0.25">
      <c r="A622" s="7"/>
      <c r="E622" s="7"/>
      <c r="F622" s="7"/>
      <c r="J622" s="99"/>
    </row>
    <row r="623" spans="1:10" ht="13.2" x14ac:dyDescent="0.25">
      <c r="A623" s="7"/>
      <c r="E623" s="7"/>
      <c r="F623" s="7"/>
      <c r="J623" s="99"/>
    </row>
    <row r="624" spans="1:10" ht="13.2" x14ac:dyDescent="0.25">
      <c r="A624" s="7"/>
      <c r="E624" s="7"/>
      <c r="F624" s="7"/>
      <c r="J624" s="99"/>
    </row>
    <row r="625" spans="1:10" ht="13.2" x14ac:dyDescent="0.25">
      <c r="A625" s="7"/>
      <c r="E625" s="7"/>
      <c r="F625" s="7"/>
      <c r="J625" s="99"/>
    </row>
    <row r="626" spans="1:10" ht="13.2" x14ac:dyDescent="0.25">
      <c r="A626" s="7"/>
      <c r="E626" s="7"/>
      <c r="F626" s="7"/>
      <c r="J626" s="99"/>
    </row>
    <row r="627" spans="1:10" ht="13.2" x14ac:dyDescent="0.25">
      <c r="A627" s="7"/>
      <c r="E627" s="7"/>
      <c r="F627" s="7"/>
      <c r="J627" s="99"/>
    </row>
    <row r="628" spans="1:10" ht="13.2" x14ac:dyDescent="0.25">
      <c r="A628" s="7"/>
      <c r="E628" s="7"/>
      <c r="F628" s="7"/>
      <c r="J628" s="99"/>
    </row>
    <row r="629" spans="1:10" ht="13.2" x14ac:dyDescent="0.25">
      <c r="A629" s="7"/>
      <c r="E629" s="7"/>
      <c r="F629" s="7"/>
      <c r="J629" s="99"/>
    </row>
    <row r="630" spans="1:10" ht="13.2" x14ac:dyDescent="0.25">
      <c r="A630" s="7"/>
      <c r="E630" s="7"/>
      <c r="F630" s="7"/>
      <c r="J630" s="99"/>
    </row>
    <row r="631" spans="1:10" ht="13.2" x14ac:dyDescent="0.25">
      <c r="A631" s="7"/>
      <c r="E631" s="7"/>
      <c r="F631" s="7"/>
      <c r="J631" s="99"/>
    </row>
    <row r="632" spans="1:10" ht="13.2" x14ac:dyDescent="0.25">
      <c r="A632" s="7"/>
      <c r="E632" s="7"/>
      <c r="F632" s="7"/>
      <c r="J632" s="99"/>
    </row>
    <row r="633" spans="1:10" ht="13.2" x14ac:dyDescent="0.25">
      <c r="A633" s="7"/>
      <c r="E633" s="7"/>
      <c r="F633" s="7"/>
      <c r="J633" s="99"/>
    </row>
    <row r="634" spans="1:10" ht="13.2" x14ac:dyDescent="0.25">
      <c r="A634" s="7"/>
      <c r="E634" s="7"/>
      <c r="F634" s="7"/>
      <c r="J634" s="99"/>
    </row>
    <row r="635" spans="1:10" ht="13.2" x14ac:dyDescent="0.25">
      <c r="A635" s="7"/>
      <c r="E635" s="7"/>
      <c r="F635" s="7"/>
      <c r="J635" s="99"/>
    </row>
    <row r="636" spans="1:10" ht="13.2" x14ac:dyDescent="0.25">
      <c r="A636" s="7"/>
      <c r="E636" s="7"/>
      <c r="F636" s="7"/>
      <c r="J636" s="99"/>
    </row>
    <row r="637" spans="1:10" ht="13.2" x14ac:dyDescent="0.25">
      <c r="A637" s="7"/>
      <c r="E637" s="7"/>
      <c r="F637" s="7"/>
      <c r="J637" s="99"/>
    </row>
    <row r="638" spans="1:10" ht="13.2" x14ac:dyDescent="0.25">
      <c r="A638" s="7"/>
      <c r="E638" s="7"/>
      <c r="F638" s="7"/>
      <c r="J638" s="99"/>
    </row>
    <row r="639" spans="1:10" ht="13.2" x14ac:dyDescent="0.25">
      <c r="A639" s="7"/>
      <c r="E639" s="7"/>
      <c r="F639" s="7"/>
      <c r="J639" s="99"/>
    </row>
    <row r="640" spans="1:10" ht="13.2" x14ac:dyDescent="0.25">
      <c r="A640" s="7"/>
      <c r="E640" s="7"/>
      <c r="F640" s="7"/>
      <c r="J640" s="99"/>
    </row>
    <row r="641" spans="1:10" ht="13.2" x14ac:dyDescent="0.25">
      <c r="A641" s="7"/>
      <c r="E641" s="7"/>
      <c r="F641" s="7"/>
      <c r="J641" s="99"/>
    </row>
    <row r="642" spans="1:10" ht="13.2" x14ac:dyDescent="0.25">
      <c r="A642" s="7"/>
      <c r="E642" s="7"/>
      <c r="F642" s="7"/>
      <c r="J642" s="99"/>
    </row>
    <row r="643" spans="1:10" ht="13.2" x14ac:dyDescent="0.25">
      <c r="A643" s="7"/>
      <c r="E643" s="7"/>
      <c r="F643" s="7"/>
      <c r="J643" s="99"/>
    </row>
    <row r="644" spans="1:10" ht="13.2" x14ac:dyDescent="0.25">
      <c r="A644" s="7"/>
      <c r="E644" s="7"/>
      <c r="F644" s="7"/>
      <c r="J644" s="99"/>
    </row>
    <row r="645" spans="1:10" ht="13.2" x14ac:dyDescent="0.25">
      <c r="A645" s="7"/>
      <c r="E645" s="7"/>
      <c r="F645" s="7"/>
      <c r="J645" s="99"/>
    </row>
    <row r="646" spans="1:10" ht="13.2" x14ac:dyDescent="0.25">
      <c r="A646" s="7"/>
      <c r="E646" s="7"/>
      <c r="F646" s="7"/>
      <c r="J646" s="99"/>
    </row>
    <row r="647" spans="1:10" ht="13.2" x14ac:dyDescent="0.25">
      <c r="A647" s="7"/>
      <c r="E647" s="7"/>
      <c r="F647" s="7"/>
      <c r="J647" s="99"/>
    </row>
    <row r="648" spans="1:10" ht="13.2" x14ac:dyDescent="0.25">
      <c r="A648" s="7"/>
      <c r="E648" s="7"/>
      <c r="F648" s="7"/>
      <c r="J648" s="99"/>
    </row>
    <row r="649" spans="1:10" ht="13.2" x14ac:dyDescent="0.25">
      <c r="A649" s="7"/>
      <c r="E649" s="7"/>
      <c r="F649" s="7"/>
      <c r="J649" s="99"/>
    </row>
    <row r="650" spans="1:10" ht="13.2" x14ac:dyDescent="0.25">
      <c r="A650" s="7"/>
      <c r="E650" s="7"/>
      <c r="F650" s="7"/>
      <c r="J650" s="99"/>
    </row>
    <row r="651" spans="1:10" ht="13.2" x14ac:dyDescent="0.25">
      <c r="A651" s="7"/>
      <c r="E651" s="7"/>
      <c r="F651" s="7"/>
      <c r="J651" s="99"/>
    </row>
    <row r="652" spans="1:10" ht="13.2" x14ac:dyDescent="0.25">
      <c r="A652" s="7"/>
      <c r="E652" s="7"/>
      <c r="F652" s="7"/>
      <c r="J652" s="99"/>
    </row>
    <row r="653" spans="1:10" ht="13.2" x14ac:dyDescent="0.25">
      <c r="A653" s="7"/>
      <c r="E653" s="7"/>
      <c r="F653" s="7"/>
      <c r="J653" s="99"/>
    </row>
    <row r="654" spans="1:10" ht="13.2" x14ac:dyDescent="0.25">
      <c r="A654" s="7"/>
      <c r="E654" s="7"/>
      <c r="F654" s="7"/>
      <c r="J654" s="99"/>
    </row>
    <row r="655" spans="1:10" ht="13.2" x14ac:dyDescent="0.25">
      <c r="A655" s="7"/>
      <c r="E655" s="7"/>
      <c r="F655" s="7"/>
      <c r="J655" s="99"/>
    </row>
    <row r="656" spans="1:10" ht="13.2" x14ac:dyDescent="0.25">
      <c r="A656" s="7"/>
      <c r="E656" s="7"/>
      <c r="F656" s="7"/>
      <c r="J656" s="99"/>
    </row>
    <row r="657" spans="1:10" ht="13.2" x14ac:dyDescent="0.25">
      <c r="A657" s="7"/>
      <c r="E657" s="7"/>
      <c r="F657" s="7"/>
      <c r="J657" s="99"/>
    </row>
    <row r="658" spans="1:10" ht="13.2" x14ac:dyDescent="0.25">
      <c r="A658" s="7"/>
      <c r="E658" s="7"/>
      <c r="F658" s="7"/>
      <c r="J658" s="99"/>
    </row>
    <row r="659" spans="1:10" ht="13.2" x14ac:dyDescent="0.25">
      <c r="A659" s="7"/>
      <c r="E659" s="7"/>
      <c r="F659" s="7"/>
      <c r="J659" s="99"/>
    </row>
    <row r="660" spans="1:10" ht="13.2" x14ac:dyDescent="0.25">
      <c r="A660" s="7"/>
      <c r="E660" s="7"/>
      <c r="F660" s="7"/>
      <c r="J660" s="99"/>
    </row>
    <row r="661" spans="1:10" ht="13.2" x14ac:dyDescent="0.25">
      <c r="A661" s="7"/>
      <c r="E661" s="7"/>
      <c r="F661" s="7"/>
      <c r="J661" s="99"/>
    </row>
    <row r="662" spans="1:10" ht="13.2" x14ac:dyDescent="0.25">
      <c r="A662" s="7"/>
      <c r="E662" s="7"/>
      <c r="F662" s="7"/>
      <c r="J662" s="99"/>
    </row>
    <row r="663" spans="1:10" ht="13.2" x14ac:dyDescent="0.25">
      <c r="A663" s="7"/>
      <c r="E663" s="7"/>
      <c r="F663" s="7"/>
      <c r="J663" s="99"/>
    </row>
    <row r="664" spans="1:10" ht="13.2" x14ac:dyDescent="0.25">
      <c r="A664" s="7"/>
      <c r="E664" s="7"/>
      <c r="F664" s="7"/>
      <c r="J664" s="99"/>
    </row>
    <row r="665" spans="1:10" ht="13.2" x14ac:dyDescent="0.25">
      <c r="A665" s="7"/>
      <c r="E665" s="7"/>
      <c r="F665" s="7"/>
      <c r="J665" s="99"/>
    </row>
    <row r="666" spans="1:10" ht="13.2" x14ac:dyDescent="0.25">
      <c r="A666" s="7"/>
      <c r="E666" s="7"/>
      <c r="F666" s="7"/>
      <c r="J666" s="99"/>
    </row>
    <row r="667" spans="1:10" ht="13.2" x14ac:dyDescent="0.25">
      <c r="A667" s="7"/>
      <c r="E667" s="7"/>
      <c r="F667" s="7"/>
      <c r="J667" s="99"/>
    </row>
    <row r="668" spans="1:10" ht="13.2" x14ac:dyDescent="0.25">
      <c r="A668" s="7"/>
      <c r="E668" s="7"/>
      <c r="F668" s="7"/>
      <c r="J668" s="99"/>
    </row>
    <row r="669" spans="1:10" ht="13.2" x14ac:dyDescent="0.25">
      <c r="A669" s="7"/>
      <c r="E669" s="7"/>
      <c r="F669" s="7"/>
      <c r="J669" s="99"/>
    </row>
    <row r="670" spans="1:10" ht="13.2" x14ac:dyDescent="0.25">
      <c r="A670" s="7"/>
      <c r="E670" s="7"/>
      <c r="F670" s="7"/>
      <c r="J670" s="99"/>
    </row>
    <row r="671" spans="1:10" ht="13.2" x14ac:dyDescent="0.25">
      <c r="A671" s="7"/>
      <c r="E671" s="7"/>
      <c r="F671" s="7"/>
      <c r="J671" s="99"/>
    </row>
    <row r="672" spans="1:10" ht="13.2" x14ac:dyDescent="0.25">
      <c r="A672" s="7"/>
      <c r="E672" s="7"/>
      <c r="F672" s="7"/>
      <c r="J672" s="99"/>
    </row>
    <row r="673" spans="1:10" ht="13.2" x14ac:dyDescent="0.25">
      <c r="A673" s="7"/>
      <c r="E673" s="7"/>
      <c r="F673" s="7"/>
      <c r="J673" s="99"/>
    </row>
    <row r="674" spans="1:10" ht="13.2" x14ac:dyDescent="0.25">
      <c r="A674" s="7"/>
      <c r="E674" s="7"/>
      <c r="F674" s="7"/>
      <c r="J674" s="99"/>
    </row>
    <row r="675" spans="1:10" ht="13.2" x14ac:dyDescent="0.25">
      <c r="A675" s="7"/>
      <c r="E675" s="7"/>
      <c r="F675" s="7"/>
      <c r="J675" s="99"/>
    </row>
    <row r="676" spans="1:10" ht="13.2" x14ac:dyDescent="0.25">
      <c r="A676" s="7"/>
      <c r="E676" s="7"/>
      <c r="F676" s="7"/>
      <c r="J676" s="99"/>
    </row>
    <row r="677" spans="1:10" ht="13.2" x14ac:dyDescent="0.25">
      <c r="A677" s="7"/>
      <c r="E677" s="7"/>
      <c r="F677" s="7"/>
      <c r="J677" s="99"/>
    </row>
    <row r="678" spans="1:10" ht="13.2" x14ac:dyDescent="0.25">
      <c r="A678" s="7"/>
      <c r="E678" s="7"/>
      <c r="F678" s="7"/>
      <c r="J678" s="99"/>
    </row>
    <row r="679" spans="1:10" ht="13.2" x14ac:dyDescent="0.25">
      <c r="A679" s="7"/>
      <c r="E679" s="7"/>
      <c r="F679" s="7"/>
      <c r="J679" s="99"/>
    </row>
    <row r="680" spans="1:10" ht="13.2" x14ac:dyDescent="0.25">
      <c r="A680" s="7"/>
      <c r="E680" s="7"/>
      <c r="F680" s="7"/>
      <c r="J680" s="99"/>
    </row>
    <row r="681" spans="1:10" ht="13.2" x14ac:dyDescent="0.25">
      <c r="A681" s="7"/>
      <c r="E681" s="7"/>
      <c r="F681" s="7"/>
      <c r="J681" s="99"/>
    </row>
    <row r="682" spans="1:10" ht="13.2" x14ac:dyDescent="0.25">
      <c r="A682" s="7"/>
      <c r="E682" s="7"/>
      <c r="F682" s="7"/>
      <c r="J682" s="99"/>
    </row>
    <row r="683" spans="1:10" ht="13.2" x14ac:dyDescent="0.25">
      <c r="A683" s="7"/>
      <c r="E683" s="7"/>
      <c r="F683" s="7"/>
      <c r="J683" s="99"/>
    </row>
    <row r="684" spans="1:10" ht="13.2" x14ac:dyDescent="0.25">
      <c r="A684" s="7"/>
      <c r="E684" s="7"/>
      <c r="F684" s="7"/>
      <c r="J684" s="99"/>
    </row>
    <row r="685" spans="1:10" ht="13.2" x14ac:dyDescent="0.25">
      <c r="A685" s="7"/>
      <c r="E685" s="7"/>
      <c r="F685" s="7"/>
      <c r="J685" s="99"/>
    </row>
    <row r="686" spans="1:10" ht="13.2" x14ac:dyDescent="0.25">
      <c r="A686" s="7"/>
      <c r="E686" s="7"/>
      <c r="F686" s="7"/>
      <c r="J686" s="99"/>
    </row>
    <row r="687" spans="1:10" ht="13.2" x14ac:dyDescent="0.25">
      <c r="A687" s="7"/>
      <c r="E687" s="7"/>
      <c r="F687" s="7"/>
      <c r="J687" s="99"/>
    </row>
    <row r="688" spans="1:10" ht="13.2" x14ac:dyDescent="0.25">
      <c r="A688" s="7"/>
      <c r="E688" s="7"/>
      <c r="F688" s="7"/>
      <c r="J688" s="99"/>
    </row>
    <row r="689" spans="1:10" ht="13.2" x14ac:dyDescent="0.25">
      <c r="A689" s="7"/>
      <c r="E689" s="7"/>
      <c r="F689" s="7"/>
      <c r="J689" s="99"/>
    </row>
    <row r="690" spans="1:10" ht="13.2" x14ac:dyDescent="0.25">
      <c r="A690" s="7"/>
      <c r="E690" s="7"/>
      <c r="F690" s="7"/>
      <c r="J690" s="99"/>
    </row>
    <row r="691" spans="1:10" ht="13.2" x14ac:dyDescent="0.25">
      <c r="A691" s="7"/>
      <c r="E691" s="7"/>
      <c r="F691" s="7"/>
      <c r="J691" s="99"/>
    </row>
    <row r="692" spans="1:10" ht="13.2" x14ac:dyDescent="0.25">
      <c r="A692" s="7"/>
      <c r="E692" s="7"/>
      <c r="F692" s="7"/>
      <c r="J692" s="99"/>
    </row>
    <row r="693" spans="1:10" ht="13.2" x14ac:dyDescent="0.25">
      <c r="A693" s="7"/>
      <c r="E693" s="7"/>
      <c r="F693" s="7"/>
      <c r="J693" s="99"/>
    </row>
    <row r="694" spans="1:10" ht="13.2" x14ac:dyDescent="0.25">
      <c r="A694" s="7"/>
      <c r="E694" s="7"/>
      <c r="F694" s="7"/>
      <c r="J694" s="99"/>
    </row>
    <row r="695" spans="1:10" ht="13.2" x14ac:dyDescent="0.25">
      <c r="A695" s="7"/>
      <c r="E695" s="7"/>
      <c r="F695" s="7"/>
      <c r="J695" s="99"/>
    </row>
    <row r="696" spans="1:10" ht="13.2" x14ac:dyDescent="0.25">
      <c r="A696" s="7"/>
      <c r="E696" s="7"/>
      <c r="F696" s="7"/>
      <c r="J696" s="99"/>
    </row>
    <row r="697" spans="1:10" ht="13.2" x14ac:dyDescent="0.25">
      <c r="A697" s="7"/>
      <c r="E697" s="7"/>
      <c r="F697" s="7"/>
      <c r="J697" s="99"/>
    </row>
    <row r="698" spans="1:10" ht="13.2" x14ac:dyDescent="0.25">
      <c r="A698" s="7"/>
      <c r="E698" s="7"/>
      <c r="F698" s="7"/>
      <c r="J698" s="99"/>
    </row>
    <row r="699" spans="1:10" ht="13.2" x14ac:dyDescent="0.25">
      <c r="A699" s="7"/>
      <c r="E699" s="7"/>
      <c r="F699" s="7"/>
      <c r="J699" s="99"/>
    </row>
    <row r="700" spans="1:10" ht="13.2" x14ac:dyDescent="0.25">
      <c r="A700" s="7"/>
      <c r="E700" s="7"/>
      <c r="F700" s="7"/>
      <c r="J700" s="99"/>
    </row>
    <row r="701" spans="1:10" ht="13.2" x14ac:dyDescent="0.25">
      <c r="A701" s="7"/>
      <c r="E701" s="7"/>
      <c r="F701" s="7"/>
      <c r="J701" s="99"/>
    </row>
    <row r="702" spans="1:10" ht="13.2" x14ac:dyDescent="0.25">
      <c r="A702" s="7"/>
      <c r="E702" s="7"/>
      <c r="F702" s="7"/>
      <c r="J702" s="99"/>
    </row>
    <row r="703" spans="1:10" ht="13.2" x14ac:dyDescent="0.25">
      <c r="A703" s="7"/>
      <c r="E703" s="7"/>
      <c r="F703" s="7"/>
      <c r="J703" s="99"/>
    </row>
    <row r="704" spans="1:10" ht="13.2" x14ac:dyDescent="0.25">
      <c r="A704" s="7"/>
      <c r="E704" s="7"/>
      <c r="F704" s="7"/>
      <c r="J704" s="99"/>
    </row>
    <row r="705" spans="1:10" ht="13.2" x14ac:dyDescent="0.25">
      <c r="A705" s="7"/>
      <c r="E705" s="7"/>
      <c r="F705" s="7"/>
      <c r="J705" s="99"/>
    </row>
    <row r="706" spans="1:10" ht="13.2" x14ac:dyDescent="0.25">
      <c r="A706" s="7"/>
      <c r="E706" s="7"/>
      <c r="F706" s="7"/>
      <c r="J706" s="99"/>
    </row>
    <row r="707" spans="1:10" ht="13.2" x14ac:dyDescent="0.25">
      <c r="A707" s="7"/>
      <c r="E707" s="7"/>
      <c r="F707" s="7"/>
      <c r="J707" s="99"/>
    </row>
    <row r="708" spans="1:10" ht="13.2" x14ac:dyDescent="0.25">
      <c r="A708" s="7"/>
      <c r="E708" s="7"/>
      <c r="F708" s="7"/>
      <c r="J708" s="99"/>
    </row>
    <row r="709" spans="1:10" ht="13.2" x14ac:dyDescent="0.25">
      <c r="A709" s="7"/>
      <c r="E709" s="7"/>
      <c r="F709" s="7"/>
      <c r="J709" s="99"/>
    </row>
    <row r="710" spans="1:10" ht="13.2" x14ac:dyDescent="0.25">
      <c r="A710" s="7"/>
      <c r="E710" s="7"/>
      <c r="F710" s="7"/>
      <c r="J710" s="99"/>
    </row>
    <row r="711" spans="1:10" ht="13.2" x14ac:dyDescent="0.25">
      <c r="A711" s="7"/>
      <c r="E711" s="7"/>
      <c r="F711" s="7"/>
      <c r="J711" s="99"/>
    </row>
    <row r="712" spans="1:10" ht="13.2" x14ac:dyDescent="0.25">
      <c r="A712" s="7"/>
      <c r="E712" s="7"/>
      <c r="F712" s="7"/>
      <c r="J712" s="99"/>
    </row>
    <row r="713" spans="1:10" ht="13.2" x14ac:dyDescent="0.25">
      <c r="A713" s="7"/>
      <c r="E713" s="7"/>
      <c r="F713" s="7"/>
      <c r="J713" s="99"/>
    </row>
    <row r="714" spans="1:10" ht="13.2" x14ac:dyDescent="0.25">
      <c r="A714" s="7"/>
      <c r="E714" s="7"/>
      <c r="F714" s="7"/>
      <c r="J714" s="99"/>
    </row>
    <row r="715" spans="1:10" ht="13.2" x14ac:dyDescent="0.25">
      <c r="A715" s="7"/>
      <c r="E715" s="7"/>
      <c r="F715" s="7"/>
      <c r="J715" s="99"/>
    </row>
    <row r="716" spans="1:10" ht="13.2" x14ac:dyDescent="0.25">
      <c r="A716" s="7"/>
      <c r="E716" s="7"/>
      <c r="F716" s="7"/>
      <c r="J716" s="99"/>
    </row>
    <row r="717" spans="1:10" ht="13.2" x14ac:dyDescent="0.25">
      <c r="A717" s="7"/>
      <c r="E717" s="7"/>
      <c r="F717" s="7"/>
      <c r="J717" s="99"/>
    </row>
    <row r="718" spans="1:10" ht="13.2" x14ac:dyDescent="0.25">
      <c r="A718" s="7"/>
      <c r="E718" s="7"/>
      <c r="F718" s="7"/>
      <c r="J718" s="99"/>
    </row>
    <row r="719" spans="1:10" ht="13.2" x14ac:dyDescent="0.25">
      <c r="A719" s="7"/>
      <c r="E719" s="7"/>
      <c r="F719" s="7"/>
      <c r="J719" s="99"/>
    </row>
    <row r="720" spans="1:10" ht="13.2" x14ac:dyDescent="0.25">
      <c r="A720" s="7"/>
      <c r="E720" s="7"/>
      <c r="F720" s="7"/>
      <c r="J720" s="99"/>
    </row>
    <row r="721" spans="1:10" ht="13.2" x14ac:dyDescent="0.25">
      <c r="A721" s="7"/>
      <c r="E721" s="7"/>
      <c r="F721" s="7"/>
      <c r="J721" s="99"/>
    </row>
    <row r="722" spans="1:10" ht="13.2" x14ac:dyDescent="0.25">
      <c r="A722" s="7"/>
      <c r="E722" s="7"/>
      <c r="F722" s="7"/>
      <c r="J722" s="99"/>
    </row>
    <row r="723" spans="1:10" ht="13.2" x14ac:dyDescent="0.25">
      <c r="A723" s="7"/>
      <c r="E723" s="7"/>
      <c r="F723" s="7"/>
      <c r="J723" s="99"/>
    </row>
    <row r="724" spans="1:10" ht="13.2" x14ac:dyDescent="0.25">
      <c r="A724" s="7"/>
      <c r="E724" s="7"/>
      <c r="F724" s="7"/>
      <c r="J724" s="99"/>
    </row>
    <row r="725" spans="1:10" ht="13.2" x14ac:dyDescent="0.25">
      <c r="A725" s="7"/>
      <c r="E725" s="7"/>
      <c r="F725" s="7"/>
      <c r="J725" s="99"/>
    </row>
    <row r="726" spans="1:10" ht="13.2" x14ac:dyDescent="0.25">
      <c r="A726" s="7"/>
      <c r="E726" s="7"/>
      <c r="F726" s="7"/>
      <c r="J726" s="99"/>
    </row>
    <row r="727" spans="1:10" ht="13.2" x14ac:dyDescent="0.25">
      <c r="A727" s="7"/>
      <c r="E727" s="7"/>
      <c r="F727" s="7"/>
      <c r="J727" s="99"/>
    </row>
    <row r="728" spans="1:10" ht="13.2" x14ac:dyDescent="0.25">
      <c r="A728" s="7"/>
      <c r="E728" s="7"/>
      <c r="F728" s="7"/>
      <c r="J728" s="99"/>
    </row>
    <row r="729" spans="1:10" ht="13.2" x14ac:dyDescent="0.25">
      <c r="A729" s="7"/>
      <c r="E729" s="7"/>
      <c r="F729" s="7"/>
      <c r="J729" s="99"/>
    </row>
    <row r="730" spans="1:10" ht="13.2" x14ac:dyDescent="0.25">
      <c r="A730" s="7"/>
      <c r="E730" s="7"/>
      <c r="F730" s="7"/>
      <c r="J730" s="99"/>
    </row>
    <row r="731" spans="1:10" ht="13.2" x14ac:dyDescent="0.25">
      <c r="A731" s="7"/>
      <c r="E731" s="7"/>
      <c r="F731" s="7"/>
      <c r="J731" s="99"/>
    </row>
    <row r="732" spans="1:10" ht="13.2" x14ac:dyDescent="0.25">
      <c r="A732" s="7"/>
      <c r="E732" s="7"/>
      <c r="F732" s="7"/>
      <c r="J732" s="99"/>
    </row>
    <row r="733" spans="1:10" ht="13.2" x14ac:dyDescent="0.25">
      <c r="A733" s="7"/>
      <c r="E733" s="7"/>
      <c r="F733" s="7"/>
      <c r="J733" s="99"/>
    </row>
    <row r="734" spans="1:10" ht="13.2" x14ac:dyDescent="0.25">
      <c r="A734" s="7"/>
      <c r="E734" s="7"/>
      <c r="F734" s="7"/>
      <c r="J734" s="99"/>
    </row>
    <row r="735" spans="1:10" ht="13.2" x14ac:dyDescent="0.25">
      <c r="A735" s="7"/>
      <c r="E735" s="7"/>
      <c r="F735" s="7"/>
      <c r="J735" s="99"/>
    </row>
    <row r="736" spans="1:10" ht="13.2" x14ac:dyDescent="0.25">
      <c r="A736" s="7"/>
      <c r="E736" s="7"/>
      <c r="F736" s="7"/>
      <c r="J736" s="99"/>
    </row>
    <row r="737" spans="1:10" ht="13.2" x14ac:dyDescent="0.25">
      <c r="A737" s="7"/>
      <c r="E737" s="7"/>
      <c r="F737" s="7"/>
      <c r="J737" s="99"/>
    </row>
    <row r="738" spans="1:10" ht="13.2" x14ac:dyDescent="0.25">
      <c r="A738" s="7"/>
      <c r="E738" s="7"/>
      <c r="F738" s="7"/>
      <c r="J738" s="99"/>
    </row>
    <row r="739" spans="1:10" ht="13.2" x14ac:dyDescent="0.25">
      <c r="A739" s="7"/>
      <c r="E739" s="7"/>
      <c r="F739" s="7"/>
      <c r="J739" s="99"/>
    </row>
    <row r="740" spans="1:10" ht="13.2" x14ac:dyDescent="0.25">
      <c r="A740" s="7"/>
      <c r="E740" s="7"/>
      <c r="F740" s="7"/>
      <c r="J740" s="99"/>
    </row>
    <row r="741" spans="1:10" ht="13.2" x14ac:dyDescent="0.25">
      <c r="A741" s="7"/>
      <c r="E741" s="7"/>
      <c r="F741" s="7"/>
      <c r="J741" s="99"/>
    </row>
    <row r="742" spans="1:10" ht="13.2" x14ac:dyDescent="0.25">
      <c r="A742" s="7"/>
      <c r="E742" s="7"/>
      <c r="F742" s="7"/>
      <c r="J742" s="99"/>
    </row>
    <row r="743" spans="1:10" ht="13.2" x14ac:dyDescent="0.25">
      <c r="A743" s="7"/>
      <c r="E743" s="7"/>
      <c r="F743" s="7"/>
      <c r="J743" s="99"/>
    </row>
    <row r="744" spans="1:10" ht="13.2" x14ac:dyDescent="0.25">
      <c r="A744" s="7"/>
      <c r="E744" s="7"/>
      <c r="F744" s="7"/>
      <c r="J744" s="99"/>
    </row>
    <row r="745" spans="1:10" ht="13.2" x14ac:dyDescent="0.25">
      <c r="A745" s="7"/>
      <c r="E745" s="7"/>
      <c r="F745" s="7"/>
      <c r="J745" s="99"/>
    </row>
    <row r="746" spans="1:10" ht="13.2" x14ac:dyDescent="0.25">
      <c r="A746" s="7"/>
      <c r="E746" s="7"/>
      <c r="F746" s="7"/>
      <c r="J746" s="99"/>
    </row>
    <row r="747" spans="1:10" ht="13.2" x14ac:dyDescent="0.25">
      <c r="A747" s="7"/>
      <c r="E747" s="7"/>
      <c r="F747" s="7"/>
      <c r="J747" s="99"/>
    </row>
    <row r="748" spans="1:10" ht="13.2" x14ac:dyDescent="0.25">
      <c r="A748" s="7"/>
      <c r="E748" s="7"/>
      <c r="F748" s="7"/>
      <c r="J748" s="99"/>
    </row>
    <row r="749" spans="1:10" ht="13.2" x14ac:dyDescent="0.25">
      <c r="A749" s="7"/>
      <c r="E749" s="7"/>
      <c r="F749" s="7"/>
      <c r="J749" s="99"/>
    </row>
    <row r="750" spans="1:10" ht="13.2" x14ac:dyDescent="0.25">
      <c r="A750" s="7"/>
      <c r="E750" s="7"/>
      <c r="F750" s="7"/>
      <c r="J750" s="99"/>
    </row>
    <row r="751" spans="1:10" ht="13.2" x14ac:dyDescent="0.25">
      <c r="A751" s="7"/>
      <c r="E751" s="7"/>
      <c r="F751" s="7"/>
      <c r="J751" s="99"/>
    </row>
    <row r="752" spans="1:10" ht="13.2" x14ac:dyDescent="0.25">
      <c r="A752" s="7"/>
      <c r="E752" s="7"/>
      <c r="F752" s="7"/>
      <c r="J752" s="99"/>
    </row>
    <row r="753" spans="1:10" ht="13.2" x14ac:dyDescent="0.25">
      <c r="A753" s="7"/>
      <c r="E753" s="7"/>
      <c r="F753" s="7"/>
      <c r="J753" s="99"/>
    </row>
    <row r="754" spans="1:10" ht="13.2" x14ac:dyDescent="0.25">
      <c r="A754" s="7"/>
      <c r="E754" s="7"/>
      <c r="F754" s="7"/>
      <c r="J754" s="99"/>
    </row>
    <row r="755" spans="1:10" ht="13.2" x14ac:dyDescent="0.25">
      <c r="A755" s="7"/>
      <c r="E755" s="7"/>
      <c r="F755" s="7"/>
      <c r="J755" s="99"/>
    </row>
    <row r="756" spans="1:10" ht="13.2" x14ac:dyDescent="0.25">
      <c r="A756" s="7"/>
      <c r="E756" s="7"/>
      <c r="F756" s="7"/>
      <c r="J756" s="99"/>
    </row>
    <row r="757" spans="1:10" ht="13.2" x14ac:dyDescent="0.25">
      <c r="A757" s="7"/>
      <c r="E757" s="7"/>
      <c r="F757" s="7"/>
      <c r="J757" s="99"/>
    </row>
    <row r="758" spans="1:10" ht="13.2" x14ac:dyDescent="0.25">
      <c r="A758" s="7"/>
      <c r="E758" s="7"/>
      <c r="F758" s="7"/>
      <c r="J758" s="99"/>
    </row>
    <row r="759" spans="1:10" ht="13.2" x14ac:dyDescent="0.25">
      <c r="A759" s="7"/>
      <c r="E759" s="7"/>
      <c r="F759" s="7"/>
      <c r="J759" s="99"/>
    </row>
    <row r="760" spans="1:10" ht="13.2" x14ac:dyDescent="0.25">
      <c r="A760" s="7"/>
      <c r="E760" s="7"/>
      <c r="F760" s="7"/>
      <c r="J760" s="99"/>
    </row>
    <row r="761" spans="1:10" ht="13.2" x14ac:dyDescent="0.25">
      <c r="A761" s="7"/>
      <c r="E761" s="7"/>
      <c r="F761" s="7"/>
      <c r="J761" s="99"/>
    </row>
    <row r="762" spans="1:10" ht="13.2" x14ac:dyDescent="0.25">
      <c r="A762" s="7"/>
      <c r="E762" s="7"/>
      <c r="F762" s="7"/>
      <c r="J762" s="99"/>
    </row>
    <row r="763" spans="1:10" ht="13.2" x14ac:dyDescent="0.25">
      <c r="A763" s="7"/>
      <c r="E763" s="7"/>
      <c r="F763" s="7"/>
      <c r="J763" s="99"/>
    </row>
    <row r="764" spans="1:10" ht="13.2" x14ac:dyDescent="0.25">
      <c r="A764" s="7"/>
      <c r="E764" s="7"/>
      <c r="F764" s="7"/>
      <c r="J764" s="99"/>
    </row>
    <row r="765" spans="1:10" ht="13.2" x14ac:dyDescent="0.25">
      <c r="A765" s="7"/>
      <c r="E765" s="7"/>
      <c r="F765" s="7"/>
      <c r="J765" s="99"/>
    </row>
    <row r="766" spans="1:10" ht="13.2" x14ac:dyDescent="0.25">
      <c r="A766" s="7"/>
      <c r="E766" s="7"/>
      <c r="F766" s="7"/>
      <c r="J766" s="99"/>
    </row>
    <row r="767" spans="1:10" ht="13.2" x14ac:dyDescent="0.25">
      <c r="A767" s="7"/>
      <c r="E767" s="7"/>
      <c r="F767" s="7"/>
      <c r="J767" s="99"/>
    </row>
    <row r="768" spans="1:10" ht="13.2" x14ac:dyDescent="0.25">
      <c r="A768" s="7"/>
      <c r="E768" s="7"/>
      <c r="F768" s="7"/>
      <c r="J768" s="99"/>
    </row>
    <row r="769" spans="1:10" ht="13.2" x14ac:dyDescent="0.25">
      <c r="A769" s="7"/>
      <c r="E769" s="7"/>
      <c r="F769" s="7"/>
      <c r="J769" s="99"/>
    </row>
    <row r="770" spans="1:10" ht="13.2" x14ac:dyDescent="0.25">
      <c r="A770" s="7"/>
      <c r="E770" s="7"/>
      <c r="F770" s="7"/>
      <c r="J770" s="99"/>
    </row>
    <row r="771" spans="1:10" ht="13.2" x14ac:dyDescent="0.25">
      <c r="A771" s="7"/>
      <c r="E771" s="7"/>
      <c r="F771" s="7"/>
      <c r="J771" s="99"/>
    </row>
    <row r="772" spans="1:10" ht="13.2" x14ac:dyDescent="0.25">
      <c r="A772" s="7"/>
      <c r="E772" s="7"/>
      <c r="F772" s="7"/>
      <c r="J772" s="99"/>
    </row>
    <row r="773" spans="1:10" ht="13.2" x14ac:dyDescent="0.25">
      <c r="A773" s="7"/>
      <c r="E773" s="7"/>
      <c r="F773" s="7"/>
      <c r="J773" s="99"/>
    </row>
    <row r="774" spans="1:10" ht="13.2" x14ac:dyDescent="0.25">
      <c r="A774" s="7"/>
      <c r="E774" s="7"/>
      <c r="F774" s="7"/>
      <c r="J774" s="99"/>
    </row>
    <row r="775" spans="1:10" ht="13.2" x14ac:dyDescent="0.25">
      <c r="A775" s="7"/>
      <c r="E775" s="7"/>
      <c r="F775" s="7"/>
      <c r="J775" s="99"/>
    </row>
    <row r="776" spans="1:10" ht="13.2" x14ac:dyDescent="0.25">
      <c r="A776" s="7"/>
      <c r="E776" s="7"/>
      <c r="F776" s="7"/>
      <c r="J776" s="99"/>
    </row>
    <row r="777" spans="1:10" ht="13.2" x14ac:dyDescent="0.25">
      <c r="A777" s="7"/>
      <c r="E777" s="7"/>
      <c r="F777" s="7"/>
      <c r="J777" s="99"/>
    </row>
    <row r="778" spans="1:10" ht="13.2" x14ac:dyDescent="0.25">
      <c r="A778" s="7"/>
      <c r="E778" s="7"/>
      <c r="F778" s="7"/>
      <c r="J778" s="99"/>
    </row>
    <row r="779" spans="1:10" ht="13.2" x14ac:dyDescent="0.25">
      <c r="A779" s="7"/>
      <c r="E779" s="7"/>
      <c r="F779" s="7"/>
      <c r="J779" s="99"/>
    </row>
    <row r="780" spans="1:10" ht="13.2" x14ac:dyDescent="0.25">
      <c r="A780" s="7"/>
      <c r="E780" s="7"/>
      <c r="F780" s="7"/>
      <c r="J780" s="99"/>
    </row>
    <row r="781" spans="1:10" ht="13.2" x14ac:dyDescent="0.25">
      <c r="A781" s="7"/>
      <c r="E781" s="7"/>
      <c r="F781" s="7"/>
      <c r="J781" s="99"/>
    </row>
    <row r="782" spans="1:10" ht="13.2" x14ac:dyDescent="0.25">
      <c r="A782" s="7"/>
      <c r="E782" s="7"/>
      <c r="F782" s="7"/>
      <c r="J782" s="99"/>
    </row>
    <row r="783" spans="1:10" ht="13.2" x14ac:dyDescent="0.25">
      <c r="A783" s="7"/>
      <c r="E783" s="7"/>
      <c r="F783" s="7"/>
      <c r="J783" s="99"/>
    </row>
    <row r="784" spans="1:10" ht="13.2" x14ac:dyDescent="0.25">
      <c r="A784" s="7"/>
      <c r="E784" s="7"/>
      <c r="F784" s="7"/>
      <c r="J784" s="99"/>
    </row>
    <row r="785" spans="1:10" ht="13.2" x14ac:dyDescent="0.25">
      <c r="A785" s="7"/>
      <c r="E785" s="7"/>
      <c r="F785" s="7"/>
      <c r="J785" s="99"/>
    </row>
    <row r="786" spans="1:10" ht="13.2" x14ac:dyDescent="0.25">
      <c r="A786" s="7"/>
      <c r="E786" s="7"/>
      <c r="F786" s="7"/>
      <c r="J786" s="99"/>
    </row>
    <row r="787" spans="1:10" ht="13.2" x14ac:dyDescent="0.25">
      <c r="A787" s="7"/>
      <c r="E787" s="7"/>
      <c r="F787" s="7"/>
      <c r="J787" s="99"/>
    </row>
    <row r="788" spans="1:10" ht="13.2" x14ac:dyDescent="0.25">
      <c r="A788" s="7"/>
      <c r="E788" s="7"/>
      <c r="F788" s="7"/>
      <c r="J788" s="99"/>
    </row>
    <row r="789" spans="1:10" ht="13.2" x14ac:dyDescent="0.25">
      <c r="A789" s="7"/>
      <c r="E789" s="7"/>
      <c r="F789" s="7"/>
      <c r="J789" s="99"/>
    </row>
    <row r="790" spans="1:10" ht="13.2" x14ac:dyDescent="0.25">
      <c r="A790" s="7"/>
      <c r="E790" s="7"/>
      <c r="F790" s="7"/>
      <c r="J790" s="99"/>
    </row>
    <row r="791" spans="1:10" ht="13.2" x14ac:dyDescent="0.25">
      <c r="A791" s="7"/>
      <c r="E791" s="7"/>
      <c r="F791" s="7"/>
      <c r="J791" s="99"/>
    </row>
    <row r="792" spans="1:10" ht="13.2" x14ac:dyDescent="0.25">
      <c r="A792" s="7"/>
      <c r="E792" s="7"/>
      <c r="F792" s="7"/>
      <c r="J792" s="99"/>
    </row>
    <row r="793" spans="1:10" ht="13.2" x14ac:dyDescent="0.25">
      <c r="A793" s="7"/>
      <c r="E793" s="7"/>
      <c r="F793" s="7"/>
      <c r="J793" s="99"/>
    </row>
    <row r="794" spans="1:10" ht="13.2" x14ac:dyDescent="0.25">
      <c r="A794" s="7"/>
      <c r="E794" s="7"/>
      <c r="F794" s="7"/>
      <c r="J794" s="99"/>
    </row>
    <row r="795" spans="1:10" ht="13.2" x14ac:dyDescent="0.25">
      <c r="A795" s="7"/>
      <c r="E795" s="7"/>
      <c r="F795" s="7"/>
      <c r="J795" s="99"/>
    </row>
    <row r="796" spans="1:10" ht="13.2" x14ac:dyDescent="0.25">
      <c r="A796" s="7"/>
      <c r="E796" s="7"/>
      <c r="F796" s="7"/>
      <c r="J796" s="99"/>
    </row>
    <row r="797" spans="1:10" ht="13.2" x14ac:dyDescent="0.25">
      <c r="A797" s="7"/>
      <c r="E797" s="7"/>
      <c r="F797" s="7"/>
      <c r="J797" s="99"/>
    </row>
    <row r="798" spans="1:10" ht="13.2" x14ac:dyDescent="0.25">
      <c r="A798" s="7"/>
      <c r="E798" s="7"/>
      <c r="F798" s="7"/>
      <c r="J798" s="99"/>
    </row>
    <row r="799" spans="1:10" ht="13.2" x14ac:dyDescent="0.25">
      <c r="A799" s="7"/>
      <c r="E799" s="7"/>
      <c r="F799" s="7"/>
      <c r="J799" s="99"/>
    </row>
    <row r="800" spans="1:10" ht="13.2" x14ac:dyDescent="0.25">
      <c r="A800" s="7"/>
      <c r="E800" s="7"/>
      <c r="F800" s="7"/>
      <c r="J800" s="99"/>
    </row>
    <row r="801" spans="1:10" ht="13.2" x14ac:dyDescent="0.25">
      <c r="A801" s="7"/>
      <c r="E801" s="7"/>
      <c r="F801" s="7"/>
      <c r="J801" s="99"/>
    </row>
    <row r="802" spans="1:10" ht="13.2" x14ac:dyDescent="0.25">
      <c r="A802" s="7"/>
      <c r="E802" s="7"/>
      <c r="F802" s="7"/>
      <c r="J802" s="99"/>
    </row>
    <row r="803" spans="1:10" ht="13.2" x14ac:dyDescent="0.25">
      <c r="A803" s="7"/>
      <c r="E803" s="7"/>
      <c r="F803" s="7"/>
      <c r="J803" s="99"/>
    </row>
    <row r="804" spans="1:10" ht="13.2" x14ac:dyDescent="0.25">
      <c r="A804" s="7"/>
      <c r="E804" s="7"/>
      <c r="F804" s="7"/>
      <c r="J804" s="99"/>
    </row>
    <row r="805" spans="1:10" ht="13.2" x14ac:dyDescent="0.25">
      <c r="A805" s="7"/>
      <c r="E805" s="7"/>
      <c r="F805" s="7"/>
      <c r="J805" s="99"/>
    </row>
    <row r="806" spans="1:10" ht="13.2" x14ac:dyDescent="0.25">
      <c r="A806" s="7"/>
      <c r="E806" s="7"/>
      <c r="F806" s="7"/>
      <c r="J806" s="99"/>
    </row>
    <row r="807" spans="1:10" ht="13.2" x14ac:dyDescent="0.25">
      <c r="A807" s="7"/>
      <c r="E807" s="7"/>
      <c r="F807" s="7"/>
      <c r="J807" s="99"/>
    </row>
    <row r="808" spans="1:10" ht="13.2" x14ac:dyDescent="0.25">
      <c r="A808" s="7"/>
      <c r="E808" s="7"/>
      <c r="F808" s="7"/>
      <c r="J808" s="99"/>
    </row>
    <row r="809" spans="1:10" ht="13.2" x14ac:dyDescent="0.25">
      <c r="A809" s="7"/>
      <c r="E809" s="7"/>
      <c r="F809" s="7"/>
      <c r="J809" s="99"/>
    </row>
    <row r="810" spans="1:10" ht="13.2" x14ac:dyDescent="0.25">
      <c r="A810" s="7"/>
      <c r="E810" s="7"/>
      <c r="F810" s="7"/>
      <c r="J810" s="99"/>
    </row>
    <row r="811" spans="1:10" ht="13.2" x14ac:dyDescent="0.25">
      <c r="A811" s="7"/>
      <c r="E811" s="7"/>
      <c r="F811" s="7"/>
      <c r="J811" s="99"/>
    </row>
    <row r="812" spans="1:10" ht="13.2" x14ac:dyDescent="0.25">
      <c r="A812" s="7"/>
      <c r="E812" s="7"/>
      <c r="F812" s="7"/>
      <c r="J812" s="99"/>
    </row>
    <row r="813" spans="1:10" ht="13.2" x14ac:dyDescent="0.25">
      <c r="A813" s="7"/>
      <c r="E813" s="7"/>
      <c r="F813" s="7"/>
      <c r="J813" s="99"/>
    </row>
    <row r="814" spans="1:10" ht="13.2" x14ac:dyDescent="0.25">
      <c r="A814" s="7"/>
      <c r="E814" s="7"/>
      <c r="F814" s="7"/>
      <c r="J814" s="99"/>
    </row>
    <row r="815" spans="1:10" ht="13.2" x14ac:dyDescent="0.25">
      <c r="A815" s="7"/>
      <c r="E815" s="7"/>
      <c r="F815" s="7"/>
      <c r="J815" s="99"/>
    </row>
    <row r="816" spans="1:10" ht="13.2" x14ac:dyDescent="0.25">
      <c r="A816" s="7"/>
      <c r="E816" s="7"/>
      <c r="F816" s="7"/>
      <c r="J816" s="99"/>
    </row>
    <row r="817" spans="1:10" ht="13.2" x14ac:dyDescent="0.25">
      <c r="A817" s="7"/>
      <c r="E817" s="7"/>
      <c r="F817" s="7"/>
      <c r="J817" s="99"/>
    </row>
    <row r="818" spans="1:10" ht="13.2" x14ac:dyDescent="0.25">
      <c r="A818" s="7"/>
      <c r="E818" s="7"/>
      <c r="F818" s="7"/>
      <c r="J818" s="99"/>
    </row>
    <row r="819" spans="1:10" ht="13.2" x14ac:dyDescent="0.25">
      <c r="A819" s="7"/>
      <c r="E819" s="7"/>
      <c r="F819" s="7"/>
      <c r="J819" s="99"/>
    </row>
    <row r="820" spans="1:10" ht="13.2" x14ac:dyDescent="0.25">
      <c r="A820" s="7"/>
      <c r="E820" s="7"/>
      <c r="F820" s="7"/>
      <c r="J820" s="99"/>
    </row>
    <row r="821" spans="1:10" ht="13.2" x14ac:dyDescent="0.25">
      <c r="A821" s="7"/>
      <c r="E821" s="7"/>
      <c r="F821" s="7"/>
      <c r="J821" s="99"/>
    </row>
    <row r="822" spans="1:10" ht="13.2" x14ac:dyDescent="0.25">
      <c r="A822" s="7"/>
      <c r="E822" s="7"/>
      <c r="F822" s="7"/>
      <c r="J822" s="99"/>
    </row>
    <row r="823" spans="1:10" ht="13.2" x14ac:dyDescent="0.25">
      <c r="A823" s="7"/>
      <c r="E823" s="7"/>
      <c r="F823" s="7"/>
      <c r="J823" s="99"/>
    </row>
    <row r="824" spans="1:10" ht="13.2" x14ac:dyDescent="0.25">
      <c r="A824" s="7"/>
      <c r="E824" s="7"/>
      <c r="F824" s="7"/>
      <c r="J824" s="99"/>
    </row>
    <row r="825" spans="1:10" ht="13.2" x14ac:dyDescent="0.25">
      <c r="A825" s="7"/>
      <c r="E825" s="7"/>
      <c r="F825" s="7"/>
      <c r="J825" s="99"/>
    </row>
    <row r="826" spans="1:10" ht="13.2" x14ac:dyDescent="0.25">
      <c r="A826" s="7"/>
      <c r="E826" s="7"/>
      <c r="F826" s="7"/>
      <c r="J826" s="99"/>
    </row>
    <row r="827" spans="1:10" ht="13.2" x14ac:dyDescent="0.25">
      <c r="A827" s="7"/>
      <c r="E827" s="7"/>
      <c r="F827" s="7"/>
      <c r="J827" s="99"/>
    </row>
    <row r="828" spans="1:10" ht="13.2" x14ac:dyDescent="0.25">
      <c r="A828" s="7"/>
      <c r="E828" s="7"/>
      <c r="F828" s="7"/>
      <c r="J828" s="99"/>
    </row>
    <row r="829" spans="1:10" ht="13.2" x14ac:dyDescent="0.25">
      <c r="A829" s="7"/>
      <c r="E829" s="7"/>
      <c r="F829" s="7"/>
      <c r="J829" s="99"/>
    </row>
    <row r="830" spans="1:10" ht="13.2" x14ac:dyDescent="0.25">
      <c r="A830" s="7"/>
      <c r="E830" s="7"/>
      <c r="F830" s="7"/>
      <c r="J830" s="99"/>
    </row>
    <row r="831" spans="1:10" ht="13.2" x14ac:dyDescent="0.25">
      <c r="A831" s="7"/>
      <c r="E831" s="7"/>
      <c r="F831" s="7"/>
      <c r="J831" s="99"/>
    </row>
    <row r="832" spans="1:10" ht="13.2" x14ac:dyDescent="0.25">
      <c r="A832" s="7"/>
      <c r="E832" s="7"/>
      <c r="F832" s="7"/>
      <c r="J832" s="99"/>
    </row>
    <row r="833" spans="1:10" ht="13.2" x14ac:dyDescent="0.25">
      <c r="A833" s="7"/>
      <c r="E833" s="7"/>
      <c r="F833" s="7"/>
      <c r="J833" s="99"/>
    </row>
    <row r="834" spans="1:10" ht="13.2" x14ac:dyDescent="0.25">
      <c r="A834" s="7"/>
      <c r="E834" s="7"/>
      <c r="F834" s="7"/>
      <c r="J834" s="99"/>
    </row>
    <row r="835" spans="1:10" ht="13.2" x14ac:dyDescent="0.25">
      <c r="A835" s="7"/>
      <c r="E835" s="7"/>
      <c r="F835" s="7"/>
      <c r="J835" s="99"/>
    </row>
    <row r="836" spans="1:10" ht="13.2" x14ac:dyDescent="0.25">
      <c r="A836" s="7"/>
      <c r="E836" s="7"/>
      <c r="F836" s="7"/>
      <c r="J836" s="99"/>
    </row>
    <row r="837" spans="1:10" ht="13.2" x14ac:dyDescent="0.25">
      <c r="A837" s="7"/>
      <c r="E837" s="7"/>
      <c r="F837" s="7"/>
      <c r="J837" s="99"/>
    </row>
    <row r="838" spans="1:10" ht="13.2" x14ac:dyDescent="0.25">
      <c r="A838" s="7"/>
      <c r="E838" s="7"/>
      <c r="F838" s="7"/>
      <c r="J838" s="99"/>
    </row>
    <row r="839" spans="1:10" ht="13.2" x14ac:dyDescent="0.25">
      <c r="A839" s="7"/>
      <c r="E839" s="7"/>
      <c r="F839" s="7"/>
      <c r="J839" s="99"/>
    </row>
    <row r="840" spans="1:10" ht="13.2" x14ac:dyDescent="0.25">
      <c r="A840" s="7"/>
      <c r="E840" s="7"/>
      <c r="F840" s="7"/>
      <c r="J840" s="99"/>
    </row>
    <row r="841" spans="1:10" ht="13.2" x14ac:dyDescent="0.25">
      <c r="A841" s="7"/>
      <c r="E841" s="7"/>
      <c r="F841" s="7"/>
      <c r="J841" s="99"/>
    </row>
    <row r="842" spans="1:10" ht="13.2" x14ac:dyDescent="0.25">
      <c r="A842" s="7"/>
      <c r="E842" s="7"/>
      <c r="F842" s="7"/>
      <c r="J842" s="99"/>
    </row>
    <row r="843" spans="1:10" ht="13.2" x14ac:dyDescent="0.25">
      <c r="A843" s="7"/>
      <c r="E843" s="7"/>
      <c r="F843" s="7"/>
      <c r="J843" s="99"/>
    </row>
    <row r="844" spans="1:10" ht="13.2" x14ac:dyDescent="0.25">
      <c r="A844" s="7"/>
      <c r="E844" s="7"/>
      <c r="F844" s="7"/>
      <c r="J844" s="99"/>
    </row>
    <row r="845" spans="1:10" ht="13.2" x14ac:dyDescent="0.25">
      <c r="A845" s="7"/>
      <c r="E845" s="7"/>
      <c r="F845" s="7"/>
      <c r="J845" s="99"/>
    </row>
    <row r="846" spans="1:10" ht="13.2" x14ac:dyDescent="0.25">
      <c r="A846" s="7"/>
      <c r="E846" s="7"/>
      <c r="F846" s="7"/>
      <c r="J846" s="99"/>
    </row>
    <row r="847" spans="1:10" ht="13.2" x14ac:dyDescent="0.25">
      <c r="A847" s="7"/>
      <c r="E847" s="7"/>
      <c r="F847" s="7"/>
      <c r="J847" s="99"/>
    </row>
    <row r="848" spans="1:10" ht="13.2" x14ac:dyDescent="0.25">
      <c r="A848" s="7"/>
      <c r="E848" s="7"/>
      <c r="F848" s="7"/>
      <c r="J848" s="99"/>
    </row>
    <row r="849" spans="1:10" ht="13.2" x14ac:dyDescent="0.25">
      <c r="A849" s="7"/>
      <c r="E849" s="7"/>
      <c r="F849" s="7"/>
      <c r="J849" s="99"/>
    </row>
    <row r="850" spans="1:10" ht="13.2" x14ac:dyDescent="0.25">
      <c r="A850" s="7"/>
      <c r="E850" s="7"/>
      <c r="F850" s="7"/>
      <c r="J850" s="99"/>
    </row>
    <row r="851" spans="1:10" ht="13.2" x14ac:dyDescent="0.25">
      <c r="A851" s="7"/>
      <c r="E851" s="7"/>
      <c r="F851" s="7"/>
      <c r="J851" s="99"/>
    </row>
    <row r="852" spans="1:10" ht="13.2" x14ac:dyDescent="0.25">
      <c r="A852" s="7"/>
      <c r="E852" s="7"/>
      <c r="F852" s="7"/>
      <c r="J852" s="99"/>
    </row>
    <row r="853" spans="1:10" ht="13.2" x14ac:dyDescent="0.25">
      <c r="A853" s="7"/>
      <c r="E853" s="7"/>
      <c r="F853" s="7"/>
      <c r="J853" s="99"/>
    </row>
    <row r="854" spans="1:10" ht="13.2" x14ac:dyDescent="0.25">
      <c r="A854" s="7"/>
      <c r="E854" s="7"/>
      <c r="F854" s="7"/>
      <c r="J854" s="99"/>
    </row>
    <row r="855" spans="1:10" ht="13.2" x14ac:dyDescent="0.25">
      <c r="A855" s="7"/>
      <c r="E855" s="7"/>
      <c r="F855" s="7"/>
      <c r="J855" s="99"/>
    </row>
    <row r="856" spans="1:10" ht="13.2" x14ac:dyDescent="0.25">
      <c r="A856" s="7"/>
      <c r="E856" s="7"/>
      <c r="F856" s="7"/>
      <c r="J856" s="99"/>
    </row>
    <row r="857" spans="1:10" ht="13.2" x14ac:dyDescent="0.25">
      <c r="A857" s="7"/>
      <c r="E857" s="7"/>
      <c r="F857" s="7"/>
      <c r="J857" s="99"/>
    </row>
    <row r="858" spans="1:10" ht="13.2" x14ac:dyDescent="0.25">
      <c r="A858" s="7"/>
      <c r="E858" s="7"/>
      <c r="F858" s="7"/>
      <c r="J858" s="99"/>
    </row>
    <row r="859" spans="1:10" ht="13.2" x14ac:dyDescent="0.25">
      <c r="A859" s="7"/>
      <c r="E859" s="7"/>
      <c r="F859" s="7"/>
      <c r="J859" s="99"/>
    </row>
    <row r="860" spans="1:10" ht="13.2" x14ac:dyDescent="0.25">
      <c r="A860" s="7"/>
      <c r="E860" s="7"/>
      <c r="F860" s="7"/>
      <c r="J860" s="99"/>
    </row>
    <row r="861" spans="1:10" ht="13.2" x14ac:dyDescent="0.25">
      <c r="A861" s="7"/>
      <c r="E861" s="7"/>
      <c r="F861" s="7"/>
      <c r="J861" s="99"/>
    </row>
    <row r="862" spans="1:10" ht="13.2" x14ac:dyDescent="0.25">
      <c r="A862" s="7"/>
      <c r="E862" s="7"/>
      <c r="F862" s="7"/>
      <c r="J862" s="99"/>
    </row>
    <row r="863" spans="1:10" ht="13.2" x14ac:dyDescent="0.25">
      <c r="A863" s="7"/>
      <c r="E863" s="7"/>
      <c r="F863" s="7"/>
      <c r="J863" s="99"/>
    </row>
    <row r="864" spans="1:10" ht="13.2" x14ac:dyDescent="0.25">
      <c r="A864" s="7"/>
      <c r="E864" s="7"/>
      <c r="F864" s="7"/>
      <c r="J864" s="99"/>
    </row>
    <row r="865" spans="1:10" ht="13.2" x14ac:dyDescent="0.25">
      <c r="A865" s="7"/>
      <c r="E865" s="7"/>
      <c r="F865" s="7"/>
      <c r="J865" s="99"/>
    </row>
    <row r="866" spans="1:10" ht="13.2" x14ac:dyDescent="0.25">
      <c r="A866" s="7"/>
      <c r="E866" s="7"/>
      <c r="F866" s="7"/>
      <c r="J866" s="99"/>
    </row>
    <row r="867" spans="1:10" ht="13.2" x14ac:dyDescent="0.25">
      <c r="A867" s="7"/>
      <c r="E867" s="7"/>
      <c r="F867" s="7"/>
      <c r="J867" s="99"/>
    </row>
    <row r="868" spans="1:10" ht="13.2" x14ac:dyDescent="0.25">
      <c r="A868" s="7"/>
      <c r="E868" s="7"/>
      <c r="F868" s="7"/>
      <c r="J868" s="99"/>
    </row>
    <row r="869" spans="1:10" ht="13.2" x14ac:dyDescent="0.25">
      <c r="A869" s="7"/>
      <c r="E869" s="7"/>
      <c r="F869" s="7"/>
      <c r="J869" s="99"/>
    </row>
    <row r="870" spans="1:10" ht="13.2" x14ac:dyDescent="0.25">
      <c r="A870" s="7"/>
      <c r="E870" s="7"/>
      <c r="F870" s="7"/>
      <c r="J870" s="99"/>
    </row>
    <row r="871" spans="1:10" ht="13.2" x14ac:dyDescent="0.25">
      <c r="A871" s="7"/>
      <c r="E871" s="7"/>
      <c r="F871" s="7"/>
      <c r="J871" s="99"/>
    </row>
    <row r="872" spans="1:10" ht="13.2" x14ac:dyDescent="0.25">
      <c r="A872" s="7"/>
      <c r="E872" s="7"/>
      <c r="F872" s="7"/>
      <c r="J872" s="99"/>
    </row>
    <row r="873" spans="1:10" ht="13.2" x14ac:dyDescent="0.25">
      <c r="A873" s="7"/>
      <c r="E873" s="7"/>
      <c r="F873" s="7"/>
      <c r="J873" s="99"/>
    </row>
    <row r="874" spans="1:10" ht="13.2" x14ac:dyDescent="0.25">
      <c r="A874" s="7"/>
      <c r="E874" s="7"/>
      <c r="F874" s="7"/>
      <c r="J874" s="99"/>
    </row>
    <row r="875" spans="1:10" ht="13.2" x14ac:dyDescent="0.25">
      <c r="A875" s="7"/>
      <c r="E875" s="7"/>
      <c r="F875" s="7"/>
      <c r="J875" s="99"/>
    </row>
    <row r="876" spans="1:10" ht="13.2" x14ac:dyDescent="0.25">
      <c r="A876" s="7"/>
      <c r="E876" s="7"/>
      <c r="F876" s="7"/>
      <c r="J876" s="99"/>
    </row>
    <row r="877" spans="1:10" ht="13.2" x14ac:dyDescent="0.25">
      <c r="A877" s="7"/>
      <c r="E877" s="7"/>
      <c r="F877" s="7"/>
      <c r="J877" s="99"/>
    </row>
    <row r="878" spans="1:10" ht="13.2" x14ac:dyDescent="0.25">
      <c r="A878" s="7"/>
      <c r="E878" s="7"/>
      <c r="F878" s="7"/>
      <c r="J878" s="99"/>
    </row>
    <row r="879" spans="1:10" ht="13.2" x14ac:dyDescent="0.25">
      <c r="A879" s="7"/>
      <c r="E879" s="7"/>
      <c r="F879" s="7"/>
      <c r="J879" s="99"/>
    </row>
    <row r="880" spans="1:10" ht="13.2" x14ac:dyDescent="0.25">
      <c r="A880" s="7"/>
      <c r="E880" s="7"/>
      <c r="F880" s="7"/>
      <c r="J880" s="99"/>
    </row>
    <row r="881" spans="1:10" ht="13.2" x14ac:dyDescent="0.25">
      <c r="A881" s="7"/>
      <c r="E881" s="7"/>
      <c r="F881" s="7"/>
      <c r="J881" s="99"/>
    </row>
    <row r="882" spans="1:10" ht="13.2" x14ac:dyDescent="0.25">
      <c r="A882" s="7"/>
      <c r="E882" s="7"/>
      <c r="F882" s="7"/>
      <c r="J882" s="99"/>
    </row>
    <row r="883" spans="1:10" ht="13.2" x14ac:dyDescent="0.25">
      <c r="A883" s="7"/>
      <c r="E883" s="7"/>
      <c r="F883" s="7"/>
      <c r="J883" s="99"/>
    </row>
    <row r="884" spans="1:10" ht="13.2" x14ac:dyDescent="0.25">
      <c r="A884" s="7"/>
      <c r="E884" s="7"/>
      <c r="F884" s="7"/>
      <c r="J884" s="99"/>
    </row>
    <row r="885" spans="1:10" ht="13.2" x14ac:dyDescent="0.25">
      <c r="A885" s="7"/>
      <c r="E885" s="7"/>
      <c r="F885" s="7"/>
      <c r="J885" s="99"/>
    </row>
    <row r="886" spans="1:10" ht="13.2" x14ac:dyDescent="0.25">
      <c r="A886" s="7"/>
      <c r="E886" s="7"/>
      <c r="F886" s="7"/>
      <c r="J886" s="99"/>
    </row>
    <row r="887" spans="1:10" ht="13.2" x14ac:dyDescent="0.25">
      <c r="A887" s="7"/>
      <c r="E887" s="7"/>
      <c r="F887" s="7"/>
      <c r="J887" s="99"/>
    </row>
    <row r="888" spans="1:10" ht="13.2" x14ac:dyDescent="0.25">
      <c r="A888" s="7"/>
      <c r="E888" s="7"/>
      <c r="F888" s="7"/>
      <c r="J888" s="99"/>
    </row>
    <row r="889" spans="1:10" ht="13.2" x14ac:dyDescent="0.25">
      <c r="A889" s="7"/>
      <c r="E889" s="7"/>
      <c r="F889" s="7"/>
      <c r="J889" s="99"/>
    </row>
    <row r="890" spans="1:10" ht="13.2" x14ac:dyDescent="0.25">
      <c r="A890" s="7"/>
      <c r="E890" s="7"/>
      <c r="F890" s="7"/>
      <c r="J890" s="99"/>
    </row>
    <row r="891" spans="1:10" ht="13.2" x14ac:dyDescent="0.25">
      <c r="A891" s="7"/>
      <c r="E891" s="7"/>
      <c r="F891" s="7"/>
      <c r="J891" s="99"/>
    </row>
    <row r="892" spans="1:10" ht="13.2" x14ac:dyDescent="0.25">
      <c r="A892" s="7"/>
      <c r="E892" s="7"/>
      <c r="F892" s="7"/>
      <c r="J892" s="99"/>
    </row>
    <row r="893" spans="1:10" ht="13.2" x14ac:dyDescent="0.25">
      <c r="A893" s="7"/>
      <c r="E893" s="7"/>
      <c r="F893" s="7"/>
      <c r="J893" s="99"/>
    </row>
    <row r="894" spans="1:10" ht="13.2" x14ac:dyDescent="0.25">
      <c r="A894" s="7"/>
      <c r="E894" s="7"/>
      <c r="F894" s="7"/>
      <c r="J894" s="99"/>
    </row>
    <row r="895" spans="1:10" ht="13.2" x14ac:dyDescent="0.25">
      <c r="A895" s="7"/>
      <c r="E895" s="7"/>
      <c r="F895" s="7"/>
      <c r="J895" s="99"/>
    </row>
    <row r="896" spans="1:10" ht="13.2" x14ac:dyDescent="0.25">
      <c r="A896" s="7"/>
      <c r="E896" s="7"/>
      <c r="F896" s="7"/>
      <c r="J896" s="99"/>
    </row>
    <row r="897" spans="1:10" ht="13.2" x14ac:dyDescent="0.25">
      <c r="A897" s="7"/>
      <c r="E897" s="7"/>
      <c r="F897" s="7"/>
      <c r="J897" s="99"/>
    </row>
    <row r="898" spans="1:10" ht="13.2" x14ac:dyDescent="0.25">
      <c r="A898" s="7"/>
      <c r="E898" s="7"/>
      <c r="F898" s="7"/>
      <c r="J898" s="99"/>
    </row>
    <row r="899" spans="1:10" ht="13.2" x14ac:dyDescent="0.25">
      <c r="A899" s="7"/>
      <c r="E899" s="7"/>
      <c r="F899" s="7"/>
      <c r="J899" s="99"/>
    </row>
    <row r="900" spans="1:10" ht="13.2" x14ac:dyDescent="0.25">
      <c r="A900" s="7"/>
      <c r="E900" s="7"/>
      <c r="F900" s="7"/>
      <c r="J900" s="99"/>
    </row>
    <row r="901" spans="1:10" ht="13.2" x14ac:dyDescent="0.25">
      <c r="A901" s="7"/>
      <c r="E901" s="7"/>
      <c r="F901" s="7"/>
      <c r="J901" s="99"/>
    </row>
    <row r="902" spans="1:10" ht="13.2" x14ac:dyDescent="0.25">
      <c r="A902" s="7"/>
      <c r="E902" s="7"/>
      <c r="F902" s="7"/>
      <c r="J902" s="99"/>
    </row>
    <row r="903" spans="1:10" ht="13.2" x14ac:dyDescent="0.25">
      <c r="A903" s="7"/>
      <c r="E903" s="7"/>
      <c r="F903" s="7"/>
      <c r="J903" s="99"/>
    </row>
    <row r="904" spans="1:10" ht="13.2" x14ac:dyDescent="0.25">
      <c r="A904" s="7"/>
      <c r="E904" s="7"/>
      <c r="F904" s="7"/>
      <c r="J904" s="99"/>
    </row>
    <row r="905" spans="1:10" ht="13.2" x14ac:dyDescent="0.25">
      <c r="A905" s="7"/>
      <c r="E905" s="7"/>
      <c r="F905" s="7"/>
      <c r="J905" s="99"/>
    </row>
    <row r="906" spans="1:10" ht="13.2" x14ac:dyDescent="0.25">
      <c r="A906" s="7"/>
      <c r="E906" s="7"/>
      <c r="F906" s="7"/>
      <c r="J906" s="99"/>
    </row>
    <row r="907" spans="1:10" ht="13.2" x14ac:dyDescent="0.25">
      <c r="A907" s="7"/>
      <c r="E907" s="7"/>
      <c r="F907" s="7"/>
      <c r="J907" s="99"/>
    </row>
    <row r="908" spans="1:10" ht="13.2" x14ac:dyDescent="0.25">
      <c r="A908" s="7"/>
      <c r="E908" s="7"/>
      <c r="F908" s="7"/>
      <c r="J908" s="99"/>
    </row>
    <row r="909" spans="1:10" ht="13.2" x14ac:dyDescent="0.25">
      <c r="A909" s="7"/>
      <c r="E909" s="7"/>
      <c r="F909" s="7"/>
      <c r="J909" s="99"/>
    </row>
    <row r="910" spans="1:10" ht="13.2" x14ac:dyDescent="0.25">
      <c r="A910" s="7"/>
      <c r="E910" s="7"/>
      <c r="F910" s="7"/>
      <c r="J910" s="99"/>
    </row>
    <row r="911" spans="1:10" ht="13.2" x14ac:dyDescent="0.25">
      <c r="A911" s="7"/>
      <c r="E911" s="7"/>
      <c r="F911" s="7"/>
      <c r="J911" s="99"/>
    </row>
    <row r="912" spans="1:10" ht="13.2" x14ac:dyDescent="0.25">
      <c r="A912" s="7"/>
      <c r="E912" s="7"/>
      <c r="F912" s="7"/>
      <c r="J912" s="99"/>
    </row>
    <row r="913" spans="1:10" ht="13.2" x14ac:dyDescent="0.25">
      <c r="A913" s="7"/>
      <c r="E913" s="7"/>
      <c r="F913" s="7"/>
      <c r="J913" s="99"/>
    </row>
    <row r="914" spans="1:10" ht="13.2" x14ac:dyDescent="0.25">
      <c r="A914" s="7"/>
      <c r="E914" s="7"/>
      <c r="F914" s="7"/>
      <c r="J914" s="99"/>
    </row>
    <row r="915" spans="1:10" ht="13.2" x14ac:dyDescent="0.25">
      <c r="A915" s="7"/>
      <c r="E915" s="7"/>
      <c r="F915" s="7"/>
      <c r="J915" s="99"/>
    </row>
    <row r="916" spans="1:10" ht="13.2" x14ac:dyDescent="0.25">
      <c r="A916" s="7"/>
      <c r="E916" s="7"/>
      <c r="F916" s="7"/>
      <c r="J916" s="99"/>
    </row>
    <row r="917" spans="1:10" ht="13.2" x14ac:dyDescent="0.25">
      <c r="A917" s="7"/>
      <c r="E917" s="7"/>
      <c r="F917" s="7"/>
      <c r="J917" s="99"/>
    </row>
    <row r="918" spans="1:10" ht="13.2" x14ac:dyDescent="0.25">
      <c r="A918" s="7"/>
      <c r="E918" s="7"/>
      <c r="F918" s="7"/>
      <c r="J918" s="99"/>
    </row>
    <row r="919" spans="1:10" ht="13.2" x14ac:dyDescent="0.25">
      <c r="A919" s="7"/>
      <c r="E919" s="7"/>
      <c r="F919" s="7"/>
      <c r="J919" s="99"/>
    </row>
    <row r="920" spans="1:10" ht="13.2" x14ac:dyDescent="0.25">
      <c r="A920" s="7"/>
      <c r="E920" s="7"/>
      <c r="F920" s="7"/>
      <c r="J920" s="99"/>
    </row>
    <row r="921" spans="1:10" ht="13.2" x14ac:dyDescent="0.25">
      <c r="A921" s="7"/>
      <c r="E921" s="7"/>
      <c r="F921" s="7"/>
      <c r="J921" s="99"/>
    </row>
    <row r="922" spans="1:10" ht="13.2" x14ac:dyDescent="0.25">
      <c r="A922" s="7"/>
      <c r="E922" s="7"/>
      <c r="F922" s="7"/>
      <c r="J922" s="99"/>
    </row>
    <row r="923" spans="1:10" ht="13.2" x14ac:dyDescent="0.25">
      <c r="A923" s="7"/>
      <c r="E923" s="7"/>
      <c r="F923" s="7"/>
      <c r="J923" s="99"/>
    </row>
    <row r="924" spans="1:10" ht="13.2" x14ac:dyDescent="0.25">
      <c r="A924" s="7"/>
      <c r="E924" s="7"/>
      <c r="F924" s="7"/>
      <c r="J924" s="99"/>
    </row>
    <row r="925" spans="1:10" ht="13.2" x14ac:dyDescent="0.25">
      <c r="A925" s="7"/>
      <c r="E925" s="7"/>
      <c r="F925" s="7"/>
      <c r="J925" s="99"/>
    </row>
    <row r="926" spans="1:10" ht="13.2" x14ac:dyDescent="0.25">
      <c r="A926" s="7"/>
      <c r="E926" s="7"/>
      <c r="F926" s="7"/>
      <c r="J926" s="99"/>
    </row>
    <row r="927" spans="1:10" ht="13.2" x14ac:dyDescent="0.25">
      <c r="A927" s="7"/>
      <c r="E927" s="7"/>
      <c r="F927" s="7"/>
      <c r="J927" s="99"/>
    </row>
    <row r="928" spans="1:10" ht="13.2" x14ac:dyDescent="0.25">
      <c r="A928" s="7"/>
      <c r="E928" s="7"/>
      <c r="F928" s="7"/>
      <c r="J928" s="99"/>
    </row>
    <row r="929" spans="1:10" ht="13.2" x14ac:dyDescent="0.25">
      <c r="A929" s="7"/>
      <c r="E929" s="7"/>
      <c r="F929" s="7"/>
      <c r="J929" s="99"/>
    </row>
    <row r="930" spans="1:10" ht="13.2" x14ac:dyDescent="0.25">
      <c r="A930" s="7"/>
      <c r="E930" s="7"/>
      <c r="F930" s="7"/>
      <c r="J930" s="99"/>
    </row>
    <row r="931" spans="1:10" ht="13.2" x14ac:dyDescent="0.25">
      <c r="A931" s="7"/>
      <c r="E931" s="7"/>
      <c r="F931" s="7"/>
      <c r="J931" s="99"/>
    </row>
    <row r="932" spans="1:10" ht="13.2" x14ac:dyDescent="0.25">
      <c r="A932" s="7"/>
      <c r="E932" s="7"/>
      <c r="F932" s="7"/>
      <c r="J932" s="99"/>
    </row>
    <row r="933" spans="1:10" ht="13.2" x14ac:dyDescent="0.25">
      <c r="A933" s="7"/>
      <c r="E933" s="7"/>
      <c r="F933" s="7"/>
      <c r="J933" s="99"/>
    </row>
    <row r="934" spans="1:10" ht="13.2" x14ac:dyDescent="0.25">
      <c r="A934" s="7"/>
      <c r="E934" s="7"/>
      <c r="F934" s="7"/>
      <c r="J934" s="99"/>
    </row>
    <row r="935" spans="1:10" ht="13.2" x14ac:dyDescent="0.25">
      <c r="A935" s="7"/>
      <c r="E935" s="7"/>
      <c r="F935" s="7"/>
      <c r="J935" s="99"/>
    </row>
    <row r="936" spans="1:10" ht="13.2" x14ac:dyDescent="0.25">
      <c r="A936" s="7"/>
      <c r="E936" s="7"/>
      <c r="F936" s="7"/>
      <c r="J936" s="99"/>
    </row>
    <row r="937" spans="1:10" ht="13.2" x14ac:dyDescent="0.25">
      <c r="A937" s="7"/>
      <c r="E937" s="7"/>
      <c r="F937" s="7"/>
      <c r="J937" s="99"/>
    </row>
    <row r="938" spans="1:10" ht="13.2" x14ac:dyDescent="0.25">
      <c r="A938" s="7"/>
      <c r="E938" s="7"/>
      <c r="F938" s="7"/>
      <c r="J938" s="99"/>
    </row>
    <row r="939" spans="1:10" ht="13.2" x14ac:dyDescent="0.25">
      <c r="A939" s="7"/>
      <c r="E939" s="7"/>
      <c r="F939" s="7"/>
      <c r="J939" s="99"/>
    </row>
    <row r="940" spans="1:10" ht="13.2" x14ac:dyDescent="0.25">
      <c r="A940" s="7"/>
      <c r="E940" s="7"/>
      <c r="F940" s="7"/>
      <c r="J940" s="99"/>
    </row>
    <row r="941" spans="1:10" ht="13.2" x14ac:dyDescent="0.25">
      <c r="A941" s="7"/>
      <c r="E941" s="7"/>
      <c r="F941" s="7"/>
      <c r="J941" s="99"/>
    </row>
    <row r="942" spans="1:10" ht="13.2" x14ac:dyDescent="0.25">
      <c r="A942" s="7"/>
      <c r="E942" s="7"/>
      <c r="F942" s="7"/>
      <c r="J942" s="99"/>
    </row>
    <row r="943" spans="1:10" ht="13.2" x14ac:dyDescent="0.25">
      <c r="A943" s="7"/>
      <c r="E943" s="7"/>
      <c r="F943" s="7"/>
      <c r="J943" s="99"/>
    </row>
    <row r="944" spans="1:10" ht="13.2" x14ac:dyDescent="0.25">
      <c r="A944" s="7"/>
      <c r="E944" s="7"/>
      <c r="F944" s="7"/>
      <c r="J944" s="99"/>
    </row>
    <row r="945" spans="1:10" ht="13.2" x14ac:dyDescent="0.25">
      <c r="A945" s="7"/>
      <c r="E945" s="7"/>
      <c r="F945" s="7"/>
      <c r="J945" s="99"/>
    </row>
    <row r="946" spans="1:10" ht="13.2" x14ac:dyDescent="0.25">
      <c r="A946" s="7"/>
      <c r="E946" s="7"/>
      <c r="F946" s="7"/>
      <c r="J946" s="99"/>
    </row>
    <row r="947" spans="1:10" ht="13.2" x14ac:dyDescent="0.25">
      <c r="A947" s="7"/>
      <c r="E947" s="7"/>
      <c r="F947" s="7"/>
      <c r="J947" s="99"/>
    </row>
    <row r="948" spans="1:10" ht="13.2" x14ac:dyDescent="0.25">
      <c r="A948" s="7"/>
      <c r="E948" s="7"/>
      <c r="F948" s="7"/>
      <c r="J948" s="99"/>
    </row>
    <row r="949" spans="1:10" ht="13.2" x14ac:dyDescent="0.25">
      <c r="A949" s="7"/>
      <c r="E949" s="7"/>
      <c r="F949" s="7"/>
      <c r="J949" s="99"/>
    </row>
    <row r="950" spans="1:10" ht="13.2" x14ac:dyDescent="0.25">
      <c r="A950" s="7"/>
      <c r="E950" s="7"/>
      <c r="F950" s="7"/>
      <c r="J950" s="99"/>
    </row>
    <row r="951" spans="1:10" ht="13.2" x14ac:dyDescent="0.25">
      <c r="A951" s="7"/>
      <c r="E951" s="7"/>
      <c r="F951" s="7"/>
      <c r="J951" s="99"/>
    </row>
    <row r="952" spans="1:10" ht="13.2" x14ac:dyDescent="0.25">
      <c r="A952" s="7"/>
      <c r="E952" s="7"/>
      <c r="F952" s="7"/>
      <c r="J952" s="99"/>
    </row>
    <row r="953" spans="1:10" ht="13.2" x14ac:dyDescent="0.25">
      <c r="A953" s="7"/>
      <c r="E953" s="7"/>
      <c r="F953" s="7"/>
      <c r="J953" s="99"/>
    </row>
    <row r="954" spans="1:10" ht="13.2" x14ac:dyDescent="0.25">
      <c r="A954" s="7"/>
      <c r="E954" s="7"/>
      <c r="F954" s="7"/>
      <c r="J954" s="99"/>
    </row>
    <row r="955" spans="1:10" ht="13.2" x14ac:dyDescent="0.25">
      <c r="A955" s="7"/>
      <c r="E955" s="7"/>
      <c r="F955" s="7"/>
      <c r="J955" s="99"/>
    </row>
    <row r="956" spans="1:10" ht="13.2" x14ac:dyDescent="0.25">
      <c r="A956" s="7"/>
      <c r="E956" s="7"/>
      <c r="F956" s="7"/>
      <c r="J956" s="99"/>
    </row>
    <row r="957" spans="1:10" ht="13.2" x14ac:dyDescent="0.25">
      <c r="A957" s="7"/>
      <c r="E957" s="7"/>
      <c r="F957" s="7"/>
      <c r="J957" s="99"/>
    </row>
    <row r="958" spans="1:10" ht="13.2" x14ac:dyDescent="0.25">
      <c r="A958" s="7"/>
      <c r="E958" s="7"/>
      <c r="F958" s="7"/>
      <c r="J958" s="99"/>
    </row>
    <row r="959" spans="1:10" ht="13.2" x14ac:dyDescent="0.25">
      <c r="A959" s="7"/>
      <c r="E959" s="7"/>
      <c r="F959" s="7"/>
      <c r="J959" s="99"/>
    </row>
    <row r="960" spans="1:10" ht="13.2" x14ac:dyDescent="0.25">
      <c r="A960" s="7"/>
      <c r="E960" s="7"/>
      <c r="F960" s="7"/>
      <c r="J960" s="99"/>
    </row>
    <row r="961" spans="1:10" ht="13.2" x14ac:dyDescent="0.25">
      <c r="A961" s="7"/>
      <c r="E961" s="7"/>
      <c r="F961" s="7"/>
      <c r="J961" s="99"/>
    </row>
    <row r="962" spans="1:10" ht="13.2" x14ac:dyDescent="0.25">
      <c r="A962" s="7"/>
      <c r="E962" s="7"/>
      <c r="F962" s="7"/>
      <c r="J962" s="99"/>
    </row>
    <row r="963" spans="1:10" ht="13.2" x14ac:dyDescent="0.25">
      <c r="A963" s="7"/>
      <c r="E963" s="7"/>
      <c r="F963" s="7"/>
      <c r="J963" s="99"/>
    </row>
    <row r="964" spans="1:10" ht="13.2" x14ac:dyDescent="0.25">
      <c r="A964" s="7"/>
      <c r="E964" s="7"/>
      <c r="F964" s="7"/>
      <c r="J964" s="99"/>
    </row>
    <row r="965" spans="1:10" ht="13.2" x14ac:dyDescent="0.25">
      <c r="A965" s="7"/>
      <c r="E965" s="7"/>
      <c r="F965" s="7"/>
      <c r="J965" s="99"/>
    </row>
    <row r="966" spans="1:10" ht="13.2" x14ac:dyDescent="0.25">
      <c r="A966" s="7"/>
      <c r="E966" s="7"/>
      <c r="F966" s="7"/>
      <c r="J966" s="99"/>
    </row>
    <row r="967" spans="1:10" ht="13.2" x14ac:dyDescent="0.25">
      <c r="A967" s="7"/>
      <c r="E967" s="7"/>
      <c r="F967" s="7"/>
      <c r="J967" s="99"/>
    </row>
    <row r="968" spans="1:10" ht="13.2" x14ac:dyDescent="0.25">
      <c r="A968" s="7"/>
      <c r="E968" s="7"/>
      <c r="F968" s="7"/>
      <c r="J968" s="99"/>
    </row>
    <row r="969" spans="1:10" ht="13.2" x14ac:dyDescent="0.25">
      <c r="A969" s="7"/>
      <c r="E969" s="7"/>
      <c r="F969" s="7"/>
      <c r="J969" s="99"/>
    </row>
    <row r="970" spans="1:10" ht="13.2" x14ac:dyDescent="0.25">
      <c r="A970" s="7"/>
      <c r="E970" s="7"/>
      <c r="F970" s="7"/>
      <c r="J970" s="99"/>
    </row>
    <row r="971" spans="1:10" ht="13.2" x14ac:dyDescent="0.25">
      <c r="A971" s="7"/>
      <c r="E971" s="7"/>
      <c r="F971" s="7"/>
      <c r="J971" s="99"/>
    </row>
    <row r="972" spans="1:10" ht="13.2" x14ac:dyDescent="0.25">
      <c r="A972" s="7"/>
      <c r="E972" s="7"/>
      <c r="F972" s="7"/>
      <c r="J972" s="99"/>
    </row>
    <row r="973" spans="1:10" ht="13.2" x14ac:dyDescent="0.25">
      <c r="A973" s="7"/>
      <c r="E973" s="7"/>
      <c r="F973" s="7"/>
      <c r="J973" s="99"/>
    </row>
    <row r="974" spans="1:10" ht="13.2" x14ac:dyDescent="0.25">
      <c r="A974" s="7"/>
      <c r="E974" s="7"/>
      <c r="F974" s="7"/>
      <c r="J974" s="99"/>
    </row>
    <row r="975" spans="1:10" ht="13.2" x14ac:dyDescent="0.25">
      <c r="A975" s="7"/>
      <c r="E975" s="7"/>
      <c r="F975" s="7"/>
      <c r="J975" s="99"/>
    </row>
    <row r="976" spans="1:10" ht="13.2" x14ac:dyDescent="0.25">
      <c r="A976" s="7"/>
      <c r="E976" s="7"/>
      <c r="F976" s="7"/>
      <c r="J976" s="99"/>
    </row>
    <row r="977" spans="1:10" ht="13.2" x14ac:dyDescent="0.25">
      <c r="A977" s="7"/>
      <c r="E977" s="7"/>
      <c r="F977" s="7"/>
      <c r="J977" s="99"/>
    </row>
    <row r="978" spans="1:10" ht="13.2" x14ac:dyDescent="0.25">
      <c r="A978" s="7"/>
      <c r="E978" s="7"/>
      <c r="F978" s="7"/>
      <c r="J978" s="99"/>
    </row>
    <row r="979" spans="1:10" ht="13.2" x14ac:dyDescent="0.25">
      <c r="A979" s="7"/>
      <c r="E979" s="7"/>
      <c r="F979" s="7"/>
      <c r="J979" s="99"/>
    </row>
    <row r="980" spans="1:10" ht="13.2" x14ac:dyDescent="0.25">
      <c r="A980" s="7"/>
      <c r="E980" s="7"/>
      <c r="F980" s="7"/>
      <c r="J980" s="99"/>
    </row>
    <row r="981" spans="1:10" ht="13.2" x14ac:dyDescent="0.25">
      <c r="A981" s="7"/>
      <c r="E981" s="7"/>
      <c r="F981" s="7"/>
      <c r="J981" s="99"/>
    </row>
    <row r="982" spans="1:10" ht="13.2" x14ac:dyDescent="0.25">
      <c r="A982" s="7"/>
      <c r="E982" s="7"/>
      <c r="F982" s="7"/>
      <c r="J982" s="99"/>
    </row>
    <row r="983" spans="1:10" ht="13.2" x14ac:dyDescent="0.25">
      <c r="A983" s="7"/>
      <c r="E983" s="7"/>
      <c r="F983" s="7"/>
      <c r="J983" s="99"/>
    </row>
    <row r="984" spans="1:10" ht="13.2" x14ac:dyDescent="0.25">
      <c r="A984" s="7"/>
      <c r="E984" s="7"/>
      <c r="F984" s="7"/>
      <c r="J984" s="99"/>
    </row>
    <row r="985" spans="1:10" ht="13.2" x14ac:dyDescent="0.25">
      <c r="A985" s="7"/>
      <c r="E985" s="7"/>
      <c r="F985" s="7"/>
      <c r="J985" s="99"/>
    </row>
    <row r="986" spans="1:10" ht="13.2" x14ac:dyDescent="0.25">
      <c r="A986" s="7"/>
      <c r="E986" s="7"/>
      <c r="F986" s="7"/>
      <c r="J986" s="99"/>
    </row>
    <row r="987" spans="1:10" ht="13.2" x14ac:dyDescent="0.25">
      <c r="A987" s="7"/>
      <c r="E987" s="7"/>
      <c r="F987" s="7"/>
      <c r="J987" s="99"/>
    </row>
    <row r="988" spans="1:10" ht="13.2" x14ac:dyDescent="0.25">
      <c r="A988" s="7"/>
      <c r="E988" s="7"/>
      <c r="F988" s="7"/>
      <c r="J988" s="99"/>
    </row>
    <row r="989" spans="1:10" ht="13.2" x14ac:dyDescent="0.25">
      <c r="A989" s="7"/>
      <c r="E989" s="7"/>
      <c r="F989" s="7"/>
      <c r="J989" s="99"/>
    </row>
    <row r="990" spans="1:10" ht="13.2" x14ac:dyDescent="0.25">
      <c r="A990" s="7"/>
      <c r="E990" s="7"/>
      <c r="F990" s="7"/>
      <c r="J990" s="99"/>
    </row>
    <row r="991" spans="1:10" ht="13.2" x14ac:dyDescent="0.25">
      <c r="A991" s="7"/>
      <c r="E991" s="7"/>
      <c r="F991" s="7"/>
      <c r="J991" s="99"/>
    </row>
    <row r="992" spans="1:10" ht="13.2" x14ac:dyDescent="0.25">
      <c r="A992" s="7"/>
      <c r="E992" s="7"/>
      <c r="F992" s="7"/>
      <c r="J992" s="99"/>
    </row>
    <row r="993" spans="1:10" ht="13.2" x14ac:dyDescent="0.25">
      <c r="A993" s="7"/>
      <c r="E993" s="7"/>
      <c r="F993" s="7"/>
      <c r="J993" s="99"/>
    </row>
    <row r="994" spans="1:10" ht="13.2" x14ac:dyDescent="0.25">
      <c r="A994" s="7"/>
      <c r="E994" s="7"/>
      <c r="F994" s="7"/>
      <c r="J994" s="99"/>
    </row>
    <row r="995" spans="1:10" ht="13.2" x14ac:dyDescent="0.25">
      <c r="A995" s="7"/>
      <c r="E995" s="7"/>
      <c r="F995" s="7"/>
      <c r="J995" s="99"/>
    </row>
    <row r="996" spans="1:10" ht="13.2" x14ac:dyDescent="0.25">
      <c r="A996" s="7"/>
      <c r="E996" s="7"/>
      <c r="F996" s="7"/>
      <c r="J996" s="99"/>
    </row>
    <row r="997" spans="1:10" ht="13.2" x14ac:dyDescent="0.25">
      <c r="A997" s="7"/>
      <c r="E997" s="7"/>
      <c r="F997" s="7"/>
      <c r="J997" s="99"/>
    </row>
    <row r="998" spans="1:10" ht="13.2" x14ac:dyDescent="0.25">
      <c r="A998" s="7"/>
      <c r="E998" s="7"/>
      <c r="F998" s="7"/>
      <c r="J998" s="99"/>
    </row>
    <row r="999" spans="1:10" ht="13.2" x14ac:dyDescent="0.25">
      <c r="A999" s="7"/>
      <c r="E999" s="7"/>
      <c r="F999" s="7"/>
      <c r="J999" s="99"/>
    </row>
    <row r="1000" spans="1:10" ht="13.2" x14ac:dyDescent="0.25">
      <c r="A1000" s="7"/>
      <c r="E1000" s="7"/>
      <c r="F1000" s="7"/>
      <c r="J1000" s="99"/>
    </row>
    <row r="1001" spans="1:10" ht="13.2" x14ac:dyDescent="0.25">
      <c r="A1001" s="7"/>
      <c r="E1001" s="7"/>
      <c r="F1001" s="7"/>
      <c r="J1001" s="99"/>
    </row>
    <row r="1002" spans="1:10" ht="13.2" x14ac:dyDescent="0.25">
      <c r="A1002" s="7"/>
      <c r="E1002" s="7"/>
      <c r="F1002" s="7"/>
      <c r="J1002" s="99"/>
    </row>
    <row r="1003" spans="1:10" ht="13.2" x14ac:dyDescent="0.25">
      <c r="A1003" s="7"/>
      <c r="E1003" s="7"/>
      <c r="F1003" s="7"/>
      <c r="J1003" s="99"/>
    </row>
    <row r="1004" spans="1:10" ht="13.2" x14ac:dyDescent="0.25">
      <c r="A1004" s="7"/>
      <c r="E1004" s="7"/>
      <c r="F1004" s="7"/>
      <c r="J1004" s="99"/>
    </row>
    <row r="1005" spans="1:10" ht="13.2" x14ac:dyDescent="0.25">
      <c r="A1005" s="7"/>
      <c r="E1005" s="7"/>
      <c r="F1005" s="7"/>
      <c r="J1005" s="99"/>
    </row>
    <row r="1006" spans="1:10" ht="13.2" x14ac:dyDescent="0.25">
      <c r="A1006" s="7"/>
      <c r="E1006" s="7"/>
      <c r="F1006" s="7"/>
      <c r="J1006" s="99"/>
    </row>
  </sheetData>
  <mergeCells count="8">
    <mergeCell ref="A20:J20"/>
    <mergeCell ref="A1:J1"/>
    <mergeCell ref="A2:J2"/>
    <mergeCell ref="B3:C3"/>
    <mergeCell ref="A16:A18"/>
    <mergeCell ref="B16:B18"/>
    <mergeCell ref="C16:C18"/>
    <mergeCell ref="D16:D18"/>
  </mergeCells>
  <printOptions horizontalCentered="1"/>
  <pageMargins left="0.25" right="0.25" top="0.75" bottom="0.75" header="0" footer="0"/>
  <pageSetup paperSize="14" fitToHeight="0" pageOrder="overThenDown"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pageSetUpPr fitToPage="1"/>
  </sheetPr>
  <dimension ref="A1:W1002"/>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46.33203125" customWidth="1"/>
    <col min="2" max="2" width="7.33203125" customWidth="1"/>
    <col min="3" max="4" width="7.88671875" customWidth="1"/>
    <col min="5" max="5" width="22.21875" customWidth="1"/>
    <col min="6" max="6" width="14.6640625" customWidth="1"/>
  </cols>
  <sheetData>
    <row r="1" spans="1:23" x14ac:dyDescent="0.25">
      <c r="A1" s="141" t="s">
        <v>621</v>
      </c>
      <c r="B1" s="142"/>
      <c r="C1" s="142"/>
      <c r="D1" s="142"/>
      <c r="E1" s="142"/>
      <c r="F1" s="142"/>
      <c r="G1" s="142"/>
      <c r="H1" s="142"/>
      <c r="I1" s="143"/>
    </row>
    <row r="2" spans="1:23" x14ac:dyDescent="0.25">
      <c r="A2" s="144" t="s">
        <v>622</v>
      </c>
      <c r="B2" s="142"/>
      <c r="C2" s="142"/>
      <c r="D2" s="142"/>
      <c r="E2" s="142"/>
      <c r="F2" s="142"/>
      <c r="G2" s="142"/>
      <c r="H2" s="142"/>
      <c r="I2" s="143"/>
    </row>
    <row r="3" spans="1:23" x14ac:dyDescent="0.25">
      <c r="A3" s="43" t="s">
        <v>374</v>
      </c>
      <c r="B3" s="145" t="s">
        <v>408</v>
      </c>
      <c r="C3" s="143"/>
      <c r="D3" s="49" t="s">
        <v>370</v>
      </c>
      <c r="E3" s="50" t="s">
        <v>371</v>
      </c>
      <c r="F3" s="51" t="s">
        <v>372</v>
      </c>
      <c r="G3" s="52" t="s">
        <v>373</v>
      </c>
      <c r="H3" s="53" t="s">
        <v>409</v>
      </c>
      <c r="I3" s="53" t="s">
        <v>410</v>
      </c>
      <c r="J3" s="7"/>
      <c r="K3" s="7"/>
      <c r="L3" s="7"/>
      <c r="M3" s="7"/>
      <c r="N3" s="7"/>
      <c r="O3" s="7"/>
      <c r="P3" s="7"/>
      <c r="Q3" s="7"/>
      <c r="R3" s="7"/>
      <c r="S3" s="7"/>
      <c r="T3" s="7"/>
      <c r="U3" s="7"/>
      <c r="V3" s="7"/>
      <c r="W3" s="7"/>
    </row>
    <row r="4" spans="1:23" x14ac:dyDescent="0.25">
      <c r="A4" s="41" t="s">
        <v>411</v>
      </c>
      <c r="B4" s="54">
        <f>SUM(B5:B8)/4</f>
        <v>1</v>
      </c>
      <c r="C4" s="55">
        <f>D4*B4</f>
        <v>0.7</v>
      </c>
      <c r="D4" s="56">
        <v>0.7</v>
      </c>
      <c r="E4" s="57"/>
      <c r="F4" s="57"/>
      <c r="G4" s="58"/>
      <c r="H4" s="58"/>
      <c r="I4" s="58"/>
    </row>
    <row r="5" spans="1:23" x14ac:dyDescent="0.25">
      <c r="A5" s="42" t="s">
        <v>623</v>
      </c>
      <c r="B5" s="59">
        <v>1</v>
      </c>
      <c r="C5" s="60"/>
      <c r="D5" s="60"/>
      <c r="E5" s="42"/>
      <c r="F5" s="61"/>
      <c r="G5" s="59">
        <v>0.8</v>
      </c>
      <c r="H5" s="59">
        <v>0.8</v>
      </c>
      <c r="I5" s="59">
        <v>1</v>
      </c>
    </row>
    <row r="6" spans="1:23" x14ac:dyDescent="0.25">
      <c r="A6" s="42" t="s">
        <v>624</v>
      </c>
      <c r="B6" s="59">
        <v>1</v>
      </c>
      <c r="C6" s="60"/>
      <c r="D6" s="60"/>
      <c r="E6" s="42"/>
      <c r="F6" s="61"/>
      <c r="G6" s="59">
        <v>0.8</v>
      </c>
      <c r="H6" s="59">
        <v>0.8</v>
      </c>
      <c r="I6" s="59">
        <v>1</v>
      </c>
    </row>
    <row r="7" spans="1:23" x14ac:dyDescent="0.25">
      <c r="A7" s="42" t="s">
        <v>625</v>
      </c>
      <c r="B7" s="59">
        <v>1</v>
      </c>
      <c r="C7" s="60"/>
      <c r="D7" s="60"/>
      <c r="E7" s="42"/>
      <c r="F7" s="61"/>
      <c r="G7" s="59">
        <v>0.8</v>
      </c>
      <c r="H7" s="59">
        <v>0.8</v>
      </c>
      <c r="I7" s="59">
        <v>1</v>
      </c>
    </row>
    <row r="8" spans="1:23" x14ac:dyDescent="0.25">
      <c r="A8" s="42" t="s">
        <v>626</v>
      </c>
      <c r="B8" s="59">
        <v>1</v>
      </c>
      <c r="C8" s="60"/>
      <c r="D8" s="60"/>
      <c r="E8" s="42"/>
      <c r="F8" s="42"/>
      <c r="G8" s="59">
        <v>0.8</v>
      </c>
      <c r="H8" s="59">
        <v>0.8</v>
      </c>
      <c r="I8" s="59">
        <v>1</v>
      </c>
    </row>
    <row r="9" spans="1:23" x14ac:dyDescent="0.25">
      <c r="A9" s="41" t="s">
        <v>415</v>
      </c>
      <c r="B9" s="54">
        <f>SUM(B10:B11)/1</f>
        <v>1</v>
      </c>
      <c r="C9" s="55">
        <f>D9*B9</f>
        <v>0.2</v>
      </c>
      <c r="D9" s="56">
        <v>0.2</v>
      </c>
      <c r="E9" s="57"/>
      <c r="F9" s="57"/>
      <c r="G9" s="58"/>
      <c r="H9" s="58"/>
      <c r="I9" s="58"/>
    </row>
    <row r="10" spans="1:23" x14ac:dyDescent="0.25">
      <c r="A10" s="42" t="s">
        <v>627</v>
      </c>
      <c r="B10" s="59">
        <v>1</v>
      </c>
      <c r="C10" s="60"/>
      <c r="D10" s="60"/>
      <c r="E10" s="42" t="s">
        <v>628</v>
      </c>
      <c r="F10" s="42" t="s">
        <v>425</v>
      </c>
      <c r="G10" s="59">
        <v>1</v>
      </c>
      <c r="H10" s="59"/>
      <c r="I10" s="59"/>
    </row>
    <row r="11" spans="1:23" x14ac:dyDescent="0.25">
      <c r="A11" s="43"/>
      <c r="B11" s="62"/>
      <c r="C11" s="60"/>
      <c r="D11" s="60"/>
      <c r="E11" s="42"/>
      <c r="F11" s="61"/>
      <c r="G11" s="59"/>
      <c r="H11" s="59"/>
      <c r="I11" s="59"/>
    </row>
    <row r="12" spans="1:23" x14ac:dyDescent="0.25">
      <c r="A12" s="41" t="s">
        <v>385</v>
      </c>
      <c r="B12" s="54">
        <f>SUM(B13:B14)/2</f>
        <v>1</v>
      </c>
      <c r="C12" s="55">
        <f>D12*B12</f>
        <v>0.1</v>
      </c>
      <c r="D12" s="56">
        <v>0.1</v>
      </c>
      <c r="E12" s="57"/>
      <c r="F12" s="57"/>
      <c r="G12" s="58"/>
      <c r="H12" s="58"/>
      <c r="I12" s="58"/>
    </row>
    <row r="13" spans="1:23" x14ac:dyDescent="0.25">
      <c r="A13" s="42" t="s">
        <v>386</v>
      </c>
      <c r="B13" s="59">
        <v>1</v>
      </c>
      <c r="C13" s="60"/>
      <c r="D13" s="53"/>
      <c r="E13" s="42"/>
      <c r="F13" s="42" t="s">
        <v>418</v>
      </c>
      <c r="G13" s="59">
        <v>0.8</v>
      </c>
      <c r="H13" s="59">
        <v>0.8</v>
      </c>
      <c r="I13" s="59">
        <v>1</v>
      </c>
    </row>
    <row r="14" spans="1:23" x14ac:dyDescent="0.25">
      <c r="A14" s="42" t="s">
        <v>387</v>
      </c>
      <c r="B14" s="59">
        <v>1</v>
      </c>
      <c r="C14" s="60"/>
      <c r="D14" s="53"/>
      <c r="E14" s="42"/>
      <c r="F14" s="42" t="s">
        <v>419</v>
      </c>
      <c r="G14" s="59">
        <v>0.8</v>
      </c>
      <c r="H14" s="59">
        <v>0.8</v>
      </c>
      <c r="I14" s="59">
        <v>1</v>
      </c>
    </row>
    <row r="15" spans="1:23" x14ac:dyDescent="0.25">
      <c r="A15" s="42"/>
      <c r="B15" s="60"/>
      <c r="C15" s="64">
        <f t="shared" ref="C15:D15" si="0">SUM(C4+C9+C12)</f>
        <v>0.99999999999999989</v>
      </c>
      <c r="D15" s="64">
        <f t="shared" si="0"/>
        <v>0.99999999999999989</v>
      </c>
      <c r="E15" s="42"/>
      <c r="F15" s="42"/>
      <c r="G15" s="60"/>
      <c r="H15" s="60"/>
      <c r="I15" s="60"/>
    </row>
    <row r="16" spans="1:23" x14ac:dyDescent="0.25">
      <c r="A16" s="152" t="s">
        <v>629</v>
      </c>
      <c r="B16" s="142"/>
      <c r="C16" s="142"/>
      <c r="D16" s="142"/>
      <c r="E16" s="142"/>
      <c r="F16" s="142"/>
      <c r="G16" s="142"/>
      <c r="H16" s="142"/>
      <c r="I16" s="143"/>
    </row>
    <row r="17" spans="1:9" x14ac:dyDescent="0.25">
      <c r="A17" s="66"/>
      <c r="B17" s="67"/>
      <c r="C17" s="64"/>
      <c r="D17" s="64"/>
      <c r="E17" s="68"/>
      <c r="F17" s="42"/>
      <c r="G17" s="42"/>
      <c r="H17" s="60"/>
      <c r="I17" s="60"/>
    </row>
    <row r="18" spans="1:9" x14ac:dyDescent="0.25">
      <c r="A18" s="66"/>
      <c r="B18" s="67"/>
      <c r="C18" s="64"/>
      <c r="D18" s="64"/>
      <c r="E18" s="68"/>
      <c r="F18" s="42"/>
      <c r="G18" s="69"/>
      <c r="H18" s="60"/>
      <c r="I18" s="60"/>
    </row>
    <row r="19" spans="1:9" x14ac:dyDescent="0.25">
      <c r="A19" s="66"/>
      <c r="B19" s="67"/>
      <c r="C19" s="64"/>
      <c r="D19" s="64"/>
      <c r="E19" s="68"/>
      <c r="F19" s="42"/>
      <c r="G19" s="42"/>
      <c r="H19" s="60"/>
      <c r="I19" s="60"/>
    </row>
    <row r="20" spans="1:9" x14ac:dyDescent="0.25">
      <c r="A20" s="7"/>
      <c r="E20" s="7"/>
      <c r="F20" s="7"/>
    </row>
    <row r="21" spans="1:9" x14ac:dyDescent="0.25">
      <c r="A21" s="7"/>
      <c r="E21" s="7"/>
      <c r="F21" s="7"/>
    </row>
    <row r="22" spans="1:9" x14ac:dyDescent="0.25">
      <c r="A22" s="7"/>
      <c r="E22" s="7"/>
      <c r="F22" s="7"/>
    </row>
    <row r="23" spans="1:9" x14ac:dyDescent="0.25">
      <c r="A23" s="7"/>
      <c r="E23" s="7"/>
      <c r="F23" s="7"/>
    </row>
    <row r="24" spans="1:9" x14ac:dyDescent="0.25">
      <c r="A24" s="7"/>
      <c r="E24" s="7"/>
      <c r="F24" s="7"/>
    </row>
    <row r="25" spans="1:9" x14ac:dyDescent="0.25">
      <c r="A25" s="7"/>
      <c r="E25" s="7"/>
      <c r="F25" s="7"/>
    </row>
    <row r="26" spans="1:9" x14ac:dyDescent="0.25">
      <c r="A26" s="7"/>
      <c r="E26" s="7"/>
      <c r="F26" s="7"/>
    </row>
    <row r="27" spans="1:9" x14ac:dyDescent="0.25">
      <c r="A27" s="7"/>
      <c r="E27" s="7"/>
      <c r="F27" s="7"/>
    </row>
    <row r="28" spans="1:9" x14ac:dyDescent="0.25">
      <c r="A28" s="7"/>
      <c r="E28" s="7"/>
      <c r="F28" s="7"/>
    </row>
    <row r="29" spans="1:9" x14ac:dyDescent="0.25">
      <c r="A29" s="7"/>
      <c r="E29" s="7"/>
      <c r="F29" s="7"/>
    </row>
    <row r="30" spans="1:9" x14ac:dyDescent="0.25">
      <c r="A30" s="7"/>
      <c r="E30" s="7"/>
      <c r="F30" s="7"/>
    </row>
    <row r="31" spans="1:9" x14ac:dyDescent="0.25">
      <c r="A31" s="7"/>
      <c r="E31" s="7"/>
      <c r="F31" s="7"/>
    </row>
    <row r="32" spans="1:9" x14ac:dyDescent="0.25">
      <c r="A32" s="7"/>
      <c r="E32" s="7"/>
      <c r="F32" s="7"/>
    </row>
    <row r="33" spans="1:6" x14ac:dyDescent="0.25">
      <c r="A33" s="7"/>
      <c r="E33" s="7"/>
      <c r="F33" s="7"/>
    </row>
    <row r="34" spans="1:6" x14ac:dyDescent="0.25">
      <c r="A34" s="7"/>
      <c r="E34" s="7"/>
      <c r="F34" s="7"/>
    </row>
    <row r="35" spans="1:6" x14ac:dyDescent="0.25">
      <c r="A35" s="7"/>
      <c r="E35" s="7"/>
      <c r="F35" s="7"/>
    </row>
    <row r="36" spans="1:6" x14ac:dyDescent="0.25">
      <c r="A36" s="7"/>
      <c r="E36" s="7"/>
      <c r="F36" s="7"/>
    </row>
    <row r="37" spans="1:6" x14ac:dyDescent="0.25">
      <c r="A37" s="7"/>
      <c r="E37" s="7"/>
      <c r="F37" s="7"/>
    </row>
    <row r="38" spans="1:6" x14ac:dyDescent="0.25">
      <c r="A38" s="7"/>
      <c r="E38" s="7"/>
      <c r="F38" s="7"/>
    </row>
    <row r="39" spans="1:6" x14ac:dyDescent="0.25">
      <c r="A39" s="7"/>
      <c r="E39" s="7"/>
      <c r="F39" s="7"/>
    </row>
    <row r="40" spans="1:6" x14ac:dyDescent="0.25">
      <c r="A40" s="7"/>
      <c r="E40" s="7"/>
      <c r="F40" s="7"/>
    </row>
    <row r="41" spans="1:6" x14ac:dyDescent="0.25">
      <c r="A41" s="7"/>
      <c r="E41" s="7"/>
      <c r="F41" s="7"/>
    </row>
    <row r="42" spans="1:6" x14ac:dyDescent="0.25">
      <c r="A42" s="7"/>
      <c r="E42" s="7"/>
      <c r="F42" s="7"/>
    </row>
    <row r="43" spans="1:6" x14ac:dyDescent="0.25">
      <c r="A43" s="7"/>
      <c r="E43" s="7"/>
      <c r="F43" s="7"/>
    </row>
    <row r="44" spans="1:6" x14ac:dyDescent="0.25">
      <c r="A44" s="7"/>
      <c r="E44" s="7"/>
      <c r="F44" s="7"/>
    </row>
    <row r="45" spans="1:6" x14ac:dyDescent="0.25">
      <c r="A45" s="7"/>
      <c r="E45" s="7"/>
      <c r="F45" s="7"/>
    </row>
    <row r="46" spans="1:6" x14ac:dyDescent="0.25">
      <c r="A46" s="7"/>
      <c r="E46" s="7"/>
      <c r="F46" s="7"/>
    </row>
    <row r="47" spans="1:6" x14ac:dyDescent="0.25">
      <c r="A47" s="7"/>
      <c r="E47" s="7"/>
      <c r="F47" s="7"/>
    </row>
    <row r="48" spans="1:6" x14ac:dyDescent="0.25">
      <c r="A48" s="7"/>
      <c r="E48" s="7"/>
      <c r="F48" s="7"/>
    </row>
    <row r="49" spans="1:6" x14ac:dyDescent="0.25">
      <c r="A49" s="7"/>
      <c r="E49" s="7"/>
      <c r="F49" s="7"/>
    </row>
    <row r="50" spans="1:6" x14ac:dyDescent="0.25">
      <c r="A50" s="7"/>
      <c r="E50" s="7"/>
      <c r="F50" s="7"/>
    </row>
    <row r="51" spans="1:6" x14ac:dyDescent="0.25">
      <c r="A51" s="7"/>
      <c r="E51" s="7"/>
      <c r="F51" s="7"/>
    </row>
    <row r="52" spans="1:6" x14ac:dyDescent="0.25">
      <c r="A52" s="7"/>
      <c r="E52" s="7"/>
      <c r="F52" s="7"/>
    </row>
    <row r="53" spans="1:6" x14ac:dyDescent="0.25">
      <c r="A53" s="7"/>
      <c r="E53" s="7"/>
      <c r="F53" s="7"/>
    </row>
    <row r="54" spans="1:6" x14ac:dyDescent="0.25">
      <c r="A54" s="7"/>
      <c r="E54" s="7"/>
      <c r="F54" s="7"/>
    </row>
    <row r="55" spans="1:6" x14ac:dyDescent="0.25">
      <c r="A55" s="7"/>
      <c r="E55" s="7"/>
      <c r="F55" s="7"/>
    </row>
    <row r="56" spans="1:6" x14ac:dyDescent="0.25">
      <c r="A56" s="7"/>
      <c r="E56" s="7"/>
      <c r="F56" s="7"/>
    </row>
    <row r="57" spans="1:6" x14ac:dyDescent="0.25">
      <c r="A57" s="7"/>
      <c r="E57" s="7"/>
      <c r="F57" s="7"/>
    </row>
    <row r="58" spans="1:6" x14ac:dyDescent="0.25">
      <c r="A58" s="7"/>
      <c r="E58" s="7"/>
      <c r="F58" s="7"/>
    </row>
    <row r="59" spans="1:6" x14ac:dyDescent="0.25">
      <c r="A59" s="7"/>
      <c r="E59" s="7"/>
      <c r="F59" s="7"/>
    </row>
    <row r="60" spans="1:6" x14ac:dyDescent="0.25">
      <c r="A60" s="7"/>
      <c r="E60" s="7"/>
      <c r="F60" s="7"/>
    </row>
    <row r="61" spans="1:6" x14ac:dyDescent="0.25">
      <c r="A61" s="7"/>
      <c r="E61" s="7"/>
      <c r="F61" s="7"/>
    </row>
    <row r="62" spans="1:6" x14ac:dyDescent="0.25">
      <c r="A62" s="7"/>
      <c r="E62" s="7"/>
      <c r="F62" s="7"/>
    </row>
    <row r="63" spans="1:6" x14ac:dyDescent="0.25">
      <c r="A63" s="7"/>
      <c r="E63" s="7"/>
      <c r="F63" s="7"/>
    </row>
    <row r="64" spans="1:6" x14ac:dyDescent="0.25">
      <c r="A64" s="7"/>
      <c r="E64" s="7"/>
      <c r="F64" s="7"/>
    </row>
    <row r="65" spans="1:6" x14ac:dyDescent="0.25">
      <c r="A65" s="7"/>
      <c r="E65" s="7"/>
      <c r="F65" s="7"/>
    </row>
    <row r="66" spans="1:6" x14ac:dyDescent="0.25">
      <c r="A66" s="7"/>
      <c r="E66" s="7"/>
      <c r="F66" s="7"/>
    </row>
    <row r="67" spans="1:6" x14ac:dyDescent="0.25">
      <c r="A67" s="7"/>
      <c r="E67" s="7"/>
      <c r="F67" s="7"/>
    </row>
    <row r="68" spans="1:6" x14ac:dyDescent="0.25">
      <c r="A68" s="7"/>
      <c r="E68" s="7"/>
      <c r="F68" s="7"/>
    </row>
    <row r="69" spans="1:6" x14ac:dyDescent="0.25">
      <c r="A69" s="7"/>
      <c r="E69" s="7"/>
      <c r="F69" s="7"/>
    </row>
    <row r="70" spans="1:6" x14ac:dyDescent="0.25">
      <c r="A70" s="7"/>
      <c r="E70" s="7"/>
      <c r="F70" s="7"/>
    </row>
    <row r="71" spans="1:6" x14ac:dyDescent="0.25">
      <c r="A71" s="7"/>
      <c r="E71" s="7"/>
      <c r="F71" s="7"/>
    </row>
    <row r="72" spans="1:6" x14ac:dyDescent="0.25">
      <c r="A72" s="7"/>
      <c r="E72" s="7"/>
      <c r="F72" s="7"/>
    </row>
    <row r="73" spans="1:6" x14ac:dyDescent="0.25">
      <c r="A73" s="7"/>
      <c r="E73" s="7"/>
      <c r="F73" s="7"/>
    </row>
    <row r="74" spans="1:6" x14ac:dyDescent="0.25">
      <c r="A74" s="7"/>
      <c r="E74" s="7"/>
      <c r="F74" s="7"/>
    </row>
    <row r="75" spans="1:6" x14ac:dyDescent="0.25">
      <c r="A75" s="7"/>
      <c r="E75" s="7"/>
      <c r="F75" s="7"/>
    </row>
    <row r="76" spans="1:6" x14ac:dyDescent="0.25">
      <c r="A76" s="7"/>
      <c r="E76" s="7"/>
      <c r="F76" s="7"/>
    </row>
    <row r="77" spans="1:6" x14ac:dyDescent="0.25">
      <c r="A77" s="7"/>
      <c r="E77" s="7"/>
      <c r="F77" s="7"/>
    </row>
    <row r="78" spans="1:6" x14ac:dyDescent="0.25">
      <c r="A78" s="7"/>
      <c r="E78" s="7"/>
      <c r="F78" s="7"/>
    </row>
    <row r="79" spans="1:6" x14ac:dyDescent="0.25">
      <c r="A79" s="7"/>
      <c r="E79" s="7"/>
      <c r="F79" s="7"/>
    </row>
    <row r="80" spans="1:6" x14ac:dyDescent="0.25">
      <c r="A80" s="7"/>
      <c r="E80" s="7"/>
      <c r="F80" s="7"/>
    </row>
    <row r="81" spans="1:6" x14ac:dyDescent="0.25">
      <c r="A81" s="7"/>
      <c r="E81" s="7"/>
      <c r="F81" s="7"/>
    </row>
    <row r="82" spans="1:6" x14ac:dyDescent="0.25">
      <c r="A82" s="7"/>
      <c r="E82" s="7"/>
      <c r="F82" s="7"/>
    </row>
    <row r="83" spans="1:6" x14ac:dyDescent="0.25">
      <c r="A83" s="7"/>
      <c r="E83" s="7"/>
      <c r="F83" s="7"/>
    </row>
    <row r="84" spans="1:6" x14ac:dyDescent="0.25">
      <c r="A84" s="7"/>
      <c r="E84" s="7"/>
      <c r="F84" s="7"/>
    </row>
    <row r="85" spans="1:6" x14ac:dyDescent="0.25">
      <c r="A85" s="7"/>
      <c r="E85" s="7"/>
      <c r="F85" s="7"/>
    </row>
    <row r="86" spans="1:6" x14ac:dyDescent="0.25">
      <c r="A86" s="7"/>
      <c r="E86" s="7"/>
      <c r="F86" s="7"/>
    </row>
    <row r="87" spans="1:6" x14ac:dyDescent="0.25">
      <c r="A87" s="7"/>
      <c r="E87" s="7"/>
      <c r="F87" s="7"/>
    </row>
    <row r="88" spans="1:6" x14ac:dyDescent="0.25">
      <c r="A88" s="7"/>
      <c r="E88" s="7"/>
      <c r="F88" s="7"/>
    </row>
    <row r="89" spans="1:6" x14ac:dyDescent="0.25">
      <c r="A89" s="7"/>
      <c r="E89" s="7"/>
      <c r="F89" s="7"/>
    </row>
    <row r="90" spans="1:6" x14ac:dyDescent="0.25">
      <c r="A90" s="7"/>
      <c r="E90" s="7"/>
      <c r="F90" s="7"/>
    </row>
    <row r="91" spans="1:6" x14ac:dyDescent="0.25">
      <c r="A91" s="7"/>
      <c r="E91" s="7"/>
      <c r="F91" s="7"/>
    </row>
    <row r="92" spans="1:6" x14ac:dyDescent="0.25">
      <c r="A92" s="7"/>
      <c r="E92" s="7"/>
      <c r="F92" s="7"/>
    </row>
    <row r="93" spans="1:6" x14ac:dyDescent="0.25">
      <c r="A93" s="7"/>
      <c r="E93" s="7"/>
      <c r="F93" s="7"/>
    </row>
    <row r="94" spans="1:6" x14ac:dyDescent="0.25">
      <c r="A94" s="7"/>
      <c r="E94" s="7"/>
      <c r="F94" s="7"/>
    </row>
    <row r="95" spans="1:6" x14ac:dyDescent="0.25">
      <c r="A95" s="7"/>
      <c r="E95" s="7"/>
      <c r="F95" s="7"/>
    </row>
    <row r="96" spans="1:6" x14ac:dyDescent="0.25">
      <c r="A96" s="7"/>
      <c r="E96" s="7"/>
      <c r="F96" s="7"/>
    </row>
    <row r="97" spans="1:6" x14ac:dyDescent="0.25">
      <c r="A97" s="7"/>
      <c r="E97" s="7"/>
      <c r="F97" s="7"/>
    </row>
    <row r="98" spans="1:6" x14ac:dyDescent="0.25">
      <c r="A98" s="7"/>
      <c r="E98" s="7"/>
      <c r="F98" s="7"/>
    </row>
    <row r="99" spans="1:6" x14ac:dyDescent="0.25">
      <c r="A99" s="7"/>
      <c r="E99" s="7"/>
      <c r="F99" s="7"/>
    </row>
    <row r="100" spans="1:6" x14ac:dyDescent="0.25">
      <c r="A100" s="7"/>
      <c r="E100" s="7"/>
      <c r="F100" s="7"/>
    </row>
    <row r="101" spans="1:6" x14ac:dyDescent="0.25">
      <c r="A101" s="7"/>
      <c r="E101" s="7"/>
      <c r="F101" s="7"/>
    </row>
    <row r="102" spans="1:6" x14ac:dyDescent="0.25">
      <c r="A102" s="7"/>
      <c r="E102" s="7"/>
      <c r="F102" s="7"/>
    </row>
    <row r="103" spans="1:6" x14ac:dyDescent="0.25">
      <c r="A103" s="7"/>
      <c r="E103" s="7"/>
      <c r="F103" s="7"/>
    </row>
    <row r="104" spans="1:6" x14ac:dyDescent="0.25">
      <c r="A104" s="7"/>
      <c r="E104" s="7"/>
      <c r="F104" s="7"/>
    </row>
    <row r="105" spans="1:6" x14ac:dyDescent="0.25">
      <c r="A105" s="7"/>
      <c r="E105" s="7"/>
      <c r="F105" s="7"/>
    </row>
    <row r="106" spans="1:6" x14ac:dyDescent="0.25">
      <c r="A106" s="7"/>
      <c r="E106" s="7"/>
      <c r="F106" s="7"/>
    </row>
    <row r="107" spans="1:6" x14ac:dyDescent="0.25">
      <c r="A107" s="7"/>
      <c r="E107" s="7"/>
      <c r="F107" s="7"/>
    </row>
    <row r="108" spans="1:6" x14ac:dyDescent="0.25">
      <c r="A108" s="7"/>
      <c r="E108" s="7"/>
      <c r="F108" s="7"/>
    </row>
    <row r="109" spans="1:6" x14ac:dyDescent="0.25">
      <c r="A109" s="7"/>
      <c r="E109" s="7"/>
      <c r="F109" s="7"/>
    </row>
    <row r="110" spans="1:6" x14ac:dyDescent="0.25">
      <c r="A110" s="7"/>
      <c r="E110" s="7"/>
      <c r="F110" s="7"/>
    </row>
    <row r="111" spans="1:6" x14ac:dyDescent="0.25">
      <c r="A111" s="7"/>
      <c r="E111" s="7"/>
      <c r="F111" s="7"/>
    </row>
    <row r="112" spans="1:6" x14ac:dyDescent="0.25">
      <c r="A112" s="7"/>
      <c r="E112" s="7"/>
      <c r="F112" s="7"/>
    </row>
    <row r="113" spans="1:6" x14ac:dyDescent="0.25">
      <c r="A113" s="7"/>
      <c r="E113" s="7"/>
      <c r="F113" s="7"/>
    </row>
    <row r="114" spans="1:6" x14ac:dyDescent="0.25">
      <c r="A114" s="7"/>
      <c r="E114" s="7"/>
      <c r="F114" s="7"/>
    </row>
    <row r="115" spans="1:6" x14ac:dyDescent="0.25">
      <c r="A115" s="7"/>
      <c r="E115" s="7"/>
      <c r="F115" s="7"/>
    </row>
    <row r="116" spans="1:6" x14ac:dyDescent="0.25">
      <c r="A116" s="7"/>
      <c r="E116" s="7"/>
      <c r="F116" s="7"/>
    </row>
    <row r="117" spans="1:6" x14ac:dyDescent="0.25">
      <c r="A117" s="7"/>
      <c r="E117" s="7"/>
      <c r="F117" s="7"/>
    </row>
    <row r="118" spans="1:6" x14ac:dyDescent="0.25">
      <c r="A118" s="7"/>
      <c r="E118" s="7"/>
      <c r="F118" s="7"/>
    </row>
    <row r="119" spans="1:6" x14ac:dyDescent="0.25">
      <c r="A119" s="7"/>
      <c r="E119" s="7"/>
      <c r="F119" s="7"/>
    </row>
    <row r="120" spans="1:6" x14ac:dyDescent="0.25">
      <c r="A120" s="7"/>
      <c r="E120" s="7"/>
      <c r="F120" s="7"/>
    </row>
    <row r="121" spans="1:6" x14ac:dyDescent="0.25">
      <c r="A121" s="7"/>
      <c r="E121" s="7"/>
      <c r="F121" s="7"/>
    </row>
    <row r="122" spans="1:6" x14ac:dyDescent="0.25">
      <c r="A122" s="7"/>
      <c r="E122" s="7"/>
      <c r="F122" s="7"/>
    </row>
    <row r="123" spans="1:6" x14ac:dyDescent="0.25">
      <c r="A123" s="7"/>
      <c r="E123" s="7"/>
      <c r="F123" s="7"/>
    </row>
    <row r="124" spans="1:6" x14ac:dyDescent="0.25">
      <c r="A124" s="7"/>
      <c r="E124" s="7"/>
      <c r="F124" s="7"/>
    </row>
    <row r="125" spans="1:6" x14ac:dyDescent="0.25">
      <c r="A125" s="7"/>
      <c r="E125" s="7"/>
      <c r="F125" s="7"/>
    </row>
    <row r="126" spans="1:6" x14ac:dyDescent="0.25">
      <c r="A126" s="7"/>
      <c r="E126" s="7"/>
      <c r="F126" s="7"/>
    </row>
    <row r="127" spans="1:6" x14ac:dyDescent="0.25">
      <c r="A127" s="7"/>
      <c r="E127" s="7"/>
      <c r="F127" s="7"/>
    </row>
    <row r="128" spans="1:6" x14ac:dyDescent="0.25">
      <c r="A128" s="7"/>
      <c r="E128" s="7"/>
      <c r="F128" s="7"/>
    </row>
    <row r="129" spans="1:6" x14ac:dyDescent="0.25">
      <c r="A129" s="7"/>
      <c r="E129" s="7"/>
      <c r="F129" s="7"/>
    </row>
    <row r="130" spans="1:6" x14ac:dyDescent="0.25">
      <c r="A130" s="7"/>
      <c r="E130" s="7"/>
      <c r="F130" s="7"/>
    </row>
    <row r="131" spans="1:6" x14ac:dyDescent="0.25">
      <c r="A131" s="7"/>
      <c r="E131" s="7"/>
      <c r="F131" s="7"/>
    </row>
    <row r="132" spans="1:6" x14ac:dyDescent="0.25">
      <c r="A132" s="7"/>
      <c r="E132" s="7"/>
      <c r="F132" s="7"/>
    </row>
    <row r="133" spans="1:6" x14ac:dyDescent="0.25">
      <c r="A133" s="7"/>
      <c r="E133" s="7"/>
      <c r="F133" s="7"/>
    </row>
    <row r="134" spans="1:6" x14ac:dyDescent="0.25">
      <c r="A134" s="7"/>
      <c r="E134" s="7"/>
      <c r="F134" s="7"/>
    </row>
    <row r="135" spans="1:6" x14ac:dyDescent="0.25">
      <c r="A135" s="7"/>
      <c r="E135" s="7"/>
      <c r="F135" s="7"/>
    </row>
    <row r="136" spans="1:6" x14ac:dyDescent="0.25">
      <c r="A136" s="7"/>
      <c r="E136" s="7"/>
      <c r="F136" s="7"/>
    </row>
    <row r="137" spans="1:6" x14ac:dyDescent="0.25">
      <c r="A137" s="7"/>
      <c r="E137" s="7"/>
      <c r="F137" s="7"/>
    </row>
    <row r="138" spans="1:6" x14ac:dyDescent="0.25">
      <c r="A138" s="7"/>
      <c r="E138" s="7"/>
      <c r="F138" s="7"/>
    </row>
    <row r="139" spans="1:6" x14ac:dyDescent="0.25">
      <c r="A139" s="7"/>
      <c r="E139" s="7"/>
      <c r="F139" s="7"/>
    </row>
    <row r="140" spans="1:6" x14ac:dyDescent="0.25">
      <c r="A140" s="7"/>
      <c r="E140" s="7"/>
      <c r="F140" s="7"/>
    </row>
    <row r="141" spans="1:6" x14ac:dyDescent="0.25">
      <c r="A141" s="7"/>
      <c r="E141" s="7"/>
      <c r="F141" s="7"/>
    </row>
    <row r="142" spans="1:6" x14ac:dyDescent="0.25">
      <c r="A142" s="7"/>
      <c r="E142" s="7"/>
      <c r="F142" s="7"/>
    </row>
    <row r="143" spans="1:6" x14ac:dyDescent="0.25">
      <c r="A143" s="7"/>
      <c r="E143" s="7"/>
      <c r="F143" s="7"/>
    </row>
    <row r="144" spans="1:6" x14ac:dyDescent="0.25">
      <c r="A144" s="7"/>
      <c r="E144" s="7"/>
      <c r="F144" s="7"/>
    </row>
    <row r="145" spans="1:6" x14ac:dyDescent="0.25">
      <c r="A145" s="7"/>
      <c r="E145" s="7"/>
      <c r="F145" s="7"/>
    </row>
    <row r="146" spans="1:6" x14ac:dyDescent="0.25">
      <c r="A146" s="7"/>
      <c r="E146" s="7"/>
      <c r="F146" s="7"/>
    </row>
    <row r="147" spans="1:6" x14ac:dyDescent="0.25">
      <c r="A147" s="7"/>
      <c r="E147" s="7"/>
      <c r="F147" s="7"/>
    </row>
    <row r="148" spans="1:6" x14ac:dyDescent="0.25">
      <c r="A148" s="7"/>
      <c r="E148" s="7"/>
      <c r="F148" s="7"/>
    </row>
    <row r="149" spans="1:6" x14ac:dyDescent="0.25">
      <c r="A149" s="7"/>
      <c r="E149" s="7"/>
      <c r="F149" s="7"/>
    </row>
    <row r="150" spans="1:6" x14ac:dyDescent="0.25">
      <c r="A150" s="7"/>
      <c r="E150" s="7"/>
      <c r="F150" s="7"/>
    </row>
    <row r="151" spans="1:6" x14ac:dyDescent="0.25">
      <c r="A151" s="7"/>
      <c r="E151" s="7"/>
      <c r="F151" s="7"/>
    </row>
    <row r="152" spans="1:6" x14ac:dyDescent="0.25">
      <c r="A152" s="7"/>
      <c r="E152" s="7"/>
      <c r="F152" s="7"/>
    </row>
    <row r="153" spans="1:6" x14ac:dyDescent="0.25">
      <c r="A153" s="7"/>
      <c r="E153" s="7"/>
      <c r="F153" s="7"/>
    </row>
    <row r="154" spans="1:6" x14ac:dyDescent="0.25">
      <c r="A154" s="7"/>
      <c r="E154" s="7"/>
      <c r="F154" s="7"/>
    </row>
    <row r="155" spans="1:6" x14ac:dyDescent="0.25">
      <c r="A155" s="7"/>
      <c r="E155" s="7"/>
      <c r="F155" s="7"/>
    </row>
    <row r="156" spans="1:6" x14ac:dyDescent="0.25">
      <c r="A156" s="7"/>
      <c r="E156" s="7"/>
      <c r="F156" s="7"/>
    </row>
    <row r="157" spans="1:6" x14ac:dyDescent="0.25">
      <c r="A157" s="7"/>
      <c r="E157" s="7"/>
      <c r="F157" s="7"/>
    </row>
    <row r="158" spans="1:6" x14ac:dyDescent="0.25">
      <c r="A158" s="7"/>
      <c r="E158" s="7"/>
      <c r="F158" s="7"/>
    </row>
    <row r="159" spans="1:6" x14ac:dyDescent="0.25">
      <c r="A159" s="7"/>
      <c r="E159" s="7"/>
      <c r="F159" s="7"/>
    </row>
    <row r="160" spans="1:6" x14ac:dyDescent="0.25">
      <c r="A160" s="7"/>
      <c r="E160" s="7"/>
      <c r="F160" s="7"/>
    </row>
    <row r="161" spans="1:6" x14ac:dyDescent="0.25">
      <c r="A161" s="7"/>
      <c r="E161" s="7"/>
      <c r="F161" s="7"/>
    </row>
    <row r="162" spans="1:6" x14ac:dyDescent="0.25">
      <c r="A162" s="7"/>
      <c r="E162" s="7"/>
      <c r="F162" s="7"/>
    </row>
    <row r="163" spans="1:6" x14ac:dyDescent="0.25">
      <c r="A163" s="7"/>
      <c r="E163" s="7"/>
      <c r="F163" s="7"/>
    </row>
    <row r="164" spans="1:6" x14ac:dyDescent="0.25">
      <c r="A164" s="7"/>
      <c r="E164" s="7"/>
      <c r="F164" s="7"/>
    </row>
    <row r="165" spans="1:6" x14ac:dyDescent="0.25">
      <c r="A165" s="7"/>
      <c r="E165" s="7"/>
      <c r="F165" s="7"/>
    </row>
    <row r="166" spans="1:6" x14ac:dyDescent="0.25">
      <c r="A166" s="7"/>
      <c r="E166" s="7"/>
      <c r="F166" s="7"/>
    </row>
    <row r="167" spans="1:6" x14ac:dyDescent="0.25">
      <c r="A167" s="7"/>
      <c r="E167" s="7"/>
      <c r="F167" s="7"/>
    </row>
    <row r="168" spans="1:6" x14ac:dyDescent="0.25">
      <c r="A168" s="7"/>
      <c r="E168" s="7"/>
      <c r="F168" s="7"/>
    </row>
    <row r="169" spans="1:6" x14ac:dyDescent="0.25">
      <c r="A169" s="7"/>
      <c r="E169" s="7"/>
      <c r="F169" s="7"/>
    </row>
    <row r="170" spans="1:6" x14ac:dyDescent="0.25">
      <c r="A170" s="7"/>
      <c r="E170" s="7"/>
      <c r="F170" s="7"/>
    </row>
    <row r="171" spans="1:6" x14ac:dyDescent="0.25">
      <c r="A171" s="7"/>
      <c r="E171" s="7"/>
      <c r="F171" s="7"/>
    </row>
    <row r="172" spans="1:6" x14ac:dyDescent="0.25">
      <c r="A172" s="7"/>
      <c r="E172" s="7"/>
      <c r="F172" s="7"/>
    </row>
    <row r="173" spans="1:6" x14ac:dyDescent="0.25">
      <c r="A173" s="7"/>
      <c r="E173" s="7"/>
      <c r="F173" s="7"/>
    </row>
    <row r="174" spans="1:6" x14ac:dyDescent="0.25">
      <c r="A174" s="7"/>
      <c r="E174" s="7"/>
      <c r="F174" s="7"/>
    </row>
    <row r="175" spans="1:6" x14ac:dyDescent="0.25">
      <c r="A175" s="7"/>
      <c r="E175" s="7"/>
      <c r="F175" s="7"/>
    </row>
    <row r="176" spans="1:6" x14ac:dyDescent="0.25">
      <c r="A176" s="7"/>
      <c r="E176" s="7"/>
      <c r="F176" s="7"/>
    </row>
    <row r="177" spans="1:6" x14ac:dyDescent="0.25">
      <c r="A177" s="7"/>
      <c r="E177" s="7"/>
      <c r="F177" s="7"/>
    </row>
    <row r="178" spans="1:6" x14ac:dyDescent="0.25">
      <c r="A178" s="7"/>
      <c r="E178" s="7"/>
      <c r="F178" s="7"/>
    </row>
    <row r="179" spans="1:6" x14ac:dyDescent="0.25">
      <c r="A179" s="7"/>
      <c r="E179" s="7"/>
      <c r="F179" s="7"/>
    </row>
    <row r="180" spans="1:6" x14ac:dyDescent="0.25">
      <c r="A180" s="7"/>
      <c r="E180" s="7"/>
      <c r="F180" s="7"/>
    </row>
    <row r="181" spans="1:6" x14ac:dyDescent="0.25">
      <c r="A181" s="7"/>
      <c r="E181" s="7"/>
      <c r="F181" s="7"/>
    </row>
    <row r="182" spans="1:6" x14ac:dyDescent="0.25">
      <c r="A182" s="7"/>
      <c r="E182" s="7"/>
      <c r="F182" s="7"/>
    </row>
    <row r="183" spans="1:6" x14ac:dyDescent="0.25">
      <c r="A183" s="7"/>
      <c r="E183" s="7"/>
      <c r="F183" s="7"/>
    </row>
    <row r="184" spans="1:6" x14ac:dyDescent="0.25">
      <c r="A184" s="7"/>
      <c r="E184" s="7"/>
      <c r="F184" s="7"/>
    </row>
    <row r="185" spans="1:6" x14ac:dyDescent="0.25">
      <c r="A185" s="7"/>
      <c r="E185" s="7"/>
      <c r="F185" s="7"/>
    </row>
    <row r="186" spans="1:6" x14ac:dyDescent="0.25">
      <c r="A186" s="7"/>
      <c r="E186" s="7"/>
      <c r="F186" s="7"/>
    </row>
    <row r="187" spans="1:6" x14ac:dyDescent="0.25">
      <c r="A187" s="7"/>
      <c r="E187" s="7"/>
      <c r="F187" s="7"/>
    </row>
    <row r="188" spans="1:6" x14ac:dyDescent="0.25">
      <c r="A188" s="7"/>
      <c r="E188" s="7"/>
      <c r="F188" s="7"/>
    </row>
    <row r="189" spans="1:6" x14ac:dyDescent="0.25">
      <c r="A189" s="7"/>
      <c r="E189" s="7"/>
      <c r="F189" s="7"/>
    </row>
    <row r="190" spans="1:6" x14ac:dyDescent="0.25">
      <c r="A190" s="7"/>
      <c r="E190" s="7"/>
      <c r="F190" s="7"/>
    </row>
    <row r="191" spans="1:6" x14ac:dyDescent="0.25">
      <c r="A191" s="7"/>
      <c r="E191" s="7"/>
      <c r="F191" s="7"/>
    </row>
    <row r="192" spans="1:6" x14ac:dyDescent="0.25">
      <c r="A192" s="7"/>
      <c r="E192" s="7"/>
      <c r="F192" s="7"/>
    </row>
    <row r="193" spans="1:6" x14ac:dyDescent="0.25">
      <c r="A193" s="7"/>
      <c r="E193" s="7"/>
      <c r="F193" s="7"/>
    </row>
    <row r="194" spans="1:6" x14ac:dyDescent="0.25">
      <c r="A194" s="7"/>
      <c r="E194" s="7"/>
      <c r="F194" s="7"/>
    </row>
    <row r="195" spans="1:6" x14ac:dyDescent="0.25">
      <c r="A195" s="7"/>
      <c r="E195" s="7"/>
      <c r="F195" s="7"/>
    </row>
    <row r="196" spans="1:6" x14ac:dyDescent="0.25">
      <c r="A196" s="7"/>
      <c r="E196" s="7"/>
      <c r="F196" s="7"/>
    </row>
    <row r="197" spans="1:6" x14ac:dyDescent="0.25">
      <c r="A197" s="7"/>
      <c r="E197" s="7"/>
      <c r="F197" s="7"/>
    </row>
    <row r="198" spans="1:6" x14ac:dyDescent="0.25">
      <c r="A198" s="7"/>
      <c r="E198" s="7"/>
      <c r="F198" s="7"/>
    </row>
    <row r="199" spans="1:6" x14ac:dyDescent="0.25">
      <c r="A199" s="7"/>
      <c r="E199" s="7"/>
      <c r="F199" s="7"/>
    </row>
    <row r="200" spans="1:6" x14ac:dyDescent="0.25">
      <c r="A200" s="7"/>
      <c r="E200" s="7"/>
      <c r="F200" s="7"/>
    </row>
    <row r="201" spans="1:6" x14ac:dyDescent="0.25">
      <c r="A201" s="7"/>
      <c r="E201" s="7"/>
      <c r="F201" s="7"/>
    </row>
    <row r="202" spans="1:6" x14ac:dyDescent="0.25">
      <c r="A202" s="7"/>
      <c r="E202" s="7"/>
      <c r="F202" s="7"/>
    </row>
    <row r="203" spans="1:6" x14ac:dyDescent="0.25">
      <c r="A203" s="7"/>
      <c r="E203" s="7"/>
      <c r="F203" s="7"/>
    </row>
    <row r="204" spans="1:6" x14ac:dyDescent="0.25">
      <c r="A204" s="7"/>
      <c r="E204" s="7"/>
      <c r="F204" s="7"/>
    </row>
    <row r="205" spans="1:6" x14ac:dyDescent="0.25">
      <c r="A205" s="7"/>
      <c r="E205" s="7"/>
      <c r="F205" s="7"/>
    </row>
    <row r="206" spans="1:6" x14ac:dyDescent="0.25">
      <c r="A206" s="7"/>
      <c r="E206" s="7"/>
      <c r="F206" s="7"/>
    </row>
    <row r="207" spans="1:6" x14ac:dyDescent="0.25">
      <c r="A207" s="7"/>
      <c r="E207" s="7"/>
      <c r="F207" s="7"/>
    </row>
    <row r="208" spans="1:6" x14ac:dyDescent="0.25">
      <c r="A208" s="7"/>
      <c r="E208" s="7"/>
      <c r="F208" s="7"/>
    </row>
    <row r="209" spans="1:6" x14ac:dyDescent="0.25">
      <c r="A209" s="7"/>
      <c r="E209" s="7"/>
      <c r="F209" s="7"/>
    </row>
    <row r="210" spans="1:6" x14ac:dyDescent="0.25">
      <c r="A210" s="7"/>
      <c r="E210" s="7"/>
      <c r="F210" s="7"/>
    </row>
    <row r="211" spans="1:6" x14ac:dyDescent="0.25">
      <c r="A211" s="7"/>
      <c r="E211" s="7"/>
      <c r="F211" s="7"/>
    </row>
    <row r="212" spans="1:6" x14ac:dyDescent="0.25">
      <c r="A212" s="7"/>
      <c r="E212" s="7"/>
      <c r="F212" s="7"/>
    </row>
    <row r="213" spans="1:6" x14ac:dyDescent="0.25">
      <c r="A213" s="7"/>
      <c r="E213" s="7"/>
      <c r="F213" s="7"/>
    </row>
    <row r="214" spans="1:6" x14ac:dyDescent="0.25">
      <c r="A214" s="7"/>
      <c r="E214" s="7"/>
      <c r="F214" s="7"/>
    </row>
    <row r="215" spans="1:6" x14ac:dyDescent="0.25">
      <c r="A215" s="7"/>
      <c r="E215" s="7"/>
      <c r="F215" s="7"/>
    </row>
    <row r="216" spans="1:6" x14ac:dyDescent="0.25">
      <c r="A216" s="7"/>
      <c r="E216" s="7"/>
      <c r="F216" s="7"/>
    </row>
    <row r="217" spans="1:6" x14ac:dyDescent="0.25">
      <c r="A217" s="7"/>
      <c r="E217" s="7"/>
      <c r="F217" s="7"/>
    </row>
    <row r="218" spans="1:6" x14ac:dyDescent="0.25">
      <c r="A218" s="7"/>
      <c r="E218" s="7"/>
      <c r="F218" s="7"/>
    </row>
    <row r="219" spans="1:6" x14ac:dyDescent="0.25">
      <c r="A219" s="7"/>
      <c r="E219" s="7"/>
      <c r="F219" s="7"/>
    </row>
    <row r="220" spans="1:6" x14ac:dyDescent="0.25">
      <c r="A220" s="7"/>
      <c r="E220" s="7"/>
      <c r="F220" s="7"/>
    </row>
    <row r="221" spans="1:6" x14ac:dyDescent="0.25">
      <c r="A221" s="7"/>
      <c r="E221" s="7"/>
      <c r="F221" s="7"/>
    </row>
    <row r="222" spans="1:6" x14ac:dyDescent="0.25">
      <c r="A222" s="7"/>
      <c r="E222" s="7"/>
      <c r="F222" s="7"/>
    </row>
    <row r="223" spans="1:6" x14ac:dyDescent="0.25">
      <c r="A223" s="7"/>
      <c r="E223" s="7"/>
      <c r="F223" s="7"/>
    </row>
    <row r="224" spans="1:6" x14ac:dyDescent="0.25">
      <c r="A224" s="7"/>
      <c r="E224" s="7"/>
      <c r="F224" s="7"/>
    </row>
    <row r="225" spans="1:6" x14ac:dyDescent="0.25">
      <c r="A225" s="7"/>
      <c r="E225" s="7"/>
      <c r="F225" s="7"/>
    </row>
    <row r="226" spans="1:6" x14ac:dyDescent="0.25">
      <c r="A226" s="7"/>
      <c r="E226" s="7"/>
      <c r="F226" s="7"/>
    </row>
    <row r="227" spans="1:6" x14ac:dyDescent="0.25">
      <c r="A227" s="7"/>
      <c r="E227" s="7"/>
      <c r="F227" s="7"/>
    </row>
    <row r="228" spans="1:6" x14ac:dyDescent="0.25">
      <c r="A228" s="7"/>
      <c r="E228" s="7"/>
      <c r="F228" s="7"/>
    </row>
    <row r="229" spans="1:6" x14ac:dyDescent="0.25">
      <c r="A229" s="7"/>
      <c r="E229" s="7"/>
      <c r="F229" s="7"/>
    </row>
    <row r="230" spans="1:6" x14ac:dyDescent="0.25">
      <c r="A230" s="7"/>
      <c r="E230" s="7"/>
      <c r="F230" s="7"/>
    </row>
    <row r="231" spans="1:6" x14ac:dyDescent="0.25">
      <c r="A231" s="7"/>
      <c r="E231" s="7"/>
      <c r="F231" s="7"/>
    </row>
    <row r="232" spans="1:6" x14ac:dyDescent="0.25">
      <c r="A232" s="7"/>
      <c r="E232" s="7"/>
      <c r="F232" s="7"/>
    </row>
    <row r="233" spans="1:6" x14ac:dyDescent="0.25">
      <c r="A233" s="7"/>
      <c r="E233" s="7"/>
      <c r="F233" s="7"/>
    </row>
    <row r="234" spans="1:6" x14ac:dyDescent="0.25">
      <c r="A234" s="7"/>
      <c r="E234" s="7"/>
      <c r="F234" s="7"/>
    </row>
    <row r="235" spans="1:6" x14ac:dyDescent="0.25">
      <c r="A235" s="7"/>
      <c r="E235" s="7"/>
      <c r="F235" s="7"/>
    </row>
    <row r="236" spans="1:6" x14ac:dyDescent="0.25">
      <c r="A236" s="7"/>
      <c r="E236" s="7"/>
      <c r="F236" s="7"/>
    </row>
    <row r="237" spans="1:6" x14ac:dyDescent="0.25">
      <c r="A237" s="7"/>
      <c r="E237" s="7"/>
      <c r="F237" s="7"/>
    </row>
    <row r="238" spans="1:6" x14ac:dyDescent="0.25">
      <c r="A238" s="7"/>
      <c r="E238" s="7"/>
      <c r="F238" s="7"/>
    </row>
    <row r="239" spans="1:6" x14ac:dyDescent="0.25">
      <c r="A239" s="7"/>
      <c r="E239" s="7"/>
      <c r="F239" s="7"/>
    </row>
    <row r="240" spans="1:6" x14ac:dyDescent="0.25">
      <c r="A240" s="7"/>
      <c r="E240" s="7"/>
      <c r="F240" s="7"/>
    </row>
    <row r="241" spans="1:6" x14ac:dyDescent="0.25">
      <c r="A241" s="7"/>
      <c r="E241" s="7"/>
      <c r="F241" s="7"/>
    </row>
    <row r="242" spans="1:6" x14ac:dyDescent="0.25">
      <c r="A242" s="7"/>
      <c r="E242" s="7"/>
      <c r="F242" s="7"/>
    </row>
    <row r="243" spans="1:6" x14ac:dyDescent="0.25">
      <c r="A243" s="7"/>
      <c r="E243" s="7"/>
      <c r="F243" s="7"/>
    </row>
    <row r="244" spans="1:6" x14ac:dyDescent="0.25">
      <c r="A244" s="7"/>
      <c r="E244" s="7"/>
      <c r="F244" s="7"/>
    </row>
    <row r="245" spans="1:6" x14ac:dyDescent="0.25">
      <c r="A245" s="7"/>
      <c r="E245" s="7"/>
      <c r="F245" s="7"/>
    </row>
    <row r="246" spans="1:6" x14ac:dyDescent="0.25">
      <c r="A246" s="7"/>
      <c r="E246" s="7"/>
      <c r="F246" s="7"/>
    </row>
    <row r="247" spans="1:6" x14ac:dyDescent="0.25">
      <c r="A247" s="7"/>
      <c r="E247" s="7"/>
      <c r="F247" s="7"/>
    </row>
    <row r="248" spans="1:6" x14ac:dyDescent="0.25">
      <c r="A248" s="7"/>
      <c r="E248" s="7"/>
      <c r="F248" s="7"/>
    </row>
    <row r="249" spans="1:6" x14ac:dyDescent="0.25">
      <c r="A249" s="7"/>
      <c r="E249" s="7"/>
      <c r="F249" s="7"/>
    </row>
    <row r="250" spans="1:6" x14ac:dyDescent="0.25">
      <c r="A250" s="7"/>
      <c r="E250" s="7"/>
      <c r="F250" s="7"/>
    </row>
    <row r="251" spans="1:6" x14ac:dyDescent="0.25">
      <c r="A251" s="7"/>
      <c r="E251" s="7"/>
      <c r="F251" s="7"/>
    </row>
    <row r="252" spans="1:6" x14ac:dyDescent="0.25">
      <c r="A252" s="7"/>
      <c r="E252" s="7"/>
      <c r="F252" s="7"/>
    </row>
    <row r="253" spans="1:6" x14ac:dyDescent="0.25">
      <c r="A253" s="7"/>
      <c r="E253" s="7"/>
      <c r="F253" s="7"/>
    </row>
    <row r="254" spans="1:6" x14ac:dyDescent="0.25">
      <c r="A254" s="7"/>
      <c r="E254" s="7"/>
      <c r="F254" s="7"/>
    </row>
    <row r="255" spans="1:6" x14ac:dyDescent="0.25">
      <c r="A255" s="7"/>
      <c r="E255" s="7"/>
      <c r="F255" s="7"/>
    </row>
    <row r="256" spans="1:6" x14ac:dyDescent="0.25">
      <c r="A256" s="7"/>
      <c r="E256" s="7"/>
      <c r="F256" s="7"/>
    </row>
    <row r="257" spans="1:6" x14ac:dyDescent="0.25">
      <c r="A257" s="7"/>
      <c r="E257" s="7"/>
      <c r="F257" s="7"/>
    </row>
    <row r="258" spans="1:6" x14ac:dyDescent="0.25">
      <c r="A258" s="7"/>
      <c r="E258" s="7"/>
      <c r="F258" s="7"/>
    </row>
    <row r="259" spans="1:6" x14ac:dyDescent="0.25">
      <c r="A259" s="7"/>
      <c r="E259" s="7"/>
      <c r="F259" s="7"/>
    </row>
    <row r="260" spans="1:6" x14ac:dyDescent="0.25">
      <c r="A260" s="7"/>
      <c r="E260" s="7"/>
      <c r="F260" s="7"/>
    </row>
    <row r="261" spans="1:6" x14ac:dyDescent="0.25">
      <c r="A261" s="7"/>
      <c r="E261" s="7"/>
      <c r="F261" s="7"/>
    </row>
    <row r="262" spans="1:6" x14ac:dyDescent="0.25">
      <c r="A262" s="7"/>
      <c r="E262" s="7"/>
      <c r="F262" s="7"/>
    </row>
    <row r="263" spans="1:6" x14ac:dyDescent="0.25">
      <c r="A263" s="7"/>
      <c r="E263" s="7"/>
      <c r="F263" s="7"/>
    </row>
    <row r="264" spans="1:6" x14ac:dyDescent="0.25">
      <c r="A264" s="7"/>
      <c r="E264" s="7"/>
      <c r="F264" s="7"/>
    </row>
    <row r="265" spans="1:6" x14ac:dyDescent="0.25">
      <c r="A265" s="7"/>
      <c r="E265" s="7"/>
      <c r="F265" s="7"/>
    </row>
    <row r="266" spans="1:6" x14ac:dyDescent="0.25">
      <c r="A266" s="7"/>
      <c r="E266" s="7"/>
      <c r="F266" s="7"/>
    </row>
    <row r="267" spans="1:6" x14ac:dyDescent="0.25">
      <c r="A267" s="7"/>
      <c r="E267" s="7"/>
      <c r="F267" s="7"/>
    </row>
    <row r="268" spans="1:6" x14ac:dyDescent="0.25">
      <c r="A268" s="7"/>
      <c r="E268" s="7"/>
      <c r="F268" s="7"/>
    </row>
    <row r="269" spans="1:6" x14ac:dyDescent="0.25">
      <c r="A269" s="7"/>
      <c r="E269" s="7"/>
      <c r="F269" s="7"/>
    </row>
    <row r="270" spans="1:6" x14ac:dyDescent="0.25">
      <c r="A270" s="7"/>
      <c r="E270" s="7"/>
      <c r="F270" s="7"/>
    </row>
    <row r="271" spans="1:6" x14ac:dyDescent="0.25">
      <c r="A271" s="7"/>
      <c r="E271" s="7"/>
      <c r="F271" s="7"/>
    </row>
    <row r="272" spans="1:6" x14ac:dyDescent="0.25">
      <c r="A272" s="7"/>
      <c r="E272" s="7"/>
      <c r="F272" s="7"/>
    </row>
    <row r="273" spans="1:6" x14ac:dyDescent="0.25">
      <c r="A273" s="7"/>
      <c r="E273" s="7"/>
      <c r="F273" s="7"/>
    </row>
    <row r="274" spans="1:6" x14ac:dyDescent="0.25">
      <c r="A274" s="7"/>
      <c r="E274" s="7"/>
      <c r="F274" s="7"/>
    </row>
    <row r="275" spans="1:6" x14ac:dyDescent="0.25">
      <c r="A275" s="7"/>
      <c r="E275" s="7"/>
      <c r="F275" s="7"/>
    </row>
    <row r="276" spans="1:6" x14ac:dyDescent="0.25">
      <c r="A276" s="7"/>
      <c r="E276" s="7"/>
      <c r="F276" s="7"/>
    </row>
    <row r="277" spans="1:6" x14ac:dyDescent="0.25">
      <c r="A277" s="7"/>
      <c r="E277" s="7"/>
      <c r="F277" s="7"/>
    </row>
    <row r="278" spans="1:6" x14ac:dyDescent="0.25">
      <c r="A278" s="7"/>
      <c r="E278" s="7"/>
      <c r="F278" s="7"/>
    </row>
    <row r="279" spans="1:6" x14ac:dyDescent="0.25">
      <c r="A279" s="7"/>
      <c r="E279" s="7"/>
      <c r="F279" s="7"/>
    </row>
    <row r="280" spans="1:6" x14ac:dyDescent="0.25">
      <c r="A280" s="7"/>
      <c r="E280" s="7"/>
      <c r="F280" s="7"/>
    </row>
    <row r="281" spans="1:6" x14ac:dyDescent="0.25">
      <c r="A281" s="7"/>
      <c r="E281" s="7"/>
      <c r="F281" s="7"/>
    </row>
    <row r="282" spans="1:6" x14ac:dyDescent="0.25">
      <c r="A282" s="7"/>
      <c r="E282" s="7"/>
      <c r="F282" s="7"/>
    </row>
    <row r="283" spans="1:6" x14ac:dyDescent="0.25">
      <c r="A283" s="7"/>
      <c r="E283" s="7"/>
      <c r="F283" s="7"/>
    </row>
    <row r="284" spans="1:6" x14ac:dyDescent="0.25">
      <c r="A284" s="7"/>
      <c r="E284" s="7"/>
      <c r="F284" s="7"/>
    </row>
    <row r="285" spans="1:6" x14ac:dyDescent="0.25">
      <c r="A285" s="7"/>
      <c r="E285" s="7"/>
      <c r="F285" s="7"/>
    </row>
    <row r="286" spans="1:6" x14ac:dyDescent="0.25">
      <c r="A286" s="7"/>
      <c r="E286" s="7"/>
      <c r="F286" s="7"/>
    </row>
    <row r="287" spans="1:6" x14ac:dyDescent="0.25">
      <c r="A287" s="7"/>
      <c r="E287" s="7"/>
      <c r="F287" s="7"/>
    </row>
    <row r="288" spans="1:6" x14ac:dyDescent="0.25">
      <c r="A288" s="7"/>
      <c r="E288" s="7"/>
      <c r="F288" s="7"/>
    </row>
    <row r="289" spans="1:6" x14ac:dyDescent="0.25">
      <c r="A289" s="7"/>
      <c r="E289" s="7"/>
      <c r="F289" s="7"/>
    </row>
    <row r="290" spans="1:6" x14ac:dyDescent="0.25">
      <c r="A290" s="7"/>
      <c r="E290" s="7"/>
      <c r="F290" s="7"/>
    </row>
    <row r="291" spans="1:6" x14ac:dyDescent="0.25">
      <c r="A291" s="7"/>
      <c r="E291" s="7"/>
      <c r="F291" s="7"/>
    </row>
    <row r="292" spans="1:6" x14ac:dyDescent="0.25">
      <c r="A292" s="7"/>
      <c r="E292" s="7"/>
      <c r="F292" s="7"/>
    </row>
    <row r="293" spans="1:6" x14ac:dyDescent="0.25">
      <c r="A293" s="7"/>
      <c r="E293" s="7"/>
      <c r="F293" s="7"/>
    </row>
    <row r="294" spans="1:6" x14ac:dyDescent="0.25">
      <c r="A294" s="7"/>
      <c r="E294" s="7"/>
      <c r="F294" s="7"/>
    </row>
    <row r="295" spans="1:6" x14ac:dyDescent="0.25">
      <c r="A295" s="7"/>
      <c r="E295" s="7"/>
      <c r="F295" s="7"/>
    </row>
    <row r="296" spans="1:6" x14ac:dyDescent="0.25">
      <c r="A296" s="7"/>
      <c r="E296" s="7"/>
      <c r="F296" s="7"/>
    </row>
    <row r="297" spans="1:6" x14ac:dyDescent="0.25">
      <c r="A297" s="7"/>
      <c r="E297" s="7"/>
      <c r="F297" s="7"/>
    </row>
    <row r="298" spans="1:6" x14ac:dyDescent="0.25">
      <c r="A298" s="7"/>
      <c r="E298" s="7"/>
      <c r="F298" s="7"/>
    </row>
    <row r="299" spans="1:6" x14ac:dyDescent="0.25">
      <c r="A299" s="7"/>
      <c r="E299" s="7"/>
      <c r="F299" s="7"/>
    </row>
    <row r="300" spans="1:6" x14ac:dyDescent="0.25">
      <c r="A300" s="7"/>
      <c r="E300" s="7"/>
      <c r="F300" s="7"/>
    </row>
    <row r="301" spans="1:6" x14ac:dyDescent="0.25">
      <c r="A301" s="7"/>
      <c r="E301" s="7"/>
      <c r="F301" s="7"/>
    </row>
    <row r="302" spans="1:6" x14ac:dyDescent="0.25">
      <c r="A302" s="7"/>
      <c r="E302" s="7"/>
      <c r="F302" s="7"/>
    </row>
    <row r="303" spans="1:6" x14ac:dyDescent="0.25">
      <c r="A303" s="7"/>
      <c r="E303" s="7"/>
      <c r="F303" s="7"/>
    </row>
    <row r="304" spans="1:6" x14ac:dyDescent="0.25">
      <c r="A304" s="7"/>
      <c r="E304" s="7"/>
      <c r="F304" s="7"/>
    </row>
    <row r="305" spans="1:6" x14ac:dyDescent="0.25">
      <c r="A305" s="7"/>
      <c r="E305" s="7"/>
      <c r="F305" s="7"/>
    </row>
    <row r="306" spans="1:6" x14ac:dyDescent="0.25">
      <c r="A306" s="7"/>
      <c r="E306" s="7"/>
      <c r="F306" s="7"/>
    </row>
    <row r="307" spans="1:6" x14ac:dyDescent="0.25">
      <c r="A307" s="7"/>
      <c r="E307" s="7"/>
      <c r="F307" s="7"/>
    </row>
    <row r="308" spans="1:6" x14ac:dyDescent="0.25">
      <c r="A308" s="7"/>
      <c r="E308" s="7"/>
      <c r="F308" s="7"/>
    </row>
    <row r="309" spans="1:6" x14ac:dyDescent="0.25">
      <c r="A309" s="7"/>
      <c r="E309" s="7"/>
      <c r="F309" s="7"/>
    </row>
    <row r="310" spans="1:6" x14ac:dyDescent="0.25">
      <c r="A310" s="7"/>
      <c r="E310" s="7"/>
      <c r="F310" s="7"/>
    </row>
    <row r="311" spans="1:6" x14ac:dyDescent="0.25">
      <c r="A311" s="7"/>
      <c r="E311" s="7"/>
      <c r="F311" s="7"/>
    </row>
    <row r="312" spans="1:6" x14ac:dyDescent="0.25">
      <c r="A312" s="7"/>
      <c r="E312" s="7"/>
      <c r="F312" s="7"/>
    </row>
    <row r="313" spans="1:6" x14ac:dyDescent="0.25">
      <c r="A313" s="7"/>
      <c r="E313" s="7"/>
      <c r="F313" s="7"/>
    </row>
    <row r="314" spans="1:6" x14ac:dyDescent="0.25">
      <c r="A314" s="7"/>
      <c r="E314" s="7"/>
      <c r="F314" s="7"/>
    </row>
    <row r="315" spans="1:6" x14ac:dyDescent="0.25">
      <c r="A315" s="7"/>
      <c r="E315" s="7"/>
      <c r="F315" s="7"/>
    </row>
    <row r="316" spans="1:6" x14ac:dyDescent="0.25">
      <c r="A316" s="7"/>
      <c r="E316" s="7"/>
      <c r="F316" s="7"/>
    </row>
    <row r="317" spans="1:6" x14ac:dyDescent="0.25">
      <c r="A317" s="7"/>
      <c r="E317" s="7"/>
      <c r="F317" s="7"/>
    </row>
    <row r="318" spans="1:6" x14ac:dyDescent="0.25">
      <c r="A318" s="7"/>
      <c r="E318" s="7"/>
      <c r="F318" s="7"/>
    </row>
    <row r="319" spans="1:6" x14ac:dyDescent="0.25">
      <c r="A319" s="7"/>
      <c r="E319" s="7"/>
      <c r="F319" s="7"/>
    </row>
    <row r="320" spans="1:6" x14ac:dyDescent="0.25">
      <c r="A320" s="7"/>
      <c r="E320" s="7"/>
      <c r="F320" s="7"/>
    </row>
    <row r="321" spans="1:6" x14ac:dyDescent="0.25">
      <c r="A321" s="7"/>
      <c r="E321" s="7"/>
      <c r="F321" s="7"/>
    </row>
    <row r="322" spans="1:6" x14ac:dyDescent="0.25">
      <c r="A322" s="7"/>
      <c r="E322" s="7"/>
      <c r="F322" s="7"/>
    </row>
    <row r="323" spans="1:6" x14ac:dyDescent="0.25">
      <c r="A323" s="7"/>
      <c r="E323" s="7"/>
      <c r="F323" s="7"/>
    </row>
    <row r="324" spans="1:6" x14ac:dyDescent="0.25">
      <c r="A324" s="7"/>
      <c r="E324" s="7"/>
      <c r="F324" s="7"/>
    </row>
    <row r="325" spans="1:6" x14ac:dyDescent="0.25">
      <c r="A325" s="7"/>
      <c r="E325" s="7"/>
      <c r="F325" s="7"/>
    </row>
    <row r="326" spans="1:6" x14ac:dyDescent="0.25">
      <c r="A326" s="7"/>
      <c r="E326" s="7"/>
      <c r="F326" s="7"/>
    </row>
    <row r="327" spans="1:6" x14ac:dyDescent="0.25">
      <c r="A327" s="7"/>
      <c r="E327" s="7"/>
      <c r="F327" s="7"/>
    </row>
    <row r="328" spans="1:6" x14ac:dyDescent="0.25">
      <c r="A328" s="7"/>
      <c r="E328" s="7"/>
      <c r="F328" s="7"/>
    </row>
    <row r="329" spans="1:6" x14ac:dyDescent="0.25">
      <c r="A329" s="7"/>
      <c r="E329" s="7"/>
      <c r="F329" s="7"/>
    </row>
    <row r="330" spans="1:6" x14ac:dyDescent="0.25">
      <c r="A330" s="7"/>
      <c r="E330" s="7"/>
      <c r="F330" s="7"/>
    </row>
    <row r="331" spans="1:6" x14ac:dyDescent="0.25">
      <c r="A331" s="7"/>
      <c r="E331" s="7"/>
      <c r="F331" s="7"/>
    </row>
    <row r="332" spans="1:6" x14ac:dyDescent="0.25">
      <c r="A332" s="7"/>
      <c r="E332" s="7"/>
      <c r="F332" s="7"/>
    </row>
    <row r="333" spans="1:6" x14ac:dyDescent="0.25">
      <c r="A333" s="7"/>
      <c r="E333" s="7"/>
      <c r="F333" s="7"/>
    </row>
    <row r="334" spans="1:6" x14ac:dyDescent="0.25">
      <c r="A334" s="7"/>
      <c r="E334" s="7"/>
      <c r="F334" s="7"/>
    </row>
    <row r="335" spans="1:6" x14ac:dyDescent="0.25">
      <c r="A335" s="7"/>
      <c r="E335" s="7"/>
      <c r="F335" s="7"/>
    </row>
    <row r="336" spans="1:6" x14ac:dyDescent="0.25">
      <c r="A336" s="7"/>
      <c r="E336" s="7"/>
      <c r="F336" s="7"/>
    </row>
    <row r="337" spans="1:6" x14ac:dyDescent="0.25">
      <c r="A337" s="7"/>
      <c r="E337" s="7"/>
      <c r="F337" s="7"/>
    </row>
    <row r="338" spans="1:6" x14ac:dyDescent="0.25">
      <c r="A338" s="7"/>
      <c r="E338" s="7"/>
      <c r="F338" s="7"/>
    </row>
    <row r="339" spans="1:6" x14ac:dyDescent="0.25">
      <c r="A339" s="7"/>
      <c r="E339" s="7"/>
      <c r="F339" s="7"/>
    </row>
    <row r="340" spans="1:6" x14ac:dyDescent="0.25">
      <c r="A340" s="7"/>
      <c r="E340" s="7"/>
      <c r="F340" s="7"/>
    </row>
    <row r="341" spans="1:6" x14ac:dyDescent="0.25">
      <c r="A341" s="7"/>
      <c r="E341" s="7"/>
      <c r="F341" s="7"/>
    </row>
    <row r="342" spans="1:6" x14ac:dyDescent="0.25">
      <c r="A342" s="7"/>
      <c r="E342" s="7"/>
      <c r="F342" s="7"/>
    </row>
    <row r="343" spans="1:6" x14ac:dyDescent="0.25">
      <c r="A343" s="7"/>
      <c r="E343" s="7"/>
      <c r="F343" s="7"/>
    </row>
    <row r="344" spans="1:6" x14ac:dyDescent="0.25">
      <c r="A344" s="7"/>
      <c r="E344" s="7"/>
      <c r="F344" s="7"/>
    </row>
    <row r="345" spans="1:6" x14ac:dyDescent="0.25">
      <c r="A345" s="7"/>
      <c r="E345" s="7"/>
      <c r="F345" s="7"/>
    </row>
    <row r="346" spans="1:6" x14ac:dyDescent="0.25">
      <c r="A346" s="7"/>
      <c r="E346" s="7"/>
      <c r="F346" s="7"/>
    </row>
    <row r="347" spans="1:6" x14ac:dyDescent="0.25">
      <c r="A347" s="7"/>
      <c r="E347" s="7"/>
      <c r="F347" s="7"/>
    </row>
    <row r="348" spans="1:6" x14ac:dyDescent="0.25">
      <c r="A348" s="7"/>
      <c r="E348" s="7"/>
      <c r="F348" s="7"/>
    </row>
    <row r="349" spans="1:6" x14ac:dyDescent="0.25">
      <c r="A349" s="7"/>
      <c r="E349" s="7"/>
      <c r="F349" s="7"/>
    </row>
    <row r="350" spans="1:6" x14ac:dyDescent="0.25">
      <c r="A350" s="7"/>
      <c r="E350" s="7"/>
      <c r="F350" s="7"/>
    </row>
    <row r="351" spans="1:6" x14ac:dyDescent="0.25">
      <c r="A351" s="7"/>
      <c r="E351" s="7"/>
      <c r="F351" s="7"/>
    </row>
    <row r="352" spans="1:6" x14ac:dyDescent="0.25">
      <c r="A352" s="7"/>
      <c r="E352" s="7"/>
      <c r="F352" s="7"/>
    </row>
    <row r="353" spans="1:6" x14ac:dyDescent="0.25">
      <c r="A353" s="7"/>
      <c r="E353" s="7"/>
      <c r="F353" s="7"/>
    </row>
    <row r="354" spans="1:6" x14ac:dyDescent="0.25">
      <c r="A354" s="7"/>
      <c r="E354" s="7"/>
      <c r="F354" s="7"/>
    </row>
    <row r="355" spans="1:6" x14ac:dyDescent="0.25">
      <c r="A355" s="7"/>
      <c r="E355" s="7"/>
      <c r="F355" s="7"/>
    </row>
    <row r="356" spans="1:6" x14ac:dyDescent="0.25">
      <c r="A356" s="7"/>
      <c r="E356" s="7"/>
      <c r="F356" s="7"/>
    </row>
    <row r="357" spans="1:6" x14ac:dyDescent="0.25">
      <c r="A357" s="7"/>
      <c r="E357" s="7"/>
      <c r="F357" s="7"/>
    </row>
    <row r="358" spans="1:6" x14ac:dyDescent="0.25">
      <c r="A358" s="7"/>
      <c r="E358" s="7"/>
      <c r="F358" s="7"/>
    </row>
    <row r="359" spans="1:6" x14ac:dyDescent="0.25">
      <c r="A359" s="7"/>
      <c r="E359" s="7"/>
      <c r="F359" s="7"/>
    </row>
    <row r="360" spans="1:6" x14ac:dyDescent="0.25">
      <c r="A360" s="7"/>
      <c r="E360" s="7"/>
      <c r="F360" s="7"/>
    </row>
    <row r="361" spans="1:6" x14ac:dyDescent="0.25">
      <c r="A361" s="7"/>
      <c r="E361" s="7"/>
      <c r="F361" s="7"/>
    </row>
    <row r="362" spans="1:6" x14ac:dyDescent="0.25">
      <c r="A362" s="7"/>
      <c r="E362" s="7"/>
      <c r="F362" s="7"/>
    </row>
    <row r="363" spans="1:6" x14ac:dyDescent="0.25">
      <c r="A363" s="7"/>
      <c r="E363" s="7"/>
      <c r="F363" s="7"/>
    </row>
    <row r="364" spans="1:6" x14ac:dyDescent="0.25">
      <c r="A364" s="7"/>
      <c r="E364" s="7"/>
      <c r="F364" s="7"/>
    </row>
    <row r="365" spans="1:6" x14ac:dyDescent="0.25">
      <c r="A365" s="7"/>
      <c r="E365" s="7"/>
      <c r="F365" s="7"/>
    </row>
    <row r="366" spans="1:6" x14ac:dyDescent="0.25">
      <c r="A366" s="7"/>
      <c r="E366" s="7"/>
      <c r="F366" s="7"/>
    </row>
    <row r="367" spans="1:6" x14ac:dyDescent="0.25">
      <c r="A367" s="7"/>
      <c r="E367" s="7"/>
      <c r="F367" s="7"/>
    </row>
    <row r="368" spans="1:6" x14ac:dyDescent="0.25">
      <c r="A368" s="7"/>
      <c r="E368" s="7"/>
      <c r="F368" s="7"/>
    </row>
    <row r="369" spans="1:6" x14ac:dyDescent="0.25">
      <c r="A369" s="7"/>
      <c r="E369" s="7"/>
      <c r="F369" s="7"/>
    </row>
    <row r="370" spans="1:6" x14ac:dyDescent="0.25">
      <c r="A370" s="7"/>
      <c r="E370" s="7"/>
      <c r="F370" s="7"/>
    </row>
    <row r="371" spans="1:6" x14ac:dyDescent="0.25">
      <c r="A371" s="7"/>
      <c r="E371" s="7"/>
      <c r="F371" s="7"/>
    </row>
    <row r="372" spans="1:6" x14ac:dyDescent="0.25">
      <c r="A372" s="7"/>
      <c r="E372" s="7"/>
      <c r="F372" s="7"/>
    </row>
    <row r="373" spans="1:6" x14ac:dyDescent="0.25">
      <c r="A373" s="7"/>
      <c r="E373" s="7"/>
      <c r="F373" s="7"/>
    </row>
    <row r="374" spans="1:6" x14ac:dyDescent="0.25">
      <c r="A374" s="7"/>
      <c r="E374" s="7"/>
      <c r="F374" s="7"/>
    </row>
    <row r="375" spans="1:6" x14ac:dyDescent="0.25">
      <c r="A375" s="7"/>
      <c r="E375" s="7"/>
      <c r="F375" s="7"/>
    </row>
    <row r="376" spans="1:6" x14ac:dyDescent="0.25">
      <c r="A376" s="7"/>
      <c r="E376" s="7"/>
      <c r="F376" s="7"/>
    </row>
    <row r="377" spans="1:6" x14ac:dyDescent="0.25">
      <c r="A377" s="7"/>
      <c r="E377" s="7"/>
      <c r="F377" s="7"/>
    </row>
    <row r="378" spans="1:6" x14ac:dyDescent="0.25">
      <c r="A378" s="7"/>
      <c r="E378" s="7"/>
      <c r="F378" s="7"/>
    </row>
    <row r="379" spans="1:6" x14ac:dyDescent="0.25">
      <c r="A379" s="7"/>
      <c r="E379" s="7"/>
      <c r="F379" s="7"/>
    </row>
    <row r="380" spans="1:6" x14ac:dyDescent="0.25">
      <c r="A380" s="7"/>
      <c r="E380" s="7"/>
      <c r="F380" s="7"/>
    </row>
    <row r="381" spans="1:6" x14ac:dyDescent="0.25">
      <c r="A381" s="7"/>
      <c r="E381" s="7"/>
      <c r="F381" s="7"/>
    </row>
    <row r="382" spans="1:6" x14ac:dyDescent="0.25">
      <c r="A382" s="7"/>
      <c r="E382" s="7"/>
      <c r="F382" s="7"/>
    </row>
    <row r="383" spans="1:6" x14ac:dyDescent="0.25">
      <c r="A383" s="7"/>
      <c r="E383" s="7"/>
      <c r="F383" s="7"/>
    </row>
    <row r="384" spans="1:6" x14ac:dyDescent="0.25">
      <c r="A384" s="7"/>
      <c r="E384" s="7"/>
      <c r="F384" s="7"/>
    </row>
    <row r="385" spans="1:6" x14ac:dyDescent="0.25">
      <c r="A385" s="7"/>
      <c r="E385" s="7"/>
      <c r="F385" s="7"/>
    </row>
    <row r="386" spans="1:6" x14ac:dyDescent="0.25">
      <c r="A386" s="7"/>
      <c r="E386" s="7"/>
      <c r="F386" s="7"/>
    </row>
    <row r="387" spans="1:6" x14ac:dyDescent="0.25">
      <c r="A387" s="7"/>
      <c r="E387" s="7"/>
      <c r="F387" s="7"/>
    </row>
    <row r="388" spans="1:6" x14ac:dyDescent="0.25">
      <c r="A388" s="7"/>
      <c r="E388" s="7"/>
      <c r="F388" s="7"/>
    </row>
    <row r="389" spans="1:6" x14ac:dyDescent="0.25">
      <c r="A389" s="7"/>
      <c r="E389" s="7"/>
      <c r="F389" s="7"/>
    </row>
    <row r="390" spans="1:6" x14ac:dyDescent="0.25">
      <c r="A390" s="7"/>
      <c r="E390" s="7"/>
      <c r="F390" s="7"/>
    </row>
    <row r="391" spans="1:6" x14ac:dyDescent="0.25">
      <c r="A391" s="7"/>
      <c r="E391" s="7"/>
      <c r="F391" s="7"/>
    </row>
    <row r="392" spans="1:6" x14ac:dyDescent="0.25">
      <c r="A392" s="7"/>
      <c r="E392" s="7"/>
      <c r="F392" s="7"/>
    </row>
    <row r="393" spans="1:6" x14ac:dyDescent="0.25">
      <c r="A393" s="7"/>
      <c r="E393" s="7"/>
      <c r="F393" s="7"/>
    </row>
    <row r="394" spans="1:6" x14ac:dyDescent="0.25">
      <c r="A394" s="7"/>
      <c r="E394" s="7"/>
      <c r="F394" s="7"/>
    </row>
    <row r="395" spans="1:6" x14ac:dyDescent="0.25">
      <c r="A395" s="7"/>
      <c r="E395" s="7"/>
      <c r="F395" s="7"/>
    </row>
    <row r="396" spans="1:6" x14ac:dyDescent="0.25">
      <c r="A396" s="7"/>
      <c r="E396" s="7"/>
      <c r="F396" s="7"/>
    </row>
    <row r="397" spans="1:6" x14ac:dyDescent="0.25">
      <c r="A397" s="7"/>
      <c r="E397" s="7"/>
      <c r="F397" s="7"/>
    </row>
    <row r="398" spans="1:6" x14ac:dyDescent="0.25">
      <c r="A398" s="7"/>
      <c r="E398" s="7"/>
      <c r="F398" s="7"/>
    </row>
    <row r="399" spans="1:6" x14ac:dyDescent="0.25">
      <c r="A399" s="7"/>
      <c r="E399" s="7"/>
      <c r="F399" s="7"/>
    </row>
    <row r="400" spans="1:6" x14ac:dyDescent="0.25">
      <c r="A400" s="7"/>
      <c r="E400" s="7"/>
      <c r="F400" s="7"/>
    </row>
    <row r="401" spans="1:6" x14ac:dyDescent="0.25">
      <c r="A401" s="7"/>
      <c r="E401" s="7"/>
      <c r="F401" s="7"/>
    </row>
    <row r="402" spans="1:6" x14ac:dyDescent="0.25">
      <c r="A402" s="7"/>
      <c r="E402" s="7"/>
      <c r="F402" s="7"/>
    </row>
    <row r="403" spans="1:6" x14ac:dyDescent="0.25">
      <c r="A403" s="7"/>
      <c r="E403" s="7"/>
      <c r="F403" s="7"/>
    </row>
    <row r="404" spans="1:6" x14ac:dyDescent="0.25">
      <c r="A404" s="7"/>
      <c r="E404" s="7"/>
      <c r="F404" s="7"/>
    </row>
    <row r="405" spans="1:6" x14ac:dyDescent="0.25">
      <c r="A405" s="7"/>
      <c r="E405" s="7"/>
      <c r="F405" s="7"/>
    </row>
    <row r="406" spans="1:6" x14ac:dyDescent="0.25">
      <c r="A406" s="7"/>
      <c r="E406" s="7"/>
      <c r="F406" s="7"/>
    </row>
    <row r="407" spans="1:6" x14ac:dyDescent="0.25">
      <c r="A407" s="7"/>
      <c r="E407" s="7"/>
      <c r="F407" s="7"/>
    </row>
    <row r="408" spans="1:6" x14ac:dyDescent="0.25">
      <c r="A408" s="7"/>
      <c r="E408" s="7"/>
      <c r="F408" s="7"/>
    </row>
    <row r="409" spans="1:6" x14ac:dyDescent="0.25">
      <c r="A409" s="7"/>
      <c r="E409" s="7"/>
      <c r="F409" s="7"/>
    </row>
    <row r="410" spans="1:6" x14ac:dyDescent="0.25">
      <c r="A410" s="7"/>
      <c r="E410" s="7"/>
      <c r="F410" s="7"/>
    </row>
    <row r="411" spans="1:6" x14ac:dyDescent="0.25">
      <c r="A411" s="7"/>
      <c r="E411" s="7"/>
      <c r="F411" s="7"/>
    </row>
    <row r="412" spans="1:6" x14ac:dyDescent="0.25">
      <c r="A412" s="7"/>
      <c r="E412" s="7"/>
      <c r="F412" s="7"/>
    </row>
    <row r="413" spans="1:6" x14ac:dyDescent="0.25">
      <c r="A413" s="7"/>
      <c r="E413" s="7"/>
      <c r="F413" s="7"/>
    </row>
    <row r="414" spans="1:6" x14ac:dyDescent="0.25">
      <c r="A414" s="7"/>
      <c r="E414" s="7"/>
      <c r="F414" s="7"/>
    </row>
    <row r="415" spans="1:6" x14ac:dyDescent="0.25">
      <c r="A415" s="7"/>
      <c r="E415" s="7"/>
      <c r="F415" s="7"/>
    </row>
    <row r="416" spans="1:6" x14ac:dyDescent="0.25">
      <c r="A416" s="7"/>
      <c r="E416" s="7"/>
      <c r="F416" s="7"/>
    </row>
    <row r="417" spans="1:6" x14ac:dyDescent="0.25">
      <c r="A417" s="7"/>
      <c r="E417" s="7"/>
      <c r="F417" s="7"/>
    </row>
    <row r="418" spans="1:6" x14ac:dyDescent="0.25">
      <c r="A418" s="7"/>
      <c r="E418" s="7"/>
      <c r="F418" s="7"/>
    </row>
    <row r="419" spans="1:6" x14ac:dyDescent="0.25">
      <c r="A419" s="7"/>
      <c r="E419" s="7"/>
      <c r="F419" s="7"/>
    </row>
    <row r="420" spans="1:6" x14ac:dyDescent="0.25">
      <c r="A420" s="7"/>
      <c r="E420" s="7"/>
      <c r="F420" s="7"/>
    </row>
    <row r="421" spans="1:6" x14ac:dyDescent="0.25">
      <c r="A421" s="7"/>
      <c r="E421" s="7"/>
      <c r="F421" s="7"/>
    </row>
    <row r="422" spans="1:6" x14ac:dyDescent="0.25">
      <c r="A422" s="7"/>
      <c r="E422" s="7"/>
      <c r="F422" s="7"/>
    </row>
    <row r="423" spans="1:6" x14ac:dyDescent="0.25">
      <c r="A423" s="7"/>
      <c r="E423" s="7"/>
      <c r="F423" s="7"/>
    </row>
    <row r="424" spans="1:6" x14ac:dyDescent="0.25">
      <c r="A424" s="7"/>
      <c r="E424" s="7"/>
      <c r="F424" s="7"/>
    </row>
    <row r="425" spans="1:6" x14ac:dyDescent="0.25">
      <c r="A425" s="7"/>
      <c r="E425" s="7"/>
      <c r="F425" s="7"/>
    </row>
    <row r="426" spans="1:6" x14ac:dyDescent="0.25">
      <c r="A426" s="7"/>
      <c r="E426" s="7"/>
      <c r="F426" s="7"/>
    </row>
    <row r="427" spans="1:6" x14ac:dyDescent="0.25">
      <c r="A427" s="7"/>
      <c r="E427" s="7"/>
      <c r="F427" s="7"/>
    </row>
    <row r="428" spans="1:6" x14ac:dyDescent="0.25">
      <c r="A428" s="7"/>
      <c r="E428" s="7"/>
      <c r="F428" s="7"/>
    </row>
    <row r="429" spans="1:6" x14ac:dyDescent="0.25">
      <c r="A429" s="7"/>
      <c r="E429" s="7"/>
      <c r="F429" s="7"/>
    </row>
    <row r="430" spans="1:6" x14ac:dyDescent="0.25">
      <c r="A430" s="7"/>
      <c r="E430" s="7"/>
      <c r="F430" s="7"/>
    </row>
    <row r="431" spans="1:6" x14ac:dyDescent="0.25">
      <c r="A431" s="7"/>
      <c r="E431" s="7"/>
      <c r="F431" s="7"/>
    </row>
    <row r="432" spans="1:6" x14ac:dyDescent="0.25">
      <c r="A432" s="7"/>
      <c r="E432" s="7"/>
      <c r="F432" s="7"/>
    </row>
    <row r="433" spans="1:6" x14ac:dyDescent="0.25">
      <c r="A433" s="7"/>
      <c r="E433" s="7"/>
      <c r="F433" s="7"/>
    </row>
    <row r="434" spans="1:6" x14ac:dyDescent="0.25">
      <c r="A434" s="7"/>
      <c r="E434" s="7"/>
      <c r="F434" s="7"/>
    </row>
    <row r="435" spans="1:6" x14ac:dyDescent="0.25">
      <c r="A435" s="7"/>
      <c r="E435" s="7"/>
      <c r="F435" s="7"/>
    </row>
    <row r="436" spans="1:6" x14ac:dyDescent="0.25">
      <c r="A436" s="7"/>
      <c r="E436" s="7"/>
      <c r="F436" s="7"/>
    </row>
    <row r="437" spans="1:6" x14ac:dyDescent="0.25">
      <c r="A437" s="7"/>
      <c r="E437" s="7"/>
      <c r="F437" s="7"/>
    </row>
    <row r="438" spans="1:6" x14ac:dyDescent="0.25">
      <c r="A438" s="7"/>
      <c r="E438" s="7"/>
      <c r="F438" s="7"/>
    </row>
    <row r="439" spans="1:6" x14ac:dyDescent="0.25">
      <c r="A439" s="7"/>
      <c r="E439" s="7"/>
      <c r="F439" s="7"/>
    </row>
    <row r="440" spans="1:6" x14ac:dyDescent="0.25">
      <c r="A440" s="7"/>
      <c r="E440" s="7"/>
      <c r="F440" s="7"/>
    </row>
    <row r="441" spans="1:6" x14ac:dyDescent="0.25">
      <c r="A441" s="7"/>
      <c r="E441" s="7"/>
      <c r="F441" s="7"/>
    </row>
    <row r="442" spans="1:6" x14ac:dyDescent="0.25">
      <c r="A442" s="7"/>
      <c r="E442" s="7"/>
      <c r="F442" s="7"/>
    </row>
    <row r="443" spans="1:6" x14ac:dyDescent="0.25">
      <c r="A443" s="7"/>
      <c r="E443" s="7"/>
      <c r="F443" s="7"/>
    </row>
    <row r="444" spans="1:6" x14ac:dyDescent="0.25">
      <c r="A444" s="7"/>
      <c r="E444" s="7"/>
      <c r="F444" s="7"/>
    </row>
    <row r="445" spans="1:6" x14ac:dyDescent="0.25">
      <c r="A445" s="7"/>
      <c r="E445" s="7"/>
      <c r="F445" s="7"/>
    </row>
    <row r="446" spans="1:6" x14ac:dyDescent="0.25">
      <c r="A446" s="7"/>
      <c r="E446" s="7"/>
      <c r="F446" s="7"/>
    </row>
    <row r="447" spans="1:6" x14ac:dyDescent="0.25">
      <c r="A447" s="7"/>
      <c r="E447" s="7"/>
      <c r="F447" s="7"/>
    </row>
    <row r="448" spans="1:6" x14ac:dyDescent="0.25">
      <c r="A448" s="7"/>
      <c r="E448" s="7"/>
      <c r="F448" s="7"/>
    </row>
    <row r="449" spans="1:6" x14ac:dyDescent="0.25">
      <c r="A449" s="7"/>
      <c r="E449" s="7"/>
      <c r="F449" s="7"/>
    </row>
    <row r="450" spans="1:6" x14ac:dyDescent="0.25">
      <c r="A450" s="7"/>
      <c r="E450" s="7"/>
      <c r="F450" s="7"/>
    </row>
    <row r="451" spans="1:6" x14ac:dyDescent="0.25">
      <c r="A451" s="7"/>
      <c r="E451" s="7"/>
      <c r="F451" s="7"/>
    </row>
    <row r="452" spans="1:6" x14ac:dyDescent="0.25">
      <c r="A452" s="7"/>
      <c r="E452" s="7"/>
      <c r="F452" s="7"/>
    </row>
    <row r="453" spans="1:6" x14ac:dyDescent="0.25">
      <c r="A453" s="7"/>
      <c r="E453" s="7"/>
      <c r="F453" s="7"/>
    </row>
    <row r="454" spans="1:6" x14ac:dyDescent="0.25">
      <c r="A454" s="7"/>
      <c r="E454" s="7"/>
      <c r="F454" s="7"/>
    </row>
    <row r="455" spans="1:6" x14ac:dyDescent="0.25">
      <c r="A455" s="7"/>
      <c r="E455" s="7"/>
      <c r="F455" s="7"/>
    </row>
    <row r="456" spans="1:6" x14ac:dyDescent="0.25">
      <c r="A456" s="7"/>
      <c r="E456" s="7"/>
      <c r="F456" s="7"/>
    </row>
    <row r="457" spans="1:6" x14ac:dyDescent="0.25">
      <c r="A457" s="7"/>
      <c r="E457" s="7"/>
      <c r="F457" s="7"/>
    </row>
    <row r="458" spans="1:6" x14ac:dyDescent="0.25">
      <c r="A458" s="7"/>
      <c r="E458" s="7"/>
      <c r="F458" s="7"/>
    </row>
    <row r="459" spans="1:6" x14ac:dyDescent="0.25">
      <c r="A459" s="7"/>
      <c r="E459" s="7"/>
      <c r="F459" s="7"/>
    </row>
    <row r="460" spans="1:6" x14ac:dyDescent="0.25">
      <c r="A460" s="7"/>
      <c r="E460" s="7"/>
      <c r="F460" s="7"/>
    </row>
    <row r="461" spans="1:6" x14ac:dyDescent="0.25">
      <c r="A461" s="7"/>
      <c r="E461" s="7"/>
      <c r="F461" s="7"/>
    </row>
    <row r="462" spans="1:6" x14ac:dyDescent="0.25">
      <c r="A462" s="7"/>
      <c r="E462" s="7"/>
      <c r="F462" s="7"/>
    </row>
    <row r="463" spans="1:6" x14ac:dyDescent="0.25">
      <c r="A463" s="7"/>
      <c r="E463" s="7"/>
      <c r="F463" s="7"/>
    </row>
    <row r="464" spans="1:6" x14ac:dyDescent="0.25">
      <c r="A464" s="7"/>
      <c r="E464" s="7"/>
      <c r="F464" s="7"/>
    </row>
    <row r="465" spans="1:6" x14ac:dyDescent="0.25">
      <c r="A465" s="7"/>
      <c r="E465" s="7"/>
      <c r="F465" s="7"/>
    </row>
    <row r="466" spans="1:6" x14ac:dyDescent="0.25">
      <c r="A466" s="7"/>
      <c r="E466" s="7"/>
      <c r="F466" s="7"/>
    </row>
    <row r="467" spans="1:6" x14ac:dyDescent="0.25">
      <c r="A467" s="7"/>
      <c r="E467" s="7"/>
      <c r="F467" s="7"/>
    </row>
    <row r="468" spans="1:6" x14ac:dyDescent="0.25">
      <c r="A468" s="7"/>
      <c r="E468" s="7"/>
      <c r="F468" s="7"/>
    </row>
    <row r="469" spans="1:6" x14ac:dyDescent="0.25">
      <c r="A469" s="7"/>
      <c r="E469" s="7"/>
      <c r="F469" s="7"/>
    </row>
    <row r="470" spans="1:6" x14ac:dyDescent="0.25">
      <c r="A470" s="7"/>
      <c r="E470" s="7"/>
      <c r="F470" s="7"/>
    </row>
    <row r="471" spans="1:6" x14ac:dyDescent="0.25">
      <c r="A471" s="7"/>
      <c r="E471" s="7"/>
      <c r="F471" s="7"/>
    </row>
    <row r="472" spans="1:6" x14ac:dyDescent="0.25">
      <c r="A472" s="7"/>
      <c r="E472" s="7"/>
      <c r="F472" s="7"/>
    </row>
    <row r="473" spans="1:6" x14ac:dyDescent="0.25">
      <c r="A473" s="7"/>
      <c r="E473" s="7"/>
      <c r="F473" s="7"/>
    </row>
    <row r="474" spans="1:6" x14ac:dyDescent="0.25">
      <c r="A474" s="7"/>
      <c r="E474" s="7"/>
      <c r="F474" s="7"/>
    </row>
    <row r="475" spans="1:6" x14ac:dyDescent="0.25">
      <c r="A475" s="7"/>
      <c r="E475" s="7"/>
      <c r="F475" s="7"/>
    </row>
    <row r="476" spans="1:6" x14ac:dyDescent="0.25">
      <c r="A476" s="7"/>
      <c r="E476" s="7"/>
      <c r="F476" s="7"/>
    </row>
    <row r="477" spans="1:6" x14ac:dyDescent="0.25">
      <c r="A477" s="7"/>
      <c r="E477" s="7"/>
      <c r="F477" s="7"/>
    </row>
    <row r="478" spans="1:6" x14ac:dyDescent="0.25">
      <c r="A478" s="7"/>
      <c r="E478" s="7"/>
      <c r="F478" s="7"/>
    </row>
    <row r="479" spans="1:6" x14ac:dyDescent="0.25">
      <c r="A479" s="7"/>
      <c r="E479" s="7"/>
      <c r="F479" s="7"/>
    </row>
    <row r="480" spans="1:6" x14ac:dyDescent="0.25">
      <c r="A480" s="7"/>
      <c r="E480" s="7"/>
      <c r="F480" s="7"/>
    </row>
    <row r="481" spans="1:6" x14ac:dyDescent="0.25">
      <c r="A481" s="7"/>
      <c r="E481" s="7"/>
      <c r="F481" s="7"/>
    </row>
    <row r="482" spans="1:6" x14ac:dyDescent="0.25">
      <c r="A482" s="7"/>
      <c r="E482" s="7"/>
      <c r="F482" s="7"/>
    </row>
    <row r="483" spans="1:6" x14ac:dyDescent="0.25">
      <c r="A483" s="7"/>
      <c r="E483" s="7"/>
      <c r="F483" s="7"/>
    </row>
    <row r="484" spans="1:6" x14ac:dyDescent="0.25">
      <c r="A484" s="7"/>
      <c r="E484" s="7"/>
      <c r="F484" s="7"/>
    </row>
    <row r="485" spans="1:6" x14ac:dyDescent="0.25">
      <c r="A485" s="7"/>
      <c r="E485" s="7"/>
      <c r="F485" s="7"/>
    </row>
    <row r="486" spans="1:6" x14ac:dyDescent="0.25">
      <c r="A486" s="7"/>
      <c r="E486" s="7"/>
      <c r="F486" s="7"/>
    </row>
    <row r="487" spans="1:6" x14ac:dyDescent="0.25">
      <c r="A487" s="7"/>
      <c r="E487" s="7"/>
      <c r="F487" s="7"/>
    </row>
    <row r="488" spans="1:6" x14ac:dyDescent="0.25">
      <c r="A488" s="7"/>
      <c r="E488" s="7"/>
      <c r="F488" s="7"/>
    </row>
    <row r="489" spans="1:6" x14ac:dyDescent="0.25">
      <c r="A489" s="7"/>
      <c r="E489" s="7"/>
      <c r="F489" s="7"/>
    </row>
    <row r="490" spans="1:6" x14ac:dyDescent="0.25">
      <c r="A490" s="7"/>
      <c r="E490" s="7"/>
      <c r="F490" s="7"/>
    </row>
    <row r="491" spans="1:6" x14ac:dyDescent="0.25">
      <c r="A491" s="7"/>
      <c r="E491" s="7"/>
      <c r="F491" s="7"/>
    </row>
    <row r="492" spans="1:6" x14ac:dyDescent="0.25">
      <c r="A492" s="7"/>
      <c r="E492" s="7"/>
      <c r="F492" s="7"/>
    </row>
    <row r="493" spans="1:6" x14ac:dyDescent="0.25">
      <c r="A493" s="7"/>
      <c r="E493" s="7"/>
      <c r="F493" s="7"/>
    </row>
    <row r="494" spans="1:6" x14ac:dyDescent="0.25">
      <c r="A494" s="7"/>
      <c r="E494" s="7"/>
      <c r="F494" s="7"/>
    </row>
    <row r="495" spans="1:6" x14ac:dyDescent="0.25">
      <c r="A495" s="7"/>
      <c r="E495" s="7"/>
      <c r="F495" s="7"/>
    </row>
    <row r="496" spans="1:6" x14ac:dyDescent="0.25">
      <c r="A496" s="7"/>
      <c r="E496" s="7"/>
      <c r="F496" s="7"/>
    </row>
    <row r="497" spans="1:6" x14ac:dyDescent="0.25">
      <c r="A497" s="7"/>
      <c r="E497" s="7"/>
      <c r="F497" s="7"/>
    </row>
    <row r="498" spans="1:6" x14ac:dyDescent="0.25">
      <c r="A498" s="7"/>
      <c r="E498" s="7"/>
      <c r="F498" s="7"/>
    </row>
    <row r="499" spans="1:6" x14ac:dyDescent="0.25">
      <c r="A499" s="7"/>
      <c r="E499" s="7"/>
      <c r="F499" s="7"/>
    </row>
    <row r="500" spans="1:6" x14ac:dyDescent="0.25">
      <c r="A500" s="7"/>
      <c r="E500" s="7"/>
      <c r="F500" s="7"/>
    </row>
    <row r="501" spans="1:6" x14ac:dyDescent="0.25">
      <c r="A501" s="7"/>
      <c r="E501" s="7"/>
      <c r="F501" s="7"/>
    </row>
    <row r="502" spans="1:6" x14ac:dyDescent="0.25">
      <c r="A502" s="7"/>
      <c r="E502" s="7"/>
      <c r="F502" s="7"/>
    </row>
    <row r="503" spans="1:6" x14ac:dyDescent="0.25">
      <c r="A503" s="7"/>
      <c r="E503" s="7"/>
      <c r="F503" s="7"/>
    </row>
    <row r="504" spans="1:6" x14ac:dyDescent="0.25">
      <c r="A504" s="7"/>
      <c r="E504" s="7"/>
      <c r="F504" s="7"/>
    </row>
    <row r="505" spans="1:6" x14ac:dyDescent="0.25">
      <c r="A505" s="7"/>
      <c r="E505" s="7"/>
      <c r="F505" s="7"/>
    </row>
    <row r="506" spans="1:6" x14ac:dyDescent="0.25">
      <c r="A506" s="7"/>
      <c r="E506" s="7"/>
      <c r="F506" s="7"/>
    </row>
    <row r="507" spans="1:6" x14ac:dyDescent="0.25">
      <c r="A507" s="7"/>
      <c r="E507" s="7"/>
      <c r="F507" s="7"/>
    </row>
    <row r="508" spans="1:6" x14ac:dyDescent="0.25">
      <c r="A508" s="7"/>
      <c r="E508" s="7"/>
      <c r="F508" s="7"/>
    </row>
    <row r="509" spans="1:6" x14ac:dyDescent="0.25">
      <c r="A509" s="7"/>
      <c r="E509" s="7"/>
      <c r="F509" s="7"/>
    </row>
    <row r="510" spans="1:6" x14ac:dyDescent="0.25">
      <c r="A510" s="7"/>
      <c r="E510" s="7"/>
      <c r="F510" s="7"/>
    </row>
    <row r="511" spans="1:6" x14ac:dyDescent="0.25">
      <c r="A511" s="7"/>
      <c r="E511" s="7"/>
      <c r="F511" s="7"/>
    </row>
    <row r="512" spans="1:6" x14ac:dyDescent="0.25">
      <c r="A512" s="7"/>
      <c r="E512" s="7"/>
      <c r="F512" s="7"/>
    </row>
    <row r="513" spans="1:6" x14ac:dyDescent="0.25">
      <c r="A513" s="7"/>
      <c r="E513" s="7"/>
      <c r="F513" s="7"/>
    </row>
    <row r="514" spans="1:6" x14ac:dyDescent="0.25">
      <c r="A514" s="7"/>
      <c r="E514" s="7"/>
      <c r="F514" s="7"/>
    </row>
    <row r="515" spans="1:6" x14ac:dyDescent="0.25">
      <c r="A515" s="7"/>
      <c r="E515" s="7"/>
      <c r="F515" s="7"/>
    </row>
    <row r="516" spans="1:6" x14ac:dyDescent="0.25">
      <c r="A516" s="7"/>
      <c r="E516" s="7"/>
      <c r="F516" s="7"/>
    </row>
    <row r="517" spans="1:6" x14ac:dyDescent="0.25">
      <c r="A517" s="7"/>
      <c r="E517" s="7"/>
      <c r="F517" s="7"/>
    </row>
    <row r="518" spans="1:6" x14ac:dyDescent="0.25">
      <c r="A518" s="7"/>
      <c r="E518" s="7"/>
      <c r="F518" s="7"/>
    </row>
    <row r="519" spans="1:6" x14ac:dyDescent="0.25">
      <c r="A519" s="7"/>
      <c r="E519" s="7"/>
      <c r="F519" s="7"/>
    </row>
    <row r="520" spans="1:6" x14ac:dyDescent="0.25">
      <c r="A520" s="7"/>
      <c r="E520" s="7"/>
      <c r="F520" s="7"/>
    </row>
    <row r="521" spans="1:6" x14ac:dyDescent="0.25">
      <c r="A521" s="7"/>
      <c r="E521" s="7"/>
      <c r="F521" s="7"/>
    </row>
    <row r="522" spans="1:6" x14ac:dyDescent="0.25">
      <c r="A522" s="7"/>
      <c r="E522" s="7"/>
      <c r="F522" s="7"/>
    </row>
    <row r="523" spans="1:6" x14ac:dyDescent="0.25">
      <c r="A523" s="7"/>
      <c r="E523" s="7"/>
      <c r="F523" s="7"/>
    </row>
    <row r="524" spans="1:6" x14ac:dyDescent="0.25">
      <c r="A524" s="7"/>
      <c r="E524" s="7"/>
      <c r="F524" s="7"/>
    </row>
    <row r="525" spans="1:6" x14ac:dyDescent="0.25">
      <c r="A525" s="7"/>
      <c r="E525" s="7"/>
      <c r="F525" s="7"/>
    </row>
    <row r="526" spans="1:6" x14ac:dyDescent="0.25">
      <c r="A526" s="7"/>
      <c r="E526" s="7"/>
      <c r="F526" s="7"/>
    </row>
    <row r="527" spans="1:6" x14ac:dyDescent="0.25">
      <c r="A527" s="7"/>
      <c r="E527" s="7"/>
      <c r="F527" s="7"/>
    </row>
    <row r="528" spans="1:6" x14ac:dyDescent="0.25">
      <c r="A528" s="7"/>
      <c r="E528" s="7"/>
      <c r="F528" s="7"/>
    </row>
    <row r="529" spans="1:6" x14ac:dyDescent="0.25">
      <c r="A529" s="7"/>
      <c r="E529" s="7"/>
      <c r="F529" s="7"/>
    </row>
    <row r="530" spans="1:6" x14ac:dyDescent="0.25">
      <c r="A530" s="7"/>
      <c r="E530" s="7"/>
      <c r="F530" s="7"/>
    </row>
    <row r="531" spans="1:6" x14ac:dyDescent="0.25">
      <c r="A531" s="7"/>
      <c r="E531" s="7"/>
      <c r="F531" s="7"/>
    </row>
    <row r="532" spans="1:6" x14ac:dyDescent="0.25">
      <c r="A532" s="7"/>
      <c r="E532" s="7"/>
      <c r="F532" s="7"/>
    </row>
    <row r="533" spans="1:6" x14ac:dyDescent="0.25">
      <c r="A533" s="7"/>
      <c r="E533" s="7"/>
      <c r="F533" s="7"/>
    </row>
    <row r="534" spans="1:6" x14ac:dyDescent="0.25">
      <c r="A534" s="7"/>
      <c r="E534" s="7"/>
      <c r="F534" s="7"/>
    </row>
    <row r="535" spans="1:6" x14ac:dyDescent="0.25">
      <c r="A535" s="7"/>
      <c r="E535" s="7"/>
      <c r="F535" s="7"/>
    </row>
    <row r="536" spans="1:6" x14ac:dyDescent="0.25">
      <c r="A536" s="7"/>
      <c r="E536" s="7"/>
      <c r="F536" s="7"/>
    </row>
    <row r="537" spans="1:6" x14ac:dyDescent="0.25">
      <c r="A537" s="7"/>
      <c r="E537" s="7"/>
      <c r="F537" s="7"/>
    </row>
    <row r="538" spans="1:6" x14ac:dyDescent="0.25">
      <c r="A538" s="7"/>
      <c r="E538" s="7"/>
      <c r="F538" s="7"/>
    </row>
    <row r="539" spans="1:6" x14ac:dyDescent="0.25">
      <c r="A539" s="7"/>
      <c r="E539" s="7"/>
      <c r="F539" s="7"/>
    </row>
    <row r="540" spans="1:6" x14ac:dyDescent="0.25">
      <c r="A540" s="7"/>
      <c r="E540" s="7"/>
      <c r="F540" s="7"/>
    </row>
    <row r="541" spans="1:6" x14ac:dyDescent="0.25">
      <c r="A541" s="7"/>
      <c r="E541" s="7"/>
      <c r="F541" s="7"/>
    </row>
    <row r="542" spans="1:6" x14ac:dyDescent="0.25">
      <c r="A542" s="7"/>
      <c r="E542" s="7"/>
      <c r="F542" s="7"/>
    </row>
    <row r="543" spans="1:6" x14ac:dyDescent="0.25">
      <c r="A543" s="7"/>
      <c r="E543" s="7"/>
      <c r="F543" s="7"/>
    </row>
    <row r="544" spans="1:6" x14ac:dyDescent="0.25">
      <c r="A544" s="7"/>
      <c r="E544" s="7"/>
      <c r="F544" s="7"/>
    </row>
    <row r="545" spans="1:6" x14ac:dyDescent="0.25">
      <c r="A545" s="7"/>
      <c r="E545" s="7"/>
      <c r="F545" s="7"/>
    </row>
    <row r="546" spans="1:6" x14ac:dyDescent="0.25">
      <c r="A546" s="7"/>
      <c r="E546" s="7"/>
      <c r="F546" s="7"/>
    </row>
    <row r="547" spans="1:6" x14ac:dyDescent="0.25">
      <c r="A547" s="7"/>
      <c r="E547" s="7"/>
      <c r="F547" s="7"/>
    </row>
    <row r="548" spans="1:6" x14ac:dyDescent="0.25">
      <c r="A548" s="7"/>
      <c r="E548" s="7"/>
      <c r="F548" s="7"/>
    </row>
    <row r="549" spans="1:6" x14ac:dyDescent="0.25">
      <c r="A549" s="7"/>
      <c r="E549" s="7"/>
      <c r="F549" s="7"/>
    </row>
    <row r="550" spans="1:6" x14ac:dyDescent="0.25">
      <c r="A550" s="7"/>
      <c r="E550" s="7"/>
      <c r="F550" s="7"/>
    </row>
    <row r="551" spans="1:6" x14ac:dyDescent="0.25">
      <c r="A551" s="7"/>
      <c r="E551" s="7"/>
      <c r="F551" s="7"/>
    </row>
    <row r="552" spans="1:6" x14ac:dyDescent="0.25">
      <c r="A552" s="7"/>
      <c r="E552" s="7"/>
      <c r="F552" s="7"/>
    </row>
    <row r="553" spans="1:6" x14ac:dyDescent="0.25">
      <c r="A553" s="7"/>
      <c r="E553" s="7"/>
      <c r="F553" s="7"/>
    </row>
    <row r="554" spans="1:6" x14ac:dyDescent="0.25">
      <c r="A554" s="7"/>
      <c r="E554" s="7"/>
      <c r="F554" s="7"/>
    </row>
    <row r="555" spans="1:6" x14ac:dyDescent="0.25">
      <c r="A555" s="7"/>
      <c r="E555" s="7"/>
      <c r="F555" s="7"/>
    </row>
    <row r="556" spans="1:6" x14ac:dyDescent="0.25">
      <c r="A556" s="7"/>
      <c r="E556" s="7"/>
      <c r="F556" s="7"/>
    </row>
    <row r="557" spans="1:6" x14ac:dyDescent="0.25">
      <c r="A557" s="7"/>
      <c r="E557" s="7"/>
      <c r="F557" s="7"/>
    </row>
    <row r="558" spans="1:6" x14ac:dyDescent="0.25">
      <c r="A558" s="7"/>
      <c r="E558" s="7"/>
      <c r="F558" s="7"/>
    </row>
    <row r="559" spans="1:6" x14ac:dyDescent="0.25">
      <c r="A559" s="7"/>
      <c r="E559" s="7"/>
      <c r="F559" s="7"/>
    </row>
    <row r="560" spans="1:6" x14ac:dyDescent="0.25">
      <c r="A560" s="7"/>
      <c r="E560" s="7"/>
      <c r="F560" s="7"/>
    </row>
    <row r="561" spans="1:6" x14ac:dyDescent="0.25">
      <c r="A561" s="7"/>
      <c r="E561" s="7"/>
      <c r="F561" s="7"/>
    </row>
    <row r="562" spans="1:6" x14ac:dyDescent="0.25">
      <c r="A562" s="7"/>
      <c r="E562" s="7"/>
      <c r="F562" s="7"/>
    </row>
    <row r="563" spans="1:6" x14ac:dyDescent="0.25">
      <c r="A563" s="7"/>
      <c r="E563" s="7"/>
      <c r="F563" s="7"/>
    </row>
    <row r="564" spans="1:6" x14ac:dyDescent="0.25">
      <c r="A564" s="7"/>
      <c r="E564" s="7"/>
      <c r="F564" s="7"/>
    </row>
    <row r="565" spans="1:6" x14ac:dyDescent="0.25">
      <c r="A565" s="7"/>
      <c r="E565" s="7"/>
      <c r="F565" s="7"/>
    </row>
    <row r="566" spans="1:6" x14ac:dyDescent="0.25">
      <c r="A566" s="7"/>
      <c r="E566" s="7"/>
      <c r="F566" s="7"/>
    </row>
    <row r="567" spans="1:6" x14ac:dyDescent="0.25">
      <c r="A567" s="7"/>
      <c r="E567" s="7"/>
      <c r="F567" s="7"/>
    </row>
    <row r="568" spans="1:6" x14ac:dyDescent="0.25">
      <c r="A568" s="7"/>
      <c r="E568" s="7"/>
      <c r="F568" s="7"/>
    </row>
    <row r="569" spans="1:6" x14ac:dyDescent="0.25">
      <c r="A569" s="7"/>
      <c r="E569" s="7"/>
      <c r="F569" s="7"/>
    </row>
    <row r="570" spans="1:6" x14ac:dyDescent="0.25">
      <c r="A570" s="7"/>
      <c r="E570" s="7"/>
      <c r="F570" s="7"/>
    </row>
    <row r="571" spans="1:6" x14ac:dyDescent="0.25">
      <c r="A571" s="7"/>
      <c r="E571" s="7"/>
      <c r="F571" s="7"/>
    </row>
    <row r="572" spans="1:6" x14ac:dyDescent="0.25">
      <c r="A572" s="7"/>
      <c r="E572" s="7"/>
      <c r="F572" s="7"/>
    </row>
    <row r="573" spans="1:6" x14ac:dyDescent="0.25">
      <c r="A573" s="7"/>
      <c r="E573" s="7"/>
      <c r="F573" s="7"/>
    </row>
    <row r="574" spans="1:6" x14ac:dyDescent="0.25">
      <c r="A574" s="7"/>
      <c r="E574" s="7"/>
      <c r="F574" s="7"/>
    </row>
    <row r="575" spans="1:6" x14ac:dyDescent="0.25">
      <c r="A575" s="7"/>
      <c r="E575" s="7"/>
      <c r="F575" s="7"/>
    </row>
    <row r="576" spans="1:6" x14ac:dyDescent="0.25">
      <c r="A576" s="7"/>
      <c r="E576" s="7"/>
      <c r="F576" s="7"/>
    </row>
    <row r="577" spans="1:6" x14ac:dyDescent="0.25">
      <c r="A577" s="7"/>
      <c r="E577" s="7"/>
      <c r="F577" s="7"/>
    </row>
    <row r="578" spans="1:6" x14ac:dyDescent="0.25">
      <c r="A578" s="7"/>
      <c r="E578" s="7"/>
      <c r="F578" s="7"/>
    </row>
    <row r="579" spans="1:6" x14ac:dyDescent="0.25">
      <c r="A579" s="7"/>
      <c r="E579" s="7"/>
      <c r="F579" s="7"/>
    </row>
    <row r="580" spans="1:6" x14ac:dyDescent="0.25">
      <c r="A580" s="7"/>
      <c r="E580" s="7"/>
      <c r="F580" s="7"/>
    </row>
    <row r="581" spans="1:6" x14ac:dyDescent="0.25">
      <c r="A581" s="7"/>
      <c r="E581" s="7"/>
      <c r="F581" s="7"/>
    </row>
    <row r="582" spans="1:6" x14ac:dyDescent="0.25">
      <c r="A582" s="7"/>
      <c r="E582" s="7"/>
      <c r="F582" s="7"/>
    </row>
    <row r="583" spans="1:6" x14ac:dyDescent="0.25">
      <c r="A583" s="7"/>
      <c r="E583" s="7"/>
      <c r="F583" s="7"/>
    </row>
    <row r="584" spans="1:6" x14ac:dyDescent="0.25">
      <c r="A584" s="7"/>
      <c r="E584" s="7"/>
      <c r="F584" s="7"/>
    </row>
    <row r="585" spans="1:6" x14ac:dyDescent="0.25">
      <c r="A585" s="7"/>
      <c r="E585" s="7"/>
      <c r="F585" s="7"/>
    </row>
    <row r="586" spans="1:6" x14ac:dyDescent="0.25">
      <c r="A586" s="7"/>
      <c r="E586" s="7"/>
      <c r="F586" s="7"/>
    </row>
    <row r="587" spans="1:6" x14ac:dyDescent="0.25">
      <c r="A587" s="7"/>
      <c r="E587" s="7"/>
      <c r="F587" s="7"/>
    </row>
    <row r="588" spans="1:6" x14ac:dyDescent="0.25">
      <c r="A588" s="7"/>
      <c r="E588" s="7"/>
      <c r="F588" s="7"/>
    </row>
    <row r="589" spans="1:6" x14ac:dyDescent="0.25">
      <c r="A589" s="7"/>
      <c r="E589" s="7"/>
      <c r="F589" s="7"/>
    </row>
    <row r="590" spans="1:6" x14ac:dyDescent="0.25">
      <c r="A590" s="7"/>
      <c r="E590" s="7"/>
      <c r="F590" s="7"/>
    </row>
    <row r="591" spans="1:6" x14ac:dyDescent="0.25">
      <c r="A591" s="7"/>
      <c r="E591" s="7"/>
      <c r="F591" s="7"/>
    </row>
    <row r="592" spans="1:6" x14ac:dyDescent="0.25">
      <c r="A592" s="7"/>
      <c r="E592" s="7"/>
      <c r="F592" s="7"/>
    </row>
    <row r="593" spans="1:6" x14ac:dyDescent="0.25">
      <c r="A593" s="7"/>
      <c r="E593" s="7"/>
      <c r="F593" s="7"/>
    </row>
    <row r="594" spans="1:6" x14ac:dyDescent="0.25">
      <c r="A594" s="7"/>
      <c r="E594" s="7"/>
      <c r="F594" s="7"/>
    </row>
    <row r="595" spans="1:6" x14ac:dyDescent="0.25">
      <c r="A595" s="7"/>
      <c r="E595" s="7"/>
      <c r="F595" s="7"/>
    </row>
    <row r="596" spans="1:6" x14ac:dyDescent="0.25">
      <c r="A596" s="7"/>
      <c r="E596" s="7"/>
      <c r="F596" s="7"/>
    </row>
    <row r="597" spans="1:6" x14ac:dyDescent="0.25">
      <c r="A597" s="7"/>
      <c r="E597" s="7"/>
      <c r="F597" s="7"/>
    </row>
    <row r="598" spans="1:6" x14ac:dyDescent="0.25">
      <c r="A598" s="7"/>
      <c r="E598" s="7"/>
      <c r="F598" s="7"/>
    </row>
    <row r="599" spans="1:6" x14ac:dyDescent="0.25">
      <c r="A599" s="7"/>
      <c r="E599" s="7"/>
      <c r="F599" s="7"/>
    </row>
    <row r="600" spans="1:6" x14ac:dyDescent="0.25">
      <c r="A600" s="7"/>
      <c r="E600" s="7"/>
      <c r="F600" s="7"/>
    </row>
    <row r="601" spans="1:6" x14ac:dyDescent="0.25">
      <c r="A601" s="7"/>
      <c r="E601" s="7"/>
      <c r="F601" s="7"/>
    </row>
    <row r="602" spans="1:6" x14ac:dyDescent="0.25">
      <c r="A602" s="7"/>
      <c r="E602" s="7"/>
      <c r="F602" s="7"/>
    </row>
    <row r="603" spans="1:6" x14ac:dyDescent="0.25">
      <c r="A603" s="7"/>
      <c r="E603" s="7"/>
      <c r="F603" s="7"/>
    </row>
    <row r="604" spans="1:6" x14ac:dyDescent="0.25">
      <c r="A604" s="7"/>
      <c r="E604" s="7"/>
      <c r="F604" s="7"/>
    </row>
    <row r="605" spans="1:6" x14ac:dyDescent="0.25">
      <c r="A605" s="7"/>
      <c r="E605" s="7"/>
      <c r="F605" s="7"/>
    </row>
    <row r="606" spans="1:6" x14ac:dyDescent="0.25">
      <c r="A606" s="7"/>
      <c r="E606" s="7"/>
      <c r="F606" s="7"/>
    </row>
    <row r="607" spans="1:6" x14ac:dyDescent="0.25">
      <c r="A607" s="7"/>
      <c r="E607" s="7"/>
      <c r="F607" s="7"/>
    </row>
    <row r="608" spans="1:6" x14ac:dyDescent="0.25">
      <c r="A608" s="7"/>
      <c r="E608" s="7"/>
      <c r="F608" s="7"/>
    </row>
    <row r="609" spans="1:6" x14ac:dyDescent="0.25">
      <c r="A609" s="7"/>
      <c r="E609" s="7"/>
      <c r="F609" s="7"/>
    </row>
    <row r="610" spans="1:6" x14ac:dyDescent="0.25">
      <c r="A610" s="7"/>
      <c r="E610" s="7"/>
      <c r="F610" s="7"/>
    </row>
    <row r="611" spans="1:6" x14ac:dyDescent="0.25">
      <c r="A611" s="7"/>
      <c r="E611" s="7"/>
      <c r="F611" s="7"/>
    </row>
    <row r="612" spans="1:6" x14ac:dyDescent="0.25">
      <c r="A612" s="7"/>
      <c r="E612" s="7"/>
      <c r="F612" s="7"/>
    </row>
    <row r="613" spans="1:6" x14ac:dyDescent="0.25">
      <c r="A613" s="7"/>
      <c r="E613" s="7"/>
      <c r="F613" s="7"/>
    </row>
    <row r="614" spans="1:6" x14ac:dyDescent="0.25">
      <c r="A614" s="7"/>
      <c r="E614" s="7"/>
      <c r="F614" s="7"/>
    </row>
    <row r="615" spans="1:6" x14ac:dyDescent="0.25">
      <c r="A615" s="7"/>
      <c r="E615" s="7"/>
      <c r="F615" s="7"/>
    </row>
    <row r="616" spans="1:6" x14ac:dyDescent="0.25">
      <c r="A616" s="7"/>
      <c r="E616" s="7"/>
      <c r="F616" s="7"/>
    </row>
    <row r="617" spans="1:6" x14ac:dyDescent="0.25">
      <c r="A617" s="7"/>
      <c r="E617" s="7"/>
      <c r="F617" s="7"/>
    </row>
    <row r="618" spans="1:6" x14ac:dyDescent="0.25">
      <c r="A618" s="7"/>
      <c r="E618" s="7"/>
      <c r="F618" s="7"/>
    </row>
    <row r="619" spans="1:6" x14ac:dyDescent="0.25">
      <c r="A619" s="7"/>
      <c r="E619" s="7"/>
      <c r="F619" s="7"/>
    </row>
    <row r="620" spans="1:6" x14ac:dyDescent="0.25">
      <c r="A620" s="7"/>
      <c r="E620" s="7"/>
      <c r="F620" s="7"/>
    </row>
    <row r="621" spans="1:6" x14ac:dyDescent="0.25">
      <c r="A621" s="7"/>
      <c r="E621" s="7"/>
      <c r="F621" s="7"/>
    </row>
    <row r="622" spans="1:6" x14ac:dyDescent="0.25">
      <c r="A622" s="7"/>
      <c r="E622" s="7"/>
      <c r="F622" s="7"/>
    </row>
    <row r="623" spans="1:6" x14ac:dyDescent="0.25">
      <c r="A623" s="7"/>
      <c r="E623" s="7"/>
      <c r="F623" s="7"/>
    </row>
    <row r="624" spans="1:6" x14ac:dyDescent="0.25">
      <c r="A624" s="7"/>
      <c r="E624" s="7"/>
      <c r="F624" s="7"/>
    </row>
    <row r="625" spans="1:6" x14ac:dyDescent="0.25">
      <c r="A625" s="7"/>
      <c r="E625" s="7"/>
      <c r="F625" s="7"/>
    </row>
    <row r="626" spans="1:6" x14ac:dyDescent="0.25">
      <c r="A626" s="7"/>
      <c r="E626" s="7"/>
      <c r="F626" s="7"/>
    </row>
    <row r="627" spans="1:6" x14ac:dyDescent="0.25">
      <c r="A627" s="7"/>
      <c r="E627" s="7"/>
      <c r="F627" s="7"/>
    </row>
    <row r="628" spans="1:6" x14ac:dyDescent="0.25">
      <c r="A628" s="7"/>
      <c r="E628" s="7"/>
      <c r="F628" s="7"/>
    </row>
    <row r="629" spans="1:6" x14ac:dyDescent="0.25">
      <c r="A629" s="7"/>
      <c r="E629" s="7"/>
      <c r="F629" s="7"/>
    </row>
    <row r="630" spans="1:6" x14ac:dyDescent="0.25">
      <c r="A630" s="7"/>
      <c r="E630" s="7"/>
      <c r="F630" s="7"/>
    </row>
    <row r="631" spans="1:6" x14ac:dyDescent="0.25">
      <c r="A631" s="7"/>
      <c r="E631" s="7"/>
      <c r="F631" s="7"/>
    </row>
    <row r="632" spans="1:6" x14ac:dyDescent="0.25">
      <c r="A632" s="7"/>
      <c r="E632" s="7"/>
      <c r="F632" s="7"/>
    </row>
    <row r="633" spans="1:6" x14ac:dyDescent="0.25">
      <c r="A633" s="7"/>
      <c r="E633" s="7"/>
      <c r="F633" s="7"/>
    </row>
    <row r="634" spans="1:6" x14ac:dyDescent="0.25">
      <c r="A634" s="7"/>
      <c r="E634" s="7"/>
      <c r="F634" s="7"/>
    </row>
    <row r="635" spans="1:6" x14ac:dyDescent="0.25">
      <c r="A635" s="7"/>
      <c r="E635" s="7"/>
      <c r="F635" s="7"/>
    </row>
    <row r="636" spans="1:6" x14ac:dyDescent="0.25">
      <c r="A636" s="7"/>
      <c r="E636" s="7"/>
      <c r="F636" s="7"/>
    </row>
    <row r="637" spans="1:6" x14ac:dyDescent="0.25">
      <c r="A637" s="7"/>
      <c r="E637" s="7"/>
      <c r="F637" s="7"/>
    </row>
    <row r="638" spans="1:6" x14ac:dyDescent="0.25">
      <c r="A638" s="7"/>
      <c r="E638" s="7"/>
      <c r="F638" s="7"/>
    </row>
    <row r="639" spans="1:6" x14ac:dyDescent="0.25">
      <c r="A639" s="7"/>
      <c r="E639" s="7"/>
      <c r="F639" s="7"/>
    </row>
    <row r="640" spans="1:6" x14ac:dyDescent="0.25">
      <c r="A640" s="7"/>
      <c r="E640" s="7"/>
      <c r="F640" s="7"/>
    </row>
    <row r="641" spans="1:6" x14ac:dyDescent="0.25">
      <c r="A641" s="7"/>
      <c r="E641" s="7"/>
      <c r="F641" s="7"/>
    </row>
    <row r="642" spans="1:6" x14ac:dyDescent="0.25">
      <c r="A642" s="7"/>
      <c r="E642" s="7"/>
      <c r="F642" s="7"/>
    </row>
    <row r="643" spans="1:6" x14ac:dyDescent="0.25">
      <c r="A643" s="7"/>
      <c r="E643" s="7"/>
      <c r="F643" s="7"/>
    </row>
    <row r="644" spans="1:6" x14ac:dyDescent="0.25">
      <c r="A644" s="7"/>
      <c r="E644" s="7"/>
      <c r="F644" s="7"/>
    </row>
    <row r="645" spans="1:6" x14ac:dyDescent="0.25">
      <c r="A645" s="7"/>
      <c r="E645" s="7"/>
      <c r="F645" s="7"/>
    </row>
    <row r="646" spans="1:6" x14ac:dyDescent="0.25">
      <c r="A646" s="7"/>
      <c r="E646" s="7"/>
      <c r="F646" s="7"/>
    </row>
    <row r="647" spans="1:6" x14ac:dyDescent="0.25">
      <c r="A647" s="7"/>
      <c r="E647" s="7"/>
      <c r="F647" s="7"/>
    </row>
    <row r="648" spans="1:6" x14ac:dyDescent="0.25">
      <c r="A648" s="7"/>
      <c r="E648" s="7"/>
      <c r="F648" s="7"/>
    </row>
    <row r="649" spans="1:6" x14ac:dyDescent="0.25">
      <c r="A649" s="7"/>
      <c r="E649" s="7"/>
      <c r="F649" s="7"/>
    </row>
    <row r="650" spans="1:6" x14ac:dyDescent="0.25">
      <c r="A650" s="7"/>
      <c r="E650" s="7"/>
      <c r="F650" s="7"/>
    </row>
    <row r="651" spans="1:6" x14ac:dyDescent="0.25">
      <c r="A651" s="7"/>
      <c r="E651" s="7"/>
      <c r="F651" s="7"/>
    </row>
    <row r="652" spans="1:6" x14ac:dyDescent="0.25">
      <c r="A652" s="7"/>
      <c r="E652" s="7"/>
      <c r="F652" s="7"/>
    </row>
    <row r="653" spans="1:6" x14ac:dyDescent="0.25">
      <c r="A653" s="7"/>
      <c r="E653" s="7"/>
      <c r="F653" s="7"/>
    </row>
    <row r="654" spans="1:6" x14ac:dyDescent="0.25">
      <c r="A654" s="7"/>
      <c r="E654" s="7"/>
      <c r="F654" s="7"/>
    </row>
    <row r="655" spans="1:6" x14ac:dyDescent="0.25">
      <c r="A655" s="7"/>
      <c r="E655" s="7"/>
      <c r="F655" s="7"/>
    </row>
    <row r="656" spans="1:6" x14ac:dyDescent="0.25">
      <c r="A656" s="7"/>
      <c r="E656" s="7"/>
      <c r="F656" s="7"/>
    </row>
    <row r="657" spans="1:6" x14ac:dyDescent="0.25">
      <c r="A657" s="7"/>
      <c r="E657" s="7"/>
      <c r="F657" s="7"/>
    </row>
    <row r="658" spans="1:6" x14ac:dyDescent="0.25">
      <c r="A658" s="7"/>
      <c r="E658" s="7"/>
      <c r="F658" s="7"/>
    </row>
    <row r="659" spans="1:6" x14ac:dyDescent="0.25">
      <c r="A659" s="7"/>
      <c r="E659" s="7"/>
      <c r="F659" s="7"/>
    </row>
    <row r="660" spans="1:6" x14ac:dyDescent="0.25">
      <c r="A660" s="7"/>
      <c r="E660" s="7"/>
      <c r="F660" s="7"/>
    </row>
    <row r="661" spans="1:6" x14ac:dyDescent="0.25">
      <c r="A661" s="7"/>
      <c r="E661" s="7"/>
      <c r="F661" s="7"/>
    </row>
    <row r="662" spans="1:6" x14ac:dyDescent="0.25">
      <c r="A662" s="7"/>
      <c r="E662" s="7"/>
      <c r="F662" s="7"/>
    </row>
    <row r="663" spans="1:6" x14ac:dyDescent="0.25">
      <c r="A663" s="7"/>
      <c r="E663" s="7"/>
      <c r="F663" s="7"/>
    </row>
    <row r="664" spans="1:6" x14ac:dyDescent="0.25">
      <c r="A664" s="7"/>
      <c r="E664" s="7"/>
      <c r="F664" s="7"/>
    </row>
    <row r="665" spans="1:6" x14ac:dyDescent="0.25">
      <c r="A665" s="7"/>
      <c r="E665" s="7"/>
      <c r="F665" s="7"/>
    </row>
    <row r="666" spans="1:6" x14ac:dyDescent="0.25">
      <c r="A666" s="7"/>
      <c r="E666" s="7"/>
      <c r="F666" s="7"/>
    </row>
    <row r="667" spans="1:6" x14ac:dyDescent="0.25">
      <c r="A667" s="7"/>
      <c r="E667" s="7"/>
      <c r="F667" s="7"/>
    </row>
    <row r="668" spans="1:6" x14ac:dyDescent="0.25">
      <c r="A668" s="7"/>
      <c r="E668" s="7"/>
      <c r="F668" s="7"/>
    </row>
    <row r="669" spans="1:6" x14ac:dyDescent="0.25">
      <c r="A669" s="7"/>
      <c r="E669" s="7"/>
      <c r="F669" s="7"/>
    </row>
    <row r="670" spans="1:6" x14ac:dyDescent="0.25">
      <c r="A670" s="7"/>
      <c r="E670" s="7"/>
      <c r="F670" s="7"/>
    </row>
    <row r="671" spans="1:6" x14ac:dyDescent="0.25">
      <c r="A671" s="7"/>
      <c r="E671" s="7"/>
      <c r="F671" s="7"/>
    </row>
    <row r="672" spans="1:6" x14ac:dyDescent="0.25">
      <c r="A672" s="7"/>
      <c r="E672" s="7"/>
      <c r="F672" s="7"/>
    </row>
    <row r="673" spans="1:6" x14ac:dyDescent="0.25">
      <c r="A673" s="7"/>
      <c r="E673" s="7"/>
      <c r="F673" s="7"/>
    </row>
    <row r="674" spans="1:6" x14ac:dyDescent="0.25">
      <c r="A674" s="7"/>
      <c r="E674" s="7"/>
      <c r="F674" s="7"/>
    </row>
    <row r="675" spans="1:6" x14ac:dyDescent="0.25">
      <c r="A675" s="7"/>
      <c r="E675" s="7"/>
      <c r="F675" s="7"/>
    </row>
    <row r="676" spans="1:6" x14ac:dyDescent="0.25">
      <c r="A676" s="7"/>
      <c r="E676" s="7"/>
      <c r="F676" s="7"/>
    </row>
    <row r="677" spans="1:6" x14ac:dyDescent="0.25">
      <c r="A677" s="7"/>
      <c r="E677" s="7"/>
      <c r="F677" s="7"/>
    </row>
    <row r="678" spans="1:6" x14ac:dyDescent="0.25">
      <c r="A678" s="7"/>
      <c r="E678" s="7"/>
      <c r="F678" s="7"/>
    </row>
    <row r="679" spans="1:6" x14ac:dyDescent="0.25">
      <c r="A679" s="7"/>
      <c r="E679" s="7"/>
      <c r="F679" s="7"/>
    </row>
    <row r="680" spans="1:6" x14ac:dyDescent="0.25">
      <c r="A680" s="7"/>
      <c r="E680" s="7"/>
      <c r="F680" s="7"/>
    </row>
    <row r="681" spans="1:6" x14ac:dyDescent="0.25">
      <c r="A681" s="7"/>
      <c r="E681" s="7"/>
      <c r="F681" s="7"/>
    </row>
    <row r="682" spans="1:6" x14ac:dyDescent="0.25">
      <c r="A682" s="7"/>
      <c r="E682" s="7"/>
      <c r="F682" s="7"/>
    </row>
    <row r="683" spans="1:6" x14ac:dyDescent="0.25">
      <c r="A683" s="7"/>
      <c r="E683" s="7"/>
      <c r="F683" s="7"/>
    </row>
    <row r="684" spans="1:6" x14ac:dyDescent="0.25">
      <c r="A684" s="7"/>
      <c r="E684" s="7"/>
      <c r="F684" s="7"/>
    </row>
    <row r="685" spans="1:6" x14ac:dyDescent="0.25">
      <c r="A685" s="7"/>
      <c r="E685" s="7"/>
      <c r="F685" s="7"/>
    </row>
    <row r="686" spans="1:6" x14ac:dyDescent="0.25">
      <c r="A686" s="7"/>
      <c r="E686" s="7"/>
      <c r="F686" s="7"/>
    </row>
    <row r="687" spans="1:6" x14ac:dyDescent="0.25">
      <c r="A687" s="7"/>
      <c r="E687" s="7"/>
      <c r="F687" s="7"/>
    </row>
    <row r="688" spans="1:6" x14ac:dyDescent="0.25">
      <c r="A688" s="7"/>
      <c r="E688" s="7"/>
      <c r="F688" s="7"/>
    </row>
    <row r="689" spans="1:6" x14ac:dyDescent="0.25">
      <c r="A689" s="7"/>
      <c r="E689" s="7"/>
      <c r="F689" s="7"/>
    </row>
    <row r="690" spans="1:6" x14ac:dyDescent="0.25">
      <c r="A690" s="7"/>
      <c r="E690" s="7"/>
      <c r="F690" s="7"/>
    </row>
    <row r="691" spans="1:6" x14ac:dyDescent="0.25">
      <c r="A691" s="7"/>
      <c r="E691" s="7"/>
      <c r="F691" s="7"/>
    </row>
    <row r="692" spans="1:6" x14ac:dyDescent="0.25">
      <c r="A692" s="7"/>
      <c r="E692" s="7"/>
      <c r="F692" s="7"/>
    </row>
    <row r="693" spans="1:6" x14ac:dyDescent="0.25">
      <c r="A693" s="7"/>
      <c r="E693" s="7"/>
      <c r="F693" s="7"/>
    </row>
    <row r="694" spans="1:6" x14ac:dyDescent="0.25">
      <c r="A694" s="7"/>
      <c r="E694" s="7"/>
      <c r="F694" s="7"/>
    </row>
    <row r="695" spans="1:6" x14ac:dyDescent="0.25">
      <c r="A695" s="7"/>
      <c r="E695" s="7"/>
      <c r="F695" s="7"/>
    </row>
    <row r="696" spans="1:6" x14ac:dyDescent="0.25">
      <c r="A696" s="7"/>
      <c r="E696" s="7"/>
      <c r="F696" s="7"/>
    </row>
    <row r="697" spans="1:6" x14ac:dyDescent="0.25">
      <c r="A697" s="7"/>
      <c r="E697" s="7"/>
      <c r="F697" s="7"/>
    </row>
    <row r="698" spans="1:6" x14ac:dyDescent="0.25">
      <c r="A698" s="7"/>
      <c r="E698" s="7"/>
      <c r="F698" s="7"/>
    </row>
    <row r="699" spans="1:6" x14ac:dyDescent="0.25">
      <c r="A699" s="7"/>
      <c r="E699" s="7"/>
      <c r="F699" s="7"/>
    </row>
    <row r="700" spans="1:6" x14ac:dyDescent="0.25">
      <c r="A700" s="7"/>
      <c r="E700" s="7"/>
      <c r="F700" s="7"/>
    </row>
    <row r="701" spans="1:6" x14ac:dyDescent="0.25">
      <c r="A701" s="7"/>
      <c r="E701" s="7"/>
      <c r="F701" s="7"/>
    </row>
    <row r="702" spans="1:6" x14ac:dyDescent="0.25">
      <c r="A702" s="7"/>
      <c r="E702" s="7"/>
      <c r="F702" s="7"/>
    </row>
    <row r="703" spans="1:6" x14ac:dyDescent="0.25">
      <c r="A703" s="7"/>
      <c r="E703" s="7"/>
      <c r="F703" s="7"/>
    </row>
    <row r="704" spans="1:6" x14ac:dyDescent="0.25">
      <c r="A704" s="7"/>
      <c r="E704" s="7"/>
      <c r="F704" s="7"/>
    </row>
    <row r="705" spans="1:6" x14ac:dyDescent="0.25">
      <c r="A705" s="7"/>
      <c r="E705" s="7"/>
      <c r="F705" s="7"/>
    </row>
    <row r="706" spans="1:6" x14ac:dyDescent="0.25">
      <c r="A706" s="7"/>
      <c r="E706" s="7"/>
      <c r="F706" s="7"/>
    </row>
    <row r="707" spans="1:6" x14ac:dyDescent="0.25">
      <c r="A707" s="7"/>
      <c r="E707" s="7"/>
      <c r="F707" s="7"/>
    </row>
    <row r="708" spans="1:6" x14ac:dyDescent="0.25">
      <c r="A708" s="7"/>
      <c r="E708" s="7"/>
      <c r="F708" s="7"/>
    </row>
    <row r="709" spans="1:6" x14ac:dyDescent="0.25">
      <c r="A709" s="7"/>
      <c r="E709" s="7"/>
      <c r="F709" s="7"/>
    </row>
    <row r="710" spans="1:6" x14ac:dyDescent="0.25">
      <c r="A710" s="7"/>
      <c r="E710" s="7"/>
      <c r="F710" s="7"/>
    </row>
    <row r="711" spans="1:6" x14ac:dyDescent="0.25">
      <c r="A711" s="7"/>
      <c r="E711" s="7"/>
      <c r="F711" s="7"/>
    </row>
    <row r="712" spans="1:6" x14ac:dyDescent="0.25">
      <c r="A712" s="7"/>
      <c r="E712" s="7"/>
      <c r="F712" s="7"/>
    </row>
    <row r="713" spans="1:6" x14ac:dyDescent="0.25">
      <c r="A713" s="7"/>
      <c r="E713" s="7"/>
      <c r="F713" s="7"/>
    </row>
    <row r="714" spans="1:6" x14ac:dyDescent="0.25">
      <c r="A714" s="7"/>
      <c r="E714" s="7"/>
      <c r="F714" s="7"/>
    </row>
    <row r="715" spans="1:6" x14ac:dyDescent="0.25">
      <c r="A715" s="7"/>
      <c r="E715" s="7"/>
      <c r="F715" s="7"/>
    </row>
    <row r="716" spans="1:6" x14ac:dyDescent="0.25">
      <c r="A716" s="7"/>
      <c r="E716" s="7"/>
      <c r="F716" s="7"/>
    </row>
    <row r="717" spans="1:6" x14ac:dyDescent="0.25">
      <c r="A717" s="7"/>
      <c r="E717" s="7"/>
      <c r="F717" s="7"/>
    </row>
    <row r="718" spans="1:6" x14ac:dyDescent="0.25">
      <c r="A718" s="7"/>
      <c r="E718" s="7"/>
      <c r="F718" s="7"/>
    </row>
    <row r="719" spans="1:6" x14ac:dyDescent="0.25">
      <c r="A719" s="7"/>
      <c r="E719" s="7"/>
      <c r="F719" s="7"/>
    </row>
    <row r="720" spans="1:6" x14ac:dyDescent="0.25">
      <c r="A720" s="7"/>
      <c r="E720" s="7"/>
      <c r="F720" s="7"/>
    </row>
    <row r="721" spans="1:6" x14ac:dyDescent="0.25">
      <c r="A721" s="7"/>
      <c r="E721" s="7"/>
      <c r="F721" s="7"/>
    </row>
    <row r="722" spans="1:6" x14ac:dyDescent="0.25">
      <c r="A722" s="7"/>
      <c r="E722" s="7"/>
      <c r="F722" s="7"/>
    </row>
    <row r="723" spans="1:6" x14ac:dyDescent="0.25">
      <c r="A723" s="7"/>
      <c r="E723" s="7"/>
      <c r="F723" s="7"/>
    </row>
    <row r="724" spans="1:6" x14ac:dyDescent="0.25">
      <c r="A724" s="7"/>
      <c r="E724" s="7"/>
      <c r="F724" s="7"/>
    </row>
    <row r="725" spans="1:6" x14ac:dyDescent="0.25">
      <c r="A725" s="7"/>
      <c r="E725" s="7"/>
      <c r="F725" s="7"/>
    </row>
    <row r="726" spans="1:6" x14ac:dyDescent="0.25">
      <c r="A726" s="7"/>
      <c r="E726" s="7"/>
      <c r="F726" s="7"/>
    </row>
    <row r="727" spans="1:6" x14ac:dyDescent="0.25">
      <c r="A727" s="7"/>
      <c r="E727" s="7"/>
      <c r="F727" s="7"/>
    </row>
    <row r="728" spans="1:6" x14ac:dyDescent="0.25">
      <c r="A728" s="7"/>
      <c r="E728" s="7"/>
      <c r="F728" s="7"/>
    </row>
    <row r="729" spans="1:6" x14ac:dyDescent="0.25">
      <c r="A729" s="7"/>
      <c r="E729" s="7"/>
      <c r="F729" s="7"/>
    </row>
    <row r="730" spans="1:6" x14ac:dyDescent="0.25">
      <c r="A730" s="7"/>
      <c r="E730" s="7"/>
      <c r="F730" s="7"/>
    </row>
    <row r="731" spans="1:6" x14ac:dyDescent="0.25">
      <c r="A731" s="7"/>
      <c r="E731" s="7"/>
      <c r="F731" s="7"/>
    </row>
    <row r="732" spans="1:6" x14ac:dyDescent="0.25">
      <c r="A732" s="7"/>
      <c r="E732" s="7"/>
      <c r="F732" s="7"/>
    </row>
    <row r="733" spans="1:6" x14ac:dyDescent="0.25">
      <c r="A733" s="7"/>
      <c r="E733" s="7"/>
      <c r="F733" s="7"/>
    </row>
    <row r="734" spans="1:6" x14ac:dyDescent="0.25">
      <c r="A734" s="7"/>
      <c r="E734" s="7"/>
      <c r="F734" s="7"/>
    </row>
    <row r="735" spans="1:6" x14ac:dyDescent="0.25">
      <c r="A735" s="7"/>
      <c r="E735" s="7"/>
      <c r="F735" s="7"/>
    </row>
    <row r="736" spans="1:6" x14ac:dyDescent="0.25">
      <c r="A736" s="7"/>
      <c r="E736" s="7"/>
      <c r="F736" s="7"/>
    </row>
    <row r="737" spans="1:6" x14ac:dyDescent="0.25">
      <c r="A737" s="7"/>
      <c r="E737" s="7"/>
      <c r="F737" s="7"/>
    </row>
    <row r="738" spans="1:6" x14ac:dyDescent="0.25">
      <c r="A738" s="7"/>
      <c r="E738" s="7"/>
      <c r="F738" s="7"/>
    </row>
    <row r="739" spans="1:6" x14ac:dyDescent="0.25">
      <c r="A739" s="7"/>
      <c r="E739" s="7"/>
      <c r="F739" s="7"/>
    </row>
    <row r="740" spans="1:6" x14ac:dyDescent="0.25">
      <c r="A740" s="7"/>
      <c r="E740" s="7"/>
      <c r="F740" s="7"/>
    </row>
    <row r="741" spans="1:6" x14ac:dyDescent="0.25">
      <c r="A741" s="7"/>
      <c r="E741" s="7"/>
      <c r="F741" s="7"/>
    </row>
    <row r="742" spans="1:6" x14ac:dyDescent="0.25">
      <c r="A742" s="7"/>
      <c r="E742" s="7"/>
      <c r="F742" s="7"/>
    </row>
    <row r="743" spans="1:6" x14ac:dyDescent="0.25">
      <c r="A743" s="7"/>
      <c r="E743" s="7"/>
      <c r="F743" s="7"/>
    </row>
    <row r="744" spans="1:6" x14ac:dyDescent="0.25">
      <c r="A744" s="7"/>
      <c r="E744" s="7"/>
      <c r="F744" s="7"/>
    </row>
    <row r="745" spans="1:6" x14ac:dyDescent="0.25">
      <c r="A745" s="7"/>
      <c r="E745" s="7"/>
      <c r="F745" s="7"/>
    </row>
    <row r="746" spans="1:6" x14ac:dyDescent="0.25">
      <c r="A746" s="7"/>
      <c r="E746" s="7"/>
      <c r="F746" s="7"/>
    </row>
    <row r="747" spans="1:6" x14ac:dyDescent="0.25">
      <c r="A747" s="7"/>
      <c r="E747" s="7"/>
      <c r="F747" s="7"/>
    </row>
    <row r="748" spans="1:6" x14ac:dyDescent="0.25">
      <c r="A748" s="7"/>
      <c r="E748" s="7"/>
      <c r="F748" s="7"/>
    </row>
    <row r="749" spans="1:6" x14ac:dyDescent="0.25">
      <c r="A749" s="7"/>
      <c r="E749" s="7"/>
      <c r="F749" s="7"/>
    </row>
    <row r="750" spans="1:6" x14ac:dyDescent="0.25">
      <c r="A750" s="7"/>
      <c r="E750" s="7"/>
      <c r="F750" s="7"/>
    </row>
    <row r="751" spans="1:6" x14ac:dyDescent="0.25">
      <c r="A751" s="7"/>
      <c r="E751" s="7"/>
      <c r="F751" s="7"/>
    </row>
    <row r="752" spans="1:6" x14ac:dyDescent="0.25">
      <c r="A752" s="7"/>
      <c r="E752" s="7"/>
      <c r="F752" s="7"/>
    </row>
    <row r="753" spans="1:6" x14ac:dyDescent="0.25">
      <c r="A753" s="7"/>
      <c r="E753" s="7"/>
      <c r="F753" s="7"/>
    </row>
    <row r="754" spans="1:6" x14ac:dyDescent="0.25">
      <c r="A754" s="7"/>
      <c r="E754" s="7"/>
      <c r="F754" s="7"/>
    </row>
    <row r="755" spans="1:6" x14ac:dyDescent="0.25">
      <c r="A755" s="7"/>
      <c r="E755" s="7"/>
      <c r="F755" s="7"/>
    </row>
    <row r="756" spans="1:6" x14ac:dyDescent="0.25">
      <c r="A756" s="7"/>
      <c r="E756" s="7"/>
      <c r="F756" s="7"/>
    </row>
    <row r="757" spans="1:6" x14ac:dyDescent="0.25">
      <c r="A757" s="7"/>
      <c r="E757" s="7"/>
      <c r="F757" s="7"/>
    </row>
    <row r="758" spans="1:6" x14ac:dyDescent="0.25">
      <c r="A758" s="7"/>
      <c r="E758" s="7"/>
      <c r="F758" s="7"/>
    </row>
    <row r="759" spans="1:6" x14ac:dyDescent="0.25">
      <c r="A759" s="7"/>
      <c r="E759" s="7"/>
      <c r="F759" s="7"/>
    </row>
    <row r="760" spans="1:6" x14ac:dyDescent="0.25">
      <c r="A760" s="7"/>
      <c r="E760" s="7"/>
      <c r="F760" s="7"/>
    </row>
    <row r="761" spans="1:6" x14ac:dyDescent="0.25">
      <c r="A761" s="7"/>
      <c r="E761" s="7"/>
      <c r="F761" s="7"/>
    </row>
    <row r="762" spans="1:6" x14ac:dyDescent="0.25">
      <c r="A762" s="7"/>
      <c r="E762" s="7"/>
      <c r="F762" s="7"/>
    </row>
    <row r="763" spans="1:6" x14ac:dyDescent="0.25">
      <c r="A763" s="7"/>
      <c r="E763" s="7"/>
      <c r="F763" s="7"/>
    </row>
    <row r="764" spans="1:6" x14ac:dyDescent="0.25">
      <c r="A764" s="7"/>
      <c r="E764" s="7"/>
      <c r="F764" s="7"/>
    </row>
    <row r="765" spans="1:6" x14ac:dyDescent="0.25">
      <c r="A765" s="7"/>
      <c r="E765" s="7"/>
      <c r="F765" s="7"/>
    </row>
    <row r="766" spans="1:6" x14ac:dyDescent="0.25">
      <c r="A766" s="7"/>
      <c r="E766" s="7"/>
      <c r="F766" s="7"/>
    </row>
    <row r="767" spans="1:6" x14ac:dyDescent="0.25">
      <c r="A767" s="7"/>
      <c r="E767" s="7"/>
      <c r="F767" s="7"/>
    </row>
    <row r="768" spans="1:6" x14ac:dyDescent="0.25">
      <c r="A768" s="7"/>
      <c r="E768" s="7"/>
      <c r="F768" s="7"/>
    </row>
    <row r="769" spans="1:6" x14ac:dyDescent="0.25">
      <c r="A769" s="7"/>
      <c r="E769" s="7"/>
      <c r="F769" s="7"/>
    </row>
    <row r="770" spans="1:6" x14ac:dyDescent="0.25">
      <c r="A770" s="7"/>
      <c r="E770" s="7"/>
      <c r="F770" s="7"/>
    </row>
    <row r="771" spans="1:6" x14ac:dyDescent="0.25">
      <c r="A771" s="7"/>
      <c r="E771" s="7"/>
      <c r="F771" s="7"/>
    </row>
    <row r="772" spans="1:6" x14ac:dyDescent="0.25">
      <c r="A772" s="7"/>
      <c r="E772" s="7"/>
      <c r="F772" s="7"/>
    </row>
    <row r="773" spans="1:6" x14ac:dyDescent="0.25">
      <c r="A773" s="7"/>
      <c r="E773" s="7"/>
      <c r="F773" s="7"/>
    </row>
    <row r="774" spans="1:6" x14ac:dyDescent="0.25">
      <c r="A774" s="7"/>
      <c r="E774" s="7"/>
      <c r="F774" s="7"/>
    </row>
    <row r="775" spans="1:6" x14ac:dyDescent="0.25">
      <c r="A775" s="7"/>
      <c r="E775" s="7"/>
      <c r="F775" s="7"/>
    </row>
    <row r="776" spans="1:6" x14ac:dyDescent="0.25">
      <c r="A776" s="7"/>
      <c r="E776" s="7"/>
      <c r="F776" s="7"/>
    </row>
    <row r="777" spans="1:6" x14ac:dyDescent="0.25">
      <c r="A777" s="7"/>
      <c r="E777" s="7"/>
      <c r="F777" s="7"/>
    </row>
    <row r="778" spans="1:6" x14ac:dyDescent="0.25">
      <c r="A778" s="7"/>
      <c r="E778" s="7"/>
      <c r="F778" s="7"/>
    </row>
    <row r="779" spans="1:6" x14ac:dyDescent="0.25">
      <c r="A779" s="7"/>
      <c r="E779" s="7"/>
      <c r="F779" s="7"/>
    </row>
    <row r="780" spans="1:6" x14ac:dyDescent="0.25">
      <c r="A780" s="7"/>
      <c r="E780" s="7"/>
      <c r="F780" s="7"/>
    </row>
    <row r="781" spans="1:6" x14ac:dyDescent="0.25">
      <c r="A781" s="7"/>
      <c r="E781" s="7"/>
      <c r="F781" s="7"/>
    </row>
    <row r="782" spans="1:6" x14ac:dyDescent="0.25">
      <c r="A782" s="7"/>
      <c r="E782" s="7"/>
      <c r="F782" s="7"/>
    </row>
    <row r="783" spans="1:6" x14ac:dyDescent="0.25">
      <c r="A783" s="7"/>
      <c r="E783" s="7"/>
      <c r="F783" s="7"/>
    </row>
    <row r="784" spans="1:6" x14ac:dyDescent="0.25">
      <c r="A784" s="7"/>
      <c r="E784" s="7"/>
      <c r="F784" s="7"/>
    </row>
    <row r="785" spans="1:6" x14ac:dyDescent="0.25">
      <c r="A785" s="7"/>
      <c r="E785" s="7"/>
      <c r="F785" s="7"/>
    </row>
    <row r="786" spans="1:6" x14ac:dyDescent="0.25">
      <c r="A786" s="7"/>
      <c r="E786" s="7"/>
      <c r="F786" s="7"/>
    </row>
    <row r="787" spans="1:6" x14ac:dyDescent="0.25">
      <c r="A787" s="7"/>
      <c r="E787" s="7"/>
      <c r="F787" s="7"/>
    </row>
    <row r="788" spans="1:6" x14ac:dyDescent="0.25">
      <c r="A788" s="7"/>
      <c r="E788" s="7"/>
      <c r="F788" s="7"/>
    </row>
    <row r="789" spans="1:6" x14ac:dyDescent="0.25">
      <c r="A789" s="7"/>
      <c r="E789" s="7"/>
      <c r="F789" s="7"/>
    </row>
    <row r="790" spans="1:6" x14ac:dyDescent="0.25">
      <c r="A790" s="7"/>
      <c r="E790" s="7"/>
      <c r="F790" s="7"/>
    </row>
    <row r="791" spans="1:6" x14ac:dyDescent="0.25">
      <c r="A791" s="7"/>
      <c r="E791" s="7"/>
      <c r="F791" s="7"/>
    </row>
    <row r="792" spans="1:6" x14ac:dyDescent="0.25">
      <c r="A792" s="7"/>
      <c r="E792" s="7"/>
      <c r="F792" s="7"/>
    </row>
    <row r="793" spans="1:6" x14ac:dyDescent="0.25">
      <c r="A793" s="7"/>
      <c r="E793" s="7"/>
      <c r="F793" s="7"/>
    </row>
    <row r="794" spans="1:6" x14ac:dyDescent="0.25">
      <c r="A794" s="7"/>
      <c r="E794" s="7"/>
      <c r="F794" s="7"/>
    </row>
    <row r="795" spans="1:6" x14ac:dyDescent="0.25">
      <c r="A795" s="7"/>
      <c r="E795" s="7"/>
      <c r="F795" s="7"/>
    </row>
    <row r="796" spans="1:6" x14ac:dyDescent="0.25">
      <c r="A796" s="7"/>
      <c r="E796" s="7"/>
      <c r="F796" s="7"/>
    </row>
    <row r="797" spans="1:6" x14ac:dyDescent="0.25">
      <c r="A797" s="7"/>
      <c r="E797" s="7"/>
      <c r="F797" s="7"/>
    </row>
    <row r="798" spans="1:6" x14ac:dyDescent="0.25">
      <c r="A798" s="7"/>
      <c r="E798" s="7"/>
      <c r="F798" s="7"/>
    </row>
    <row r="799" spans="1:6" x14ac:dyDescent="0.25">
      <c r="A799" s="7"/>
      <c r="E799" s="7"/>
      <c r="F799" s="7"/>
    </row>
    <row r="800" spans="1:6" x14ac:dyDescent="0.25">
      <c r="A800" s="7"/>
      <c r="E800" s="7"/>
      <c r="F800" s="7"/>
    </row>
    <row r="801" spans="1:6" x14ac:dyDescent="0.25">
      <c r="A801" s="7"/>
      <c r="E801" s="7"/>
      <c r="F801" s="7"/>
    </row>
    <row r="802" spans="1:6" x14ac:dyDescent="0.25">
      <c r="A802" s="7"/>
      <c r="E802" s="7"/>
      <c r="F802" s="7"/>
    </row>
    <row r="803" spans="1:6" x14ac:dyDescent="0.25">
      <c r="A803" s="7"/>
      <c r="E803" s="7"/>
      <c r="F803" s="7"/>
    </row>
    <row r="804" spans="1:6" x14ac:dyDescent="0.25">
      <c r="A804" s="7"/>
      <c r="E804" s="7"/>
      <c r="F804" s="7"/>
    </row>
    <row r="805" spans="1:6" x14ac:dyDescent="0.25">
      <c r="A805" s="7"/>
      <c r="E805" s="7"/>
      <c r="F805" s="7"/>
    </row>
    <row r="806" spans="1:6" x14ac:dyDescent="0.25">
      <c r="A806" s="7"/>
      <c r="E806" s="7"/>
      <c r="F806" s="7"/>
    </row>
    <row r="807" spans="1:6" x14ac:dyDescent="0.25">
      <c r="A807" s="7"/>
      <c r="E807" s="7"/>
      <c r="F807" s="7"/>
    </row>
    <row r="808" spans="1:6" x14ac:dyDescent="0.25">
      <c r="A808" s="7"/>
      <c r="E808" s="7"/>
      <c r="F808" s="7"/>
    </row>
    <row r="809" spans="1:6" x14ac:dyDescent="0.25">
      <c r="A809" s="7"/>
      <c r="E809" s="7"/>
      <c r="F809" s="7"/>
    </row>
    <row r="810" spans="1:6" x14ac:dyDescent="0.25">
      <c r="A810" s="7"/>
      <c r="E810" s="7"/>
      <c r="F810" s="7"/>
    </row>
    <row r="811" spans="1:6" x14ac:dyDescent="0.25">
      <c r="A811" s="7"/>
      <c r="E811" s="7"/>
      <c r="F811" s="7"/>
    </row>
    <row r="812" spans="1:6" x14ac:dyDescent="0.25">
      <c r="A812" s="7"/>
      <c r="E812" s="7"/>
      <c r="F812" s="7"/>
    </row>
    <row r="813" spans="1:6" x14ac:dyDescent="0.25">
      <c r="A813" s="7"/>
      <c r="E813" s="7"/>
      <c r="F813" s="7"/>
    </row>
    <row r="814" spans="1:6" x14ac:dyDescent="0.25">
      <c r="A814" s="7"/>
      <c r="E814" s="7"/>
      <c r="F814" s="7"/>
    </row>
    <row r="815" spans="1:6" x14ac:dyDescent="0.25">
      <c r="A815" s="7"/>
      <c r="E815" s="7"/>
      <c r="F815" s="7"/>
    </row>
    <row r="816" spans="1:6" x14ac:dyDescent="0.25">
      <c r="A816" s="7"/>
      <c r="E816" s="7"/>
      <c r="F816" s="7"/>
    </row>
    <row r="817" spans="1:6" x14ac:dyDescent="0.25">
      <c r="A817" s="7"/>
      <c r="E817" s="7"/>
      <c r="F817" s="7"/>
    </row>
    <row r="818" spans="1:6" x14ac:dyDescent="0.25">
      <c r="A818" s="7"/>
      <c r="E818" s="7"/>
      <c r="F818" s="7"/>
    </row>
    <row r="819" spans="1:6" x14ac:dyDescent="0.25">
      <c r="A819" s="7"/>
      <c r="E819" s="7"/>
      <c r="F819" s="7"/>
    </row>
    <row r="820" spans="1:6" x14ac:dyDescent="0.25">
      <c r="A820" s="7"/>
      <c r="E820" s="7"/>
      <c r="F820" s="7"/>
    </row>
    <row r="821" spans="1:6" x14ac:dyDescent="0.25">
      <c r="A821" s="7"/>
      <c r="E821" s="7"/>
      <c r="F821" s="7"/>
    </row>
    <row r="822" spans="1:6" x14ac:dyDescent="0.25">
      <c r="A822" s="7"/>
      <c r="E822" s="7"/>
      <c r="F822" s="7"/>
    </row>
    <row r="823" spans="1:6" x14ac:dyDescent="0.25">
      <c r="A823" s="7"/>
      <c r="E823" s="7"/>
      <c r="F823" s="7"/>
    </row>
    <row r="824" spans="1:6" x14ac:dyDescent="0.25">
      <c r="A824" s="7"/>
      <c r="E824" s="7"/>
      <c r="F824" s="7"/>
    </row>
    <row r="825" spans="1:6" x14ac:dyDescent="0.25">
      <c r="A825" s="7"/>
      <c r="E825" s="7"/>
      <c r="F825" s="7"/>
    </row>
    <row r="826" spans="1:6" x14ac:dyDescent="0.25">
      <c r="A826" s="7"/>
      <c r="E826" s="7"/>
      <c r="F826" s="7"/>
    </row>
    <row r="827" spans="1:6" x14ac:dyDescent="0.25">
      <c r="A827" s="7"/>
      <c r="E827" s="7"/>
      <c r="F827" s="7"/>
    </row>
    <row r="828" spans="1:6" x14ac:dyDescent="0.25">
      <c r="A828" s="7"/>
      <c r="E828" s="7"/>
      <c r="F828" s="7"/>
    </row>
    <row r="829" spans="1:6" x14ac:dyDescent="0.25">
      <c r="A829" s="7"/>
      <c r="E829" s="7"/>
      <c r="F829" s="7"/>
    </row>
    <row r="830" spans="1:6" x14ac:dyDescent="0.25">
      <c r="A830" s="7"/>
      <c r="E830" s="7"/>
      <c r="F830" s="7"/>
    </row>
    <row r="831" spans="1:6" x14ac:dyDescent="0.25">
      <c r="A831" s="7"/>
      <c r="E831" s="7"/>
      <c r="F831" s="7"/>
    </row>
    <row r="832" spans="1:6" x14ac:dyDescent="0.25">
      <c r="A832" s="7"/>
      <c r="E832" s="7"/>
      <c r="F832" s="7"/>
    </row>
    <row r="833" spans="1:6" x14ac:dyDescent="0.25">
      <c r="A833" s="7"/>
      <c r="E833" s="7"/>
      <c r="F833" s="7"/>
    </row>
    <row r="834" spans="1:6" x14ac:dyDescent="0.25">
      <c r="A834" s="7"/>
      <c r="E834" s="7"/>
      <c r="F834" s="7"/>
    </row>
    <row r="835" spans="1:6" x14ac:dyDescent="0.25">
      <c r="A835" s="7"/>
      <c r="E835" s="7"/>
      <c r="F835" s="7"/>
    </row>
    <row r="836" spans="1:6" x14ac:dyDescent="0.25">
      <c r="A836" s="7"/>
      <c r="E836" s="7"/>
      <c r="F836" s="7"/>
    </row>
    <row r="837" spans="1:6" x14ac:dyDescent="0.25">
      <c r="A837" s="7"/>
      <c r="E837" s="7"/>
      <c r="F837" s="7"/>
    </row>
    <row r="838" spans="1:6" x14ac:dyDescent="0.25">
      <c r="A838" s="7"/>
      <c r="E838" s="7"/>
      <c r="F838" s="7"/>
    </row>
    <row r="839" spans="1:6" x14ac:dyDescent="0.25">
      <c r="A839" s="7"/>
      <c r="E839" s="7"/>
      <c r="F839" s="7"/>
    </row>
    <row r="840" spans="1:6" x14ac:dyDescent="0.25">
      <c r="A840" s="7"/>
      <c r="E840" s="7"/>
      <c r="F840" s="7"/>
    </row>
    <row r="841" spans="1:6" x14ac:dyDescent="0.25">
      <c r="A841" s="7"/>
      <c r="E841" s="7"/>
      <c r="F841" s="7"/>
    </row>
    <row r="842" spans="1:6" x14ac:dyDescent="0.25">
      <c r="A842" s="7"/>
      <c r="E842" s="7"/>
      <c r="F842" s="7"/>
    </row>
    <row r="843" spans="1:6" x14ac:dyDescent="0.25">
      <c r="A843" s="7"/>
      <c r="E843" s="7"/>
      <c r="F843" s="7"/>
    </row>
    <row r="844" spans="1:6" x14ac:dyDescent="0.25">
      <c r="A844" s="7"/>
      <c r="E844" s="7"/>
      <c r="F844" s="7"/>
    </row>
    <row r="845" spans="1:6" x14ac:dyDescent="0.25">
      <c r="A845" s="7"/>
      <c r="E845" s="7"/>
      <c r="F845" s="7"/>
    </row>
    <row r="846" spans="1:6" x14ac:dyDescent="0.25">
      <c r="A846" s="7"/>
      <c r="E846" s="7"/>
      <c r="F846" s="7"/>
    </row>
    <row r="847" spans="1:6" x14ac:dyDescent="0.25">
      <c r="A847" s="7"/>
      <c r="E847" s="7"/>
      <c r="F847" s="7"/>
    </row>
    <row r="848" spans="1:6" x14ac:dyDescent="0.25">
      <c r="A848" s="7"/>
      <c r="E848" s="7"/>
      <c r="F848" s="7"/>
    </row>
    <row r="849" spans="1:6" x14ac:dyDescent="0.25">
      <c r="A849" s="7"/>
      <c r="E849" s="7"/>
      <c r="F849" s="7"/>
    </row>
    <row r="850" spans="1:6" x14ac:dyDescent="0.25">
      <c r="A850" s="7"/>
      <c r="E850" s="7"/>
      <c r="F850" s="7"/>
    </row>
    <row r="851" spans="1:6" x14ac:dyDescent="0.25">
      <c r="A851" s="7"/>
      <c r="E851" s="7"/>
      <c r="F851" s="7"/>
    </row>
    <row r="852" spans="1:6" x14ac:dyDescent="0.25">
      <c r="A852" s="7"/>
      <c r="E852" s="7"/>
      <c r="F852" s="7"/>
    </row>
    <row r="853" spans="1:6" x14ac:dyDescent="0.25">
      <c r="A853" s="7"/>
      <c r="E853" s="7"/>
      <c r="F853" s="7"/>
    </row>
    <row r="854" spans="1:6" x14ac:dyDescent="0.25">
      <c r="A854" s="7"/>
      <c r="E854" s="7"/>
      <c r="F854" s="7"/>
    </row>
    <row r="855" spans="1:6" x14ac:dyDescent="0.25">
      <c r="A855" s="7"/>
      <c r="E855" s="7"/>
      <c r="F855" s="7"/>
    </row>
    <row r="856" spans="1:6" x14ac:dyDescent="0.25">
      <c r="A856" s="7"/>
      <c r="E856" s="7"/>
      <c r="F856" s="7"/>
    </row>
    <row r="857" spans="1:6" x14ac:dyDescent="0.25">
      <c r="A857" s="7"/>
      <c r="E857" s="7"/>
      <c r="F857" s="7"/>
    </row>
    <row r="858" spans="1:6" x14ac:dyDescent="0.25">
      <c r="A858" s="7"/>
      <c r="E858" s="7"/>
      <c r="F858" s="7"/>
    </row>
    <row r="859" spans="1:6" x14ac:dyDescent="0.25">
      <c r="A859" s="7"/>
      <c r="E859" s="7"/>
      <c r="F859" s="7"/>
    </row>
    <row r="860" spans="1:6" x14ac:dyDescent="0.25">
      <c r="A860" s="7"/>
      <c r="E860" s="7"/>
      <c r="F860" s="7"/>
    </row>
    <row r="861" spans="1:6" x14ac:dyDescent="0.25">
      <c r="A861" s="7"/>
      <c r="E861" s="7"/>
      <c r="F861" s="7"/>
    </row>
    <row r="862" spans="1:6" x14ac:dyDescent="0.25">
      <c r="A862" s="7"/>
      <c r="E862" s="7"/>
      <c r="F862" s="7"/>
    </row>
    <row r="863" spans="1:6" x14ac:dyDescent="0.25">
      <c r="A863" s="7"/>
      <c r="E863" s="7"/>
      <c r="F863" s="7"/>
    </row>
    <row r="864" spans="1:6" x14ac:dyDescent="0.25">
      <c r="A864" s="7"/>
      <c r="E864" s="7"/>
      <c r="F864" s="7"/>
    </row>
    <row r="865" spans="1:6" x14ac:dyDescent="0.25">
      <c r="A865" s="7"/>
      <c r="E865" s="7"/>
      <c r="F865" s="7"/>
    </row>
    <row r="866" spans="1:6" x14ac:dyDescent="0.25">
      <c r="A866" s="7"/>
      <c r="E866" s="7"/>
      <c r="F866" s="7"/>
    </row>
    <row r="867" spans="1:6" x14ac:dyDescent="0.25">
      <c r="A867" s="7"/>
      <c r="E867" s="7"/>
      <c r="F867" s="7"/>
    </row>
    <row r="868" spans="1:6" x14ac:dyDescent="0.25">
      <c r="A868" s="7"/>
      <c r="E868" s="7"/>
      <c r="F868" s="7"/>
    </row>
    <row r="869" spans="1:6" x14ac:dyDescent="0.25">
      <c r="A869" s="7"/>
      <c r="E869" s="7"/>
      <c r="F869" s="7"/>
    </row>
    <row r="870" spans="1:6" x14ac:dyDescent="0.25">
      <c r="A870" s="7"/>
      <c r="E870" s="7"/>
      <c r="F870" s="7"/>
    </row>
    <row r="871" spans="1:6" x14ac:dyDescent="0.25">
      <c r="A871" s="7"/>
      <c r="E871" s="7"/>
      <c r="F871" s="7"/>
    </row>
    <row r="872" spans="1:6" x14ac:dyDescent="0.25">
      <c r="A872" s="7"/>
      <c r="E872" s="7"/>
      <c r="F872" s="7"/>
    </row>
    <row r="873" spans="1:6" x14ac:dyDescent="0.25">
      <c r="A873" s="7"/>
      <c r="E873" s="7"/>
      <c r="F873" s="7"/>
    </row>
    <row r="874" spans="1:6" x14ac:dyDescent="0.25">
      <c r="A874" s="7"/>
      <c r="E874" s="7"/>
      <c r="F874" s="7"/>
    </row>
    <row r="875" spans="1:6" x14ac:dyDescent="0.25">
      <c r="A875" s="7"/>
      <c r="E875" s="7"/>
      <c r="F875" s="7"/>
    </row>
    <row r="876" spans="1:6" x14ac:dyDescent="0.25">
      <c r="A876" s="7"/>
      <c r="E876" s="7"/>
      <c r="F876" s="7"/>
    </row>
    <row r="877" spans="1:6" x14ac:dyDescent="0.25">
      <c r="A877" s="7"/>
      <c r="E877" s="7"/>
      <c r="F877" s="7"/>
    </row>
    <row r="878" spans="1:6" x14ac:dyDescent="0.25">
      <c r="A878" s="7"/>
      <c r="E878" s="7"/>
      <c r="F878" s="7"/>
    </row>
    <row r="879" spans="1:6" x14ac:dyDescent="0.25">
      <c r="A879" s="7"/>
      <c r="E879" s="7"/>
      <c r="F879" s="7"/>
    </row>
    <row r="880" spans="1:6" x14ac:dyDescent="0.25">
      <c r="A880" s="7"/>
      <c r="E880" s="7"/>
      <c r="F880" s="7"/>
    </row>
    <row r="881" spans="1:6" x14ac:dyDescent="0.25">
      <c r="A881" s="7"/>
      <c r="E881" s="7"/>
      <c r="F881" s="7"/>
    </row>
    <row r="882" spans="1:6" x14ac:dyDescent="0.25">
      <c r="A882" s="7"/>
      <c r="E882" s="7"/>
      <c r="F882" s="7"/>
    </row>
    <row r="883" spans="1:6" x14ac:dyDescent="0.25">
      <c r="A883" s="7"/>
      <c r="E883" s="7"/>
      <c r="F883" s="7"/>
    </row>
    <row r="884" spans="1:6" x14ac:dyDescent="0.25">
      <c r="A884" s="7"/>
      <c r="E884" s="7"/>
      <c r="F884" s="7"/>
    </row>
    <row r="885" spans="1:6" x14ac:dyDescent="0.25">
      <c r="A885" s="7"/>
      <c r="E885" s="7"/>
      <c r="F885" s="7"/>
    </row>
    <row r="886" spans="1:6" x14ac:dyDescent="0.25">
      <c r="A886" s="7"/>
      <c r="E886" s="7"/>
      <c r="F886" s="7"/>
    </row>
    <row r="887" spans="1:6" x14ac:dyDescent="0.25">
      <c r="A887" s="7"/>
      <c r="E887" s="7"/>
      <c r="F887" s="7"/>
    </row>
    <row r="888" spans="1:6" x14ac:dyDescent="0.25">
      <c r="A888" s="7"/>
      <c r="E888" s="7"/>
      <c r="F888" s="7"/>
    </row>
    <row r="889" spans="1:6" x14ac:dyDescent="0.25">
      <c r="A889" s="7"/>
      <c r="E889" s="7"/>
      <c r="F889" s="7"/>
    </row>
    <row r="890" spans="1:6" x14ac:dyDescent="0.25">
      <c r="A890" s="7"/>
      <c r="E890" s="7"/>
      <c r="F890" s="7"/>
    </row>
    <row r="891" spans="1:6" x14ac:dyDescent="0.25">
      <c r="A891" s="7"/>
      <c r="E891" s="7"/>
      <c r="F891" s="7"/>
    </row>
    <row r="892" spans="1:6" x14ac:dyDescent="0.25">
      <c r="A892" s="7"/>
      <c r="E892" s="7"/>
      <c r="F892" s="7"/>
    </row>
    <row r="893" spans="1:6" x14ac:dyDescent="0.25">
      <c r="A893" s="7"/>
      <c r="E893" s="7"/>
      <c r="F893" s="7"/>
    </row>
    <row r="894" spans="1:6" x14ac:dyDescent="0.25">
      <c r="A894" s="7"/>
      <c r="E894" s="7"/>
      <c r="F894" s="7"/>
    </row>
    <row r="895" spans="1:6" x14ac:dyDescent="0.25">
      <c r="A895" s="7"/>
      <c r="E895" s="7"/>
      <c r="F895" s="7"/>
    </row>
    <row r="896" spans="1:6" x14ac:dyDescent="0.25">
      <c r="A896" s="7"/>
      <c r="E896" s="7"/>
      <c r="F896" s="7"/>
    </row>
    <row r="897" spans="1:6" x14ac:dyDescent="0.25">
      <c r="A897" s="7"/>
      <c r="E897" s="7"/>
      <c r="F897" s="7"/>
    </row>
    <row r="898" spans="1:6" x14ac:dyDescent="0.25">
      <c r="A898" s="7"/>
      <c r="E898" s="7"/>
      <c r="F898" s="7"/>
    </row>
    <row r="899" spans="1:6" x14ac:dyDescent="0.25">
      <c r="A899" s="7"/>
      <c r="E899" s="7"/>
      <c r="F899" s="7"/>
    </row>
    <row r="900" spans="1:6" x14ac:dyDescent="0.25">
      <c r="A900" s="7"/>
      <c r="E900" s="7"/>
      <c r="F900" s="7"/>
    </row>
    <row r="901" spans="1:6" x14ac:dyDescent="0.25">
      <c r="A901" s="7"/>
      <c r="E901" s="7"/>
      <c r="F901" s="7"/>
    </row>
    <row r="902" spans="1:6" x14ac:dyDescent="0.25">
      <c r="A902" s="7"/>
      <c r="E902" s="7"/>
      <c r="F902" s="7"/>
    </row>
    <row r="903" spans="1:6" x14ac:dyDescent="0.25">
      <c r="A903" s="7"/>
      <c r="E903" s="7"/>
      <c r="F903" s="7"/>
    </row>
    <row r="904" spans="1:6" x14ac:dyDescent="0.25">
      <c r="A904" s="7"/>
      <c r="E904" s="7"/>
      <c r="F904" s="7"/>
    </row>
    <row r="905" spans="1:6" x14ac:dyDescent="0.25">
      <c r="A905" s="7"/>
      <c r="E905" s="7"/>
      <c r="F905" s="7"/>
    </row>
    <row r="906" spans="1:6" x14ac:dyDescent="0.25">
      <c r="A906" s="7"/>
      <c r="E906" s="7"/>
      <c r="F906" s="7"/>
    </row>
    <row r="907" spans="1:6" x14ac:dyDescent="0.25">
      <c r="A907" s="7"/>
      <c r="E907" s="7"/>
      <c r="F907" s="7"/>
    </row>
    <row r="908" spans="1:6" x14ac:dyDescent="0.25">
      <c r="A908" s="7"/>
      <c r="E908" s="7"/>
      <c r="F908" s="7"/>
    </row>
    <row r="909" spans="1:6" x14ac:dyDescent="0.25">
      <c r="A909" s="7"/>
      <c r="E909" s="7"/>
      <c r="F909" s="7"/>
    </row>
    <row r="910" spans="1:6" x14ac:dyDescent="0.25">
      <c r="A910" s="7"/>
      <c r="E910" s="7"/>
      <c r="F910" s="7"/>
    </row>
    <row r="911" spans="1:6" x14ac:dyDescent="0.25">
      <c r="A911" s="7"/>
      <c r="E911" s="7"/>
      <c r="F911" s="7"/>
    </row>
    <row r="912" spans="1:6" x14ac:dyDescent="0.25">
      <c r="A912" s="7"/>
      <c r="E912" s="7"/>
      <c r="F912" s="7"/>
    </row>
    <row r="913" spans="1:6" x14ac:dyDescent="0.25">
      <c r="A913" s="7"/>
      <c r="E913" s="7"/>
      <c r="F913" s="7"/>
    </row>
    <row r="914" spans="1:6" x14ac:dyDescent="0.25">
      <c r="A914" s="7"/>
      <c r="E914" s="7"/>
      <c r="F914" s="7"/>
    </row>
    <row r="915" spans="1:6" x14ac:dyDescent="0.25">
      <c r="A915" s="7"/>
      <c r="E915" s="7"/>
      <c r="F915" s="7"/>
    </row>
    <row r="916" spans="1:6" x14ac:dyDescent="0.25">
      <c r="A916" s="7"/>
      <c r="E916" s="7"/>
      <c r="F916" s="7"/>
    </row>
    <row r="917" spans="1:6" x14ac:dyDescent="0.25">
      <c r="A917" s="7"/>
      <c r="E917" s="7"/>
      <c r="F917" s="7"/>
    </row>
    <row r="918" spans="1:6" x14ac:dyDescent="0.25">
      <c r="A918" s="7"/>
      <c r="E918" s="7"/>
      <c r="F918" s="7"/>
    </row>
    <row r="919" spans="1:6" x14ac:dyDescent="0.25">
      <c r="A919" s="7"/>
      <c r="E919" s="7"/>
      <c r="F919" s="7"/>
    </row>
    <row r="920" spans="1:6" x14ac:dyDescent="0.25">
      <c r="A920" s="7"/>
      <c r="E920" s="7"/>
      <c r="F920" s="7"/>
    </row>
    <row r="921" spans="1:6" x14ac:dyDescent="0.25">
      <c r="A921" s="7"/>
      <c r="E921" s="7"/>
      <c r="F921" s="7"/>
    </row>
    <row r="922" spans="1:6" x14ac:dyDescent="0.25">
      <c r="A922" s="7"/>
      <c r="E922" s="7"/>
      <c r="F922" s="7"/>
    </row>
    <row r="923" spans="1:6" x14ac:dyDescent="0.25">
      <c r="A923" s="7"/>
      <c r="E923" s="7"/>
      <c r="F923" s="7"/>
    </row>
    <row r="924" spans="1:6" x14ac:dyDescent="0.25">
      <c r="A924" s="7"/>
      <c r="E924" s="7"/>
      <c r="F924" s="7"/>
    </row>
    <row r="925" spans="1:6" x14ac:dyDescent="0.25">
      <c r="A925" s="7"/>
      <c r="E925" s="7"/>
      <c r="F925" s="7"/>
    </row>
    <row r="926" spans="1:6" x14ac:dyDescent="0.25">
      <c r="A926" s="7"/>
      <c r="E926" s="7"/>
      <c r="F926" s="7"/>
    </row>
    <row r="927" spans="1:6" x14ac:dyDescent="0.25">
      <c r="A927" s="7"/>
      <c r="E927" s="7"/>
      <c r="F927" s="7"/>
    </row>
    <row r="928" spans="1:6" x14ac:dyDescent="0.25">
      <c r="A928" s="7"/>
      <c r="E928" s="7"/>
      <c r="F928" s="7"/>
    </row>
    <row r="929" spans="1:6" x14ac:dyDescent="0.25">
      <c r="A929" s="7"/>
      <c r="E929" s="7"/>
      <c r="F929" s="7"/>
    </row>
    <row r="930" spans="1:6" x14ac:dyDescent="0.25">
      <c r="A930" s="7"/>
      <c r="E930" s="7"/>
      <c r="F930" s="7"/>
    </row>
    <row r="931" spans="1:6" x14ac:dyDescent="0.25">
      <c r="A931" s="7"/>
      <c r="E931" s="7"/>
      <c r="F931" s="7"/>
    </row>
    <row r="932" spans="1:6" x14ac:dyDescent="0.25">
      <c r="A932" s="7"/>
      <c r="E932" s="7"/>
      <c r="F932" s="7"/>
    </row>
    <row r="933" spans="1:6" x14ac:dyDescent="0.25">
      <c r="A933" s="7"/>
      <c r="E933" s="7"/>
      <c r="F933" s="7"/>
    </row>
    <row r="934" spans="1:6" x14ac:dyDescent="0.25">
      <c r="A934" s="7"/>
      <c r="E934" s="7"/>
      <c r="F934" s="7"/>
    </row>
    <row r="935" spans="1:6" x14ac:dyDescent="0.25">
      <c r="A935" s="7"/>
      <c r="E935" s="7"/>
      <c r="F935" s="7"/>
    </row>
    <row r="936" spans="1:6" x14ac:dyDescent="0.25">
      <c r="A936" s="7"/>
      <c r="E936" s="7"/>
      <c r="F936" s="7"/>
    </row>
    <row r="937" spans="1:6" x14ac:dyDescent="0.25">
      <c r="A937" s="7"/>
      <c r="E937" s="7"/>
      <c r="F937" s="7"/>
    </row>
    <row r="938" spans="1:6" x14ac:dyDescent="0.25">
      <c r="A938" s="7"/>
      <c r="E938" s="7"/>
      <c r="F938" s="7"/>
    </row>
    <row r="939" spans="1:6" x14ac:dyDescent="0.25">
      <c r="A939" s="7"/>
      <c r="E939" s="7"/>
      <c r="F939" s="7"/>
    </row>
    <row r="940" spans="1:6" x14ac:dyDescent="0.25">
      <c r="A940" s="7"/>
      <c r="E940" s="7"/>
      <c r="F940" s="7"/>
    </row>
    <row r="941" spans="1:6" x14ac:dyDescent="0.25">
      <c r="A941" s="7"/>
      <c r="E941" s="7"/>
      <c r="F941" s="7"/>
    </row>
    <row r="942" spans="1:6" x14ac:dyDescent="0.25">
      <c r="A942" s="7"/>
      <c r="E942" s="7"/>
      <c r="F942" s="7"/>
    </row>
    <row r="943" spans="1:6" x14ac:dyDescent="0.25">
      <c r="A943" s="7"/>
      <c r="E943" s="7"/>
      <c r="F943" s="7"/>
    </row>
    <row r="944" spans="1:6" x14ac:dyDescent="0.25">
      <c r="A944" s="7"/>
      <c r="E944" s="7"/>
      <c r="F944" s="7"/>
    </row>
    <row r="945" spans="1:6" x14ac:dyDescent="0.25">
      <c r="A945" s="7"/>
      <c r="E945" s="7"/>
      <c r="F945" s="7"/>
    </row>
    <row r="946" spans="1:6" x14ac:dyDescent="0.25">
      <c r="A946" s="7"/>
      <c r="E946" s="7"/>
      <c r="F946" s="7"/>
    </row>
    <row r="947" spans="1:6" x14ac:dyDescent="0.25">
      <c r="A947" s="7"/>
      <c r="E947" s="7"/>
      <c r="F947" s="7"/>
    </row>
    <row r="948" spans="1:6" x14ac:dyDescent="0.25">
      <c r="A948" s="7"/>
      <c r="E948" s="7"/>
      <c r="F948" s="7"/>
    </row>
    <row r="949" spans="1:6" x14ac:dyDescent="0.25">
      <c r="A949" s="7"/>
      <c r="E949" s="7"/>
      <c r="F949" s="7"/>
    </row>
    <row r="950" spans="1:6" x14ac:dyDescent="0.25">
      <c r="A950" s="7"/>
      <c r="E950" s="7"/>
      <c r="F950" s="7"/>
    </row>
    <row r="951" spans="1:6" x14ac:dyDescent="0.25">
      <c r="A951" s="7"/>
      <c r="E951" s="7"/>
      <c r="F951" s="7"/>
    </row>
    <row r="952" spans="1:6" x14ac:dyDescent="0.25">
      <c r="A952" s="7"/>
      <c r="E952" s="7"/>
      <c r="F952" s="7"/>
    </row>
    <row r="953" spans="1:6" x14ac:dyDescent="0.25">
      <c r="A953" s="7"/>
      <c r="E953" s="7"/>
      <c r="F953" s="7"/>
    </row>
    <row r="954" spans="1:6" x14ac:dyDescent="0.25">
      <c r="A954" s="7"/>
      <c r="E954" s="7"/>
      <c r="F954" s="7"/>
    </row>
    <row r="955" spans="1:6" x14ac:dyDescent="0.25">
      <c r="A955" s="7"/>
      <c r="E955" s="7"/>
      <c r="F955" s="7"/>
    </row>
    <row r="956" spans="1:6" x14ac:dyDescent="0.25">
      <c r="A956" s="7"/>
      <c r="E956" s="7"/>
      <c r="F956" s="7"/>
    </row>
    <row r="957" spans="1:6" x14ac:dyDescent="0.25">
      <c r="A957" s="7"/>
      <c r="E957" s="7"/>
      <c r="F957" s="7"/>
    </row>
    <row r="958" spans="1:6" x14ac:dyDescent="0.25">
      <c r="A958" s="7"/>
      <c r="E958" s="7"/>
      <c r="F958" s="7"/>
    </row>
    <row r="959" spans="1:6" x14ac:dyDescent="0.25">
      <c r="A959" s="7"/>
      <c r="E959" s="7"/>
      <c r="F959" s="7"/>
    </row>
    <row r="960" spans="1:6" x14ac:dyDescent="0.25">
      <c r="A960" s="7"/>
      <c r="E960" s="7"/>
      <c r="F960" s="7"/>
    </row>
    <row r="961" spans="1:6" x14ac:dyDescent="0.25">
      <c r="A961" s="7"/>
      <c r="E961" s="7"/>
      <c r="F961" s="7"/>
    </row>
    <row r="962" spans="1:6" x14ac:dyDescent="0.25">
      <c r="A962" s="7"/>
      <c r="E962" s="7"/>
      <c r="F962" s="7"/>
    </row>
    <row r="963" spans="1:6" x14ac:dyDescent="0.25">
      <c r="A963" s="7"/>
      <c r="E963" s="7"/>
      <c r="F963" s="7"/>
    </row>
    <row r="964" spans="1:6" x14ac:dyDescent="0.25">
      <c r="A964" s="7"/>
      <c r="E964" s="7"/>
      <c r="F964" s="7"/>
    </row>
    <row r="965" spans="1:6" x14ac:dyDescent="0.25">
      <c r="A965" s="7"/>
      <c r="E965" s="7"/>
      <c r="F965" s="7"/>
    </row>
    <row r="966" spans="1:6" x14ac:dyDescent="0.25">
      <c r="A966" s="7"/>
      <c r="E966" s="7"/>
      <c r="F966" s="7"/>
    </row>
    <row r="967" spans="1:6" x14ac:dyDescent="0.25">
      <c r="A967" s="7"/>
      <c r="E967" s="7"/>
      <c r="F967" s="7"/>
    </row>
    <row r="968" spans="1:6" x14ac:dyDescent="0.25">
      <c r="A968" s="7"/>
      <c r="E968" s="7"/>
      <c r="F968" s="7"/>
    </row>
    <row r="969" spans="1:6" x14ac:dyDescent="0.25">
      <c r="A969" s="7"/>
      <c r="E969" s="7"/>
      <c r="F969" s="7"/>
    </row>
    <row r="970" spans="1:6" x14ac:dyDescent="0.25">
      <c r="A970" s="7"/>
      <c r="E970" s="7"/>
      <c r="F970" s="7"/>
    </row>
    <row r="971" spans="1:6" x14ac:dyDescent="0.25">
      <c r="A971" s="7"/>
      <c r="E971" s="7"/>
      <c r="F971" s="7"/>
    </row>
    <row r="972" spans="1:6" x14ac:dyDescent="0.25">
      <c r="A972" s="7"/>
      <c r="E972" s="7"/>
      <c r="F972" s="7"/>
    </row>
    <row r="973" spans="1:6" x14ac:dyDescent="0.25">
      <c r="A973" s="7"/>
      <c r="E973" s="7"/>
      <c r="F973" s="7"/>
    </row>
    <row r="974" spans="1:6" x14ac:dyDescent="0.25">
      <c r="A974" s="7"/>
      <c r="E974" s="7"/>
      <c r="F974" s="7"/>
    </row>
    <row r="975" spans="1:6" x14ac:dyDescent="0.25">
      <c r="A975" s="7"/>
      <c r="E975" s="7"/>
      <c r="F975" s="7"/>
    </row>
    <row r="976" spans="1:6" x14ac:dyDescent="0.25">
      <c r="A976" s="7"/>
      <c r="E976" s="7"/>
      <c r="F976" s="7"/>
    </row>
    <row r="977" spans="1:6" x14ac:dyDescent="0.25">
      <c r="A977" s="7"/>
      <c r="E977" s="7"/>
      <c r="F977" s="7"/>
    </row>
    <row r="978" spans="1:6" x14ac:dyDescent="0.25">
      <c r="A978" s="7"/>
      <c r="E978" s="7"/>
      <c r="F978" s="7"/>
    </row>
    <row r="979" spans="1:6" x14ac:dyDescent="0.25">
      <c r="A979" s="7"/>
      <c r="E979" s="7"/>
      <c r="F979" s="7"/>
    </row>
    <row r="980" spans="1:6" x14ac:dyDescent="0.25">
      <c r="A980" s="7"/>
      <c r="E980" s="7"/>
      <c r="F980" s="7"/>
    </row>
    <row r="981" spans="1:6" x14ac:dyDescent="0.25">
      <c r="A981" s="7"/>
      <c r="E981" s="7"/>
      <c r="F981" s="7"/>
    </row>
    <row r="982" spans="1:6" x14ac:dyDescent="0.25">
      <c r="A982" s="7"/>
      <c r="E982" s="7"/>
      <c r="F982" s="7"/>
    </row>
    <row r="983" spans="1:6" x14ac:dyDescent="0.25">
      <c r="A983" s="7"/>
      <c r="E983" s="7"/>
      <c r="F983" s="7"/>
    </row>
    <row r="984" spans="1:6" x14ac:dyDescent="0.25">
      <c r="A984" s="7"/>
      <c r="E984" s="7"/>
      <c r="F984" s="7"/>
    </row>
    <row r="985" spans="1:6" x14ac:dyDescent="0.25">
      <c r="A985" s="7"/>
      <c r="E985" s="7"/>
      <c r="F985" s="7"/>
    </row>
    <row r="986" spans="1:6" x14ac:dyDescent="0.25">
      <c r="A986" s="7"/>
      <c r="E986" s="7"/>
      <c r="F986" s="7"/>
    </row>
    <row r="987" spans="1:6" x14ac:dyDescent="0.25">
      <c r="A987" s="7"/>
      <c r="E987" s="7"/>
      <c r="F987" s="7"/>
    </row>
    <row r="988" spans="1:6" x14ac:dyDescent="0.25">
      <c r="A988" s="7"/>
      <c r="E988" s="7"/>
      <c r="F988" s="7"/>
    </row>
    <row r="989" spans="1:6" x14ac:dyDescent="0.25">
      <c r="A989" s="7"/>
      <c r="E989" s="7"/>
      <c r="F989" s="7"/>
    </row>
    <row r="990" spans="1:6" x14ac:dyDescent="0.25">
      <c r="A990" s="7"/>
      <c r="E990" s="7"/>
      <c r="F990" s="7"/>
    </row>
    <row r="991" spans="1:6" x14ac:dyDescent="0.25">
      <c r="A991" s="7"/>
      <c r="E991" s="7"/>
      <c r="F991" s="7"/>
    </row>
    <row r="992" spans="1:6" x14ac:dyDescent="0.25">
      <c r="A992" s="7"/>
      <c r="E992" s="7"/>
      <c r="F992" s="7"/>
    </row>
    <row r="993" spans="1:6" x14ac:dyDescent="0.25">
      <c r="A993" s="7"/>
      <c r="E993" s="7"/>
      <c r="F993" s="7"/>
    </row>
    <row r="994" spans="1:6" x14ac:dyDescent="0.25">
      <c r="A994" s="7"/>
      <c r="E994" s="7"/>
      <c r="F994" s="7"/>
    </row>
    <row r="995" spans="1:6" x14ac:dyDescent="0.25">
      <c r="A995" s="7"/>
      <c r="E995" s="7"/>
      <c r="F995" s="7"/>
    </row>
    <row r="996" spans="1:6" x14ac:dyDescent="0.25">
      <c r="A996" s="7"/>
      <c r="E996" s="7"/>
      <c r="F996" s="7"/>
    </row>
    <row r="997" spans="1:6" x14ac:dyDescent="0.25">
      <c r="A997" s="7"/>
      <c r="E997" s="7"/>
      <c r="F997" s="7"/>
    </row>
    <row r="998" spans="1:6" x14ac:dyDescent="0.25">
      <c r="A998" s="7"/>
      <c r="E998" s="7"/>
      <c r="F998" s="7"/>
    </row>
    <row r="999" spans="1:6" x14ac:dyDescent="0.25">
      <c r="A999" s="7"/>
      <c r="E999" s="7"/>
      <c r="F999" s="7"/>
    </row>
    <row r="1000" spans="1:6" x14ac:dyDescent="0.25">
      <c r="A1000" s="7"/>
      <c r="E1000" s="7"/>
      <c r="F1000" s="7"/>
    </row>
    <row r="1001" spans="1:6" x14ac:dyDescent="0.25">
      <c r="A1001" s="7"/>
      <c r="E1001" s="7"/>
      <c r="F1001" s="7"/>
    </row>
    <row r="1002" spans="1:6" x14ac:dyDescent="0.25">
      <c r="A1002" s="7"/>
      <c r="E1002" s="7"/>
      <c r="F1002" s="7"/>
    </row>
  </sheetData>
  <mergeCells count="4">
    <mergeCell ref="A1:I1"/>
    <mergeCell ref="A2:I2"/>
    <mergeCell ref="B3:C3"/>
    <mergeCell ref="A16:I16"/>
  </mergeCells>
  <printOptions horizontalCentered="1" verticalCentered="1" gridLines="1"/>
  <pageMargins left="0.25" right="0.25" top="0.75" bottom="0.75" header="0" footer="0"/>
  <pageSetup fitToHeight="0" pageOrder="overThenDown" orientation="landscape" cellComments="atEnd"/>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ummaryRight="0"/>
    <pageSetUpPr fitToPage="1"/>
  </sheetPr>
  <dimension ref="A1:W1004"/>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46.33203125" customWidth="1"/>
    <col min="2" max="2" width="7.33203125" customWidth="1"/>
    <col min="3" max="4" width="7.88671875" customWidth="1"/>
    <col min="5" max="5" width="22.21875" customWidth="1"/>
    <col min="6" max="6" width="14.6640625" customWidth="1"/>
  </cols>
  <sheetData>
    <row r="1" spans="1:23" x14ac:dyDescent="0.25">
      <c r="A1" s="141" t="s">
        <v>630</v>
      </c>
      <c r="B1" s="142"/>
      <c r="C1" s="142"/>
      <c r="D1" s="142"/>
      <c r="E1" s="142"/>
      <c r="F1" s="142"/>
      <c r="G1" s="142"/>
      <c r="H1" s="142"/>
      <c r="I1" s="143"/>
    </row>
    <row r="2" spans="1:23" x14ac:dyDescent="0.25">
      <c r="A2" s="144" t="s">
        <v>631</v>
      </c>
      <c r="B2" s="142"/>
      <c r="C2" s="142"/>
      <c r="D2" s="142"/>
      <c r="E2" s="142"/>
      <c r="F2" s="142"/>
      <c r="G2" s="142"/>
      <c r="H2" s="142"/>
      <c r="I2" s="143"/>
    </row>
    <row r="3" spans="1:23" x14ac:dyDescent="0.25">
      <c r="A3" s="43" t="s">
        <v>374</v>
      </c>
      <c r="B3" s="145" t="s">
        <v>408</v>
      </c>
      <c r="C3" s="143"/>
      <c r="D3" s="49" t="s">
        <v>370</v>
      </c>
      <c r="E3" s="50" t="s">
        <v>371</v>
      </c>
      <c r="F3" s="51" t="s">
        <v>372</v>
      </c>
      <c r="G3" s="52" t="s">
        <v>373</v>
      </c>
      <c r="H3" s="53" t="s">
        <v>409</v>
      </c>
      <c r="I3" s="53" t="s">
        <v>410</v>
      </c>
      <c r="J3" s="7"/>
      <c r="K3" s="7"/>
      <c r="L3" s="7"/>
      <c r="M3" s="7"/>
      <c r="N3" s="7"/>
      <c r="O3" s="7"/>
      <c r="P3" s="7"/>
      <c r="Q3" s="7"/>
      <c r="R3" s="7"/>
      <c r="S3" s="7"/>
      <c r="T3" s="7"/>
      <c r="U3" s="7"/>
      <c r="V3" s="7"/>
      <c r="W3" s="7"/>
    </row>
    <row r="4" spans="1:23" x14ac:dyDescent="0.25">
      <c r="A4" s="41" t="s">
        <v>411</v>
      </c>
      <c r="B4" s="54">
        <f>SUM(B5:B9)/5</f>
        <v>1</v>
      </c>
      <c r="C4" s="55">
        <f>D4*B4</f>
        <v>0.7</v>
      </c>
      <c r="D4" s="56">
        <v>0.7</v>
      </c>
      <c r="E4" s="57"/>
      <c r="F4" s="57"/>
      <c r="G4" s="58"/>
      <c r="H4" s="58"/>
      <c r="I4" s="58"/>
    </row>
    <row r="5" spans="1:23" x14ac:dyDescent="0.25">
      <c r="A5" s="42" t="s">
        <v>632</v>
      </c>
      <c r="B5" s="59">
        <v>1</v>
      </c>
      <c r="C5" s="60"/>
      <c r="D5" s="60"/>
      <c r="E5" s="42"/>
      <c r="F5" s="61"/>
      <c r="G5" s="59">
        <v>0.8</v>
      </c>
      <c r="H5" s="59">
        <v>0.8</v>
      </c>
      <c r="I5" s="59">
        <v>1</v>
      </c>
    </row>
    <row r="6" spans="1:23" x14ac:dyDescent="0.25">
      <c r="A6" s="42" t="s">
        <v>633</v>
      </c>
      <c r="B6" s="59">
        <v>1</v>
      </c>
      <c r="C6" s="60"/>
      <c r="D6" s="60"/>
      <c r="E6" s="42"/>
      <c r="F6" s="61"/>
      <c r="G6" s="59">
        <v>0.8</v>
      </c>
      <c r="H6" s="59">
        <v>0.8</v>
      </c>
      <c r="I6" s="59">
        <v>1</v>
      </c>
    </row>
    <row r="7" spans="1:23" x14ac:dyDescent="0.25">
      <c r="A7" s="42" t="s">
        <v>634</v>
      </c>
      <c r="B7" s="59">
        <v>1</v>
      </c>
      <c r="C7" s="60"/>
      <c r="D7" s="60"/>
      <c r="E7" s="42"/>
      <c r="F7" s="61"/>
      <c r="G7" s="59">
        <v>0.8</v>
      </c>
      <c r="H7" s="59">
        <v>0.8</v>
      </c>
      <c r="I7" s="59">
        <v>1</v>
      </c>
    </row>
    <row r="8" spans="1:23" x14ac:dyDescent="0.25">
      <c r="A8" s="42" t="s">
        <v>635</v>
      </c>
      <c r="B8" s="59">
        <v>1</v>
      </c>
      <c r="C8" s="60"/>
      <c r="D8" s="60"/>
      <c r="E8" s="42"/>
      <c r="F8" s="42"/>
      <c r="G8" s="59">
        <v>0.8</v>
      </c>
      <c r="H8" s="59">
        <v>0.8</v>
      </c>
      <c r="I8" s="59">
        <v>1</v>
      </c>
    </row>
    <row r="9" spans="1:23" x14ac:dyDescent="0.25">
      <c r="A9" s="42" t="s">
        <v>636</v>
      </c>
      <c r="B9" s="59">
        <v>1</v>
      </c>
      <c r="C9" s="60"/>
      <c r="D9" s="60"/>
      <c r="E9" s="42"/>
      <c r="F9" s="42"/>
      <c r="G9" s="59">
        <v>0.8</v>
      </c>
      <c r="H9" s="59">
        <v>0.8</v>
      </c>
      <c r="I9" s="59">
        <v>1</v>
      </c>
    </row>
    <row r="10" spans="1:23" x14ac:dyDescent="0.25">
      <c r="A10" s="41" t="s">
        <v>415</v>
      </c>
      <c r="B10" s="54">
        <f>SUM(B11:B13)/3</f>
        <v>1</v>
      </c>
      <c r="C10" s="55">
        <f>D10*B10</f>
        <v>0.2</v>
      </c>
      <c r="D10" s="56">
        <v>0.2</v>
      </c>
      <c r="E10" s="57"/>
      <c r="F10" s="57"/>
      <c r="G10" s="58"/>
      <c r="H10" s="58"/>
      <c r="I10" s="58"/>
    </row>
    <row r="11" spans="1:23" x14ac:dyDescent="0.25">
      <c r="A11" s="42" t="s">
        <v>637</v>
      </c>
      <c r="B11" s="59">
        <v>1</v>
      </c>
      <c r="C11" s="60"/>
      <c r="D11" s="60"/>
      <c r="E11" s="42" t="s">
        <v>638</v>
      </c>
      <c r="F11" s="42" t="s">
        <v>425</v>
      </c>
      <c r="G11" s="59">
        <v>1</v>
      </c>
      <c r="H11" s="59"/>
      <c r="I11" s="59"/>
    </row>
    <row r="12" spans="1:23" x14ac:dyDescent="0.25">
      <c r="A12" s="42" t="s">
        <v>639</v>
      </c>
      <c r="B12" s="59">
        <v>1</v>
      </c>
      <c r="C12" s="60"/>
      <c r="D12" s="60"/>
      <c r="E12" s="42" t="s">
        <v>640</v>
      </c>
      <c r="F12" s="42" t="s">
        <v>425</v>
      </c>
      <c r="G12" s="59">
        <v>1</v>
      </c>
      <c r="H12" s="59"/>
      <c r="I12" s="59"/>
    </row>
    <row r="13" spans="1:23" x14ac:dyDescent="0.25">
      <c r="A13" s="42" t="s">
        <v>641</v>
      </c>
      <c r="B13" s="59">
        <v>1</v>
      </c>
      <c r="C13" s="60"/>
      <c r="D13" s="60"/>
      <c r="E13" s="42" t="s">
        <v>642</v>
      </c>
      <c r="F13" s="42" t="s">
        <v>425</v>
      </c>
      <c r="G13" s="59">
        <v>1</v>
      </c>
      <c r="H13" s="59"/>
      <c r="I13" s="59"/>
    </row>
    <row r="14" spans="1:23" x14ac:dyDescent="0.25">
      <c r="A14" s="41" t="s">
        <v>385</v>
      </c>
      <c r="B14" s="54">
        <f>SUM(B15:B16)/2</f>
        <v>1</v>
      </c>
      <c r="C14" s="55">
        <f>D14*B14</f>
        <v>0.1</v>
      </c>
      <c r="D14" s="56">
        <v>0.1</v>
      </c>
      <c r="E14" s="57"/>
      <c r="F14" s="57"/>
      <c r="G14" s="58"/>
      <c r="H14" s="58"/>
      <c r="I14" s="58"/>
    </row>
    <row r="15" spans="1:23" x14ac:dyDescent="0.25">
      <c r="A15" s="42" t="s">
        <v>386</v>
      </c>
      <c r="B15" s="59">
        <v>1</v>
      </c>
      <c r="C15" s="60"/>
      <c r="D15" s="53"/>
      <c r="E15" s="42"/>
      <c r="F15" s="42" t="s">
        <v>418</v>
      </c>
      <c r="G15" s="59">
        <v>0.8</v>
      </c>
      <c r="H15" s="59">
        <v>0.8</v>
      </c>
      <c r="I15" s="59">
        <v>1</v>
      </c>
    </row>
    <row r="16" spans="1:23" x14ac:dyDescent="0.25">
      <c r="A16" s="42" t="s">
        <v>387</v>
      </c>
      <c r="B16" s="59">
        <v>1</v>
      </c>
      <c r="C16" s="60"/>
      <c r="D16" s="60"/>
      <c r="E16" s="42"/>
      <c r="F16" s="42" t="s">
        <v>419</v>
      </c>
      <c r="G16" s="59">
        <v>0.8</v>
      </c>
      <c r="H16" s="59">
        <v>0.8</v>
      </c>
      <c r="I16" s="59">
        <v>1</v>
      </c>
    </row>
    <row r="17" spans="1:9" x14ac:dyDescent="0.25">
      <c r="A17" s="42"/>
      <c r="B17" s="60"/>
      <c r="C17" s="64">
        <f t="shared" ref="C17:D17" si="0">SUM(C4+C10+C14)</f>
        <v>0.99999999999999989</v>
      </c>
      <c r="D17" s="64">
        <f t="shared" si="0"/>
        <v>0.99999999999999989</v>
      </c>
      <c r="E17" s="42"/>
      <c r="F17" s="42"/>
      <c r="G17" s="60"/>
      <c r="H17" s="60"/>
      <c r="I17" s="60"/>
    </row>
    <row r="18" spans="1:9" x14ac:dyDescent="0.25">
      <c r="A18" s="152" t="s">
        <v>643</v>
      </c>
      <c r="B18" s="142"/>
      <c r="C18" s="142"/>
      <c r="D18" s="142"/>
      <c r="E18" s="142"/>
      <c r="F18" s="142"/>
      <c r="G18" s="142"/>
      <c r="H18" s="142"/>
      <c r="I18" s="143"/>
    </row>
    <row r="19" spans="1:9" x14ac:dyDescent="0.25">
      <c r="A19" s="66" t="s">
        <v>644</v>
      </c>
      <c r="B19" s="67" t="s">
        <v>423</v>
      </c>
      <c r="C19" s="64"/>
      <c r="D19" s="64"/>
      <c r="E19" s="68" t="s">
        <v>19</v>
      </c>
      <c r="F19" s="42" t="s">
        <v>425</v>
      </c>
      <c r="G19" s="42"/>
      <c r="H19" s="60"/>
      <c r="I19" s="60"/>
    </row>
    <row r="20" spans="1:9" x14ac:dyDescent="0.25">
      <c r="A20" s="66" t="s">
        <v>645</v>
      </c>
      <c r="B20" s="67" t="s">
        <v>427</v>
      </c>
      <c r="C20" s="64"/>
      <c r="D20" s="64"/>
      <c r="E20" s="68" t="s">
        <v>124</v>
      </c>
      <c r="F20" s="42" t="s">
        <v>425</v>
      </c>
      <c r="G20" s="42"/>
      <c r="H20" s="60"/>
      <c r="I20" s="60"/>
    </row>
    <row r="21" spans="1:9" x14ac:dyDescent="0.25">
      <c r="A21" s="66" t="s">
        <v>646</v>
      </c>
      <c r="B21" s="67" t="s">
        <v>427</v>
      </c>
      <c r="C21" s="64"/>
      <c r="D21" s="64"/>
      <c r="E21" s="68" t="s">
        <v>129</v>
      </c>
      <c r="F21" s="42" t="s">
        <v>425</v>
      </c>
      <c r="G21" s="42"/>
      <c r="H21" s="60"/>
      <c r="I21" s="60"/>
    </row>
    <row r="22" spans="1:9" x14ac:dyDescent="0.25">
      <c r="A22" s="66" t="s">
        <v>647</v>
      </c>
      <c r="B22" s="67" t="s">
        <v>427</v>
      </c>
      <c r="C22" s="64"/>
      <c r="D22" s="64"/>
      <c r="E22" s="68" t="s">
        <v>141</v>
      </c>
      <c r="F22" s="42" t="s">
        <v>425</v>
      </c>
      <c r="G22" s="42"/>
      <c r="H22" s="60"/>
      <c r="I22" s="60"/>
    </row>
    <row r="23" spans="1:9" x14ac:dyDescent="0.25">
      <c r="A23" s="7"/>
      <c r="E23" s="7"/>
      <c r="F23" s="7"/>
    </row>
    <row r="24" spans="1:9" x14ac:dyDescent="0.25">
      <c r="A24" s="7"/>
      <c r="E24" s="7"/>
      <c r="F24" s="7"/>
    </row>
    <row r="25" spans="1:9" x14ac:dyDescent="0.25">
      <c r="A25" s="7"/>
      <c r="E25" s="7"/>
      <c r="F25" s="7"/>
    </row>
    <row r="26" spans="1:9" x14ac:dyDescent="0.25">
      <c r="A26" s="7"/>
      <c r="E26" s="7"/>
      <c r="F26" s="7"/>
    </row>
    <row r="27" spans="1:9" x14ac:dyDescent="0.25">
      <c r="A27" s="7"/>
      <c r="E27" s="7"/>
      <c r="F27" s="7"/>
    </row>
    <row r="28" spans="1:9" x14ac:dyDescent="0.25">
      <c r="A28" s="7"/>
      <c r="E28" s="7"/>
      <c r="F28" s="7"/>
    </row>
    <row r="29" spans="1:9" x14ac:dyDescent="0.25">
      <c r="A29" s="7"/>
      <c r="E29" s="7"/>
      <c r="F29" s="7"/>
    </row>
    <row r="30" spans="1:9" x14ac:dyDescent="0.25">
      <c r="A30" s="7"/>
      <c r="E30" s="7"/>
      <c r="F30" s="7"/>
    </row>
    <row r="31" spans="1:9" x14ac:dyDescent="0.25">
      <c r="A31" s="7"/>
      <c r="E31" s="7"/>
      <c r="F31" s="7"/>
    </row>
    <row r="32" spans="1:9" x14ac:dyDescent="0.25">
      <c r="A32" s="7"/>
      <c r="E32" s="7"/>
      <c r="F32" s="7"/>
    </row>
    <row r="33" spans="1:6" x14ac:dyDescent="0.25">
      <c r="A33" s="7"/>
      <c r="E33" s="7"/>
      <c r="F33" s="7"/>
    </row>
    <row r="34" spans="1:6" x14ac:dyDescent="0.25">
      <c r="A34" s="7"/>
      <c r="E34" s="7"/>
      <c r="F34" s="7"/>
    </row>
    <row r="35" spans="1:6" x14ac:dyDescent="0.25">
      <c r="A35" s="7"/>
      <c r="E35" s="7"/>
      <c r="F35" s="7"/>
    </row>
    <row r="36" spans="1:6" x14ac:dyDescent="0.25">
      <c r="A36" s="7"/>
      <c r="E36" s="7"/>
      <c r="F36" s="7"/>
    </row>
    <row r="37" spans="1:6" x14ac:dyDescent="0.25">
      <c r="A37" s="7"/>
      <c r="E37" s="7"/>
      <c r="F37" s="7"/>
    </row>
    <row r="38" spans="1:6" x14ac:dyDescent="0.25">
      <c r="A38" s="7"/>
      <c r="E38" s="7"/>
      <c r="F38" s="7"/>
    </row>
    <row r="39" spans="1:6" x14ac:dyDescent="0.25">
      <c r="A39" s="7"/>
      <c r="E39" s="7"/>
      <c r="F39" s="7"/>
    </row>
    <row r="40" spans="1:6" x14ac:dyDescent="0.25">
      <c r="A40" s="7"/>
      <c r="E40" s="7"/>
      <c r="F40" s="7"/>
    </row>
    <row r="41" spans="1:6" x14ac:dyDescent="0.25">
      <c r="A41" s="7"/>
      <c r="E41" s="7"/>
      <c r="F41" s="7"/>
    </row>
    <row r="42" spans="1:6" x14ac:dyDescent="0.25">
      <c r="A42" s="7"/>
      <c r="E42" s="7"/>
      <c r="F42" s="7"/>
    </row>
    <row r="43" spans="1:6" x14ac:dyDescent="0.25">
      <c r="A43" s="7"/>
      <c r="E43" s="7"/>
      <c r="F43" s="7"/>
    </row>
    <row r="44" spans="1:6" x14ac:dyDescent="0.25">
      <c r="A44" s="7"/>
      <c r="E44" s="7"/>
      <c r="F44" s="7"/>
    </row>
    <row r="45" spans="1:6" x14ac:dyDescent="0.25">
      <c r="A45" s="7"/>
      <c r="E45" s="7"/>
      <c r="F45" s="7"/>
    </row>
    <row r="46" spans="1:6" x14ac:dyDescent="0.25">
      <c r="A46" s="7"/>
      <c r="E46" s="7"/>
      <c r="F46" s="7"/>
    </row>
    <row r="47" spans="1:6" x14ac:dyDescent="0.25">
      <c r="A47" s="7"/>
      <c r="E47" s="7"/>
      <c r="F47" s="7"/>
    </row>
    <row r="48" spans="1:6" x14ac:dyDescent="0.25">
      <c r="A48" s="7"/>
      <c r="E48" s="7"/>
      <c r="F48" s="7"/>
    </row>
    <row r="49" spans="1:6" x14ac:dyDescent="0.25">
      <c r="A49" s="7"/>
      <c r="E49" s="7"/>
      <c r="F49" s="7"/>
    </row>
    <row r="50" spans="1:6" x14ac:dyDescent="0.25">
      <c r="A50" s="7"/>
      <c r="E50" s="7"/>
      <c r="F50" s="7"/>
    </row>
    <row r="51" spans="1:6" x14ac:dyDescent="0.25">
      <c r="A51" s="7"/>
      <c r="E51" s="7"/>
      <c r="F51" s="7"/>
    </row>
    <row r="52" spans="1:6" x14ac:dyDescent="0.25">
      <c r="A52" s="7"/>
      <c r="E52" s="7"/>
      <c r="F52" s="7"/>
    </row>
    <row r="53" spans="1:6" x14ac:dyDescent="0.25">
      <c r="A53" s="7"/>
      <c r="E53" s="7"/>
      <c r="F53" s="7"/>
    </row>
    <row r="54" spans="1:6" x14ac:dyDescent="0.25">
      <c r="A54" s="7"/>
      <c r="E54" s="7"/>
      <c r="F54" s="7"/>
    </row>
    <row r="55" spans="1:6" x14ac:dyDescent="0.25">
      <c r="A55" s="7"/>
      <c r="E55" s="7"/>
      <c r="F55" s="7"/>
    </row>
    <row r="56" spans="1:6" x14ac:dyDescent="0.25">
      <c r="A56" s="7"/>
      <c r="E56" s="7"/>
      <c r="F56" s="7"/>
    </row>
    <row r="57" spans="1:6" x14ac:dyDescent="0.25">
      <c r="A57" s="7"/>
      <c r="E57" s="7"/>
      <c r="F57" s="7"/>
    </row>
    <row r="58" spans="1:6" x14ac:dyDescent="0.25">
      <c r="A58" s="7"/>
      <c r="E58" s="7"/>
      <c r="F58" s="7"/>
    </row>
    <row r="59" spans="1:6" x14ac:dyDescent="0.25">
      <c r="A59" s="7"/>
      <c r="E59" s="7"/>
      <c r="F59" s="7"/>
    </row>
    <row r="60" spans="1:6" x14ac:dyDescent="0.25">
      <c r="A60" s="7"/>
      <c r="E60" s="7"/>
      <c r="F60" s="7"/>
    </row>
    <row r="61" spans="1:6" x14ac:dyDescent="0.25">
      <c r="A61" s="7"/>
      <c r="E61" s="7"/>
      <c r="F61" s="7"/>
    </row>
    <row r="62" spans="1:6" x14ac:dyDescent="0.25">
      <c r="A62" s="7"/>
      <c r="E62" s="7"/>
      <c r="F62" s="7"/>
    </row>
    <row r="63" spans="1:6" x14ac:dyDescent="0.25">
      <c r="A63" s="7"/>
      <c r="E63" s="7"/>
      <c r="F63" s="7"/>
    </row>
    <row r="64" spans="1:6" x14ac:dyDescent="0.25">
      <c r="A64" s="7"/>
      <c r="E64" s="7"/>
      <c r="F64" s="7"/>
    </row>
    <row r="65" spans="1:6" x14ac:dyDescent="0.25">
      <c r="A65" s="7"/>
      <c r="E65" s="7"/>
      <c r="F65" s="7"/>
    </row>
    <row r="66" spans="1:6" x14ac:dyDescent="0.25">
      <c r="A66" s="7"/>
      <c r="E66" s="7"/>
      <c r="F66" s="7"/>
    </row>
    <row r="67" spans="1:6" x14ac:dyDescent="0.25">
      <c r="A67" s="7"/>
      <c r="E67" s="7"/>
      <c r="F67" s="7"/>
    </row>
    <row r="68" spans="1:6" x14ac:dyDescent="0.25">
      <c r="A68" s="7"/>
      <c r="E68" s="7"/>
      <c r="F68" s="7"/>
    </row>
    <row r="69" spans="1:6" x14ac:dyDescent="0.25">
      <c r="A69" s="7"/>
      <c r="E69" s="7"/>
      <c r="F69" s="7"/>
    </row>
    <row r="70" spans="1:6" x14ac:dyDescent="0.25">
      <c r="A70" s="7"/>
      <c r="E70" s="7"/>
      <c r="F70" s="7"/>
    </row>
    <row r="71" spans="1:6" x14ac:dyDescent="0.25">
      <c r="A71" s="7"/>
      <c r="E71" s="7"/>
      <c r="F71" s="7"/>
    </row>
    <row r="72" spans="1:6" x14ac:dyDescent="0.25">
      <c r="A72" s="7"/>
      <c r="E72" s="7"/>
      <c r="F72" s="7"/>
    </row>
    <row r="73" spans="1:6" x14ac:dyDescent="0.25">
      <c r="A73" s="7"/>
      <c r="E73" s="7"/>
      <c r="F73" s="7"/>
    </row>
    <row r="74" spans="1:6" x14ac:dyDescent="0.25">
      <c r="A74" s="7"/>
      <c r="E74" s="7"/>
      <c r="F74" s="7"/>
    </row>
    <row r="75" spans="1:6" x14ac:dyDescent="0.25">
      <c r="A75" s="7"/>
      <c r="E75" s="7"/>
      <c r="F75" s="7"/>
    </row>
    <row r="76" spans="1:6" x14ac:dyDescent="0.25">
      <c r="A76" s="7"/>
      <c r="E76" s="7"/>
      <c r="F76" s="7"/>
    </row>
    <row r="77" spans="1:6" x14ac:dyDescent="0.25">
      <c r="A77" s="7"/>
      <c r="E77" s="7"/>
      <c r="F77" s="7"/>
    </row>
    <row r="78" spans="1:6" x14ac:dyDescent="0.25">
      <c r="A78" s="7"/>
      <c r="E78" s="7"/>
      <c r="F78" s="7"/>
    </row>
    <row r="79" spans="1:6" x14ac:dyDescent="0.25">
      <c r="A79" s="7"/>
      <c r="E79" s="7"/>
      <c r="F79" s="7"/>
    </row>
    <row r="80" spans="1:6" x14ac:dyDescent="0.25">
      <c r="A80" s="7"/>
      <c r="E80" s="7"/>
      <c r="F80" s="7"/>
    </row>
    <row r="81" spans="1:6" x14ac:dyDescent="0.25">
      <c r="A81" s="7"/>
      <c r="E81" s="7"/>
      <c r="F81" s="7"/>
    </row>
    <row r="82" spans="1:6" x14ac:dyDescent="0.25">
      <c r="A82" s="7"/>
      <c r="E82" s="7"/>
      <c r="F82" s="7"/>
    </row>
    <row r="83" spans="1:6" x14ac:dyDescent="0.25">
      <c r="A83" s="7"/>
      <c r="E83" s="7"/>
      <c r="F83" s="7"/>
    </row>
    <row r="84" spans="1:6" x14ac:dyDescent="0.25">
      <c r="A84" s="7"/>
      <c r="E84" s="7"/>
      <c r="F84" s="7"/>
    </row>
    <row r="85" spans="1:6" x14ac:dyDescent="0.25">
      <c r="A85" s="7"/>
      <c r="E85" s="7"/>
      <c r="F85" s="7"/>
    </row>
    <row r="86" spans="1:6" x14ac:dyDescent="0.25">
      <c r="A86" s="7"/>
      <c r="E86" s="7"/>
      <c r="F86" s="7"/>
    </row>
    <row r="87" spans="1:6" x14ac:dyDescent="0.25">
      <c r="A87" s="7"/>
      <c r="E87" s="7"/>
      <c r="F87" s="7"/>
    </row>
    <row r="88" spans="1:6" x14ac:dyDescent="0.25">
      <c r="A88" s="7"/>
      <c r="E88" s="7"/>
      <c r="F88" s="7"/>
    </row>
    <row r="89" spans="1:6" x14ac:dyDescent="0.25">
      <c r="A89" s="7"/>
      <c r="E89" s="7"/>
      <c r="F89" s="7"/>
    </row>
    <row r="90" spans="1:6" x14ac:dyDescent="0.25">
      <c r="A90" s="7"/>
      <c r="E90" s="7"/>
      <c r="F90" s="7"/>
    </row>
    <row r="91" spans="1:6" x14ac:dyDescent="0.25">
      <c r="A91" s="7"/>
      <c r="E91" s="7"/>
      <c r="F91" s="7"/>
    </row>
    <row r="92" spans="1:6" x14ac:dyDescent="0.25">
      <c r="A92" s="7"/>
      <c r="E92" s="7"/>
      <c r="F92" s="7"/>
    </row>
    <row r="93" spans="1:6" x14ac:dyDescent="0.25">
      <c r="A93" s="7"/>
      <c r="E93" s="7"/>
      <c r="F93" s="7"/>
    </row>
    <row r="94" spans="1:6" x14ac:dyDescent="0.25">
      <c r="A94" s="7"/>
      <c r="E94" s="7"/>
      <c r="F94" s="7"/>
    </row>
    <row r="95" spans="1:6" x14ac:dyDescent="0.25">
      <c r="A95" s="7"/>
      <c r="E95" s="7"/>
      <c r="F95" s="7"/>
    </row>
    <row r="96" spans="1:6" x14ac:dyDescent="0.25">
      <c r="A96" s="7"/>
      <c r="E96" s="7"/>
      <c r="F96" s="7"/>
    </row>
    <row r="97" spans="1:6" x14ac:dyDescent="0.25">
      <c r="A97" s="7"/>
      <c r="E97" s="7"/>
      <c r="F97" s="7"/>
    </row>
    <row r="98" spans="1:6" x14ac:dyDescent="0.25">
      <c r="A98" s="7"/>
      <c r="E98" s="7"/>
      <c r="F98" s="7"/>
    </row>
    <row r="99" spans="1:6" x14ac:dyDescent="0.25">
      <c r="A99" s="7"/>
      <c r="E99" s="7"/>
      <c r="F99" s="7"/>
    </row>
    <row r="100" spans="1:6" x14ac:dyDescent="0.25">
      <c r="A100" s="7"/>
      <c r="E100" s="7"/>
      <c r="F100" s="7"/>
    </row>
    <row r="101" spans="1:6" x14ac:dyDescent="0.25">
      <c r="A101" s="7"/>
      <c r="E101" s="7"/>
      <c r="F101" s="7"/>
    </row>
    <row r="102" spans="1:6" x14ac:dyDescent="0.25">
      <c r="A102" s="7"/>
      <c r="E102" s="7"/>
      <c r="F102" s="7"/>
    </row>
    <row r="103" spans="1:6" x14ac:dyDescent="0.25">
      <c r="A103" s="7"/>
      <c r="E103" s="7"/>
      <c r="F103" s="7"/>
    </row>
    <row r="104" spans="1:6" x14ac:dyDescent="0.25">
      <c r="A104" s="7"/>
      <c r="E104" s="7"/>
      <c r="F104" s="7"/>
    </row>
    <row r="105" spans="1:6" x14ac:dyDescent="0.25">
      <c r="A105" s="7"/>
      <c r="E105" s="7"/>
      <c r="F105" s="7"/>
    </row>
    <row r="106" spans="1:6" x14ac:dyDescent="0.25">
      <c r="A106" s="7"/>
      <c r="E106" s="7"/>
      <c r="F106" s="7"/>
    </row>
    <row r="107" spans="1:6" x14ac:dyDescent="0.25">
      <c r="A107" s="7"/>
      <c r="E107" s="7"/>
      <c r="F107" s="7"/>
    </row>
    <row r="108" spans="1:6" x14ac:dyDescent="0.25">
      <c r="A108" s="7"/>
      <c r="E108" s="7"/>
      <c r="F108" s="7"/>
    </row>
    <row r="109" spans="1:6" x14ac:dyDescent="0.25">
      <c r="A109" s="7"/>
      <c r="E109" s="7"/>
      <c r="F109" s="7"/>
    </row>
    <row r="110" spans="1:6" x14ac:dyDescent="0.25">
      <c r="A110" s="7"/>
      <c r="E110" s="7"/>
      <c r="F110" s="7"/>
    </row>
    <row r="111" spans="1:6" x14ac:dyDescent="0.25">
      <c r="A111" s="7"/>
      <c r="E111" s="7"/>
      <c r="F111" s="7"/>
    </row>
    <row r="112" spans="1:6" x14ac:dyDescent="0.25">
      <c r="A112" s="7"/>
      <c r="E112" s="7"/>
      <c r="F112" s="7"/>
    </row>
    <row r="113" spans="1:6" x14ac:dyDescent="0.25">
      <c r="A113" s="7"/>
      <c r="E113" s="7"/>
      <c r="F113" s="7"/>
    </row>
    <row r="114" spans="1:6" x14ac:dyDescent="0.25">
      <c r="A114" s="7"/>
      <c r="E114" s="7"/>
      <c r="F114" s="7"/>
    </row>
    <row r="115" spans="1:6" x14ac:dyDescent="0.25">
      <c r="A115" s="7"/>
      <c r="E115" s="7"/>
      <c r="F115" s="7"/>
    </row>
    <row r="116" spans="1:6" x14ac:dyDescent="0.25">
      <c r="A116" s="7"/>
      <c r="E116" s="7"/>
      <c r="F116" s="7"/>
    </row>
    <row r="117" spans="1:6" x14ac:dyDescent="0.25">
      <c r="A117" s="7"/>
      <c r="E117" s="7"/>
      <c r="F117" s="7"/>
    </row>
    <row r="118" spans="1:6" x14ac:dyDescent="0.25">
      <c r="A118" s="7"/>
      <c r="E118" s="7"/>
      <c r="F118" s="7"/>
    </row>
    <row r="119" spans="1:6" x14ac:dyDescent="0.25">
      <c r="A119" s="7"/>
      <c r="E119" s="7"/>
      <c r="F119" s="7"/>
    </row>
    <row r="120" spans="1:6" x14ac:dyDescent="0.25">
      <c r="A120" s="7"/>
      <c r="E120" s="7"/>
      <c r="F120" s="7"/>
    </row>
    <row r="121" spans="1:6" x14ac:dyDescent="0.25">
      <c r="A121" s="7"/>
      <c r="E121" s="7"/>
      <c r="F121" s="7"/>
    </row>
    <row r="122" spans="1:6" x14ac:dyDescent="0.25">
      <c r="A122" s="7"/>
      <c r="E122" s="7"/>
      <c r="F122" s="7"/>
    </row>
    <row r="123" spans="1:6" x14ac:dyDescent="0.25">
      <c r="A123" s="7"/>
      <c r="E123" s="7"/>
      <c r="F123" s="7"/>
    </row>
    <row r="124" spans="1:6" x14ac:dyDescent="0.25">
      <c r="A124" s="7"/>
      <c r="E124" s="7"/>
      <c r="F124" s="7"/>
    </row>
    <row r="125" spans="1:6" x14ac:dyDescent="0.25">
      <c r="A125" s="7"/>
      <c r="E125" s="7"/>
      <c r="F125" s="7"/>
    </row>
    <row r="126" spans="1:6" x14ac:dyDescent="0.25">
      <c r="A126" s="7"/>
      <c r="E126" s="7"/>
      <c r="F126" s="7"/>
    </row>
    <row r="127" spans="1:6" x14ac:dyDescent="0.25">
      <c r="A127" s="7"/>
      <c r="E127" s="7"/>
      <c r="F127" s="7"/>
    </row>
    <row r="128" spans="1:6" x14ac:dyDescent="0.25">
      <c r="A128" s="7"/>
      <c r="E128" s="7"/>
      <c r="F128" s="7"/>
    </row>
    <row r="129" spans="1:6" x14ac:dyDescent="0.25">
      <c r="A129" s="7"/>
      <c r="E129" s="7"/>
      <c r="F129" s="7"/>
    </row>
    <row r="130" spans="1:6" x14ac:dyDescent="0.25">
      <c r="A130" s="7"/>
      <c r="E130" s="7"/>
      <c r="F130" s="7"/>
    </row>
    <row r="131" spans="1:6" x14ac:dyDescent="0.25">
      <c r="A131" s="7"/>
      <c r="E131" s="7"/>
      <c r="F131" s="7"/>
    </row>
    <row r="132" spans="1:6" x14ac:dyDescent="0.25">
      <c r="A132" s="7"/>
      <c r="E132" s="7"/>
      <c r="F132" s="7"/>
    </row>
    <row r="133" spans="1:6" x14ac:dyDescent="0.25">
      <c r="A133" s="7"/>
      <c r="E133" s="7"/>
      <c r="F133" s="7"/>
    </row>
    <row r="134" spans="1:6" x14ac:dyDescent="0.25">
      <c r="A134" s="7"/>
      <c r="E134" s="7"/>
      <c r="F134" s="7"/>
    </row>
    <row r="135" spans="1:6" x14ac:dyDescent="0.25">
      <c r="A135" s="7"/>
      <c r="E135" s="7"/>
      <c r="F135" s="7"/>
    </row>
    <row r="136" spans="1:6" x14ac:dyDescent="0.25">
      <c r="A136" s="7"/>
      <c r="E136" s="7"/>
      <c r="F136" s="7"/>
    </row>
    <row r="137" spans="1:6" x14ac:dyDescent="0.25">
      <c r="A137" s="7"/>
      <c r="E137" s="7"/>
      <c r="F137" s="7"/>
    </row>
    <row r="138" spans="1:6" x14ac:dyDescent="0.25">
      <c r="A138" s="7"/>
      <c r="E138" s="7"/>
      <c r="F138" s="7"/>
    </row>
    <row r="139" spans="1:6" x14ac:dyDescent="0.25">
      <c r="A139" s="7"/>
      <c r="E139" s="7"/>
      <c r="F139" s="7"/>
    </row>
    <row r="140" spans="1:6" x14ac:dyDescent="0.25">
      <c r="A140" s="7"/>
      <c r="E140" s="7"/>
      <c r="F140" s="7"/>
    </row>
    <row r="141" spans="1:6" x14ac:dyDescent="0.25">
      <c r="A141" s="7"/>
      <c r="E141" s="7"/>
      <c r="F141" s="7"/>
    </row>
    <row r="142" spans="1:6" x14ac:dyDescent="0.25">
      <c r="A142" s="7"/>
      <c r="E142" s="7"/>
      <c r="F142" s="7"/>
    </row>
    <row r="143" spans="1:6" x14ac:dyDescent="0.25">
      <c r="A143" s="7"/>
      <c r="E143" s="7"/>
      <c r="F143" s="7"/>
    </row>
    <row r="144" spans="1:6" x14ac:dyDescent="0.25">
      <c r="A144" s="7"/>
      <c r="E144" s="7"/>
      <c r="F144" s="7"/>
    </row>
    <row r="145" spans="1:6" x14ac:dyDescent="0.25">
      <c r="A145" s="7"/>
      <c r="E145" s="7"/>
      <c r="F145" s="7"/>
    </row>
    <row r="146" spans="1:6" x14ac:dyDescent="0.25">
      <c r="A146" s="7"/>
      <c r="E146" s="7"/>
      <c r="F146" s="7"/>
    </row>
    <row r="147" spans="1:6" x14ac:dyDescent="0.25">
      <c r="A147" s="7"/>
      <c r="E147" s="7"/>
      <c r="F147" s="7"/>
    </row>
    <row r="148" spans="1:6" x14ac:dyDescent="0.25">
      <c r="A148" s="7"/>
      <c r="E148" s="7"/>
      <c r="F148" s="7"/>
    </row>
    <row r="149" spans="1:6" x14ac:dyDescent="0.25">
      <c r="A149" s="7"/>
      <c r="E149" s="7"/>
      <c r="F149" s="7"/>
    </row>
    <row r="150" spans="1:6" x14ac:dyDescent="0.25">
      <c r="A150" s="7"/>
      <c r="E150" s="7"/>
      <c r="F150" s="7"/>
    </row>
    <row r="151" spans="1:6" x14ac:dyDescent="0.25">
      <c r="A151" s="7"/>
      <c r="E151" s="7"/>
      <c r="F151" s="7"/>
    </row>
    <row r="152" spans="1:6" x14ac:dyDescent="0.25">
      <c r="A152" s="7"/>
      <c r="E152" s="7"/>
      <c r="F152" s="7"/>
    </row>
    <row r="153" spans="1:6" x14ac:dyDescent="0.25">
      <c r="A153" s="7"/>
      <c r="E153" s="7"/>
      <c r="F153" s="7"/>
    </row>
    <row r="154" spans="1:6" x14ac:dyDescent="0.25">
      <c r="A154" s="7"/>
      <c r="E154" s="7"/>
      <c r="F154" s="7"/>
    </row>
    <row r="155" spans="1:6" x14ac:dyDescent="0.25">
      <c r="A155" s="7"/>
      <c r="E155" s="7"/>
      <c r="F155" s="7"/>
    </row>
    <row r="156" spans="1:6" x14ac:dyDescent="0.25">
      <c r="A156" s="7"/>
      <c r="E156" s="7"/>
      <c r="F156" s="7"/>
    </row>
    <row r="157" spans="1:6" x14ac:dyDescent="0.25">
      <c r="A157" s="7"/>
      <c r="E157" s="7"/>
      <c r="F157" s="7"/>
    </row>
    <row r="158" spans="1:6" x14ac:dyDescent="0.25">
      <c r="A158" s="7"/>
      <c r="E158" s="7"/>
      <c r="F158" s="7"/>
    </row>
    <row r="159" spans="1:6" x14ac:dyDescent="0.25">
      <c r="A159" s="7"/>
      <c r="E159" s="7"/>
      <c r="F159" s="7"/>
    </row>
    <row r="160" spans="1:6" x14ac:dyDescent="0.25">
      <c r="A160" s="7"/>
      <c r="E160" s="7"/>
      <c r="F160" s="7"/>
    </row>
    <row r="161" spans="1:6" x14ac:dyDescent="0.25">
      <c r="A161" s="7"/>
      <c r="E161" s="7"/>
      <c r="F161" s="7"/>
    </row>
    <row r="162" spans="1:6" x14ac:dyDescent="0.25">
      <c r="A162" s="7"/>
      <c r="E162" s="7"/>
      <c r="F162" s="7"/>
    </row>
    <row r="163" spans="1:6" x14ac:dyDescent="0.25">
      <c r="A163" s="7"/>
      <c r="E163" s="7"/>
      <c r="F163" s="7"/>
    </row>
    <row r="164" spans="1:6" x14ac:dyDescent="0.25">
      <c r="A164" s="7"/>
      <c r="E164" s="7"/>
      <c r="F164" s="7"/>
    </row>
    <row r="165" spans="1:6" x14ac:dyDescent="0.25">
      <c r="A165" s="7"/>
      <c r="E165" s="7"/>
      <c r="F165" s="7"/>
    </row>
    <row r="166" spans="1:6" x14ac:dyDescent="0.25">
      <c r="A166" s="7"/>
      <c r="E166" s="7"/>
      <c r="F166" s="7"/>
    </row>
    <row r="167" spans="1:6" x14ac:dyDescent="0.25">
      <c r="A167" s="7"/>
      <c r="E167" s="7"/>
      <c r="F167" s="7"/>
    </row>
    <row r="168" spans="1:6" x14ac:dyDescent="0.25">
      <c r="A168" s="7"/>
      <c r="E168" s="7"/>
      <c r="F168" s="7"/>
    </row>
    <row r="169" spans="1:6" x14ac:dyDescent="0.25">
      <c r="A169" s="7"/>
      <c r="E169" s="7"/>
      <c r="F169" s="7"/>
    </row>
    <row r="170" spans="1:6" x14ac:dyDescent="0.25">
      <c r="A170" s="7"/>
      <c r="E170" s="7"/>
      <c r="F170" s="7"/>
    </row>
    <row r="171" spans="1:6" x14ac:dyDescent="0.25">
      <c r="A171" s="7"/>
      <c r="E171" s="7"/>
      <c r="F171" s="7"/>
    </row>
    <row r="172" spans="1:6" x14ac:dyDescent="0.25">
      <c r="A172" s="7"/>
      <c r="E172" s="7"/>
      <c r="F172" s="7"/>
    </row>
    <row r="173" spans="1:6" x14ac:dyDescent="0.25">
      <c r="A173" s="7"/>
      <c r="E173" s="7"/>
      <c r="F173" s="7"/>
    </row>
    <row r="174" spans="1:6" x14ac:dyDescent="0.25">
      <c r="A174" s="7"/>
      <c r="E174" s="7"/>
      <c r="F174" s="7"/>
    </row>
    <row r="175" spans="1:6" x14ac:dyDescent="0.25">
      <c r="A175" s="7"/>
      <c r="E175" s="7"/>
      <c r="F175" s="7"/>
    </row>
    <row r="176" spans="1:6" x14ac:dyDescent="0.25">
      <c r="A176" s="7"/>
      <c r="E176" s="7"/>
      <c r="F176" s="7"/>
    </row>
    <row r="177" spans="1:6" x14ac:dyDescent="0.25">
      <c r="A177" s="7"/>
      <c r="E177" s="7"/>
      <c r="F177" s="7"/>
    </row>
    <row r="178" spans="1:6" x14ac:dyDescent="0.25">
      <c r="A178" s="7"/>
      <c r="E178" s="7"/>
      <c r="F178" s="7"/>
    </row>
    <row r="179" spans="1:6" x14ac:dyDescent="0.25">
      <c r="A179" s="7"/>
      <c r="E179" s="7"/>
      <c r="F179" s="7"/>
    </row>
    <row r="180" spans="1:6" x14ac:dyDescent="0.25">
      <c r="A180" s="7"/>
      <c r="E180" s="7"/>
      <c r="F180" s="7"/>
    </row>
    <row r="181" spans="1:6" x14ac:dyDescent="0.25">
      <c r="A181" s="7"/>
      <c r="E181" s="7"/>
      <c r="F181" s="7"/>
    </row>
    <row r="182" spans="1:6" x14ac:dyDescent="0.25">
      <c r="A182" s="7"/>
      <c r="E182" s="7"/>
      <c r="F182" s="7"/>
    </row>
    <row r="183" spans="1:6" x14ac:dyDescent="0.25">
      <c r="A183" s="7"/>
      <c r="E183" s="7"/>
      <c r="F183" s="7"/>
    </row>
    <row r="184" spans="1:6" x14ac:dyDescent="0.25">
      <c r="A184" s="7"/>
      <c r="E184" s="7"/>
      <c r="F184" s="7"/>
    </row>
    <row r="185" spans="1:6" x14ac:dyDescent="0.25">
      <c r="A185" s="7"/>
      <c r="E185" s="7"/>
      <c r="F185" s="7"/>
    </row>
    <row r="186" spans="1:6" x14ac:dyDescent="0.25">
      <c r="A186" s="7"/>
      <c r="E186" s="7"/>
      <c r="F186" s="7"/>
    </row>
    <row r="187" spans="1:6" x14ac:dyDescent="0.25">
      <c r="A187" s="7"/>
      <c r="E187" s="7"/>
      <c r="F187" s="7"/>
    </row>
    <row r="188" spans="1:6" x14ac:dyDescent="0.25">
      <c r="A188" s="7"/>
      <c r="E188" s="7"/>
      <c r="F188" s="7"/>
    </row>
    <row r="189" spans="1:6" x14ac:dyDescent="0.25">
      <c r="A189" s="7"/>
      <c r="E189" s="7"/>
      <c r="F189" s="7"/>
    </row>
    <row r="190" spans="1:6" x14ac:dyDescent="0.25">
      <c r="A190" s="7"/>
      <c r="E190" s="7"/>
      <c r="F190" s="7"/>
    </row>
    <row r="191" spans="1:6" x14ac:dyDescent="0.25">
      <c r="A191" s="7"/>
      <c r="E191" s="7"/>
      <c r="F191" s="7"/>
    </row>
    <row r="192" spans="1:6" x14ac:dyDescent="0.25">
      <c r="A192" s="7"/>
      <c r="E192" s="7"/>
      <c r="F192" s="7"/>
    </row>
    <row r="193" spans="1:6" x14ac:dyDescent="0.25">
      <c r="A193" s="7"/>
      <c r="E193" s="7"/>
      <c r="F193" s="7"/>
    </row>
    <row r="194" spans="1:6" x14ac:dyDescent="0.25">
      <c r="A194" s="7"/>
      <c r="E194" s="7"/>
      <c r="F194" s="7"/>
    </row>
    <row r="195" spans="1:6" x14ac:dyDescent="0.25">
      <c r="A195" s="7"/>
      <c r="E195" s="7"/>
      <c r="F195" s="7"/>
    </row>
    <row r="196" spans="1:6" x14ac:dyDescent="0.25">
      <c r="A196" s="7"/>
      <c r="E196" s="7"/>
      <c r="F196" s="7"/>
    </row>
    <row r="197" spans="1:6" x14ac:dyDescent="0.25">
      <c r="A197" s="7"/>
      <c r="E197" s="7"/>
      <c r="F197" s="7"/>
    </row>
    <row r="198" spans="1:6" x14ac:dyDescent="0.25">
      <c r="A198" s="7"/>
      <c r="E198" s="7"/>
      <c r="F198" s="7"/>
    </row>
    <row r="199" spans="1:6" x14ac:dyDescent="0.25">
      <c r="A199" s="7"/>
      <c r="E199" s="7"/>
      <c r="F199" s="7"/>
    </row>
    <row r="200" spans="1:6" x14ac:dyDescent="0.25">
      <c r="A200" s="7"/>
      <c r="E200" s="7"/>
      <c r="F200" s="7"/>
    </row>
    <row r="201" spans="1:6" x14ac:dyDescent="0.25">
      <c r="A201" s="7"/>
      <c r="E201" s="7"/>
      <c r="F201" s="7"/>
    </row>
    <row r="202" spans="1:6" x14ac:dyDescent="0.25">
      <c r="A202" s="7"/>
      <c r="E202" s="7"/>
      <c r="F202" s="7"/>
    </row>
    <row r="203" spans="1:6" x14ac:dyDescent="0.25">
      <c r="A203" s="7"/>
      <c r="E203" s="7"/>
      <c r="F203" s="7"/>
    </row>
    <row r="204" spans="1:6" x14ac:dyDescent="0.25">
      <c r="A204" s="7"/>
      <c r="E204" s="7"/>
      <c r="F204" s="7"/>
    </row>
    <row r="205" spans="1:6" x14ac:dyDescent="0.25">
      <c r="A205" s="7"/>
      <c r="E205" s="7"/>
      <c r="F205" s="7"/>
    </row>
    <row r="206" spans="1:6" x14ac:dyDescent="0.25">
      <c r="A206" s="7"/>
      <c r="E206" s="7"/>
      <c r="F206" s="7"/>
    </row>
    <row r="207" spans="1:6" x14ac:dyDescent="0.25">
      <c r="A207" s="7"/>
      <c r="E207" s="7"/>
      <c r="F207" s="7"/>
    </row>
    <row r="208" spans="1:6" x14ac:dyDescent="0.25">
      <c r="A208" s="7"/>
      <c r="E208" s="7"/>
      <c r="F208" s="7"/>
    </row>
    <row r="209" spans="1:6" x14ac:dyDescent="0.25">
      <c r="A209" s="7"/>
      <c r="E209" s="7"/>
      <c r="F209" s="7"/>
    </row>
    <row r="210" spans="1:6" x14ac:dyDescent="0.25">
      <c r="A210" s="7"/>
      <c r="E210" s="7"/>
      <c r="F210" s="7"/>
    </row>
    <row r="211" spans="1:6" x14ac:dyDescent="0.25">
      <c r="A211" s="7"/>
      <c r="E211" s="7"/>
      <c r="F211" s="7"/>
    </row>
    <row r="212" spans="1:6" x14ac:dyDescent="0.25">
      <c r="A212" s="7"/>
      <c r="E212" s="7"/>
      <c r="F212" s="7"/>
    </row>
    <row r="213" spans="1:6" x14ac:dyDescent="0.25">
      <c r="A213" s="7"/>
      <c r="E213" s="7"/>
      <c r="F213" s="7"/>
    </row>
    <row r="214" spans="1:6" x14ac:dyDescent="0.25">
      <c r="A214" s="7"/>
      <c r="E214" s="7"/>
      <c r="F214" s="7"/>
    </row>
    <row r="215" spans="1:6" x14ac:dyDescent="0.25">
      <c r="A215" s="7"/>
      <c r="E215" s="7"/>
      <c r="F215" s="7"/>
    </row>
    <row r="216" spans="1:6" x14ac:dyDescent="0.25">
      <c r="A216" s="7"/>
      <c r="E216" s="7"/>
      <c r="F216" s="7"/>
    </row>
    <row r="217" spans="1:6" x14ac:dyDescent="0.25">
      <c r="A217" s="7"/>
      <c r="E217" s="7"/>
      <c r="F217" s="7"/>
    </row>
    <row r="218" spans="1:6" x14ac:dyDescent="0.25">
      <c r="A218" s="7"/>
      <c r="E218" s="7"/>
      <c r="F218" s="7"/>
    </row>
    <row r="219" spans="1:6" x14ac:dyDescent="0.25">
      <c r="A219" s="7"/>
      <c r="E219" s="7"/>
      <c r="F219" s="7"/>
    </row>
    <row r="220" spans="1:6" x14ac:dyDescent="0.25">
      <c r="A220" s="7"/>
      <c r="E220" s="7"/>
      <c r="F220" s="7"/>
    </row>
    <row r="221" spans="1:6" x14ac:dyDescent="0.25">
      <c r="A221" s="7"/>
      <c r="E221" s="7"/>
      <c r="F221" s="7"/>
    </row>
    <row r="222" spans="1:6" x14ac:dyDescent="0.25">
      <c r="A222" s="7"/>
      <c r="E222" s="7"/>
      <c r="F222" s="7"/>
    </row>
    <row r="223" spans="1:6" x14ac:dyDescent="0.25">
      <c r="A223" s="7"/>
      <c r="E223" s="7"/>
      <c r="F223" s="7"/>
    </row>
    <row r="224" spans="1:6" x14ac:dyDescent="0.25">
      <c r="A224" s="7"/>
      <c r="E224" s="7"/>
      <c r="F224" s="7"/>
    </row>
    <row r="225" spans="1:6" x14ac:dyDescent="0.25">
      <c r="A225" s="7"/>
      <c r="E225" s="7"/>
      <c r="F225" s="7"/>
    </row>
    <row r="226" spans="1:6" x14ac:dyDescent="0.25">
      <c r="A226" s="7"/>
      <c r="E226" s="7"/>
      <c r="F226" s="7"/>
    </row>
    <row r="227" spans="1:6" x14ac:dyDescent="0.25">
      <c r="A227" s="7"/>
      <c r="E227" s="7"/>
      <c r="F227" s="7"/>
    </row>
    <row r="228" spans="1:6" x14ac:dyDescent="0.25">
      <c r="A228" s="7"/>
      <c r="E228" s="7"/>
      <c r="F228" s="7"/>
    </row>
    <row r="229" spans="1:6" x14ac:dyDescent="0.25">
      <c r="A229" s="7"/>
      <c r="E229" s="7"/>
      <c r="F229" s="7"/>
    </row>
    <row r="230" spans="1:6" x14ac:dyDescent="0.25">
      <c r="A230" s="7"/>
      <c r="E230" s="7"/>
      <c r="F230" s="7"/>
    </row>
    <row r="231" spans="1:6" x14ac:dyDescent="0.25">
      <c r="A231" s="7"/>
      <c r="E231" s="7"/>
      <c r="F231" s="7"/>
    </row>
    <row r="232" spans="1:6" x14ac:dyDescent="0.25">
      <c r="A232" s="7"/>
      <c r="E232" s="7"/>
      <c r="F232" s="7"/>
    </row>
    <row r="233" spans="1:6" x14ac:dyDescent="0.25">
      <c r="A233" s="7"/>
      <c r="E233" s="7"/>
      <c r="F233" s="7"/>
    </row>
    <row r="234" spans="1:6" x14ac:dyDescent="0.25">
      <c r="A234" s="7"/>
      <c r="E234" s="7"/>
      <c r="F234" s="7"/>
    </row>
    <row r="235" spans="1:6" x14ac:dyDescent="0.25">
      <c r="A235" s="7"/>
      <c r="E235" s="7"/>
      <c r="F235" s="7"/>
    </row>
    <row r="236" spans="1:6" x14ac:dyDescent="0.25">
      <c r="A236" s="7"/>
      <c r="E236" s="7"/>
      <c r="F236" s="7"/>
    </row>
    <row r="237" spans="1:6" x14ac:dyDescent="0.25">
      <c r="A237" s="7"/>
      <c r="E237" s="7"/>
      <c r="F237" s="7"/>
    </row>
    <row r="238" spans="1:6" x14ac:dyDescent="0.25">
      <c r="A238" s="7"/>
      <c r="E238" s="7"/>
      <c r="F238" s="7"/>
    </row>
    <row r="239" spans="1:6" x14ac:dyDescent="0.25">
      <c r="A239" s="7"/>
      <c r="E239" s="7"/>
      <c r="F239" s="7"/>
    </row>
    <row r="240" spans="1:6" x14ac:dyDescent="0.25">
      <c r="A240" s="7"/>
      <c r="E240" s="7"/>
      <c r="F240" s="7"/>
    </row>
    <row r="241" spans="1:6" x14ac:dyDescent="0.25">
      <c r="A241" s="7"/>
      <c r="E241" s="7"/>
      <c r="F241" s="7"/>
    </row>
    <row r="242" spans="1:6" x14ac:dyDescent="0.25">
      <c r="A242" s="7"/>
      <c r="E242" s="7"/>
      <c r="F242" s="7"/>
    </row>
    <row r="243" spans="1:6" x14ac:dyDescent="0.25">
      <c r="A243" s="7"/>
      <c r="E243" s="7"/>
      <c r="F243" s="7"/>
    </row>
    <row r="244" spans="1:6" x14ac:dyDescent="0.25">
      <c r="A244" s="7"/>
      <c r="E244" s="7"/>
      <c r="F244" s="7"/>
    </row>
    <row r="245" spans="1:6" x14ac:dyDescent="0.25">
      <c r="A245" s="7"/>
      <c r="E245" s="7"/>
      <c r="F245" s="7"/>
    </row>
    <row r="246" spans="1:6" x14ac:dyDescent="0.25">
      <c r="A246" s="7"/>
      <c r="E246" s="7"/>
      <c r="F246" s="7"/>
    </row>
    <row r="247" spans="1:6" x14ac:dyDescent="0.25">
      <c r="A247" s="7"/>
      <c r="E247" s="7"/>
      <c r="F247" s="7"/>
    </row>
    <row r="248" spans="1:6" x14ac:dyDescent="0.25">
      <c r="A248" s="7"/>
      <c r="E248" s="7"/>
      <c r="F248" s="7"/>
    </row>
    <row r="249" spans="1:6" x14ac:dyDescent="0.25">
      <c r="A249" s="7"/>
      <c r="E249" s="7"/>
      <c r="F249" s="7"/>
    </row>
    <row r="250" spans="1:6" x14ac:dyDescent="0.25">
      <c r="A250" s="7"/>
      <c r="E250" s="7"/>
      <c r="F250" s="7"/>
    </row>
    <row r="251" spans="1:6" x14ac:dyDescent="0.25">
      <c r="A251" s="7"/>
      <c r="E251" s="7"/>
      <c r="F251" s="7"/>
    </row>
    <row r="252" spans="1:6" x14ac:dyDescent="0.25">
      <c r="A252" s="7"/>
      <c r="E252" s="7"/>
      <c r="F252" s="7"/>
    </row>
    <row r="253" spans="1:6" x14ac:dyDescent="0.25">
      <c r="A253" s="7"/>
      <c r="E253" s="7"/>
      <c r="F253" s="7"/>
    </row>
    <row r="254" spans="1:6" x14ac:dyDescent="0.25">
      <c r="A254" s="7"/>
      <c r="E254" s="7"/>
      <c r="F254" s="7"/>
    </row>
    <row r="255" spans="1:6" x14ac:dyDescent="0.25">
      <c r="A255" s="7"/>
      <c r="E255" s="7"/>
      <c r="F255" s="7"/>
    </row>
    <row r="256" spans="1:6" x14ac:dyDescent="0.25">
      <c r="A256" s="7"/>
      <c r="E256" s="7"/>
      <c r="F256" s="7"/>
    </row>
    <row r="257" spans="1:6" x14ac:dyDescent="0.25">
      <c r="A257" s="7"/>
      <c r="E257" s="7"/>
      <c r="F257" s="7"/>
    </row>
    <row r="258" spans="1:6" x14ac:dyDescent="0.25">
      <c r="A258" s="7"/>
      <c r="E258" s="7"/>
      <c r="F258" s="7"/>
    </row>
    <row r="259" spans="1:6" x14ac:dyDescent="0.25">
      <c r="A259" s="7"/>
      <c r="E259" s="7"/>
      <c r="F259" s="7"/>
    </row>
    <row r="260" spans="1:6" x14ac:dyDescent="0.25">
      <c r="A260" s="7"/>
      <c r="E260" s="7"/>
      <c r="F260" s="7"/>
    </row>
    <row r="261" spans="1:6" x14ac:dyDescent="0.25">
      <c r="A261" s="7"/>
      <c r="E261" s="7"/>
      <c r="F261" s="7"/>
    </row>
    <row r="262" spans="1:6" x14ac:dyDescent="0.25">
      <c r="A262" s="7"/>
      <c r="E262" s="7"/>
      <c r="F262" s="7"/>
    </row>
    <row r="263" spans="1:6" x14ac:dyDescent="0.25">
      <c r="A263" s="7"/>
      <c r="E263" s="7"/>
      <c r="F263" s="7"/>
    </row>
    <row r="264" spans="1:6" x14ac:dyDescent="0.25">
      <c r="A264" s="7"/>
      <c r="E264" s="7"/>
      <c r="F264" s="7"/>
    </row>
    <row r="265" spans="1:6" x14ac:dyDescent="0.25">
      <c r="A265" s="7"/>
      <c r="E265" s="7"/>
      <c r="F265" s="7"/>
    </row>
    <row r="266" spans="1:6" x14ac:dyDescent="0.25">
      <c r="A266" s="7"/>
      <c r="E266" s="7"/>
      <c r="F266" s="7"/>
    </row>
    <row r="267" spans="1:6" x14ac:dyDescent="0.25">
      <c r="A267" s="7"/>
      <c r="E267" s="7"/>
      <c r="F267" s="7"/>
    </row>
    <row r="268" spans="1:6" x14ac:dyDescent="0.25">
      <c r="A268" s="7"/>
      <c r="E268" s="7"/>
      <c r="F268" s="7"/>
    </row>
    <row r="269" spans="1:6" x14ac:dyDescent="0.25">
      <c r="A269" s="7"/>
      <c r="E269" s="7"/>
      <c r="F269" s="7"/>
    </row>
    <row r="270" spans="1:6" x14ac:dyDescent="0.25">
      <c r="A270" s="7"/>
      <c r="E270" s="7"/>
      <c r="F270" s="7"/>
    </row>
    <row r="271" spans="1:6" x14ac:dyDescent="0.25">
      <c r="A271" s="7"/>
      <c r="E271" s="7"/>
      <c r="F271" s="7"/>
    </row>
    <row r="272" spans="1:6" x14ac:dyDescent="0.25">
      <c r="A272" s="7"/>
      <c r="E272" s="7"/>
      <c r="F272" s="7"/>
    </row>
    <row r="273" spans="1:6" x14ac:dyDescent="0.25">
      <c r="A273" s="7"/>
      <c r="E273" s="7"/>
      <c r="F273" s="7"/>
    </row>
    <row r="274" spans="1:6" x14ac:dyDescent="0.25">
      <c r="A274" s="7"/>
      <c r="E274" s="7"/>
      <c r="F274" s="7"/>
    </row>
    <row r="275" spans="1:6" x14ac:dyDescent="0.25">
      <c r="A275" s="7"/>
      <c r="E275" s="7"/>
      <c r="F275" s="7"/>
    </row>
    <row r="276" spans="1:6" x14ac:dyDescent="0.25">
      <c r="A276" s="7"/>
      <c r="E276" s="7"/>
      <c r="F276" s="7"/>
    </row>
    <row r="277" spans="1:6" x14ac:dyDescent="0.25">
      <c r="A277" s="7"/>
      <c r="E277" s="7"/>
      <c r="F277" s="7"/>
    </row>
    <row r="278" spans="1:6" x14ac:dyDescent="0.25">
      <c r="A278" s="7"/>
      <c r="E278" s="7"/>
      <c r="F278" s="7"/>
    </row>
    <row r="279" spans="1:6" x14ac:dyDescent="0.25">
      <c r="A279" s="7"/>
      <c r="E279" s="7"/>
      <c r="F279" s="7"/>
    </row>
    <row r="280" spans="1:6" x14ac:dyDescent="0.25">
      <c r="A280" s="7"/>
      <c r="E280" s="7"/>
      <c r="F280" s="7"/>
    </row>
    <row r="281" spans="1:6" x14ac:dyDescent="0.25">
      <c r="A281" s="7"/>
      <c r="E281" s="7"/>
      <c r="F281" s="7"/>
    </row>
    <row r="282" spans="1:6" x14ac:dyDescent="0.25">
      <c r="A282" s="7"/>
      <c r="E282" s="7"/>
      <c r="F282" s="7"/>
    </row>
    <row r="283" spans="1:6" x14ac:dyDescent="0.25">
      <c r="A283" s="7"/>
      <c r="E283" s="7"/>
      <c r="F283" s="7"/>
    </row>
    <row r="284" spans="1:6" x14ac:dyDescent="0.25">
      <c r="A284" s="7"/>
      <c r="E284" s="7"/>
      <c r="F284" s="7"/>
    </row>
    <row r="285" spans="1:6" x14ac:dyDescent="0.25">
      <c r="A285" s="7"/>
      <c r="E285" s="7"/>
      <c r="F285" s="7"/>
    </row>
    <row r="286" spans="1:6" x14ac:dyDescent="0.25">
      <c r="A286" s="7"/>
      <c r="E286" s="7"/>
      <c r="F286" s="7"/>
    </row>
    <row r="287" spans="1:6" x14ac:dyDescent="0.25">
      <c r="A287" s="7"/>
      <c r="E287" s="7"/>
      <c r="F287" s="7"/>
    </row>
    <row r="288" spans="1:6" x14ac:dyDescent="0.25">
      <c r="A288" s="7"/>
      <c r="E288" s="7"/>
      <c r="F288" s="7"/>
    </row>
    <row r="289" spans="1:6" x14ac:dyDescent="0.25">
      <c r="A289" s="7"/>
      <c r="E289" s="7"/>
      <c r="F289" s="7"/>
    </row>
    <row r="290" spans="1:6" x14ac:dyDescent="0.25">
      <c r="A290" s="7"/>
      <c r="E290" s="7"/>
      <c r="F290" s="7"/>
    </row>
    <row r="291" spans="1:6" x14ac:dyDescent="0.25">
      <c r="A291" s="7"/>
      <c r="E291" s="7"/>
      <c r="F291" s="7"/>
    </row>
    <row r="292" spans="1:6" x14ac:dyDescent="0.25">
      <c r="A292" s="7"/>
      <c r="E292" s="7"/>
      <c r="F292" s="7"/>
    </row>
    <row r="293" spans="1:6" x14ac:dyDescent="0.25">
      <c r="A293" s="7"/>
      <c r="E293" s="7"/>
      <c r="F293" s="7"/>
    </row>
    <row r="294" spans="1:6" x14ac:dyDescent="0.25">
      <c r="A294" s="7"/>
      <c r="E294" s="7"/>
      <c r="F294" s="7"/>
    </row>
    <row r="295" spans="1:6" x14ac:dyDescent="0.25">
      <c r="A295" s="7"/>
      <c r="E295" s="7"/>
      <c r="F295" s="7"/>
    </row>
    <row r="296" spans="1:6" x14ac:dyDescent="0.25">
      <c r="A296" s="7"/>
      <c r="E296" s="7"/>
      <c r="F296" s="7"/>
    </row>
    <row r="297" spans="1:6" x14ac:dyDescent="0.25">
      <c r="A297" s="7"/>
      <c r="E297" s="7"/>
      <c r="F297" s="7"/>
    </row>
    <row r="298" spans="1:6" x14ac:dyDescent="0.25">
      <c r="A298" s="7"/>
      <c r="E298" s="7"/>
      <c r="F298" s="7"/>
    </row>
    <row r="299" spans="1:6" x14ac:dyDescent="0.25">
      <c r="A299" s="7"/>
      <c r="E299" s="7"/>
      <c r="F299" s="7"/>
    </row>
    <row r="300" spans="1:6" x14ac:dyDescent="0.25">
      <c r="A300" s="7"/>
      <c r="E300" s="7"/>
      <c r="F300" s="7"/>
    </row>
    <row r="301" spans="1:6" x14ac:dyDescent="0.25">
      <c r="A301" s="7"/>
      <c r="E301" s="7"/>
      <c r="F301" s="7"/>
    </row>
    <row r="302" spans="1:6" x14ac:dyDescent="0.25">
      <c r="A302" s="7"/>
      <c r="E302" s="7"/>
      <c r="F302" s="7"/>
    </row>
    <row r="303" spans="1:6" x14ac:dyDescent="0.25">
      <c r="A303" s="7"/>
      <c r="E303" s="7"/>
      <c r="F303" s="7"/>
    </row>
    <row r="304" spans="1:6" x14ac:dyDescent="0.25">
      <c r="A304" s="7"/>
      <c r="E304" s="7"/>
      <c r="F304" s="7"/>
    </row>
    <row r="305" spans="1:6" x14ac:dyDescent="0.25">
      <c r="A305" s="7"/>
      <c r="E305" s="7"/>
      <c r="F305" s="7"/>
    </row>
    <row r="306" spans="1:6" x14ac:dyDescent="0.25">
      <c r="A306" s="7"/>
      <c r="E306" s="7"/>
      <c r="F306" s="7"/>
    </row>
    <row r="307" spans="1:6" x14ac:dyDescent="0.25">
      <c r="A307" s="7"/>
      <c r="E307" s="7"/>
      <c r="F307" s="7"/>
    </row>
    <row r="308" spans="1:6" x14ac:dyDescent="0.25">
      <c r="A308" s="7"/>
      <c r="E308" s="7"/>
      <c r="F308" s="7"/>
    </row>
    <row r="309" spans="1:6" x14ac:dyDescent="0.25">
      <c r="A309" s="7"/>
      <c r="E309" s="7"/>
      <c r="F309" s="7"/>
    </row>
    <row r="310" spans="1:6" x14ac:dyDescent="0.25">
      <c r="A310" s="7"/>
      <c r="E310" s="7"/>
      <c r="F310" s="7"/>
    </row>
    <row r="311" spans="1:6" x14ac:dyDescent="0.25">
      <c r="A311" s="7"/>
      <c r="E311" s="7"/>
      <c r="F311" s="7"/>
    </row>
    <row r="312" spans="1:6" x14ac:dyDescent="0.25">
      <c r="A312" s="7"/>
      <c r="E312" s="7"/>
      <c r="F312" s="7"/>
    </row>
    <row r="313" spans="1:6" x14ac:dyDescent="0.25">
      <c r="A313" s="7"/>
      <c r="E313" s="7"/>
      <c r="F313" s="7"/>
    </row>
    <row r="314" spans="1:6" x14ac:dyDescent="0.25">
      <c r="A314" s="7"/>
      <c r="E314" s="7"/>
      <c r="F314" s="7"/>
    </row>
    <row r="315" spans="1:6" x14ac:dyDescent="0.25">
      <c r="A315" s="7"/>
      <c r="E315" s="7"/>
      <c r="F315" s="7"/>
    </row>
    <row r="316" spans="1:6" x14ac:dyDescent="0.25">
      <c r="A316" s="7"/>
      <c r="E316" s="7"/>
      <c r="F316" s="7"/>
    </row>
    <row r="317" spans="1:6" x14ac:dyDescent="0.25">
      <c r="A317" s="7"/>
      <c r="E317" s="7"/>
      <c r="F317" s="7"/>
    </row>
    <row r="318" spans="1:6" x14ac:dyDescent="0.25">
      <c r="A318" s="7"/>
      <c r="E318" s="7"/>
      <c r="F318" s="7"/>
    </row>
    <row r="319" spans="1:6" x14ac:dyDescent="0.25">
      <c r="A319" s="7"/>
      <c r="E319" s="7"/>
      <c r="F319" s="7"/>
    </row>
    <row r="320" spans="1:6" x14ac:dyDescent="0.25">
      <c r="A320" s="7"/>
      <c r="E320" s="7"/>
      <c r="F320" s="7"/>
    </row>
    <row r="321" spans="1:6" x14ac:dyDescent="0.25">
      <c r="A321" s="7"/>
      <c r="E321" s="7"/>
      <c r="F321" s="7"/>
    </row>
    <row r="322" spans="1:6" x14ac:dyDescent="0.25">
      <c r="A322" s="7"/>
      <c r="E322" s="7"/>
      <c r="F322" s="7"/>
    </row>
    <row r="323" spans="1:6" x14ac:dyDescent="0.25">
      <c r="A323" s="7"/>
      <c r="E323" s="7"/>
      <c r="F323" s="7"/>
    </row>
    <row r="324" spans="1:6" x14ac:dyDescent="0.25">
      <c r="A324" s="7"/>
      <c r="E324" s="7"/>
      <c r="F324" s="7"/>
    </row>
    <row r="325" spans="1:6" x14ac:dyDescent="0.25">
      <c r="A325" s="7"/>
      <c r="E325" s="7"/>
      <c r="F325" s="7"/>
    </row>
    <row r="326" spans="1:6" x14ac:dyDescent="0.25">
      <c r="A326" s="7"/>
      <c r="E326" s="7"/>
      <c r="F326" s="7"/>
    </row>
    <row r="327" spans="1:6" x14ac:dyDescent="0.25">
      <c r="A327" s="7"/>
      <c r="E327" s="7"/>
      <c r="F327" s="7"/>
    </row>
    <row r="328" spans="1:6" x14ac:dyDescent="0.25">
      <c r="A328" s="7"/>
      <c r="E328" s="7"/>
      <c r="F328" s="7"/>
    </row>
    <row r="329" spans="1:6" x14ac:dyDescent="0.25">
      <c r="A329" s="7"/>
      <c r="E329" s="7"/>
      <c r="F329" s="7"/>
    </row>
    <row r="330" spans="1:6" x14ac:dyDescent="0.25">
      <c r="A330" s="7"/>
      <c r="E330" s="7"/>
      <c r="F330" s="7"/>
    </row>
    <row r="331" spans="1:6" x14ac:dyDescent="0.25">
      <c r="A331" s="7"/>
      <c r="E331" s="7"/>
      <c r="F331" s="7"/>
    </row>
    <row r="332" spans="1:6" x14ac:dyDescent="0.25">
      <c r="A332" s="7"/>
      <c r="E332" s="7"/>
      <c r="F332" s="7"/>
    </row>
    <row r="333" spans="1:6" x14ac:dyDescent="0.25">
      <c r="A333" s="7"/>
      <c r="E333" s="7"/>
      <c r="F333" s="7"/>
    </row>
    <row r="334" spans="1:6" x14ac:dyDescent="0.25">
      <c r="A334" s="7"/>
      <c r="E334" s="7"/>
      <c r="F334" s="7"/>
    </row>
    <row r="335" spans="1:6" x14ac:dyDescent="0.25">
      <c r="A335" s="7"/>
      <c r="E335" s="7"/>
      <c r="F335" s="7"/>
    </row>
    <row r="336" spans="1:6" x14ac:dyDescent="0.25">
      <c r="A336" s="7"/>
      <c r="E336" s="7"/>
      <c r="F336" s="7"/>
    </row>
    <row r="337" spans="1:6" x14ac:dyDescent="0.25">
      <c r="A337" s="7"/>
      <c r="E337" s="7"/>
      <c r="F337" s="7"/>
    </row>
    <row r="338" spans="1:6" x14ac:dyDescent="0.25">
      <c r="A338" s="7"/>
      <c r="E338" s="7"/>
      <c r="F338" s="7"/>
    </row>
    <row r="339" spans="1:6" x14ac:dyDescent="0.25">
      <c r="A339" s="7"/>
      <c r="E339" s="7"/>
      <c r="F339" s="7"/>
    </row>
    <row r="340" spans="1:6" x14ac:dyDescent="0.25">
      <c r="A340" s="7"/>
      <c r="E340" s="7"/>
      <c r="F340" s="7"/>
    </row>
    <row r="341" spans="1:6" x14ac:dyDescent="0.25">
      <c r="A341" s="7"/>
      <c r="E341" s="7"/>
      <c r="F341" s="7"/>
    </row>
    <row r="342" spans="1:6" x14ac:dyDescent="0.25">
      <c r="A342" s="7"/>
      <c r="E342" s="7"/>
      <c r="F342" s="7"/>
    </row>
    <row r="343" spans="1:6" x14ac:dyDescent="0.25">
      <c r="A343" s="7"/>
      <c r="E343" s="7"/>
      <c r="F343" s="7"/>
    </row>
    <row r="344" spans="1:6" x14ac:dyDescent="0.25">
      <c r="A344" s="7"/>
      <c r="E344" s="7"/>
      <c r="F344" s="7"/>
    </row>
    <row r="345" spans="1:6" x14ac:dyDescent="0.25">
      <c r="A345" s="7"/>
      <c r="E345" s="7"/>
      <c r="F345" s="7"/>
    </row>
    <row r="346" spans="1:6" x14ac:dyDescent="0.25">
      <c r="A346" s="7"/>
      <c r="E346" s="7"/>
      <c r="F346" s="7"/>
    </row>
    <row r="347" spans="1:6" x14ac:dyDescent="0.25">
      <c r="A347" s="7"/>
      <c r="E347" s="7"/>
      <c r="F347" s="7"/>
    </row>
    <row r="348" spans="1:6" x14ac:dyDescent="0.25">
      <c r="A348" s="7"/>
      <c r="E348" s="7"/>
      <c r="F348" s="7"/>
    </row>
    <row r="349" spans="1:6" x14ac:dyDescent="0.25">
      <c r="A349" s="7"/>
      <c r="E349" s="7"/>
      <c r="F349" s="7"/>
    </row>
    <row r="350" spans="1:6" x14ac:dyDescent="0.25">
      <c r="A350" s="7"/>
      <c r="E350" s="7"/>
      <c r="F350" s="7"/>
    </row>
    <row r="351" spans="1:6" x14ac:dyDescent="0.25">
      <c r="A351" s="7"/>
      <c r="E351" s="7"/>
      <c r="F351" s="7"/>
    </row>
    <row r="352" spans="1:6" x14ac:dyDescent="0.25">
      <c r="A352" s="7"/>
      <c r="E352" s="7"/>
      <c r="F352" s="7"/>
    </row>
    <row r="353" spans="1:6" x14ac:dyDescent="0.25">
      <c r="A353" s="7"/>
      <c r="E353" s="7"/>
      <c r="F353" s="7"/>
    </row>
    <row r="354" spans="1:6" x14ac:dyDescent="0.25">
      <c r="A354" s="7"/>
      <c r="E354" s="7"/>
      <c r="F354" s="7"/>
    </row>
    <row r="355" spans="1:6" x14ac:dyDescent="0.25">
      <c r="A355" s="7"/>
      <c r="E355" s="7"/>
      <c r="F355" s="7"/>
    </row>
    <row r="356" spans="1:6" x14ac:dyDescent="0.25">
      <c r="A356" s="7"/>
      <c r="E356" s="7"/>
      <c r="F356" s="7"/>
    </row>
    <row r="357" spans="1:6" x14ac:dyDescent="0.25">
      <c r="A357" s="7"/>
      <c r="E357" s="7"/>
      <c r="F357" s="7"/>
    </row>
    <row r="358" spans="1:6" x14ac:dyDescent="0.25">
      <c r="A358" s="7"/>
      <c r="E358" s="7"/>
      <c r="F358" s="7"/>
    </row>
    <row r="359" spans="1:6" x14ac:dyDescent="0.25">
      <c r="A359" s="7"/>
      <c r="E359" s="7"/>
      <c r="F359" s="7"/>
    </row>
    <row r="360" spans="1:6" x14ac:dyDescent="0.25">
      <c r="A360" s="7"/>
      <c r="E360" s="7"/>
      <c r="F360" s="7"/>
    </row>
    <row r="361" spans="1:6" x14ac:dyDescent="0.25">
      <c r="A361" s="7"/>
      <c r="E361" s="7"/>
      <c r="F361" s="7"/>
    </row>
    <row r="362" spans="1:6" x14ac:dyDescent="0.25">
      <c r="A362" s="7"/>
      <c r="E362" s="7"/>
      <c r="F362" s="7"/>
    </row>
    <row r="363" spans="1:6" x14ac:dyDescent="0.25">
      <c r="A363" s="7"/>
      <c r="E363" s="7"/>
      <c r="F363" s="7"/>
    </row>
    <row r="364" spans="1:6" x14ac:dyDescent="0.25">
      <c r="A364" s="7"/>
      <c r="E364" s="7"/>
      <c r="F364" s="7"/>
    </row>
    <row r="365" spans="1:6" x14ac:dyDescent="0.25">
      <c r="A365" s="7"/>
      <c r="E365" s="7"/>
      <c r="F365" s="7"/>
    </row>
    <row r="366" spans="1:6" x14ac:dyDescent="0.25">
      <c r="A366" s="7"/>
      <c r="E366" s="7"/>
      <c r="F366" s="7"/>
    </row>
    <row r="367" spans="1:6" x14ac:dyDescent="0.25">
      <c r="A367" s="7"/>
      <c r="E367" s="7"/>
      <c r="F367" s="7"/>
    </row>
    <row r="368" spans="1:6" x14ac:dyDescent="0.25">
      <c r="A368" s="7"/>
      <c r="E368" s="7"/>
      <c r="F368" s="7"/>
    </row>
    <row r="369" spans="1:6" x14ac:dyDescent="0.25">
      <c r="A369" s="7"/>
      <c r="E369" s="7"/>
      <c r="F369" s="7"/>
    </row>
    <row r="370" spans="1:6" x14ac:dyDescent="0.25">
      <c r="A370" s="7"/>
      <c r="E370" s="7"/>
      <c r="F370" s="7"/>
    </row>
    <row r="371" spans="1:6" x14ac:dyDescent="0.25">
      <c r="A371" s="7"/>
      <c r="E371" s="7"/>
      <c r="F371" s="7"/>
    </row>
    <row r="372" spans="1:6" x14ac:dyDescent="0.25">
      <c r="A372" s="7"/>
      <c r="E372" s="7"/>
      <c r="F372" s="7"/>
    </row>
    <row r="373" spans="1:6" x14ac:dyDescent="0.25">
      <c r="A373" s="7"/>
      <c r="E373" s="7"/>
      <c r="F373" s="7"/>
    </row>
    <row r="374" spans="1:6" x14ac:dyDescent="0.25">
      <c r="A374" s="7"/>
      <c r="E374" s="7"/>
      <c r="F374" s="7"/>
    </row>
    <row r="375" spans="1:6" x14ac:dyDescent="0.25">
      <c r="A375" s="7"/>
      <c r="E375" s="7"/>
      <c r="F375" s="7"/>
    </row>
    <row r="376" spans="1:6" x14ac:dyDescent="0.25">
      <c r="A376" s="7"/>
      <c r="E376" s="7"/>
      <c r="F376" s="7"/>
    </row>
    <row r="377" spans="1:6" x14ac:dyDescent="0.25">
      <c r="A377" s="7"/>
      <c r="E377" s="7"/>
      <c r="F377" s="7"/>
    </row>
    <row r="378" spans="1:6" x14ac:dyDescent="0.25">
      <c r="A378" s="7"/>
      <c r="E378" s="7"/>
      <c r="F378" s="7"/>
    </row>
    <row r="379" spans="1:6" x14ac:dyDescent="0.25">
      <c r="A379" s="7"/>
      <c r="E379" s="7"/>
      <c r="F379" s="7"/>
    </row>
    <row r="380" spans="1:6" x14ac:dyDescent="0.25">
      <c r="A380" s="7"/>
      <c r="E380" s="7"/>
      <c r="F380" s="7"/>
    </row>
    <row r="381" spans="1:6" x14ac:dyDescent="0.25">
      <c r="A381" s="7"/>
      <c r="E381" s="7"/>
      <c r="F381" s="7"/>
    </row>
    <row r="382" spans="1:6" x14ac:dyDescent="0.25">
      <c r="A382" s="7"/>
      <c r="E382" s="7"/>
      <c r="F382" s="7"/>
    </row>
    <row r="383" spans="1:6" x14ac:dyDescent="0.25">
      <c r="A383" s="7"/>
      <c r="E383" s="7"/>
      <c r="F383" s="7"/>
    </row>
    <row r="384" spans="1:6" x14ac:dyDescent="0.25">
      <c r="A384" s="7"/>
      <c r="E384" s="7"/>
      <c r="F384" s="7"/>
    </row>
    <row r="385" spans="1:6" x14ac:dyDescent="0.25">
      <c r="A385" s="7"/>
      <c r="E385" s="7"/>
      <c r="F385" s="7"/>
    </row>
    <row r="386" spans="1:6" x14ac:dyDescent="0.25">
      <c r="A386" s="7"/>
      <c r="E386" s="7"/>
      <c r="F386" s="7"/>
    </row>
    <row r="387" spans="1:6" x14ac:dyDescent="0.25">
      <c r="A387" s="7"/>
      <c r="E387" s="7"/>
      <c r="F387" s="7"/>
    </row>
    <row r="388" spans="1:6" x14ac:dyDescent="0.25">
      <c r="A388" s="7"/>
      <c r="E388" s="7"/>
      <c r="F388" s="7"/>
    </row>
    <row r="389" spans="1:6" x14ac:dyDescent="0.25">
      <c r="A389" s="7"/>
      <c r="E389" s="7"/>
      <c r="F389" s="7"/>
    </row>
    <row r="390" spans="1:6" x14ac:dyDescent="0.25">
      <c r="A390" s="7"/>
      <c r="E390" s="7"/>
      <c r="F390" s="7"/>
    </row>
    <row r="391" spans="1:6" x14ac:dyDescent="0.25">
      <c r="A391" s="7"/>
      <c r="E391" s="7"/>
      <c r="F391" s="7"/>
    </row>
    <row r="392" spans="1:6" x14ac:dyDescent="0.25">
      <c r="A392" s="7"/>
      <c r="E392" s="7"/>
      <c r="F392" s="7"/>
    </row>
    <row r="393" spans="1:6" x14ac:dyDescent="0.25">
      <c r="A393" s="7"/>
      <c r="E393" s="7"/>
      <c r="F393" s="7"/>
    </row>
    <row r="394" spans="1:6" x14ac:dyDescent="0.25">
      <c r="A394" s="7"/>
      <c r="E394" s="7"/>
      <c r="F394" s="7"/>
    </row>
    <row r="395" spans="1:6" x14ac:dyDescent="0.25">
      <c r="A395" s="7"/>
      <c r="E395" s="7"/>
      <c r="F395" s="7"/>
    </row>
    <row r="396" spans="1:6" x14ac:dyDescent="0.25">
      <c r="A396" s="7"/>
      <c r="E396" s="7"/>
      <c r="F396" s="7"/>
    </row>
    <row r="397" spans="1:6" x14ac:dyDescent="0.25">
      <c r="A397" s="7"/>
      <c r="E397" s="7"/>
      <c r="F397" s="7"/>
    </row>
    <row r="398" spans="1:6" x14ac:dyDescent="0.25">
      <c r="A398" s="7"/>
      <c r="E398" s="7"/>
      <c r="F398" s="7"/>
    </row>
    <row r="399" spans="1:6" x14ac:dyDescent="0.25">
      <c r="A399" s="7"/>
      <c r="E399" s="7"/>
      <c r="F399" s="7"/>
    </row>
    <row r="400" spans="1:6" x14ac:dyDescent="0.25">
      <c r="A400" s="7"/>
      <c r="E400" s="7"/>
      <c r="F400" s="7"/>
    </row>
    <row r="401" spans="1:6" x14ac:dyDescent="0.25">
      <c r="A401" s="7"/>
      <c r="E401" s="7"/>
      <c r="F401" s="7"/>
    </row>
    <row r="402" spans="1:6" x14ac:dyDescent="0.25">
      <c r="A402" s="7"/>
      <c r="E402" s="7"/>
      <c r="F402" s="7"/>
    </row>
    <row r="403" spans="1:6" x14ac:dyDescent="0.25">
      <c r="A403" s="7"/>
      <c r="E403" s="7"/>
      <c r="F403" s="7"/>
    </row>
    <row r="404" spans="1:6" x14ac:dyDescent="0.25">
      <c r="A404" s="7"/>
      <c r="E404" s="7"/>
      <c r="F404" s="7"/>
    </row>
    <row r="405" spans="1:6" x14ac:dyDescent="0.25">
      <c r="A405" s="7"/>
      <c r="E405" s="7"/>
      <c r="F405" s="7"/>
    </row>
    <row r="406" spans="1:6" x14ac:dyDescent="0.25">
      <c r="A406" s="7"/>
      <c r="E406" s="7"/>
      <c r="F406" s="7"/>
    </row>
    <row r="407" spans="1:6" x14ac:dyDescent="0.25">
      <c r="A407" s="7"/>
      <c r="E407" s="7"/>
      <c r="F407" s="7"/>
    </row>
    <row r="408" spans="1:6" x14ac:dyDescent="0.25">
      <c r="A408" s="7"/>
      <c r="E408" s="7"/>
      <c r="F408" s="7"/>
    </row>
    <row r="409" spans="1:6" x14ac:dyDescent="0.25">
      <c r="A409" s="7"/>
      <c r="E409" s="7"/>
      <c r="F409" s="7"/>
    </row>
    <row r="410" spans="1:6" x14ac:dyDescent="0.25">
      <c r="A410" s="7"/>
      <c r="E410" s="7"/>
      <c r="F410" s="7"/>
    </row>
    <row r="411" spans="1:6" x14ac:dyDescent="0.25">
      <c r="A411" s="7"/>
      <c r="E411" s="7"/>
      <c r="F411" s="7"/>
    </row>
    <row r="412" spans="1:6" x14ac:dyDescent="0.25">
      <c r="A412" s="7"/>
      <c r="E412" s="7"/>
      <c r="F412" s="7"/>
    </row>
    <row r="413" spans="1:6" x14ac:dyDescent="0.25">
      <c r="A413" s="7"/>
      <c r="E413" s="7"/>
      <c r="F413" s="7"/>
    </row>
    <row r="414" spans="1:6" x14ac:dyDescent="0.25">
      <c r="A414" s="7"/>
      <c r="E414" s="7"/>
      <c r="F414" s="7"/>
    </row>
    <row r="415" spans="1:6" x14ac:dyDescent="0.25">
      <c r="A415" s="7"/>
      <c r="E415" s="7"/>
      <c r="F415" s="7"/>
    </row>
    <row r="416" spans="1:6" x14ac:dyDescent="0.25">
      <c r="A416" s="7"/>
      <c r="E416" s="7"/>
      <c r="F416" s="7"/>
    </row>
    <row r="417" spans="1:6" x14ac:dyDescent="0.25">
      <c r="A417" s="7"/>
      <c r="E417" s="7"/>
      <c r="F417" s="7"/>
    </row>
    <row r="418" spans="1:6" x14ac:dyDescent="0.25">
      <c r="A418" s="7"/>
      <c r="E418" s="7"/>
      <c r="F418" s="7"/>
    </row>
    <row r="419" spans="1:6" x14ac:dyDescent="0.25">
      <c r="A419" s="7"/>
      <c r="E419" s="7"/>
      <c r="F419" s="7"/>
    </row>
    <row r="420" spans="1:6" x14ac:dyDescent="0.25">
      <c r="A420" s="7"/>
      <c r="E420" s="7"/>
      <c r="F420" s="7"/>
    </row>
    <row r="421" spans="1:6" x14ac:dyDescent="0.25">
      <c r="A421" s="7"/>
      <c r="E421" s="7"/>
      <c r="F421" s="7"/>
    </row>
    <row r="422" spans="1:6" x14ac:dyDescent="0.25">
      <c r="A422" s="7"/>
      <c r="E422" s="7"/>
      <c r="F422" s="7"/>
    </row>
    <row r="423" spans="1:6" x14ac:dyDescent="0.25">
      <c r="A423" s="7"/>
      <c r="E423" s="7"/>
      <c r="F423" s="7"/>
    </row>
    <row r="424" spans="1:6" x14ac:dyDescent="0.25">
      <c r="A424" s="7"/>
      <c r="E424" s="7"/>
      <c r="F424" s="7"/>
    </row>
    <row r="425" spans="1:6" x14ac:dyDescent="0.25">
      <c r="A425" s="7"/>
      <c r="E425" s="7"/>
      <c r="F425" s="7"/>
    </row>
    <row r="426" spans="1:6" x14ac:dyDescent="0.25">
      <c r="A426" s="7"/>
      <c r="E426" s="7"/>
      <c r="F426" s="7"/>
    </row>
    <row r="427" spans="1:6" x14ac:dyDescent="0.25">
      <c r="A427" s="7"/>
      <c r="E427" s="7"/>
      <c r="F427" s="7"/>
    </row>
    <row r="428" spans="1:6" x14ac:dyDescent="0.25">
      <c r="A428" s="7"/>
      <c r="E428" s="7"/>
      <c r="F428" s="7"/>
    </row>
    <row r="429" spans="1:6" x14ac:dyDescent="0.25">
      <c r="A429" s="7"/>
      <c r="E429" s="7"/>
      <c r="F429" s="7"/>
    </row>
    <row r="430" spans="1:6" x14ac:dyDescent="0.25">
      <c r="A430" s="7"/>
      <c r="E430" s="7"/>
      <c r="F430" s="7"/>
    </row>
    <row r="431" spans="1:6" x14ac:dyDescent="0.25">
      <c r="A431" s="7"/>
      <c r="E431" s="7"/>
      <c r="F431" s="7"/>
    </row>
    <row r="432" spans="1:6" x14ac:dyDescent="0.25">
      <c r="A432" s="7"/>
      <c r="E432" s="7"/>
      <c r="F432" s="7"/>
    </row>
    <row r="433" spans="1:6" x14ac:dyDescent="0.25">
      <c r="A433" s="7"/>
      <c r="E433" s="7"/>
      <c r="F433" s="7"/>
    </row>
    <row r="434" spans="1:6" x14ac:dyDescent="0.25">
      <c r="A434" s="7"/>
      <c r="E434" s="7"/>
      <c r="F434" s="7"/>
    </row>
    <row r="435" spans="1:6" x14ac:dyDescent="0.25">
      <c r="A435" s="7"/>
      <c r="E435" s="7"/>
      <c r="F435" s="7"/>
    </row>
    <row r="436" spans="1:6" x14ac:dyDescent="0.25">
      <c r="A436" s="7"/>
      <c r="E436" s="7"/>
      <c r="F436" s="7"/>
    </row>
    <row r="437" spans="1:6" x14ac:dyDescent="0.25">
      <c r="A437" s="7"/>
      <c r="E437" s="7"/>
      <c r="F437" s="7"/>
    </row>
    <row r="438" spans="1:6" x14ac:dyDescent="0.25">
      <c r="A438" s="7"/>
      <c r="E438" s="7"/>
      <c r="F438" s="7"/>
    </row>
    <row r="439" spans="1:6" x14ac:dyDescent="0.25">
      <c r="A439" s="7"/>
      <c r="E439" s="7"/>
      <c r="F439" s="7"/>
    </row>
    <row r="440" spans="1:6" x14ac:dyDescent="0.25">
      <c r="A440" s="7"/>
      <c r="E440" s="7"/>
      <c r="F440" s="7"/>
    </row>
    <row r="441" spans="1:6" x14ac:dyDescent="0.25">
      <c r="A441" s="7"/>
      <c r="E441" s="7"/>
      <c r="F441" s="7"/>
    </row>
    <row r="442" spans="1:6" x14ac:dyDescent="0.25">
      <c r="A442" s="7"/>
      <c r="E442" s="7"/>
      <c r="F442" s="7"/>
    </row>
    <row r="443" spans="1:6" x14ac:dyDescent="0.25">
      <c r="A443" s="7"/>
      <c r="E443" s="7"/>
      <c r="F443" s="7"/>
    </row>
    <row r="444" spans="1:6" x14ac:dyDescent="0.25">
      <c r="A444" s="7"/>
      <c r="E444" s="7"/>
      <c r="F444" s="7"/>
    </row>
    <row r="445" spans="1:6" x14ac:dyDescent="0.25">
      <c r="A445" s="7"/>
      <c r="E445" s="7"/>
      <c r="F445" s="7"/>
    </row>
    <row r="446" spans="1:6" x14ac:dyDescent="0.25">
      <c r="A446" s="7"/>
      <c r="E446" s="7"/>
      <c r="F446" s="7"/>
    </row>
    <row r="447" spans="1:6" x14ac:dyDescent="0.25">
      <c r="A447" s="7"/>
      <c r="E447" s="7"/>
      <c r="F447" s="7"/>
    </row>
    <row r="448" spans="1:6" x14ac:dyDescent="0.25">
      <c r="A448" s="7"/>
      <c r="E448" s="7"/>
      <c r="F448" s="7"/>
    </row>
    <row r="449" spans="1:6" x14ac:dyDescent="0.25">
      <c r="A449" s="7"/>
      <c r="E449" s="7"/>
      <c r="F449" s="7"/>
    </row>
    <row r="450" spans="1:6" x14ac:dyDescent="0.25">
      <c r="A450" s="7"/>
      <c r="E450" s="7"/>
      <c r="F450" s="7"/>
    </row>
    <row r="451" spans="1:6" x14ac:dyDescent="0.25">
      <c r="A451" s="7"/>
      <c r="E451" s="7"/>
      <c r="F451" s="7"/>
    </row>
    <row r="452" spans="1:6" x14ac:dyDescent="0.25">
      <c r="A452" s="7"/>
      <c r="E452" s="7"/>
      <c r="F452" s="7"/>
    </row>
    <row r="453" spans="1:6" x14ac:dyDescent="0.25">
      <c r="A453" s="7"/>
      <c r="E453" s="7"/>
      <c r="F453" s="7"/>
    </row>
    <row r="454" spans="1:6" x14ac:dyDescent="0.25">
      <c r="A454" s="7"/>
      <c r="E454" s="7"/>
      <c r="F454" s="7"/>
    </row>
    <row r="455" spans="1:6" x14ac:dyDescent="0.25">
      <c r="A455" s="7"/>
      <c r="E455" s="7"/>
      <c r="F455" s="7"/>
    </row>
    <row r="456" spans="1:6" x14ac:dyDescent="0.25">
      <c r="A456" s="7"/>
      <c r="E456" s="7"/>
      <c r="F456" s="7"/>
    </row>
    <row r="457" spans="1:6" x14ac:dyDescent="0.25">
      <c r="A457" s="7"/>
      <c r="E457" s="7"/>
      <c r="F457" s="7"/>
    </row>
    <row r="458" spans="1:6" x14ac:dyDescent="0.25">
      <c r="A458" s="7"/>
      <c r="E458" s="7"/>
      <c r="F458" s="7"/>
    </row>
    <row r="459" spans="1:6" x14ac:dyDescent="0.25">
      <c r="A459" s="7"/>
      <c r="E459" s="7"/>
      <c r="F459" s="7"/>
    </row>
    <row r="460" spans="1:6" x14ac:dyDescent="0.25">
      <c r="A460" s="7"/>
      <c r="E460" s="7"/>
      <c r="F460" s="7"/>
    </row>
    <row r="461" spans="1:6" x14ac:dyDescent="0.25">
      <c r="A461" s="7"/>
      <c r="E461" s="7"/>
      <c r="F461" s="7"/>
    </row>
    <row r="462" spans="1:6" x14ac:dyDescent="0.25">
      <c r="A462" s="7"/>
      <c r="E462" s="7"/>
      <c r="F462" s="7"/>
    </row>
    <row r="463" spans="1:6" x14ac:dyDescent="0.25">
      <c r="A463" s="7"/>
      <c r="E463" s="7"/>
      <c r="F463" s="7"/>
    </row>
    <row r="464" spans="1:6" x14ac:dyDescent="0.25">
      <c r="A464" s="7"/>
      <c r="E464" s="7"/>
      <c r="F464" s="7"/>
    </row>
    <row r="465" spans="1:6" x14ac:dyDescent="0.25">
      <c r="A465" s="7"/>
      <c r="E465" s="7"/>
      <c r="F465" s="7"/>
    </row>
    <row r="466" spans="1:6" x14ac:dyDescent="0.25">
      <c r="A466" s="7"/>
      <c r="E466" s="7"/>
      <c r="F466" s="7"/>
    </row>
    <row r="467" spans="1:6" x14ac:dyDescent="0.25">
      <c r="A467" s="7"/>
      <c r="E467" s="7"/>
      <c r="F467" s="7"/>
    </row>
    <row r="468" spans="1:6" x14ac:dyDescent="0.25">
      <c r="A468" s="7"/>
      <c r="E468" s="7"/>
      <c r="F468" s="7"/>
    </row>
    <row r="469" spans="1:6" x14ac:dyDescent="0.25">
      <c r="A469" s="7"/>
      <c r="E469" s="7"/>
      <c r="F469" s="7"/>
    </row>
    <row r="470" spans="1:6" x14ac:dyDescent="0.25">
      <c r="A470" s="7"/>
      <c r="E470" s="7"/>
      <c r="F470" s="7"/>
    </row>
    <row r="471" spans="1:6" x14ac:dyDescent="0.25">
      <c r="A471" s="7"/>
      <c r="E471" s="7"/>
      <c r="F471" s="7"/>
    </row>
    <row r="472" spans="1:6" x14ac:dyDescent="0.25">
      <c r="A472" s="7"/>
      <c r="E472" s="7"/>
      <c r="F472" s="7"/>
    </row>
    <row r="473" spans="1:6" x14ac:dyDescent="0.25">
      <c r="A473" s="7"/>
      <c r="E473" s="7"/>
      <c r="F473" s="7"/>
    </row>
    <row r="474" spans="1:6" x14ac:dyDescent="0.25">
      <c r="A474" s="7"/>
      <c r="E474" s="7"/>
      <c r="F474" s="7"/>
    </row>
    <row r="475" spans="1:6" x14ac:dyDescent="0.25">
      <c r="A475" s="7"/>
      <c r="E475" s="7"/>
      <c r="F475" s="7"/>
    </row>
    <row r="476" spans="1:6" x14ac:dyDescent="0.25">
      <c r="A476" s="7"/>
      <c r="E476" s="7"/>
      <c r="F476" s="7"/>
    </row>
    <row r="477" spans="1:6" x14ac:dyDescent="0.25">
      <c r="A477" s="7"/>
      <c r="E477" s="7"/>
      <c r="F477" s="7"/>
    </row>
    <row r="478" spans="1:6" x14ac:dyDescent="0.25">
      <c r="A478" s="7"/>
      <c r="E478" s="7"/>
      <c r="F478" s="7"/>
    </row>
    <row r="479" spans="1:6" x14ac:dyDescent="0.25">
      <c r="A479" s="7"/>
      <c r="E479" s="7"/>
      <c r="F479" s="7"/>
    </row>
    <row r="480" spans="1:6" x14ac:dyDescent="0.25">
      <c r="A480" s="7"/>
      <c r="E480" s="7"/>
      <c r="F480" s="7"/>
    </row>
    <row r="481" spans="1:6" x14ac:dyDescent="0.25">
      <c r="A481" s="7"/>
      <c r="E481" s="7"/>
      <c r="F481" s="7"/>
    </row>
    <row r="482" spans="1:6" x14ac:dyDescent="0.25">
      <c r="A482" s="7"/>
      <c r="E482" s="7"/>
      <c r="F482" s="7"/>
    </row>
    <row r="483" spans="1:6" x14ac:dyDescent="0.25">
      <c r="A483" s="7"/>
      <c r="E483" s="7"/>
      <c r="F483" s="7"/>
    </row>
    <row r="484" spans="1:6" x14ac:dyDescent="0.25">
      <c r="A484" s="7"/>
      <c r="E484" s="7"/>
      <c r="F484" s="7"/>
    </row>
    <row r="485" spans="1:6" x14ac:dyDescent="0.25">
      <c r="A485" s="7"/>
      <c r="E485" s="7"/>
      <c r="F485" s="7"/>
    </row>
    <row r="486" spans="1:6" x14ac:dyDescent="0.25">
      <c r="A486" s="7"/>
      <c r="E486" s="7"/>
      <c r="F486" s="7"/>
    </row>
    <row r="487" spans="1:6" x14ac:dyDescent="0.25">
      <c r="A487" s="7"/>
      <c r="E487" s="7"/>
      <c r="F487" s="7"/>
    </row>
    <row r="488" spans="1:6" x14ac:dyDescent="0.25">
      <c r="A488" s="7"/>
      <c r="E488" s="7"/>
      <c r="F488" s="7"/>
    </row>
    <row r="489" spans="1:6" x14ac:dyDescent="0.25">
      <c r="A489" s="7"/>
      <c r="E489" s="7"/>
      <c r="F489" s="7"/>
    </row>
    <row r="490" spans="1:6" x14ac:dyDescent="0.25">
      <c r="A490" s="7"/>
      <c r="E490" s="7"/>
      <c r="F490" s="7"/>
    </row>
    <row r="491" spans="1:6" x14ac:dyDescent="0.25">
      <c r="A491" s="7"/>
      <c r="E491" s="7"/>
      <c r="F491" s="7"/>
    </row>
    <row r="492" spans="1:6" x14ac:dyDescent="0.25">
      <c r="A492" s="7"/>
      <c r="E492" s="7"/>
      <c r="F492" s="7"/>
    </row>
    <row r="493" spans="1:6" x14ac:dyDescent="0.25">
      <c r="A493" s="7"/>
      <c r="E493" s="7"/>
      <c r="F493" s="7"/>
    </row>
    <row r="494" spans="1:6" x14ac:dyDescent="0.25">
      <c r="A494" s="7"/>
      <c r="E494" s="7"/>
      <c r="F494" s="7"/>
    </row>
    <row r="495" spans="1:6" x14ac:dyDescent="0.25">
      <c r="A495" s="7"/>
      <c r="E495" s="7"/>
      <c r="F495" s="7"/>
    </row>
    <row r="496" spans="1:6" x14ac:dyDescent="0.25">
      <c r="A496" s="7"/>
      <c r="E496" s="7"/>
      <c r="F496" s="7"/>
    </row>
    <row r="497" spans="1:6" x14ac:dyDescent="0.25">
      <c r="A497" s="7"/>
      <c r="E497" s="7"/>
      <c r="F497" s="7"/>
    </row>
    <row r="498" spans="1:6" x14ac:dyDescent="0.25">
      <c r="A498" s="7"/>
      <c r="E498" s="7"/>
      <c r="F498" s="7"/>
    </row>
    <row r="499" spans="1:6" x14ac:dyDescent="0.25">
      <c r="A499" s="7"/>
      <c r="E499" s="7"/>
      <c r="F499" s="7"/>
    </row>
    <row r="500" spans="1:6" x14ac:dyDescent="0.25">
      <c r="A500" s="7"/>
      <c r="E500" s="7"/>
      <c r="F500" s="7"/>
    </row>
    <row r="501" spans="1:6" x14ac:dyDescent="0.25">
      <c r="A501" s="7"/>
      <c r="E501" s="7"/>
      <c r="F501" s="7"/>
    </row>
    <row r="502" spans="1:6" x14ac:dyDescent="0.25">
      <c r="A502" s="7"/>
      <c r="E502" s="7"/>
      <c r="F502" s="7"/>
    </row>
    <row r="503" spans="1:6" x14ac:dyDescent="0.25">
      <c r="A503" s="7"/>
      <c r="E503" s="7"/>
      <c r="F503" s="7"/>
    </row>
    <row r="504" spans="1:6" x14ac:dyDescent="0.25">
      <c r="A504" s="7"/>
      <c r="E504" s="7"/>
      <c r="F504" s="7"/>
    </row>
    <row r="505" spans="1:6" x14ac:dyDescent="0.25">
      <c r="A505" s="7"/>
      <c r="E505" s="7"/>
      <c r="F505" s="7"/>
    </row>
    <row r="506" spans="1:6" x14ac:dyDescent="0.25">
      <c r="A506" s="7"/>
      <c r="E506" s="7"/>
      <c r="F506" s="7"/>
    </row>
    <row r="507" spans="1:6" x14ac:dyDescent="0.25">
      <c r="A507" s="7"/>
      <c r="E507" s="7"/>
      <c r="F507" s="7"/>
    </row>
    <row r="508" spans="1:6" x14ac:dyDescent="0.25">
      <c r="A508" s="7"/>
      <c r="E508" s="7"/>
      <c r="F508" s="7"/>
    </row>
    <row r="509" spans="1:6" x14ac:dyDescent="0.25">
      <c r="A509" s="7"/>
      <c r="E509" s="7"/>
      <c r="F509" s="7"/>
    </row>
    <row r="510" spans="1:6" x14ac:dyDescent="0.25">
      <c r="A510" s="7"/>
      <c r="E510" s="7"/>
      <c r="F510" s="7"/>
    </row>
    <row r="511" spans="1:6" x14ac:dyDescent="0.25">
      <c r="A511" s="7"/>
      <c r="E511" s="7"/>
      <c r="F511" s="7"/>
    </row>
    <row r="512" spans="1:6" x14ac:dyDescent="0.25">
      <c r="A512" s="7"/>
      <c r="E512" s="7"/>
      <c r="F512" s="7"/>
    </row>
    <row r="513" spans="1:6" x14ac:dyDescent="0.25">
      <c r="A513" s="7"/>
      <c r="E513" s="7"/>
      <c r="F513" s="7"/>
    </row>
    <row r="514" spans="1:6" x14ac:dyDescent="0.25">
      <c r="A514" s="7"/>
      <c r="E514" s="7"/>
      <c r="F514" s="7"/>
    </row>
    <row r="515" spans="1:6" x14ac:dyDescent="0.25">
      <c r="A515" s="7"/>
      <c r="E515" s="7"/>
      <c r="F515" s="7"/>
    </row>
    <row r="516" spans="1:6" x14ac:dyDescent="0.25">
      <c r="A516" s="7"/>
      <c r="E516" s="7"/>
      <c r="F516" s="7"/>
    </row>
    <row r="517" spans="1:6" x14ac:dyDescent="0.25">
      <c r="A517" s="7"/>
      <c r="E517" s="7"/>
      <c r="F517" s="7"/>
    </row>
    <row r="518" spans="1:6" x14ac:dyDescent="0.25">
      <c r="A518" s="7"/>
      <c r="E518" s="7"/>
      <c r="F518" s="7"/>
    </row>
    <row r="519" spans="1:6" x14ac:dyDescent="0.25">
      <c r="A519" s="7"/>
      <c r="E519" s="7"/>
      <c r="F519" s="7"/>
    </row>
    <row r="520" spans="1:6" x14ac:dyDescent="0.25">
      <c r="A520" s="7"/>
      <c r="E520" s="7"/>
      <c r="F520" s="7"/>
    </row>
    <row r="521" spans="1:6" x14ac:dyDescent="0.25">
      <c r="A521" s="7"/>
      <c r="E521" s="7"/>
      <c r="F521" s="7"/>
    </row>
    <row r="522" spans="1:6" x14ac:dyDescent="0.25">
      <c r="A522" s="7"/>
      <c r="E522" s="7"/>
      <c r="F522" s="7"/>
    </row>
    <row r="523" spans="1:6" x14ac:dyDescent="0.25">
      <c r="A523" s="7"/>
      <c r="E523" s="7"/>
      <c r="F523" s="7"/>
    </row>
    <row r="524" spans="1:6" x14ac:dyDescent="0.25">
      <c r="A524" s="7"/>
      <c r="E524" s="7"/>
      <c r="F524" s="7"/>
    </row>
    <row r="525" spans="1:6" x14ac:dyDescent="0.25">
      <c r="A525" s="7"/>
      <c r="E525" s="7"/>
      <c r="F525" s="7"/>
    </row>
    <row r="526" spans="1:6" x14ac:dyDescent="0.25">
      <c r="A526" s="7"/>
      <c r="E526" s="7"/>
      <c r="F526" s="7"/>
    </row>
    <row r="527" spans="1:6" x14ac:dyDescent="0.25">
      <c r="A527" s="7"/>
      <c r="E527" s="7"/>
      <c r="F527" s="7"/>
    </row>
    <row r="528" spans="1:6" x14ac:dyDescent="0.25">
      <c r="A528" s="7"/>
      <c r="E528" s="7"/>
      <c r="F528" s="7"/>
    </row>
    <row r="529" spans="1:6" x14ac:dyDescent="0.25">
      <c r="A529" s="7"/>
      <c r="E529" s="7"/>
      <c r="F529" s="7"/>
    </row>
    <row r="530" spans="1:6" x14ac:dyDescent="0.25">
      <c r="A530" s="7"/>
      <c r="E530" s="7"/>
      <c r="F530" s="7"/>
    </row>
    <row r="531" spans="1:6" x14ac:dyDescent="0.25">
      <c r="A531" s="7"/>
      <c r="E531" s="7"/>
      <c r="F531" s="7"/>
    </row>
    <row r="532" spans="1:6" x14ac:dyDescent="0.25">
      <c r="A532" s="7"/>
      <c r="E532" s="7"/>
      <c r="F532" s="7"/>
    </row>
    <row r="533" spans="1:6" x14ac:dyDescent="0.25">
      <c r="A533" s="7"/>
      <c r="E533" s="7"/>
      <c r="F533" s="7"/>
    </row>
    <row r="534" spans="1:6" x14ac:dyDescent="0.25">
      <c r="A534" s="7"/>
      <c r="E534" s="7"/>
      <c r="F534" s="7"/>
    </row>
    <row r="535" spans="1:6" x14ac:dyDescent="0.25">
      <c r="A535" s="7"/>
      <c r="E535" s="7"/>
      <c r="F535" s="7"/>
    </row>
    <row r="536" spans="1:6" x14ac:dyDescent="0.25">
      <c r="A536" s="7"/>
      <c r="E536" s="7"/>
      <c r="F536" s="7"/>
    </row>
    <row r="537" spans="1:6" x14ac:dyDescent="0.25">
      <c r="A537" s="7"/>
      <c r="E537" s="7"/>
      <c r="F537" s="7"/>
    </row>
    <row r="538" spans="1:6" x14ac:dyDescent="0.25">
      <c r="A538" s="7"/>
      <c r="E538" s="7"/>
      <c r="F538" s="7"/>
    </row>
    <row r="539" spans="1:6" x14ac:dyDescent="0.25">
      <c r="A539" s="7"/>
      <c r="E539" s="7"/>
      <c r="F539" s="7"/>
    </row>
    <row r="540" spans="1:6" x14ac:dyDescent="0.25">
      <c r="A540" s="7"/>
      <c r="E540" s="7"/>
      <c r="F540" s="7"/>
    </row>
    <row r="541" spans="1:6" x14ac:dyDescent="0.25">
      <c r="A541" s="7"/>
      <c r="E541" s="7"/>
      <c r="F541" s="7"/>
    </row>
    <row r="542" spans="1:6" x14ac:dyDescent="0.25">
      <c r="A542" s="7"/>
      <c r="E542" s="7"/>
      <c r="F542" s="7"/>
    </row>
    <row r="543" spans="1:6" x14ac:dyDescent="0.25">
      <c r="A543" s="7"/>
      <c r="E543" s="7"/>
      <c r="F543" s="7"/>
    </row>
    <row r="544" spans="1:6" x14ac:dyDescent="0.25">
      <c r="A544" s="7"/>
      <c r="E544" s="7"/>
      <c r="F544" s="7"/>
    </row>
    <row r="545" spans="1:6" x14ac:dyDescent="0.25">
      <c r="A545" s="7"/>
      <c r="E545" s="7"/>
      <c r="F545" s="7"/>
    </row>
    <row r="546" spans="1:6" x14ac:dyDescent="0.25">
      <c r="A546" s="7"/>
      <c r="E546" s="7"/>
      <c r="F546" s="7"/>
    </row>
    <row r="547" spans="1:6" x14ac:dyDescent="0.25">
      <c r="A547" s="7"/>
      <c r="E547" s="7"/>
      <c r="F547" s="7"/>
    </row>
    <row r="548" spans="1:6" x14ac:dyDescent="0.25">
      <c r="A548" s="7"/>
      <c r="E548" s="7"/>
      <c r="F548" s="7"/>
    </row>
    <row r="549" spans="1:6" x14ac:dyDescent="0.25">
      <c r="A549" s="7"/>
      <c r="E549" s="7"/>
      <c r="F549" s="7"/>
    </row>
    <row r="550" spans="1:6" x14ac:dyDescent="0.25">
      <c r="A550" s="7"/>
      <c r="E550" s="7"/>
      <c r="F550" s="7"/>
    </row>
    <row r="551" spans="1:6" x14ac:dyDescent="0.25">
      <c r="A551" s="7"/>
      <c r="E551" s="7"/>
      <c r="F551" s="7"/>
    </row>
    <row r="552" spans="1:6" x14ac:dyDescent="0.25">
      <c r="A552" s="7"/>
      <c r="E552" s="7"/>
      <c r="F552" s="7"/>
    </row>
    <row r="553" spans="1:6" x14ac:dyDescent="0.25">
      <c r="A553" s="7"/>
      <c r="E553" s="7"/>
      <c r="F553" s="7"/>
    </row>
    <row r="554" spans="1:6" x14ac:dyDescent="0.25">
      <c r="A554" s="7"/>
      <c r="E554" s="7"/>
      <c r="F554" s="7"/>
    </row>
    <row r="555" spans="1:6" x14ac:dyDescent="0.25">
      <c r="A555" s="7"/>
      <c r="E555" s="7"/>
      <c r="F555" s="7"/>
    </row>
    <row r="556" spans="1:6" x14ac:dyDescent="0.25">
      <c r="A556" s="7"/>
      <c r="E556" s="7"/>
      <c r="F556" s="7"/>
    </row>
    <row r="557" spans="1:6" x14ac:dyDescent="0.25">
      <c r="A557" s="7"/>
      <c r="E557" s="7"/>
      <c r="F557" s="7"/>
    </row>
    <row r="558" spans="1:6" x14ac:dyDescent="0.25">
      <c r="A558" s="7"/>
      <c r="E558" s="7"/>
      <c r="F558" s="7"/>
    </row>
    <row r="559" spans="1:6" x14ac:dyDescent="0.25">
      <c r="A559" s="7"/>
      <c r="E559" s="7"/>
      <c r="F559" s="7"/>
    </row>
    <row r="560" spans="1:6" x14ac:dyDescent="0.25">
      <c r="A560" s="7"/>
      <c r="E560" s="7"/>
      <c r="F560" s="7"/>
    </row>
    <row r="561" spans="1:6" x14ac:dyDescent="0.25">
      <c r="A561" s="7"/>
      <c r="E561" s="7"/>
      <c r="F561" s="7"/>
    </row>
    <row r="562" spans="1:6" x14ac:dyDescent="0.25">
      <c r="A562" s="7"/>
      <c r="E562" s="7"/>
      <c r="F562" s="7"/>
    </row>
    <row r="563" spans="1:6" x14ac:dyDescent="0.25">
      <c r="A563" s="7"/>
      <c r="E563" s="7"/>
      <c r="F563" s="7"/>
    </row>
    <row r="564" spans="1:6" x14ac:dyDescent="0.25">
      <c r="A564" s="7"/>
      <c r="E564" s="7"/>
      <c r="F564" s="7"/>
    </row>
    <row r="565" spans="1:6" x14ac:dyDescent="0.25">
      <c r="A565" s="7"/>
      <c r="E565" s="7"/>
      <c r="F565" s="7"/>
    </row>
    <row r="566" spans="1:6" x14ac:dyDescent="0.25">
      <c r="A566" s="7"/>
      <c r="E566" s="7"/>
      <c r="F566" s="7"/>
    </row>
    <row r="567" spans="1:6" x14ac:dyDescent="0.25">
      <c r="A567" s="7"/>
      <c r="E567" s="7"/>
      <c r="F567" s="7"/>
    </row>
    <row r="568" spans="1:6" x14ac:dyDescent="0.25">
      <c r="A568" s="7"/>
      <c r="E568" s="7"/>
      <c r="F568" s="7"/>
    </row>
    <row r="569" spans="1:6" x14ac:dyDescent="0.25">
      <c r="A569" s="7"/>
      <c r="E569" s="7"/>
      <c r="F569" s="7"/>
    </row>
    <row r="570" spans="1:6" x14ac:dyDescent="0.25">
      <c r="A570" s="7"/>
      <c r="E570" s="7"/>
      <c r="F570" s="7"/>
    </row>
    <row r="571" spans="1:6" x14ac:dyDescent="0.25">
      <c r="A571" s="7"/>
      <c r="E571" s="7"/>
      <c r="F571" s="7"/>
    </row>
    <row r="572" spans="1:6" x14ac:dyDescent="0.25">
      <c r="A572" s="7"/>
      <c r="E572" s="7"/>
      <c r="F572" s="7"/>
    </row>
    <row r="573" spans="1:6" x14ac:dyDescent="0.25">
      <c r="A573" s="7"/>
      <c r="E573" s="7"/>
      <c r="F573" s="7"/>
    </row>
    <row r="574" spans="1:6" x14ac:dyDescent="0.25">
      <c r="A574" s="7"/>
      <c r="E574" s="7"/>
      <c r="F574" s="7"/>
    </row>
    <row r="575" spans="1:6" x14ac:dyDescent="0.25">
      <c r="A575" s="7"/>
      <c r="E575" s="7"/>
      <c r="F575" s="7"/>
    </row>
    <row r="576" spans="1:6" x14ac:dyDescent="0.25">
      <c r="A576" s="7"/>
      <c r="E576" s="7"/>
      <c r="F576" s="7"/>
    </row>
    <row r="577" spans="1:6" x14ac:dyDescent="0.25">
      <c r="A577" s="7"/>
      <c r="E577" s="7"/>
      <c r="F577" s="7"/>
    </row>
    <row r="578" spans="1:6" x14ac:dyDescent="0.25">
      <c r="A578" s="7"/>
      <c r="E578" s="7"/>
      <c r="F578" s="7"/>
    </row>
    <row r="579" spans="1:6" x14ac:dyDescent="0.25">
      <c r="A579" s="7"/>
      <c r="E579" s="7"/>
      <c r="F579" s="7"/>
    </row>
    <row r="580" spans="1:6" x14ac:dyDescent="0.25">
      <c r="A580" s="7"/>
      <c r="E580" s="7"/>
      <c r="F580" s="7"/>
    </row>
    <row r="581" spans="1:6" x14ac:dyDescent="0.25">
      <c r="A581" s="7"/>
      <c r="E581" s="7"/>
      <c r="F581" s="7"/>
    </row>
    <row r="582" spans="1:6" x14ac:dyDescent="0.25">
      <c r="A582" s="7"/>
      <c r="E582" s="7"/>
      <c r="F582" s="7"/>
    </row>
    <row r="583" spans="1:6" x14ac:dyDescent="0.25">
      <c r="A583" s="7"/>
      <c r="E583" s="7"/>
      <c r="F583" s="7"/>
    </row>
    <row r="584" spans="1:6" x14ac:dyDescent="0.25">
      <c r="A584" s="7"/>
      <c r="E584" s="7"/>
      <c r="F584" s="7"/>
    </row>
    <row r="585" spans="1:6" x14ac:dyDescent="0.25">
      <c r="A585" s="7"/>
      <c r="E585" s="7"/>
      <c r="F585" s="7"/>
    </row>
    <row r="586" spans="1:6" x14ac:dyDescent="0.25">
      <c r="A586" s="7"/>
      <c r="E586" s="7"/>
      <c r="F586" s="7"/>
    </row>
    <row r="587" spans="1:6" x14ac:dyDescent="0.25">
      <c r="A587" s="7"/>
      <c r="E587" s="7"/>
      <c r="F587" s="7"/>
    </row>
    <row r="588" spans="1:6" x14ac:dyDescent="0.25">
      <c r="A588" s="7"/>
      <c r="E588" s="7"/>
      <c r="F588" s="7"/>
    </row>
    <row r="589" spans="1:6" x14ac:dyDescent="0.25">
      <c r="A589" s="7"/>
      <c r="E589" s="7"/>
      <c r="F589" s="7"/>
    </row>
    <row r="590" spans="1:6" x14ac:dyDescent="0.25">
      <c r="A590" s="7"/>
      <c r="E590" s="7"/>
      <c r="F590" s="7"/>
    </row>
    <row r="591" spans="1:6" x14ac:dyDescent="0.25">
      <c r="A591" s="7"/>
      <c r="E591" s="7"/>
      <c r="F591" s="7"/>
    </row>
    <row r="592" spans="1:6" x14ac:dyDescent="0.25">
      <c r="A592" s="7"/>
      <c r="E592" s="7"/>
      <c r="F592" s="7"/>
    </row>
    <row r="593" spans="1:6" x14ac:dyDescent="0.25">
      <c r="A593" s="7"/>
      <c r="E593" s="7"/>
      <c r="F593" s="7"/>
    </row>
    <row r="594" spans="1:6" x14ac:dyDescent="0.25">
      <c r="A594" s="7"/>
      <c r="E594" s="7"/>
      <c r="F594" s="7"/>
    </row>
    <row r="595" spans="1:6" x14ac:dyDescent="0.25">
      <c r="A595" s="7"/>
      <c r="E595" s="7"/>
      <c r="F595" s="7"/>
    </row>
    <row r="596" spans="1:6" x14ac:dyDescent="0.25">
      <c r="A596" s="7"/>
      <c r="E596" s="7"/>
      <c r="F596" s="7"/>
    </row>
    <row r="597" spans="1:6" x14ac:dyDescent="0.25">
      <c r="A597" s="7"/>
      <c r="E597" s="7"/>
      <c r="F597" s="7"/>
    </row>
    <row r="598" spans="1:6" x14ac:dyDescent="0.25">
      <c r="A598" s="7"/>
      <c r="E598" s="7"/>
      <c r="F598" s="7"/>
    </row>
    <row r="599" spans="1:6" x14ac:dyDescent="0.25">
      <c r="A599" s="7"/>
      <c r="E599" s="7"/>
      <c r="F599" s="7"/>
    </row>
    <row r="600" spans="1:6" x14ac:dyDescent="0.25">
      <c r="A600" s="7"/>
      <c r="E600" s="7"/>
      <c r="F600" s="7"/>
    </row>
    <row r="601" spans="1:6" x14ac:dyDescent="0.25">
      <c r="A601" s="7"/>
      <c r="E601" s="7"/>
      <c r="F601" s="7"/>
    </row>
    <row r="602" spans="1:6" x14ac:dyDescent="0.25">
      <c r="A602" s="7"/>
      <c r="E602" s="7"/>
      <c r="F602" s="7"/>
    </row>
    <row r="603" spans="1:6" x14ac:dyDescent="0.25">
      <c r="A603" s="7"/>
      <c r="E603" s="7"/>
      <c r="F603" s="7"/>
    </row>
    <row r="604" spans="1:6" x14ac:dyDescent="0.25">
      <c r="A604" s="7"/>
      <c r="E604" s="7"/>
      <c r="F604" s="7"/>
    </row>
    <row r="605" spans="1:6" x14ac:dyDescent="0.25">
      <c r="A605" s="7"/>
      <c r="E605" s="7"/>
      <c r="F605" s="7"/>
    </row>
    <row r="606" spans="1:6" x14ac:dyDescent="0.25">
      <c r="A606" s="7"/>
      <c r="E606" s="7"/>
      <c r="F606" s="7"/>
    </row>
    <row r="607" spans="1:6" x14ac:dyDescent="0.25">
      <c r="A607" s="7"/>
      <c r="E607" s="7"/>
      <c r="F607" s="7"/>
    </row>
    <row r="608" spans="1:6" x14ac:dyDescent="0.25">
      <c r="A608" s="7"/>
      <c r="E608" s="7"/>
      <c r="F608" s="7"/>
    </row>
    <row r="609" spans="1:6" x14ac:dyDescent="0.25">
      <c r="A609" s="7"/>
      <c r="E609" s="7"/>
      <c r="F609" s="7"/>
    </row>
    <row r="610" spans="1:6" x14ac:dyDescent="0.25">
      <c r="A610" s="7"/>
      <c r="E610" s="7"/>
      <c r="F610" s="7"/>
    </row>
    <row r="611" spans="1:6" x14ac:dyDescent="0.25">
      <c r="A611" s="7"/>
      <c r="E611" s="7"/>
      <c r="F611" s="7"/>
    </row>
    <row r="612" spans="1:6" x14ac:dyDescent="0.25">
      <c r="A612" s="7"/>
      <c r="E612" s="7"/>
      <c r="F612" s="7"/>
    </row>
    <row r="613" spans="1:6" x14ac:dyDescent="0.25">
      <c r="A613" s="7"/>
      <c r="E613" s="7"/>
      <c r="F613" s="7"/>
    </row>
    <row r="614" spans="1:6" x14ac:dyDescent="0.25">
      <c r="A614" s="7"/>
      <c r="E614" s="7"/>
      <c r="F614" s="7"/>
    </row>
    <row r="615" spans="1:6" x14ac:dyDescent="0.25">
      <c r="A615" s="7"/>
      <c r="E615" s="7"/>
      <c r="F615" s="7"/>
    </row>
    <row r="616" spans="1:6" x14ac:dyDescent="0.25">
      <c r="A616" s="7"/>
      <c r="E616" s="7"/>
      <c r="F616" s="7"/>
    </row>
    <row r="617" spans="1:6" x14ac:dyDescent="0.25">
      <c r="A617" s="7"/>
      <c r="E617" s="7"/>
      <c r="F617" s="7"/>
    </row>
    <row r="618" spans="1:6" x14ac:dyDescent="0.25">
      <c r="A618" s="7"/>
      <c r="E618" s="7"/>
      <c r="F618" s="7"/>
    </row>
    <row r="619" spans="1:6" x14ac:dyDescent="0.25">
      <c r="A619" s="7"/>
      <c r="E619" s="7"/>
      <c r="F619" s="7"/>
    </row>
    <row r="620" spans="1:6" x14ac:dyDescent="0.25">
      <c r="A620" s="7"/>
      <c r="E620" s="7"/>
      <c r="F620" s="7"/>
    </row>
    <row r="621" spans="1:6" x14ac:dyDescent="0.25">
      <c r="A621" s="7"/>
      <c r="E621" s="7"/>
      <c r="F621" s="7"/>
    </row>
    <row r="622" spans="1:6" x14ac:dyDescent="0.25">
      <c r="A622" s="7"/>
      <c r="E622" s="7"/>
      <c r="F622" s="7"/>
    </row>
    <row r="623" spans="1:6" x14ac:dyDescent="0.25">
      <c r="A623" s="7"/>
      <c r="E623" s="7"/>
      <c r="F623" s="7"/>
    </row>
    <row r="624" spans="1:6" x14ac:dyDescent="0.25">
      <c r="A624" s="7"/>
      <c r="E624" s="7"/>
      <c r="F624" s="7"/>
    </row>
    <row r="625" spans="1:6" x14ac:dyDescent="0.25">
      <c r="A625" s="7"/>
      <c r="E625" s="7"/>
      <c r="F625" s="7"/>
    </row>
    <row r="626" spans="1:6" x14ac:dyDescent="0.25">
      <c r="A626" s="7"/>
      <c r="E626" s="7"/>
      <c r="F626" s="7"/>
    </row>
    <row r="627" spans="1:6" x14ac:dyDescent="0.25">
      <c r="A627" s="7"/>
      <c r="E627" s="7"/>
      <c r="F627" s="7"/>
    </row>
    <row r="628" spans="1:6" x14ac:dyDescent="0.25">
      <c r="A628" s="7"/>
      <c r="E628" s="7"/>
      <c r="F628" s="7"/>
    </row>
    <row r="629" spans="1:6" x14ac:dyDescent="0.25">
      <c r="A629" s="7"/>
      <c r="E629" s="7"/>
      <c r="F629" s="7"/>
    </row>
    <row r="630" spans="1:6" x14ac:dyDescent="0.25">
      <c r="A630" s="7"/>
      <c r="E630" s="7"/>
      <c r="F630" s="7"/>
    </row>
    <row r="631" spans="1:6" x14ac:dyDescent="0.25">
      <c r="A631" s="7"/>
      <c r="E631" s="7"/>
      <c r="F631" s="7"/>
    </row>
    <row r="632" spans="1:6" x14ac:dyDescent="0.25">
      <c r="A632" s="7"/>
      <c r="E632" s="7"/>
      <c r="F632" s="7"/>
    </row>
    <row r="633" spans="1:6" x14ac:dyDescent="0.25">
      <c r="A633" s="7"/>
      <c r="E633" s="7"/>
      <c r="F633" s="7"/>
    </row>
    <row r="634" spans="1:6" x14ac:dyDescent="0.25">
      <c r="A634" s="7"/>
      <c r="E634" s="7"/>
      <c r="F634" s="7"/>
    </row>
    <row r="635" spans="1:6" x14ac:dyDescent="0.25">
      <c r="A635" s="7"/>
      <c r="E635" s="7"/>
      <c r="F635" s="7"/>
    </row>
    <row r="636" spans="1:6" x14ac:dyDescent="0.25">
      <c r="A636" s="7"/>
      <c r="E636" s="7"/>
      <c r="F636" s="7"/>
    </row>
    <row r="637" spans="1:6" x14ac:dyDescent="0.25">
      <c r="A637" s="7"/>
      <c r="E637" s="7"/>
      <c r="F637" s="7"/>
    </row>
    <row r="638" spans="1:6" x14ac:dyDescent="0.25">
      <c r="A638" s="7"/>
      <c r="E638" s="7"/>
      <c r="F638" s="7"/>
    </row>
    <row r="639" spans="1:6" x14ac:dyDescent="0.25">
      <c r="A639" s="7"/>
      <c r="E639" s="7"/>
      <c r="F639" s="7"/>
    </row>
    <row r="640" spans="1:6" x14ac:dyDescent="0.25">
      <c r="A640" s="7"/>
      <c r="E640" s="7"/>
      <c r="F640" s="7"/>
    </row>
    <row r="641" spans="1:6" x14ac:dyDescent="0.25">
      <c r="A641" s="7"/>
      <c r="E641" s="7"/>
      <c r="F641" s="7"/>
    </row>
    <row r="642" spans="1:6" x14ac:dyDescent="0.25">
      <c r="A642" s="7"/>
      <c r="E642" s="7"/>
      <c r="F642" s="7"/>
    </row>
    <row r="643" spans="1:6" x14ac:dyDescent="0.25">
      <c r="A643" s="7"/>
      <c r="E643" s="7"/>
      <c r="F643" s="7"/>
    </row>
    <row r="644" spans="1:6" x14ac:dyDescent="0.25">
      <c r="A644" s="7"/>
      <c r="E644" s="7"/>
      <c r="F644" s="7"/>
    </row>
    <row r="645" spans="1:6" x14ac:dyDescent="0.25">
      <c r="A645" s="7"/>
      <c r="E645" s="7"/>
      <c r="F645" s="7"/>
    </row>
    <row r="646" spans="1:6" x14ac:dyDescent="0.25">
      <c r="A646" s="7"/>
      <c r="E646" s="7"/>
      <c r="F646" s="7"/>
    </row>
    <row r="647" spans="1:6" x14ac:dyDescent="0.25">
      <c r="A647" s="7"/>
      <c r="E647" s="7"/>
      <c r="F647" s="7"/>
    </row>
    <row r="648" spans="1:6" x14ac:dyDescent="0.25">
      <c r="A648" s="7"/>
      <c r="E648" s="7"/>
      <c r="F648" s="7"/>
    </row>
    <row r="649" spans="1:6" x14ac:dyDescent="0.25">
      <c r="A649" s="7"/>
      <c r="E649" s="7"/>
      <c r="F649" s="7"/>
    </row>
    <row r="650" spans="1:6" x14ac:dyDescent="0.25">
      <c r="A650" s="7"/>
      <c r="E650" s="7"/>
      <c r="F650" s="7"/>
    </row>
    <row r="651" spans="1:6" x14ac:dyDescent="0.25">
      <c r="A651" s="7"/>
      <c r="E651" s="7"/>
      <c r="F651" s="7"/>
    </row>
    <row r="652" spans="1:6" x14ac:dyDescent="0.25">
      <c r="A652" s="7"/>
      <c r="E652" s="7"/>
      <c r="F652" s="7"/>
    </row>
    <row r="653" spans="1:6" x14ac:dyDescent="0.25">
      <c r="A653" s="7"/>
      <c r="E653" s="7"/>
      <c r="F653" s="7"/>
    </row>
    <row r="654" spans="1:6" x14ac:dyDescent="0.25">
      <c r="A654" s="7"/>
      <c r="E654" s="7"/>
      <c r="F654" s="7"/>
    </row>
    <row r="655" spans="1:6" x14ac:dyDescent="0.25">
      <c r="A655" s="7"/>
      <c r="E655" s="7"/>
      <c r="F655" s="7"/>
    </row>
    <row r="656" spans="1:6" x14ac:dyDescent="0.25">
      <c r="A656" s="7"/>
      <c r="E656" s="7"/>
      <c r="F656" s="7"/>
    </row>
    <row r="657" spans="1:6" x14ac:dyDescent="0.25">
      <c r="A657" s="7"/>
      <c r="E657" s="7"/>
      <c r="F657" s="7"/>
    </row>
    <row r="658" spans="1:6" x14ac:dyDescent="0.25">
      <c r="A658" s="7"/>
      <c r="E658" s="7"/>
      <c r="F658" s="7"/>
    </row>
    <row r="659" spans="1:6" x14ac:dyDescent="0.25">
      <c r="A659" s="7"/>
      <c r="E659" s="7"/>
      <c r="F659" s="7"/>
    </row>
    <row r="660" spans="1:6" x14ac:dyDescent="0.25">
      <c r="A660" s="7"/>
      <c r="E660" s="7"/>
      <c r="F660" s="7"/>
    </row>
    <row r="661" spans="1:6" x14ac:dyDescent="0.25">
      <c r="A661" s="7"/>
      <c r="E661" s="7"/>
      <c r="F661" s="7"/>
    </row>
    <row r="662" spans="1:6" x14ac:dyDescent="0.25">
      <c r="A662" s="7"/>
      <c r="E662" s="7"/>
      <c r="F662" s="7"/>
    </row>
    <row r="663" spans="1:6" x14ac:dyDescent="0.25">
      <c r="A663" s="7"/>
      <c r="E663" s="7"/>
      <c r="F663" s="7"/>
    </row>
    <row r="664" spans="1:6" x14ac:dyDescent="0.25">
      <c r="A664" s="7"/>
      <c r="E664" s="7"/>
      <c r="F664" s="7"/>
    </row>
    <row r="665" spans="1:6" x14ac:dyDescent="0.25">
      <c r="A665" s="7"/>
      <c r="E665" s="7"/>
      <c r="F665" s="7"/>
    </row>
    <row r="666" spans="1:6" x14ac:dyDescent="0.25">
      <c r="A666" s="7"/>
      <c r="E666" s="7"/>
      <c r="F666" s="7"/>
    </row>
    <row r="667" spans="1:6" x14ac:dyDescent="0.25">
      <c r="A667" s="7"/>
      <c r="E667" s="7"/>
      <c r="F667" s="7"/>
    </row>
    <row r="668" spans="1:6" x14ac:dyDescent="0.25">
      <c r="A668" s="7"/>
      <c r="E668" s="7"/>
      <c r="F668" s="7"/>
    </row>
    <row r="669" spans="1:6" x14ac:dyDescent="0.25">
      <c r="A669" s="7"/>
      <c r="E669" s="7"/>
      <c r="F669" s="7"/>
    </row>
    <row r="670" spans="1:6" x14ac:dyDescent="0.25">
      <c r="A670" s="7"/>
      <c r="E670" s="7"/>
      <c r="F670" s="7"/>
    </row>
    <row r="671" spans="1:6" x14ac:dyDescent="0.25">
      <c r="A671" s="7"/>
      <c r="E671" s="7"/>
      <c r="F671" s="7"/>
    </row>
    <row r="672" spans="1:6" x14ac:dyDescent="0.25">
      <c r="A672" s="7"/>
      <c r="E672" s="7"/>
      <c r="F672" s="7"/>
    </row>
    <row r="673" spans="1:6" x14ac:dyDescent="0.25">
      <c r="A673" s="7"/>
      <c r="E673" s="7"/>
      <c r="F673" s="7"/>
    </row>
    <row r="674" spans="1:6" x14ac:dyDescent="0.25">
      <c r="A674" s="7"/>
      <c r="E674" s="7"/>
      <c r="F674" s="7"/>
    </row>
    <row r="675" spans="1:6" x14ac:dyDescent="0.25">
      <c r="A675" s="7"/>
      <c r="E675" s="7"/>
      <c r="F675" s="7"/>
    </row>
    <row r="676" spans="1:6" x14ac:dyDescent="0.25">
      <c r="A676" s="7"/>
      <c r="E676" s="7"/>
      <c r="F676" s="7"/>
    </row>
    <row r="677" spans="1:6" x14ac:dyDescent="0.25">
      <c r="A677" s="7"/>
      <c r="E677" s="7"/>
      <c r="F677" s="7"/>
    </row>
    <row r="678" spans="1:6" x14ac:dyDescent="0.25">
      <c r="A678" s="7"/>
      <c r="E678" s="7"/>
      <c r="F678" s="7"/>
    </row>
    <row r="679" spans="1:6" x14ac:dyDescent="0.25">
      <c r="A679" s="7"/>
      <c r="E679" s="7"/>
      <c r="F679" s="7"/>
    </row>
    <row r="680" spans="1:6" x14ac:dyDescent="0.25">
      <c r="A680" s="7"/>
      <c r="E680" s="7"/>
      <c r="F680" s="7"/>
    </row>
    <row r="681" spans="1:6" x14ac:dyDescent="0.25">
      <c r="A681" s="7"/>
      <c r="E681" s="7"/>
      <c r="F681" s="7"/>
    </row>
    <row r="682" spans="1:6" x14ac:dyDescent="0.25">
      <c r="A682" s="7"/>
      <c r="E682" s="7"/>
      <c r="F682" s="7"/>
    </row>
    <row r="683" spans="1:6" x14ac:dyDescent="0.25">
      <c r="A683" s="7"/>
      <c r="E683" s="7"/>
      <c r="F683" s="7"/>
    </row>
    <row r="684" spans="1:6" x14ac:dyDescent="0.25">
      <c r="A684" s="7"/>
      <c r="E684" s="7"/>
      <c r="F684" s="7"/>
    </row>
    <row r="685" spans="1:6" x14ac:dyDescent="0.25">
      <c r="A685" s="7"/>
      <c r="E685" s="7"/>
      <c r="F685" s="7"/>
    </row>
    <row r="686" spans="1:6" x14ac:dyDescent="0.25">
      <c r="A686" s="7"/>
      <c r="E686" s="7"/>
      <c r="F686" s="7"/>
    </row>
    <row r="687" spans="1:6" x14ac:dyDescent="0.25">
      <c r="A687" s="7"/>
      <c r="E687" s="7"/>
      <c r="F687" s="7"/>
    </row>
    <row r="688" spans="1:6" x14ac:dyDescent="0.25">
      <c r="A688" s="7"/>
      <c r="E688" s="7"/>
      <c r="F688" s="7"/>
    </row>
    <row r="689" spans="1:6" x14ac:dyDescent="0.25">
      <c r="A689" s="7"/>
      <c r="E689" s="7"/>
      <c r="F689" s="7"/>
    </row>
    <row r="690" spans="1:6" x14ac:dyDescent="0.25">
      <c r="A690" s="7"/>
      <c r="E690" s="7"/>
      <c r="F690" s="7"/>
    </row>
    <row r="691" spans="1:6" x14ac:dyDescent="0.25">
      <c r="A691" s="7"/>
      <c r="E691" s="7"/>
      <c r="F691" s="7"/>
    </row>
    <row r="692" spans="1:6" x14ac:dyDescent="0.25">
      <c r="A692" s="7"/>
      <c r="E692" s="7"/>
      <c r="F692" s="7"/>
    </row>
    <row r="693" spans="1:6" x14ac:dyDescent="0.25">
      <c r="A693" s="7"/>
      <c r="E693" s="7"/>
      <c r="F693" s="7"/>
    </row>
    <row r="694" spans="1:6" x14ac:dyDescent="0.25">
      <c r="A694" s="7"/>
      <c r="E694" s="7"/>
      <c r="F694" s="7"/>
    </row>
    <row r="695" spans="1:6" x14ac:dyDescent="0.25">
      <c r="A695" s="7"/>
      <c r="E695" s="7"/>
      <c r="F695" s="7"/>
    </row>
    <row r="696" spans="1:6" x14ac:dyDescent="0.25">
      <c r="A696" s="7"/>
      <c r="E696" s="7"/>
      <c r="F696" s="7"/>
    </row>
    <row r="697" spans="1:6" x14ac:dyDescent="0.25">
      <c r="A697" s="7"/>
      <c r="E697" s="7"/>
      <c r="F697" s="7"/>
    </row>
    <row r="698" spans="1:6" x14ac:dyDescent="0.25">
      <c r="A698" s="7"/>
      <c r="E698" s="7"/>
      <c r="F698" s="7"/>
    </row>
    <row r="699" spans="1:6" x14ac:dyDescent="0.25">
      <c r="A699" s="7"/>
      <c r="E699" s="7"/>
      <c r="F699" s="7"/>
    </row>
    <row r="700" spans="1:6" x14ac:dyDescent="0.25">
      <c r="A700" s="7"/>
      <c r="E700" s="7"/>
      <c r="F700" s="7"/>
    </row>
    <row r="701" spans="1:6" x14ac:dyDescent="0.25">
      <c r="A701" s="7"/>
      <c r="E701" s="7"/>
      <c r="F701" s="7"/>
    </row>
    <row r="702" spans="1:6" x14ac:dyDescent="0.25">
      <c r="A702" s="7"/>
      <c r="E702" s="7"/>
      <c r="F702" s="7"/>
    </row>
    <row r="703" spans="1:6" x14ac:dyDescent="0.25">
      <c r="A703" s="7"/>
      <c r="E703" s="7"/>
      <c r="F703" s="7"/>
    </row>
    <row r="704" spans="1:6" x14ac:dyDescent="0.25">
      <c r="A704" s="7"/>
      <c r="E704" s="7"/>
      <c r="F704" s="7"/>
    </row>
    <row r="705" spans="1:6" x14ac:dyDescent="0.25">
      <c r="A705" s="7"/>
      <c r="E705" s="7"/>
      <c r="F705" s="7"/>
    </row>
    <row r="706" spans="1:6" x14ac:dyDescent="0.25">
      <c r="A706" s="7"/>
      <c r="E706" s="7"/>
      <c r="F706" s="7"/>
    </row>
    <row r="707" spans="1:6" x14ac:dyDescent="0.25">
      <c r="A707" s="7"/>
      <c r="E707" s="7"/>
      <c r="F707" s="7"/>
    </row>
    <row r="708" spans="1:6" x14ac:dyDescent="0.25">
      <c r="A708" s="7"/>
      <c r="E708" s="7"/>
      <c r="F708" s="7"/>
    </row>
    <row r="709" spans="1:6" x14ac:dyDescent="0.25">
      <c r="A709" s="7"/>
      <c r="E709" s="7"/>
      <c r="F709" s="7"/>
    </row>
    <row r="710" spans="1:6" x14ac:dyDescent="0.25">
      <c r="A710" s="7"/>
      <c r="E710" s="7"/>
      <c r="F710" s="7"/>
    </row>
    <row r="711" spans="1:6" x14ac:dyDescent="0.25">
      <c r="A711" s="7"/>
      <c r="E711" s="7"/>
      <c r="F711" s="7"/>
    </row>
    <row r="712" spans="1:6" x14ac:dyDescent="0.25">
      <c r="A712" s="7"/>
      <c r="E712" s="7"/>
      <c r="F712" s="7"/>
    </row>
    <row r="713" spans="1:6" x14ac:dyDescent="0.25">
      <c r="A713" s="7"/>
      <c r="E713" s="7"/>
      <c r="F713" s="7"/>
    </row>
    <row r="714" spans="1:6" x14ac:dyDescent="0.25">
      <c r="A714" s="7"/>
      <c r="E714" s="7"/>
      <c r="F714" s="7"/>
    </row>
    <row r="715" spans="1:6" x14ac:dyDescent="0.25">
      <c r="A715" s="7"/>
      <c r="E715" s="7"/>
      <c r="F715" s="7"/>
    </row>
    <row r="716" spans="1:6" x14ac:dyDescent="0.25">
      <c r="A716" s="7"/>
      <c r="E716" s="7"/>
      <c r="F716" s="7"/>
    </row>
    <row r="717" spans="1:6" x14ac:dyDescent="0.25">
      <c r="A717" s="7"/>
      <c r="E717" s="7"/>
      <c r="F717" s="7"/>
    </row>
    <row r="718" spans="1:6" x14ac:dyDescent="0.25">
      <c r="A718" s="7"/>
      <c r="E718" s="7"/>
      <c r="F718" s="7"/>
    </row>
    <row r="719" spans="1:6" x14ac:dyDescent="0.25">
      <c r="A719" s="7"/>
      <c r="E719" s="7"/>
      <c r="F719" s="7"/>
    </row>
    <row r="720" spans="1:6" x14ac:dyDescent="0.25">
      <c r="A720" s="7"/>
      <c r="E720" s="7"/>
      <c r="F720" s="7"/>
    </row>
    <row r="721" spans="1:6" x14ac:dyDescent="0.25">
      <c r="A721" s="7"/>
      <c r="E721" s="7"/>
      <c r="F721" s="7"/>
    </row>
    <row r="722" spans="1:6" x14ac:dyDescent="0.25">
      <c r="A722" s="7"/>
      <c r="E722" s="7"/>
      <c r="F722" s="7"/>
    </row>
    <row r="723" spans="1:6" x14ac:dyDescent="0.25">
      <c r="A723" s="7"/>
      <c r="E723" s="7"/>
      <c r="F723" s="7"/>
    </row>
    <row r="724" spans="1:6" x14ac:dyDescent="0.25">
      <c r="A724" s="7"/>
      <c r="E724" s="7"/>
      <c r="F724" s="7"/>
    </row>
    <row r="725" spans="1:6" x14ac:dyDescent="0.25">
      <c r="A725" s="7"/>
      <c r="E725" s="7"/>
      <c r="F725" s="7"/>
    </row>
    <row r="726" spans="1:6" x14ac:dyDescent="0.25">
      <c r="A726" s="7"/>
      <c r="E726" s="7"/>
      <c r="F726" s="7"/>
    </row>
    <row r="727" spans="1:6" x14ac:dyDescent="0.25">
      <c r="A727" s="7"/>
      <c r="E727" s="7"/>
      <c r="F727" s="7"/>
    </row>
    <row r="728" spans="1:6" x14ac:dyDescent="0.25">
      <c r="A728" s="7"/>
      <c r="E728" s="7"/>
      <c r="F728" s="7"/>
    </row>
    <row r="729" spans="1:6" x14ac:dyDescent="0.25">
      <c r="A729" s="7"/>
      <c r="E729" s="7"/>
      <c r="F729" s="7"/>
    </row>
    <row r="730" spans="1:6" x14ac:dyDescent="0.25">
      <c r="A730" s="7"/>
      <c r="E730" s="7"/>
      <c r="F730" s="7"/>
    </row>
    <row r="731" spans="1:6" x14ac:dyDescent="0.25">
      <c r="A731" s="7"/>
      <c r="E731" s="7"/>
      <c r="F731" s="7"/>
    </row>
    <row r="732" spans="1:6" x14ac:dyDescent="0.25">
      <c r="A732" s="7"/>
      <c r="E732" s="7"/>
      <c r="F732" s="7"/>
    </row>
    <row r="733" spans="1:6" x14ac:dyDescent="0.25">
      <c r="A733" s="7"/>
      <c r="E733" s="7"/>
      <c r="F733" s="7"/>
    </row>
    <row r="734" spans="1:6" x14ac:dyDescent="0.25">
      <c r="A734" s="7"/>
      <c r="E734" s="7"/>
      <c r="F734" s="7"/>
    </row>
    <row r="735" spans="1:6" x14ac:dyDescent="0.25">
      <c r="A735" s="7"/>
      <c r="E735" s="7"/>
      <c r="F735" s="7"/>
    </row>
    <row r="736" spans="1:6" x14ac:dyDescent="0.25">
      <c r="A736" s="7"/>
      <c r="E736" s="7"/>
      <c r="F736" s="7"/>
    </row>
    <row r="737" spans="1:6" x14ac:dyDescent="0.25">
      <c r="A737" s="7"/>
      <c r="E737" s="7"/>
      <c r="F737" s="7"/>
    </row>
    <row r="738" spans="1:6" x14ac:dyDescent="0.25">
      <c r="A738" s="7"/>
      <c r="E738" s="7"/>
      <c r="F738" s="7"/>
    </row>
    <row r="739" spans="1:6" x14ac:dyDescent="0.25">
      <c r="A739" s="7"/>
      <c r="E739" s="7"/>
      <c r="F739" s="7"/>
    </row>
    <row r="740" spans="1:6" x14ac:dyDescent="0.25">
      <c r="A740" s="7"/>
      <c r="E740" s="7"/>
      <c r="F740" s="7"/>
    </row>
    <row r="741" spans="1:6" x14ac:dyDescent="0.25">
      <c r="A741" s="7"/>
      <c r="E741" s="7"/>
      <c r="F741" s="7"/>
    </row>
    <row r="742" spans="1:6" x14ac:dyDescent="0.25">
      <c r="A742" s="7"/>
      <c r="E742" s="7"/>
      <c r="F742" s="7"/>
    </row>
    <row r="743" spans="1:6" x14ac:dyDescent="0.25">
      <c r="A743" s="7"/>
      <c r="E743" s="7"/>
      <c r="F743" s="7"/>
    </row>
    <row r="744" spans="1:6" x14ac:dyDescent="0.25">
      <c r="A744" s="7"/>
      <c r="E744" s="7"/>
      <c r="F744" s="7"/>
    </row>
    <row r="745" spans="1:6" x14ac:dyDescent="0.25">
      <c r="A745" s="7"/>
      <c r="E745" s="7"/>
      <c r="F745" s="7"/>
    </row>
    <row r="746" spans="1:6" x14ac:dyDescent="0.25">
      <c r="A746" s="7"/>
      <c r="E746" s="7"/>
      <c r="F746" s="7"/>
    </row>
    <row r="747" spans="1:6" x14ac:dyDescent="0.25">
      <c r="A747" s="7"/>
      <c r="E747" s="7"/>
      <c r="F747" s="7"/>
    </row>
    <row r="748" spans="1:6" x14ac:dyDescent="0.25">
      <c r="A748" s="7"/>
      <c r="E748" s="7"/>
      <c r="F748" s="7"/>
    </row>
    <row r="749" spans="1:6" x14ac:dyDescent="0.25">
      <c r="A749" s="7"/>
      <c r="E749" s="7"/>
      <c r="F749" s="7"/>
    </row>
    <row r="750" spans="1:6" x14ac:dyDescent="0.25">
      <c r="A750" s="7"/>
      <c r="E750" s="7"/>
      <c r="F750" s="7"/>
    </row>
    <row r="751" spans="1:6" x14ac:dyDescent="0.25">
      <c r="A751" s="7"/>
      <c r="E751" s="7"/>
      <c r="F751" s="7"/>
    </row>
    <row r="752" spans="1:6" x14ac:dyDescent="0.25">
      <c r="A752" s="7"/>
      <c r="E752" s="7"/>
      <c r="F752" s="7"/>
    </row>
    <row r="753" spans="1:6" x14ac:dyDescent="0.25">
      <c r="A753" s="7"/>
      <c r="E753" s="7"/>
      <c r="F753" s="7"/>
    </row>
    <row r="754" spans="1:6" x14ac:dyDescent="0.25">
      <c r="A754" s="7"/>
      <c r="E754" s="7"/>
      <c r="F754" s="7"/>
    </row>
    <row r="755" spans="1:6" x14ac:dyDescent="0.25">
      <c r="A755" s="7"/>
      <c r="E755" s="7"/>
      <c r="F755" s="7"/>
    </row>
    <row r="756" spans="1:6" x14ac:dyDescent="0.25">
      <c r="A756" s="7"/>
      <c r="E756" s="7"/>
      <c r="F756" s="7"/>
    </row>
    <row r="757" spans="1:6" x14ac:dyDescent="0.25">
      <c r="A757" s="7"/>
      <c r="E757" s="7"/>
      <c r="F757" s="7"/>
    </row>
    <row r="758" spans="1:6" x14ac:dyDescent="0.25">
      <c r="A758" s="7"/>
      <c r="E758" s="7"/>
      <c r="F758" s="7"/>
    </row>
    <row r="759" spans="1:6" x14ac:dyDescent="0.25">
      <c r="A759" s="7"/>
      <c r="E759" s="7"/>
      <c r="F759" s="7"/>
    </row>
    <row r="760" spans="1:6" x14ac:dyDescent="0.25">
      <c r="A760" s="7"/>
      <c r="E760" s="7"/>
      <c r="F760" s="7"/>
    </row>
    <row r="761" spans="1:6" x14ac:dyDescent="0.25">
      <c r="A761" s="7"/>
      <c r="E761" s="7"/>
      <c r="F761" s="7"/>
    </row>
    <row r="762" spans="1:6" x14ac:dyDescent="0.25">
      <c r="A762" s="7"/>
      <c r="E762" s="7"/>
      <c r="F762" s="7"/>
    </row>
    <row r="763" spans="1:6" x14ac:dyDescent="0.25">
      <c r="A763" s="7"/>
      <c r="E763" s="7"/>
      <c r="F763" s="7"/>
    </row>
    <row r="764" spans="1:6" x14ac:dyDescent="0.25">
      <c r="A764" s="7"/>
      <c r="E764" s="7"/>
      <c r="F764" s="7"/>
    </row>
    <row r="765" spans="1:6" x14ac:dyDescent="0.25">
      <c r="A765" s="7"/>
      <c r="E765" s="7"/>
      <c r="F765" s="7"/>
    </row>
    <row r="766" spans="1:6" x14ac:dyDescent="0.25">
      <c r="A766" s="7"/>
      <c r="E766" s="7"/>
      <c r="F766" s="7"/>
    </row>
    <row r="767" spans="1:6" x14ac:dyDescent="0.25">
      <c r="A767" s="7"/>
      <c r="E767" s="7"/>
      <c r="F767" s="7"/>
    </row>
    <row r="768" spans="1:6" x14ac:dyDescent="0.25">
      <c r="A768" s="7"/>
      <c r="E768" s="7"/>
      <c r="F768" s="7"/>
    </row>
    <row r="769" spans="1:6" x14ac:dyDescent="0.25">
      <c r="A769" s="7"/>
      <c r="E769" s="7"/>
      <c r="F769" s="7"/>
    </row>
    <row r="770" spans="1:6" x14ac:dyDescent="0.25">
      <c r="A770" s="7"/>
      <c r="E770" s="7"/>
      <c r="F770" s="7"/>
    </row>
    <row r="771" spans="1:6" x14ac:dyDescent="0.25">
      <c r="A771" s="7"/>
      <c r="E771" s="7"/>
      <c r="F771" s="7"/>
    </row>
    <row r="772" spans="1:6" x14ac:dyDescent="0.25">
      <c r="A772" s="7"/>
      <c r="E772" s="7"/>
      <c r="F772" s="7"/>
    </row>
    <row r="773" spans="1:6" x14ac:dyDescent="0.25">
      <c r="A773" s="7"/>
      <c r="E773" s="7"/>
      <c r="F773" s="7"/>
    </row>
    <row r="774" spans="1:6" x14ac:dyDescent="0.25">
      <c r="A774" s="7"/>
      <c r="E774" s="7"/>
      <c r="F774" s="7"/>
    </row>
    <row r="775" spans="1:6" x14ac:dyDescent="0.25">
      <c r="A775" s="7"/>
      <c r="E775" s="7"/>
      <c r="F775" s="7"/>
    </row>
    <row r="776" spans="1:6" x14ac:dyDescent="0.25">
      <c r="A776" s="7"/>
      <c r="E776" s="7"/>
      <c r="F776" s="7"/>
    </row>
    <row r="777" spans="1:6" x14ac:dyDescent="0.25">
      <c r="A777" s="7"/>
      <c r="E777" s="7"/>
      <c r="F777" s="7"/>
    </row>
    <row r="778" spans="1:6" x14ac:dyDescent="0.25">
      <c r="A778" s="7"/>
      <c r="E778" s="7"/>
      <c r="F778" s="7"/>
    </row>
    <row r="779" spans="1:6" x14ac:dyDescent="0.25">
      <c r="A779" s="7"/>
      <c r="E779" s="7"/>
      <c r="F779" s="7"/>
    </row>
    <row r="780" spans="1:6" x14ac:dyDescent="0.25">
      <c r="A780" s="7"/>
      <c r="E780" s="7"/>
      <c r="F780" s="7"/>
    </row>
    <row r="781" spans="1:6" x14ac:dyDescent="0.25">
      <c r="A781" s="7"/>
      <c r="E781" s="7"/>
      <c r="F781" s="7"/>
    </row>
    <row r="782" spans="1:6" x14ac:dyDescent="0.25">
      <c r="A782" s="7"/>
      <c r="E782" s="7"/>
      <c r="F782" s="7"/>
    </row>
    <row r="783" spans="1:6" x14ac:dyDescent="0.25">
      <c r="A783" s="7"/>
      <c r="E783" s="7"/>
      <c r="F783" s="7"/>
    </row>
    <row r="784" spans="1:6" x14ac:dyDescent="0.25">
      <c r="A784" s="7"/>
      <c r="E784" s="7"/>
      <c r="F784" s="7"/>
    </row>
    <row r="785" spans="1:6" x14ac:dyDescent="0.25">
      <c r="A785" s="7"/>
      <c r="E785" s="7"/>
      <c r="F785" s="7"/>
    </row>
    <row r="786" spans="1:6" x14ac:dyDescent="0.25">
      <c r="A786" s="7"/>
      <c r="E786" s="7"/>
      <c r="F786" s="7"/>
    </row>
    <row r="787" spans="1:6" x14ac:dyDescent="0.25">
      <c r="A787" s="7"/>
      <c r="E787" s="7"/>
      <c r="F787" s="7"/>
    </row>
    <row r="788" spans="1:6" x14ac:dyDescent="0.25">
      <c r="A788" s="7"/>
      <c r="E788" s="7"/>
      <c r="F788" s="7"/>
    </row>
    <row r="789" spans="1:6" x14ac:dyDescent="0.25">
      <c r="A789" s="7"/>
      <c r="E789" s="7"/>
      <c r="F789" s="7"/>
    </row>
    <row r="790" spans="1:6" x14ac:dyDescent="0.25">
      <c r="A790" s="7"/>
      <c r="E790" s="7"/>
      <c r="F790" s="7"/>
    </row>
    <row r="791" spans="1:6" x14ac:dyDescent="0.25">
      <c r="A791" s="7"/>
      <c r="E791" s="7"/>
      <c r="F791" s="7"/>
    </row>
    <row r="792" spans="1:6" x14ac:dyDescent="0.25">
      <c r="A792" s="7"/>
      <c r="E792" s="7"/>
      <c r="F792" s="7"/>
    </row>
    <row r="793" spans="1:6" x14ac:dyDescent="0.25">
      <c r="A793" s="7"/>
      <c r="E793" s="7"/>
      <c r="F793" s="7"/>
    </row>
    <row r="794" spans="1:6" x14ac:dyDescent="0.25">
      <c r="A794" s="7"/>
      <c r="E794" s="7"/>
      <c r="F794" s="7"/>
    </row>
    <row r="795" spans="1:6" x14ac:dyDescent="0.25">
      <c r="A795" s="7"/>
      <c r="E795" s="7"/>
      <c r="F795" s="7"/>
    </row>
    <row r="796" spans="1:6" x14ac:dyDescent="0.25">
      <c r="A796" s="7"/>
      <c r="E796" s="7"/>
      <c r="F796" s="7"/>
    </row>
    <row r="797" spans="1:6" x14ac:dyDescent="0.25">
      <c r="A797" s="7"/>
      <c r="E797" s="7"/>
      <c r="F797" s="7"/>
    </row>
    <row r="798" spans="1:6" x14ac:dyDescent="0.25">
      <c r="A798" s="7"/>
      <c r="E798" s="7"/>
      <c r="F798" s="7"/>
    </row>
    <row r="799" spans="1:6" x14ac:dyDescent="0.25">
      <c r="A799" s="7"/>
      <c r="E799" s="7"/>
      <c r="F799" s="7"/>
    </row>
    <row r="800" spans="1:6" x14ac:dyDescent="0.25">
      <c r="A800" s="7"/>
      <c r="E800" s="7"/>
      <c r="F800" s="7"/>
    </row>
    <row r="801" spans="1:6" x14ac:dyDescent="0.25">
      <c r="A801" s="7"/>
      <c r="E801" s="7"/>
      <c r="F801" s="7"/>
    </row>
    <row r="802" spans="1:6" x14ac:dyDescent="0.25">
      <c r="A802" s="7"/>
      <c r="E802" s="7"/>
      <c r="F802" s="7"/>
    </row>
    <row r="803" spans="1:6" x14ac:dyDescent="0.25">
      <c r="A803" s="7"/>
      <c r="E803" s="7"/>
      <c r="F803" s="7"/>
    </row>
    <row r="804" spans="1:6" x14ac:dyDescent="0.25">
      <c r="A804" s="7"/>
      <c r="E804" s="7"/>
      <c r="F804" s="7"/>
    </row>
    <row r="805" spans="1:6" x14ac:dyDescent="0.25">
      <c r="A805" s="7"/>
      <c r="E805" s="7"/>
      <c r="F805" s="7"/>
    </row>
    <row r="806" spans="1:6" x14ac:dyDescent="0.25">
      <c r="A806" s="7"/>
      <c r="E806" s="7"/>
      <c r="F806" s="7"/>
    </row>
    <row r="807" spans="1:6" x14ac:dyDescent="0.25">
      <c r="A807" s="7"/>
      <c r="E807" s="7"/>
      <c r="F807" s="7"/>
    </row>
    <row r="808" spans="1:6" x14ac:dyDescent="0.25">
      <c r="A808" s="7"/>
      <c r="E808" s="7"/>
      <c r="F808" s="7"/>
    </row>
    <row r="809" spans="1:6" x14ac:dyDescent="0.25">
      <c r="A809" s="7"/>
      <c r="E809" s="7"/>
      <c r="F809" s="7"/>
    </row>
    <row r="810" spans="1:6" x14ac:dyDescent="0.25">
      <c r="A810" s="7"/>
      <c r="E810" s="7"/>
      <c r="F810" s="7"/>
    </row>
    <row r="811" spans="1:6" x14ac:dyDescent="0.25">
      <c r="A811" s="7"/>
      <c r="E811" s="7"/>
      <c r="F811" s="7"/>
    </row>
    <row r="812" spans="1:6" x14ac:dyDescent="0.25">
      <c r="A812" s="7"/>
      <c r="E812" s="7"/>
      <c r="F812" s="7"/>
    </row>
    <row r="813" spans="1:6" x14ac:dyDescent="0.25">
      <c r="A813" s="7"/>
      <c r="E813" s="7"/>
      <c r="F813" s="7"/>
    </row>
    <row r="814" spans="1:6" x14ac:dyDescent="0.25">
      <c r="A814" s="7"/>
      <c r="E814" s="7"/>
      <c r="F814" s="7"/>
    </row>
    <row r="815" spans="1:6" x14ac:dyDescent="0.25">
      <c r="A815" s="7"/>
      <c r="E815" s="7"/>
      <c r="F815" s="7"/>
    </row>
    <row r="816" spans="1:6" x14ac:dyDescent="0.25">
      <c r="A816" s="7"/>
      <c r="E816" s="7"/>
      <c r="F816" s="7"/>
    </row>
    <row r="817" spans="1:6" x14ac:dyDescent="0.25">
      <c r="A817" s="7"/>
      <c r="E817" s="7"/>
      <c r="F817" s="7"/>
    </row>
    <row r="818" spans="1:6" x14ac:dyDescent="0.25">
      <c r="A818" s="7"/>
      <c r="E818" s="7"/>
      <c r="F818" s="7"/>
    </row>
    <row r="819" spans="1:6" x14ac:dyDescent="0.25">
      <c r="A819" s="7"/>
      <c r="E819" s="7"/>
      <c r="F819" s="7"/>
    </row>
    <row r="820" spans="1:6" x14ac:dyDescent="0.25">
      <c r="A820" s="7"/>
      <c r="E820" s="7"/>
      <c r="F820" s="7"/>
    </row>
    <row r="821" spans="1:6" x14ac:dyDescent="0.25">
      <c r="A821" s="7"/>
      <c r="E821" s="7"/>
      <c r="F821" s="7"/>
    </row>
    <row r="822" spans="1:6" x14ac:dyDescent="0.25">
      <c r="A822" s="7"/>
      <c r="E822" s="7"/>
      <c r="F822" s="7"/>
    </row>
    <row r="823" spans="1:6" x14ac:dyDescent="0.25">
      <c r="A823" s="7"/>
      <c r="E823" s="7"/>
      <c r="F823" s="7"/>
    </row>
    <row r="824" spans="1:6" x14ac:dyDescent="0.25">
      <c r="A824" s="7"/>
      <c r="E824" s="7"/>
      <c r="F824" s="7"/>
    </row>
    <row r="825" spans="1:6" x14ac:dyDescent="0.25">
      <c r="A825" s="7"/>
      <c r="E825" s="7"/>
      <c r="F825" s="7"/>
    </row>
    <row r="826" spans="1:6" x14ac:dyDescent="0.25">
      <c r="A826" s="7"/>
      <c r="E826" s="7"/>
      <c r="F826" s="7"/>
    </row>
    <row r="827" spans="1:6" x14ac:dyDescent="0.25">
      <c r="A827" s="7"/>
      <c r="E827" s="7"/>
      <c r="F827" s="7"/>
    </row>
    <row r="828" spans="1:6" x14ac:dyDescent="0.25">
      <c r="A828" s="7"/>
      <c r="E828" s="7"/>
      <c r="F828" s="7"/>
    </row>
    <row r="829" spans="1:6" x14ac:dyDescent="0.25">
      <c r="A829" s="7"/>
      <c r="E829" s="7"/>
      <c r="F829" s="7"/>
    </row>
    <row r="830" spans="1:6" x14ac:dyDescent="0.25">
      <c r="A830" s="7"/>
      <c r="E830" s="7"/>
      <c r="F830" s="7"/>
    </row>
    <row r="831" spans="1:6" x14ac:dyDescent="0.25">
      <c r="A831" s="7"/>
      <c r="E831" s="7"/>
      <c r="F831" s="7"/>
    </row>
    <row r="832" spans="1:6" x14ac:dyDescent="0.25">
      <c r="A832" s="7"/>
      <c r="E832" s="7"/>
      <c r="F832" s="7"/>
    </row>
    <row r="833" spans="1:6" x14ac:dyDescent="0.25">
      <c r="A833" s="7"/>
      <c r="E833" s="7"/>
      <c r="F833" s="7"/>
    </row>
    <row r="834" spans="1:6" x14ac:dyDescent="0.25">
      <c r="A834" s="7"/>
      <c r="E834" s="7"/>
      <c r="F834" s="7"/>
    </row>
    <row r="835" spans="1:6" x14ac:dyDescent="0.25">
      <c r="A835" s="7"/>
      <c r="E835" s="7"/>
      <c r="F835" s="7"/>
    </row>
    <row r="836" spans="1:6" x14ac:dyDescent="0.25">
      <c r="A836" s="7"/>
      <c r="E836" s="7"/>
      <c r="F836" s="7"/>
    </row>
    <row r="837" spans="1:6" x14ac:dyDescent="0.25">
      <c r="A837" s="7"/>
      <c r="E837" s="7"/>
      <c r="F837" s="7"/>
    </row>
    <row r="838" spans="1:6" x14ac:dyDescent="0.25">
      <c r="A838" s="7"/>
      <c r="E838" s="7"/>
      <c r="F838" s="7"/>
    </row>
    <row r="839" spans="1:6" x14ac:dyDescent="0.25">
      <c r="A839" s="7"/>
      <c r="E839" s="7"/>
      <c r="F839" s="7"/>
    </row>
    <row r="840" spans="1:6" x14ac:dyDescent="0.25">
      <c r="A840" s="7"/>
      <c r="E840" s="7"/>
      <c r="F840" s="7"/>
    </row>
    <row r="841" spans="1:6" x14ac:dyDescent="0.25">
      <c r="A841" s="7"/>
      <c r="E841" s="7"/>
      <c r="F841" s="7"/>
    </row>
    <row r="842" spans="1:6" x14ac:dyDescent="0.25">
      <c r="A842" s="7"/>
      <c r="E842" s="7"/>
      <c r="F842" s="7"/>
    </row>
    <row r="843" spans="1:6" x14ac:dyDescent="0.25">
      <c r="A843" s="7"/>
      <c r="E843" s="7"/>
      <c r="F843" s="7"/>
    </row>
    <row r="844" spans="1:6" x14ac:dyDescent="0.25">
      <c r="A844" s="7"/>
      <c r="E844" s="7"/>
      <c r="F844" s="7"/>
    </row>
    <row r="845" spans="1:6" x14ac:dyDescent="0.25">
      <c r="A845" s="7"/>
      <c r="E845" s="7"/>
      <c r="F845" s="7"/>
    </row>
    <row r="846" spans="1:6" x14ac:dyDescent="0.25">
      <c r="A846" s="7"/>
      <c r="E846" s="7"/>
      <c r="F846" s="7"/>
    </row>
    <row r="847" spans="1:6" x14ac:dyDescent="0.25">
      <c r="A847" s="7"/>
      <c r="E847" s="7"/>
      <c r="F847" s="7"/>
    </row>
    <row r="848" spans="1:6" x14ac:dyDescent="0.25">
      <c r="A848" s="7"/>
      <c r="E848" s="7"/>
      <c r="F848" s="7"/>
    </row>
    <row r="849" spans="1:6" x14ac:dyDescent="0.25">
      <c r="A849" s="7"/>
      <c r="E849" s="7"/>
      <c r="F849" s="7"/>
    </row>
    <row r="850" spans="1:6" x14ac:dyDescent="0.25">
      <c r="A850" s="7"/>
      <c r="E850" s="7"/>
      <c r="F850" s="7"/>
    </row>
    <row r="851" spans="1:6" x14ac:dyDescent="0.25">
      <c r="A851" s="7"/>
      <c r="E851" s="7"/>
      <c r="F851" s="7"/>
    </row>
    <row r="852" spans="1:6" x14ac:dyDescent="0.25">
      <c r="A852" s="7"/>
      <c r="E852" s="7"/>
      <c r="F852" s="7"/>
    </row>
    <row r="853" spans="1:6" x14ac:dyDescent="0.25">
      <c r="A853" s="7"/>
      <c r="E853" s="7"/>
      <c r="F853" s="7"/>
    </row>
    <row r="854" spans="1:6" x14ac:dyDescent="0.25">
      <c r="A854" s="7"/>
      <c r="E854" s="7"/>
      <c r="F854" s="7"/>
    </row>
    <row r="855" spans="1:6" x14ac:dyDescent="0.25">
      <c r="A855" s="7"/>
      <c r="E855" s="7"/>
      <c r="F855" s="7"/>
    </row>
    <row r="856" spans="1:6" x14ac:dyDescent="0.25">
      <c r="A856" s="7"/>
      <c r="E856" s="7"/>
      <c r="F856" s="7"/>
    </row>
    <row r="857" spans="1:6" x14ac:dyDescent="0.25">
      <c r="A857" s="7"/>
      <c r="E857" s="7"/>
      <c r="F857" s="7"/>
    </row>
    <row r="858" spans="1:6" x14ac:dyDescent="0.25">
      <c r="A858" s="7"/>
      <c r="E858" s="7"/>
      <c r="F858" s="7"/>
    </row>
    <row r="859" spans="1:6" x14ac:dyDescent="0.25">
      <c r="A859" s="7"/>
      <c r="E859" s="7"/>
      <c r="F859" s="7"/>
    </row>
    <row r="860" spans="1:6" x14ac:dyDescent="0.25">
      <c r="A860" s="7"/>
      <c r="E860" s="7"/>
      <c r="F860" s="7"/>
    </row>
    <row r="861" spans="1:6" x14ac:dyDescent="0.25">
      <c r="A861" s="7"/>
      <c r="E861" s="7"/>
      <c r="F861" s="7"/>
    </row>
    <row r="862" spans="1:6" x14ac:dyDescent="0.25">
      <c r="A862" s="7"/>
      <c r="E862" s="7"/>
      <c r="F862" s="7"/>
    </row>
    <row r="863" spans="1:6" x14ac:dyDescent="0.25">
      <c r="A863" s="7"/>
      <c r="E863" s="7"/>
      <c r="F863" s="7"/>
    </row>
    <row r="864" spans="1:6" x14ac:dyDescent="0.25">
      <c r="A864" s="7"/>
      <c r="E864" s="7"/>
      <c r="F864" s="7"/>
    </row>
    <row r="865" spans="1:6" x14ac:dyDescent="0.25">
      <c r="A865" s="7"/>
      <c r="E865" s="7"/>
      <c r="F865" s="7"/>
    </row>
    <row r="866" spans="1:6" x14ac:dyDescent="0.25">
      <c r="A866" s="7"/>
      <c r="E866" s="7"/>
      <c r="F866" s="7"/>
    </row>
    <row r="867" spans="1:6" x14ac:dyDescent="0.25">
      <c r="A867" s="7"/>
      <c r="E867" s="7"/>
      <c r="F867" s="7"/>
    </row>
    <row r="868" spans="1:6" x14ac:dyDescent="0.25">
      <c r="A868" s="7"/>
      <c r="E868" s="7"/>
      <c r="F868" s="7"/>
    </row>
    <row r="869" spans="1:6" x14ac:dyDescent="0.25">
      <c r="A869" s="7"/>
      <c r="E869" s="7"/>
      <c r="F869" s="7"/>
    </row>
    <row r="870" spans="1:6" x14ac:dyDescent="0.25">
      <c r="A870" s="7"/>
      <c r="E870" s="7"/>
      <c r="F870" s="7"/>
    </row>
    <row r="871" spans="1:6" x14ac:dyDescent="0.25">
      <c r="A871" s="7"/>
      <c r="E871" s="7"/>
      <c r="F871" s="7"/>
    </row>
    <row r="872" spans="1:6" x14ac:dyDescent="0.25">
      <c r="A872" s="7"/>
      <c r="E872" s="7"/>
      <c r="F872" s="7"/>
    </row>
    <row r="873" spans="1:6" x14ac:dyDescent="0.25">
      <c r="A873" s="7"/>
      <c r="E873" s="7"/>
      <c r="F873" s="7"/>
    </row>
    <row r="874" spans="1:6" x14ac:dyDescent="0.25">
      <c r="A874" s="7"/>
      <c r="E874" s="7"/>
      <c r="F874" s="7"/>
    </row>
    <row r="875" spans="1:6" x14ac:dyDescent="0.25">
      <c r="A875" s="7"/>
      <c r="E875" s="7"/>
      <c r="F875" s="7"/>
    </row>
    <row r="876" spans="1:6" x14ac:dyDescent="0.25">
      <c r="A876" s="7"/>
      <c r="E876" s="7"/>
      <c r="F876" s="7"/>
    </row>
    <row r="877" spans="1:6" x14ac:dyDescent="0.25">
      <c r="A877" s="7"/>
      <c r="E877" s="7"/>
      <c r="F877" s="7"/>
    </row>
    <row r="878" spans="1:6" x14ac:dyDescent="0.25">
      <c r="A878" s="7"/>
      <c r="E878" s="7"/>
      <c r="F878" s="7"/>
    </row>
    <row r="879" spans="1:6" x14ac:dyDescent="0.25">
      <c r="A879" s="7"/>
      <c r="E879" s="7"/>
      <c r="F879" s="7"/>
    </row>
    <row r="880" spans="1:6" x14ac:dyDescent="0.25">
      <c r="A880" s="7"/>
      <c r="E880" s="7"/>
      <c r="F880" s="7"/>
    </row>
    <row r="881" spans="1:6" x14ac:dyDescent="0.25">
      <c r="A881" s="7"/>
      <c r="E881" s="7"/>
      <c r="F881" s="7"/>
    </row>
    <row r="882" spans="1:6" x14ac:dyDescent="0.25">
      <c r="A882" s="7"/>
      <c r="E882" s="7"/>
      <c r="F882" s="7"/>
    </row>
    <row r="883" spans="1:6" x14ac:dyDescent="0.25">
      <c r="A883" s="7"/>
      <c r="E883" s="7"/>
      <c r="F883" s="7"/>
    </row>
    <row r="884" spans="1:6" x14ac:dyDescent="0.25">
      <c r="A884" s="7"/>
      <c r="E884" s="7"/>
      <c r="F884" s="7"/>
    </row>
    <row r="885" spans="1:6" x14ac:dyDescent="0.25">
      <c r="A885" s="7"/>
      <c r="E885" s="7"/>
      <c r="F885" s="7"/>
    </row>
    <row r="886" spans="1:6" x14ac:dyDescent="0.25">
      <c r="A886" s="7"/>
      <c r="E886" s="7"/>
      <c r="F886" s="7"/>
    </row>
    <row r="887" spans="1:6" x14ac:dyDescent="0.25">
      <c r="A887" s="7"/>
      <c r="E887" s="7"/>
      <c r="F887" s="7"/>
    </row>
    <row r="888" spans="1:6" x14ac:dyDescent="0.25">
      <c r="A888" s="7"/>
      <c r="E888" s="7"/>
      <c r="F888" s="7"/>
    </row>
    <row r="889" spans="1:6" x14ac:dyDescent="0.25">
      <c r="A889" s="7"/>
      <c r="E889" s="7"/>
      <c r="F889" s="7"/>
    </row>
    <row r="890" spans="1:6" x14ac:dyDescent="0.25">
      <c r="A890" s="7"/>
      <c r="E890" s="7"/>
      <c r="F890" s="7"/>
    </row>
    <row r="891" spans="1:6" x14ac:dyDescent="0.25">
      <c r="A891" s="7"/>
      <c r="E891" s="7"/>
      <c r="F891" s="7"/>
    </row>
    <row r="892" spans="1:6" x14ac:dyDescent="0.25">
      <c r="A892" s="7"/>
      <c r="E892" s="7"/>
      <c r="F892" s="7"/>
    </row>
    <row r="893" spans="1:6" x14ac:dyDescent="0.25">
      <c r="A893" s="7"/>
      <c r="E893" s="7"/>
      <c r="F893" s="7"/>
    </row>
    <row r="894" spans="1:6" x14ac:dyDescent="0.25">
      <c r="A894" s="7"/>
      <c r="E894" s="7"/>
      <c r="F894" s="7"/>
    </row>
    <row r="895" spans="1:6" x14ac:dyDescent="0.25">
      <c r="A895" s="7"/>
      <c r="E895" s="7"/>
      <c r="F895" s="7"/>
    </row>
    <row r="896" spans="1:6" x14ac:dyDescent="0.25">
      <c r="A896" s="7"/>
      <c r="E896" s="7"/>
      <c r="F896" s="7"/>
    </row>
    <row r="897" spans="1:6" x14ac:dyDescent="0.25">
      <c r="A897" s="7"/>
      <c r="E897" s="7"/>
      <c r="F897" s="7"/>
    </row>
    <row r="898" spans="1:6" x14ac:dyDescent="0.25">
      <c r="A898" s="7"/>
      <c r="E898" s="7"/>
      <c r="F898" s="7"/>
    </row>
    <row r="899" spans="1:6" x14ac:dyDescent="0.25">
      <c r="A899" s="7"/>
      <c r="E899" s="7"/>
      <c r="F899" s="7"/>
    </row>
    <row r="900" spans="1:6" x14ac:dyDescent="0.25">
      <c r="A900" s="7"/>
      <c r="E900" s="7"/>
      <c r="F900" s="7"/>
    </row>
    <row r="901" spans="1:6" x14ac:dyDescent="0.25">
      <c r="A901" s="7"/>
      <c r="E901" s="7"/>
      <c r="F901" s="7"/>
    </row>
    <row r="902" spans="1:6" x14ac:dyDescent="0.25">
      <c r="A902" s="7"/>
      <c r="E902" s="7"/>
      <c r="F902" s="7"/>
    </row>
    <row r="903" spans="1:6" x14ac:dyDescent="0.25">
      <c r="A903" s="7"/>
      <c r="E903" s="7"/>
      <c r="F903" s="7"/>
    </row>
    <row r="904" spans="1:6" x14ac:dyDescent="0.25">
      <c r="A904" s="7"/>
      <c r="E904" s="7"/>
      <c r="F904" s="7"/>
    </row>
    <row r="905" spans="1:6" x14ac:dyDescent="0.25">
      <c r="A905" s="7"/>
      <c r="E905" s="7"/>
      <c r="F905" s="7"/>
    </row>
    <row r="906" spans="1:6" x14ac:dyDescent="0.25">
      <c r="A906" s="7"/>
      <c r="E906" s="7"/>
      <c r="F906" s="7"/>
    </row>
    <row r="907" spans="1:6" x14ac:dyDescent="0.25">
      <c r="A907" s="7"/>
      <c r="E907" s="7"/>
      <c r="F907" s="7"/>
    </row>
    <row r="908" spans="1:6" x14ac:dyDescent="0.25">
      <c r="A908" s="7"/>
      <c r="E908" s="7"/>
      <c r="F908" s="7"/>
    </row>
    <row r="909" spans="1:6" x14ac:dyDescent="0.25">
      <c r="A909" s="7"/>
      <c r="E909" s="7"/>
      <c r="F909" s="7"/>
    </row>
    <row r="910" spans="1:6" x14ac:dyDescent="0.25">
      <c r="A910" s="7"/>
      <c r="E910" s="7"/>
      <c r="F910" s="7"/>
    </row>
    <row r="911" spans="1:6" x14ac:dyDescent="0.25">
      <c r="A911" s="7"/>
      <c r="E911" s="7"/>
      <c r="F911" s="7"/>
    </row>
    <row r="912" spans="1:6" x14ac:dyDescent="0.25">
      <c r="A912" s="7"/>
      <c r="E912" s="7"/>
      <c r="F912" s="7"/>
    </row>
    <row r="913" spans="1:6" x14ac:dyDescent="0.25">
      <c r="A913" s="7"/>
      <c r="E913" s="7"/>
      <c r="F913" s="7"/>
    </row>
    <row r="914" spans="1:6" x14ac:dyDescent="0.25">
      <c r="A914" s="7"/>
      <c r="E914" s="7"/>
      <c r="F914" s="7"/>
    </row>
    <row r="915" spans="1:6" x14ac:dyDescent="0.25">
      <c r="A915" s="7"/>
      <c r="E915" s="7"/>
      <c r="F915" s="7"/>
    </row>
    <row r="916" spans="1:6" x14ac:dyDescent="0.25">
      <c r="A916" s="7"/>
      <c r="E916" s="7"/>
      <c r="F916" s="7"/>
    </row>
    <row r="917" spans="1:6" x14ac:dyDescent="0.25">
      <c r="A917" s="7"/>
      <c r="E917" s="7"/>
      <c r="F917" s="7"/>
    </row>
    <row r="918" spans="1:6" x14ac:dyDescent="0.25">
      <c r="A918" s="7"/>
      <c r="E918" s="7"/>
      <c r="F918" s="7"/>
    </row>
    <row r="919" spans="1:6" x14ac:dyDescent="0.25">
      <c r="A919" s="7"/>
      <c r="E919" s="7"/>
      <c r="F919" s="7"/>
    </row>
    <row r="920" spans="1:6" x14ac:dyDescent="0.25">
      <c r="A920" s="7"/>
      <c r="E920" s="7"/>
      <c r="F920" s="7"/>
    </row>
    <row r="921" spans="1:6" x14ac:dyDescent="0.25">
      <c r="A921" s="7"/>
      <c r="E921" s="7"/>
      <c r="F921" s="7"/>
    </row>
    <row r="922" spans="1:6" x14ac:dyDescent="0.25">
      <c r="A922" s="7"/>
      <c r="E922" s="7"/>
      <c r="F922" s="7"/>
    </row>
    <row r="923" spans="1:6" x14ac:dyDescent="0.25">
      <c r="A923" s="7"/>
      <c r="E923" s="7"/>
      <c r="F923" s="7"/>
    </row>
    <row r="924" spans="1:6" x14ac:dyDescent="0.25">
      <c r="A924" s="7"/>
      <c r="E924" s="7"/>
      <c r="F924" s="7"/>
    </row>
    <row r="925" spans="1:6" x14ac:dyDescent="0.25">
      <c r="A925" s="7"/>
      <c r="E925" s="7"/>
      <c r="F925" s="7"/>
    </row>
    <row r="926" spans="1:6" x14ac:dyDescent="0.25">
      <c r="A926" s="7"/>
      <c r="E926" s="7"/>
      <c r="F926" s="7"/>
    </row>
    <row r="927" spans="1:6" x14ac:dyDescent="0.25">
      <c r="A927" s="7"/>
      <c r="E927" s="7"/>
      <c r="F927" s="7"/>
    </row>
    <row r="928" spans="1:6" x14ac:dyDescent="0.25">
      <c r="A928" s="7"/>
      <c r="E928" s="7"/>
      <c r="F928" s="7"/>
    </row>
    <row r="929" spans="1:6" x14ac:dyDescent="0.25">
      <c r="A929" s="7"/>
      <c r="E929" s="7"/>
      <c r="F929" s="7"/>
    </row>
    <row r="930" spans="1:6" x14ac:dyDescent="0.25">
      <c r="A930" s="7"/>
      <c r="E930" s="7"/>
      <c r="F930" s="7"/>
    </row>
    <row r="931" spans="1:6" x14ac:dyDescent="0.25">
      <c r="A931" s="7"/>
      <c r="E931" s="7"/>
      <c r="F931" s="7"/>
    </row>
    <row r="932" spans="1:6" x14ac:dyDescent="0.25">
      <c r="A932" s="7"/>
      <c r="E932" s="7"/>
      <c r="F932" s="7"/>
    </row>
    <row r="933" spans="1:6" x14ac:dyDescent="0.25">
      <c r="A933" s="7"/>
      <c r="E933" s="7"/>
      <c r="F933" s="7"/>
    </row>
    <row r="934" spans="1:6" x14ac:dyDescent="0.25">
      <c r="A934" s="7"/>
      <c r="E934" s="7"/>
      <c r="F934" s="7"/>
    </row>
    <row r="935" spans="1:6" x14ac:dyDescent="0.25">
      <c r="A935" s="7"/>
      <c r="E935" s="7"/>
      <c r="F935" s="7"/>
    </row>
    <row r="936" spans="1:6" x14ac:dyDescent="0.25">
      <c r="A936" s="7"/>
      <c r="E936" s="7"/>
      <c r="F936" s="7"/>
    </row>
    <row r="937" spans="1:6" x14ac:dyDescent="0.25">
      <c r="A937" s="7"/>
      <c r="E937" s="7"/>
      <c r="F937" s="7"/>
    </row>
    <row r="938" spans="1:6" x14ac:dyDescent="0.25">
      <c r="A938" s="7"/>
      <c r="E938" s="7"/>
      <c r="F938" s="7"/>
    </row>
    <row r="939" spans="1:6" x14ac:dyDescent="0.25">
      <c r="A939" s="7"/>
      <c r="E939" s="7"/>
      <c r="F939" s="7"/>
    </row>
    <row r="940" spans="1:6" x14ac:dyDescent="0.25">
      <c r="A940" s="7"/>
      <c r="E940" s="7"/>
      <c r="F940" s="7"/>
    </row>
    <row r="941" spans="1:6" x14ac:dyDescent="0.25">
      <c r="A941" s="7"/>
      <c r="E941" s="7"/>
      <c r="F941" s="7"/>
    </row>
    <row r="942" spans="1:6" x14ac:dyDescent="0.25">
      <c r="A942" s="7"/>
      <c r="E942" s="7"/>
      <c r="F942" s="7"/>
    </row>
    <row r="943" spans="1:6" x14ac:dyDescent="0.25">
      <c r="A943" s="7"/>
      <c r="E943" s="7"/>
      <c r="F943" s="7"/>
    </row>
    <row r="944" spans="1:6" x14ac:dyDescent="0.25">
      <c r="A944" s="7"/>
      <c r="E944" s="7"/>
      <c r="F944" s="7"/>
    </row>
    <row r="945" spans="1:6" x14ac:dyDescent="0.25">
      <c r="A945" s="7"/>
      <c r="E945" s="7"/>
      <c r="F945" s="7"/>
    </row>
    <row r="946" spans="1:6" x14ac:dyDescent="0.25">
      <c r="A946" s="7"/>
      <c r="E946" s="7"/>
      <c r="F946" s="7"/>
    </row>
    <row r="947" spans="1:6" x14ac:dyDescent="0.25">
      <c r="A947" s="7"/>
      <c r="E947" s="7"/>
      <c r="F947" s="7"/>
    </row>
    <row r="948" spans="1:6" x14ac:dyDescent="0.25">
      <c r="A948" s="7"/>
      <c r="E948" s="7"/>
      <c r="F948" s="7"/>
    </row>
    <row r="949" spans="1:6" x14ac:dyDescent="0.25">
      <c r="A949" s="7"/>
      <c r="E949" s="7"/>
      <c r="F949" s="7"/>
    </row>
    <row r="950" spans="1:6" x14ac:dyDescent="0.25">
      <c r="A950" s="7"/>
      <c r="E950" s="7"/>
      <c r="F950" s="7"/>
    </row>
    <row r="951" spans="1:6" x14ac:dyDescent="0.25">
      <c r="A951" s="7"/>
      <c r="E951" s="7"/>
      <c r="F951" s="7"/>
    </row>
    <row r="952" spans="1:6" x14ac:dyDescent="0.25">
      <c r="A952" s="7"/>
      <c r="E952" s="7"/>
      <c r="F952" s="7"/>
    </row>
    <row r="953" spans="1:6" x14ac:dyDescent="0.25">
      <c r="A953" s="7"/>
      <c r="E953" s="7"/>
      <c r="F953" s="7"/>
    </row>
    <row r="954" spans="1:6" x14ac:dyDescent="0.25">
      <c r="A954" s="7"/>
      <c r="E954" s="7"/>
      <c r="F954" s="7"/>
    </row>
    <row r="955" spans="1:6" x14ac:dyDescent="0.25">
      <c r="A955" s="7"/>
      <c r="E955" s="7"/>
      <c r="F955" s="7"/>
    </row>
    <row r="956" spans="1:6" x14ac:dyDescent="0.25">
      <c r="A956" s="7"/>
      <c r="E956" s="7"/>
      <c r="F956" s="7"/>
    </row>
    <row r="957" spans="1:6" x14ac:dyDescent="0.25">
      <c r="A957" s="7"/>
      <c r="E957" s="7"/>
      <c r="F957" s="7"/>
    </row>
    <row r="958" spans="1:6" x14ac:dyDescent="0.25">
      <c r="A958" s="7"/>
      <c r="E958" s="7"/>
      <c r="F958" s="7"/>
    </row>
    <row r="959" spans="1:6" x14ac:dyDescent="0.25">
      <c r="A959" s="7"/>
      <c r="E959" s="7"/>
      <c r="F959" s="7"/>
    </row>
    <row r="960" spans="1:6" x14ac:dyDescent="0.25">
      <c r="A960" s="7"/>
      <c r="E960" s="7"/>
      <c r="F960" s="7"/>
    </row>
    <row r="961" spans="1:6" x14ac:dyDescent="0.25">
      <c r="A961" s="7"/>
      <c r="E961" s="7"/>
      <c r="F961" s="7"/>
    </row>
    <row r="962" spans="1:6" x14ac:dyDescent="0.25">
      <c r="A962" s="7"/>
      <c r="E962" s="7"/>
      <c r="F962" s="7"/>
    </row>
    <row r="963" spans="1:6" x14ac:dyDescent="0.25">
      <c r="A963" s="7"/>
      <c r="E963" s="7"/>
      <c r="F963" s="7"/>
    </row>
    <row r="964" spans="1:6" x14ac:dyDescent="0.25">
      <c r="A964" s="7"/>
      <c r="E964" s="7"/>
      <c r="F964" s="7"/>
    </row>
    <row r="965" spans="1:6" x14ac:dyDescent="0.25">
      <c r="A965" s="7"/>
      <c r="E965" s="7"/>
      <c r="F965" s="7"/>
    </row>
    <row r="966" spans="1:6" x14ac:dyDescent="0.25">
      <c r="A966" s="7"/>
      <c r="E966" s="7"/>
      <c r="F966" s="7"/>
    </row>
    <row r="967" spans="1:6" x14ac:dyDescent="0.25">
      <c r="A967" s="7"/>
      <c r="E967" s="7"/>
      <c r="F967" s="7"/>
    </row>
    <row r="968" spans="1:6" x14ac:dyDescent="0.25">
      <c r="A968" s="7"/>
      <c r="E968" s="7"/>
      <c r="F968" s="7"/>
    </row>
    <row r="969" spans="1:6" x14ac:dyDescent="0.25">
      <c r="A969" s="7"/>
      <c r="E969" s="7"/>
      <c r="F969" s="7"/>
    </row>
    <row r="970" spans="1:6" x14ac:dyDescent="0.25">
      <c r="A970" s="7"/>
      <c r="E970" s="7"/>
      <c r="F970" s="7"/>
    </row>
    <row r="971" spans="1:6" x14ac:dyDescent="0.25">
      <c r="A971" s="7"/>
      <c r="E971" s="7"/>
      <c r="F971" s="7"/>
    </row>
    <row r="972" spans="1:6" x14ac:dyDescent="0.25">
      <c r="A972" s="7"/>
      <c r="E972" s="7"/>
      <c r="F972" s="7"/>
    </row>
    <row r="973" spans="1:6" x14ac:dyDescent="0.25">
      <c r="A973" s="7"/>
      <c r="E973" s="7"/>
      <c r="F973" s="7"/>
    </row>
    <row r="974" spans="1:6" x14ac:dyDescent="0.25">
      <c r="A974" s="7"/>
      <c r="E974" s="7"/>
      <c r="F974" s="7"/>
    </row>
    <row r="975" spans="1:6" x14ac:dyDescent="0.25">
      <c r="A975" s="7"/>
      <c r="E975" s="7"/>
      <c r="F975" s="7"/>
    </row>
    <row r="976" spans="1:6" x14ac:dyDescent="0.25">
      <c r="A976" s="7"/>
      <c r="E976" s="7"/>
      <c r="F976" s="7"/>
    </row>
    <row r="977" spans="1:6" x14ac:dyDescent="0.25">
      <c r="A977" s="7"/>
      <c r="E977" s="7"/>
      <c r="F977" s="7"/>
    </row>
    <row r="978" spans="1:6" x14ac:dyDescent="0.25">
      <c r="A978" s="7"/>
      <c r="E978" s="7"/>
      <c r="F978" s="7"/>
    </row>
    <row r="979" spans="1:6" x14ac:dyDescent="0.25">
      <c r="A979" s="7"/>
      <c r="E979" s="7"/>
      <c r="F979" s="7"/>
    </row>
    <row r="980" spans="1:6" x14ac:dyDescent="0.25">
      <c r="A980" s="7"/>
      <c r="E980" s="7"/>
      <c r="F980" s="7"/>
    </row>
    <row r="981" spans="1:6" x14ac:dyDescent="0.25">
      <c r="A981" s="7"/>
      <c r="E981" s="7"/>
      <c r="F981" s="7"/>
    </row>
    <row r="982" spans="1:6" x14ac:dyDescent="0.25">
      <c r="A982" s="7"/>
      <c r="E982" s="7"/>
      <c r="F982" s="7"/>
    </row>
    <row r="983" spans="1:6" x14ac:dyDescent="0.25">
      <c r="A983" s="7"/>
      <c r="E983" s="7"/>
      <c r="F983" s="7"/>
    </row>
    <row r="984" spans="1:6" x14ac:dyDescent="0.25">
      <c r="A984" s="7"/>
      <c r="E984" s="7"/>
      <c r="F984" s="7"/>
    </row>
    <row r="985" spans="1:6" x14ac:dyDescent="0.25">
      <c r="A985" s="7"/>
      <c r="E985" s="7"/>
      <c r="F985" s="7"/>
    </row>
    <row r="986" spans="1:6" x14ac:dyDescent="0.25">
      <c r="A986" s="7"/>
      <c r="E986" s="7"/>
      <c r="F986" s="7"/>
    </row>
    <row r="987" spans="1:6" x14ac:dyDescent="0.25">
      <c r="A987" s="7"/>
      <c r="E987" s="7"/>
      <c r="F987" s="7"/>
    </row>
    <row r="988" spans="1:6" x14ac:dyDescent="0.25">
      <c r="A988" s="7"/>
      <c r="E988" s="7"/>
      <c r="F988" s="7"/>
    </row>
    <row r="989" spans="1:6" x14ac:dyDescent="0.25">
      <c r="A989" s="7"/>
      <c r="E989" s="7"/>
      <c r="F989" s="7"/>
    </row>
    <row r="990" spans="1:6" x14ac:dyDescent="0.25">
      <c r="A990" s="7"/>
      <c r="E990" s="7"/>
      <c r="F990" s="7"/>
    </row>
    <row r="991" spans="1:6" x14ac:dyDescent="0.25">
      <c r="A991" s="7"/>
      <c r="E991" s="7"/>
      <c r="F991" s="7"/>
    </row>
    <row r="992" spans="1:6" x14ac:dyDescent="0.25">
      <c r="A992" s="7"/>
      <c r="E992" s="7"/>
      <c r="F992" s="7"/>
    </row>
    <row r="993" spans="1:6" x14ac:dyDescent="0.25">
      <c r="A993" s="7"/>
      <c r="E993" s="7"/>
      <c r="F993" s="7"/>
    </row>
    <row r="994" spans="1:6" x14ac:dyDescent="0.25">
      <c r="A994" s="7"/>
      <c r="E994" s="7"/>
      <c r="F994" s="7"/>
    </row>
    <row r="995" spans="1:6" x14ac:dyDescent="0.25">
      <c r="A995" s="7"/>
      <c r="E995" s="7"/>
      <c r="F995" s="7"/>
    </row>
    <row r="996" spans="1:6" x14ac:dyDescent="0.25">
      <c r="A996" s="7"/>
      <c r="E996" s="7"/>
      <c r="F996" s="7"/>
    </row>
    <row r="997" spans="1:6" x14ac:dyDescent="0.25">
      <c r="A997" s="7"/>
      <c r="E997" s="7"/>
      <c r="F997" s="7"/>
    </row>
    <row r="998" spans="1:6" x14ac:dyDescent="0.25">
      <c r="A998" s="7"/>
      <c r="E998" s="7"/>
      <c r="F998" s="7"/>
    </row>
    <row r="999" spans="1:6" x14ac:dyDescent="0.25">
      <c r="A999" s="7"/>
      <c r="E999" s="7"/>
      <c r="F999" s="7"/>
    </row>
    <row r="1000" spans="1:6" x14ac:dyDescent="0.25">
      <c r="A1000" s="7"/>
      <c r="E1000" s="7"/>
      <c r="F1000" s="7"/>
    </row>
    <row r="1001" spans="1:6" x14ac:dyDescent="0.25">
      <c r="A1001" s="7"/>
      <c r="E1001" s="7"/>
      <c r="F1001" s="7"/>
    </row>
    <row r="1002" spans="1:6" x14ac:dyDescent="0.25">
      <c r="A1002" s="7"/>
      <c r="E1002" s="7"/>
      <c r="F1002" s="7"/>
    </row>
    <row r="1003" spans="1:6" x14ac:dyDescent="0.25">
      <c r="A1003" s="7"/>
      <c r="E1003" s="7"/>
      <c r="F1003" s="7"/>
    </row>
    <row r="1004" spans="1:6" x14ac:dyDescent="0.25">
      <c r="A1004" s="7"/>
      <c r="E1004" s="7"/>
      <c r="F1004" s="7"/>
    </row>
  </sheetData>
  <mergeCells count="4">
    <mergeCell ref="A1:I1"/>
    <mergeCell ref="A2:I2"/>
    <mergeCell ref="B3:C3"/>
    <mergeCell ref="A18:I18"/>
  </mergeCells>
  <printOptions horizontalCentered="1" verticalCentered="1" gridLines="1"/>
  <pageMargins left="0.25" right="0.25" top="0.75" bottom="0.75" header="0" footer="0"/>
  <pageSetup fitToHeight="0" pageOrder="overThenDown" orientation="landscape" cellComments="atEnd"/>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outlinePr summaryBelow="0" summaryRight="0"/>
    <pageSetUpPr fitToPage="1"/>
  </sheetPr>
  <dimension ref="A1:W1002"/>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46.33203125" customWidth="1"/>
    <col min="2" max="2" width="7.33203125" customWidth="1"/>
    <col min="3" max="4" width="7.88671875" customWidth="1"/>
    <col min="5" max="5" width="22.21875" customWidth="1"/>
    <col min="6" max="6" width="14.6640625" customWidth="1"/>
  </cols>
  <sheetData>
    <row r="1" spans="1:23" x14ac:dyDescent="0.25">
      <c r="A1" s="141" t="s">
        <v>648</v>
      </c>
      <c r="B1" s="142"/>
      <c r="C1" s="142"/>
      <c r="D1" s="142"/>
      <c r="E1" s="142"/>
      <c r="F1" s="142"/>
      <c r="G1" s="142"/>
      <c r="H1" s="142"/>
      <c r="I1" s="143"/>
    </row>
    <row r="2" spans="1:23" x14ac:dyDescent="0.25">
      <c r="A2" s="144" t="s">
        <v>649</v>
      </c>
      <c r="B2" s="142"/>
      <c r="C2" s="142"/>
      <c r="D2" s="142"/>
      <c r="E2" s="142"/>
      <c r="F2" s="142"/>
      <c r="G2" s="142"/>
      <c r="H2" s="142"/>
      <c r="I2" s="143"/>
    </row>
    <row r="3" spans="1:23" x14ac:dyDescent="0.25">
      <c r="A3" s="43" t="s">
        <v>374</v>
      </c>
      <c r="B3" s="145" t="s">
        <v>408</v>
      </c>
      <c r="C3" s="143"/>
      <c r="D3" s="49" t="s">
        <v>370</v>
      </c>
      <c r="E3" s="50" t="s">
        <v>371</v>
      </c>
      <c r="F3" s="51" t="s">
        <v>372</v>
      </c>
      <c r="G3" s="52" t="s">
        <v>373</v>
      </c>
      <c r="H3" s="53" t="s">
        <v>409</v>
      </c>
      <c r="I3" s="53" t="s">
        <v>410</v>
      </c>
      <c r="J3" s="7"/>
      <c r="K3" s="7"/>
      <c r="L3" s="7"/>
      <c r="M3" s="7"/>
      <c r="N3" s="7"/>
      <c r="O3" s="7"/>
      <c r="P3" s="7"/>
      <c r="Q3" s="7"/>
      <c r="R3" s="7"/>
      <c r="S3" s="7"/>
      <c r="T3" s="7"/>
      <c r="U3" s="7"/>
      <c r="V3" s="7"/>
      <c r="W3" s="7"/>
    </row>
    <row r="4" spans="1:23" x14ac:dyDescent="0.25">
      <c r="A4" s="41" t="s">
        <v>411</v>
      </c>
      <c r="B4" s="54">
        <f>SUM(B5:B8)/3</f>
        <v>1</v>
      </c>
      <c r="C4" s="55">
        <f>D4*B4</f>
        <v>0.7</v>
      </c>
      <c r="D4" s="56">
        <v>0.7</v>
      </c>
      <c r="E4" s="57"/>
      <c r="F4" s="57"/>
      <c r="G4" s="58"/>
      <c r="H4" s="58"/>
      <c r="I4" s="58"/>
    </row>
    <row r="5" spans="1:23" x14ac:dyDescent="0.25">
      <c r="A5" s="42" t="s">
        <v>650</v>
      </c>
      <c r="B5" s="59">
        <v>1</v>
      </c>
      <c r="C5" s="60"/>
      <c r="D5" s="60"/>
      <c r="E5" s="42"/>
      <c r="F5" s="61"/>
      <c r="G5" s="59">
        <v>0.8</v>
      </c>
      <c r="H5" s="59">
        <v>0.8</v>
      </c>
      <c r="I5" s="59">
        <v>1</v>
      </c>
    </row>
    <row r="6" spans="1:23" x14ac:dyDescent="0.25">
      <c r="A6" s="42" t="s">
        <v>651</v>
      </c>
      <c r="B6" s="59">
        <v>1</v>
      </c>
      <c r="C6" s="60"/>
      <c r="D6" s="60"/>
      <c r="E6" s="42"/>
      <c r="F6" s="61"/>
      <c r="G6" s="59">
        <v>0.8</v>
      </c>
      <c r="H6" s="59">
        <v>0.8</v>
      </c>
      <c r="I6" s="59">
        <v>1</v>
      </c>
    </row>
    <row r="7" spans="1:23" x14ac:dyDescent="0.25">
      <c r="A7" s="42" t="s">
        <v>652</v>
      </c>
      <c r="B7" s="59">
        <v>1</v>
      </c>
      <c r="C7" s="60"/>
      <c r="D7" s="60"/>
      <c r="E7" s="42"/>
      <c r="F7" s="42"/>
      <c r="G7" s="59">
        <v>0.8</v>
      </c>
      <c r="H7" s="59">
        <v>0.8</v>
      </c>
      <c r="I7" s="59">
        <v>1</v>
      </c>
    </row>
    <row r="8" spans="1:23" x14ac:dyDescent="0.25">
      <c r="A8" s="42"/>
      <c r="B8" s="62"/>
      <c r="C8" s="60"/>
      <c r="D8" s="60"/>
      <c r="E8" s="42"/>
      <c r="F8" s="42"/>
      <c r="G8" s="60"/>
      <c r="H8" s="60"/>
      <c r="I8" s="60"/>
    </row>
    <row r="9" spans="1:23" x14ac:dyDescent="0.25">
      <c r="A9" s="41" t="s">
        <v>415</v>
      </c>
      <c r="B9" s="54">
        <f>SUM(B10:B11)/1</f>
        <v>1</v>
      </c>
      <c r="C9" s="55">
        <f>D9*B9</f>
        <v>0.2</v>
      </c>
      <c r="D9" s="56">
        <v>0.2</v>
      </c>
      <c r="E9" s="57"/>
      <c r="F9" s="57"/>
      <c r="G9" s="58"/>
      <c r="H9" s="58"/>
      <c r="I9" s="58"/>
    </row>
    <row r="10" spans="1:23" x14ac:dyDescent="0.25">
      <c r="A10" s="42" t="s">
        <v>653</v>
      </c>
      <c r="B10" s="59">
        <v>1</v>
      </c>
      <c r="C10" s="60"/>
      <c r="D10" s="60"/>
      <c r="E10" s="42" t="s">
        <v>654</v>
      </c>
      <c r="F10" s="42" t="s">
        <v>425</v>
      </c>
      <c r="G10" s="59">
        <v>1</v>
      </c>
      <c r="H10" s="59">
        <v>0.9</v>
      </c>
      <c r="I10" s="59">
        <v>1.3</v>
      </c>
    </row>
    <row r="11" spans="1:23" x14ac:dyDescent="0.25">
      <c r="A11" s="43"/>
      <c r="B11" s="62"/>
      <c r="C11" s="60"/>
      <c r="D11" s="60"/>
      <c r="E11" s="42"/>
      <c r="F11" s="61"/>
      <c r="G11" s="59"/>
      <c r="H11" s="59"/>
      <c r="I11" s="59"/>
    </row>
    <row r="12" spans="1:23" x14ac:dyDescent="0.25">
      <c r="A12" s="41" t="s">
        <v>385</v>
      </c>
      <c r="B12" s="54">
        <f>SUM(B13:B14)/2</f>
        <v>1</v>
      </c>
      <c r="C12" s="55">
        <f>D12*B12</f>
        <v>0.1</v>
      </c>
      <c r="D12" s="56">
        <v>0.1</v>
      </c>
      <c r="E12" s="57"/>
      <c r="F12" s="57"/>
      <c r="G12" s="58"/>
      <c r="H12" s="58"/>
      <c r="I12" s="58"/>
    </row>
    <row r="13" spans="1:23" x14ac:dyDescent="0.25">
      <c r="A13" s="42" t="s">
        <v>386</v>
      </c>
      <c r="B13" s="59">
        <v>1</v>
      </c>
      <c r="C13" s="60"/>
      <c r="D13" s="53"/>
      <c r="E13" s="42"/>
      <c r="F13" s="42" t="s">
        <v>418</v>
      </c>
      <c r="G13" s="59">
        <v>0.8</v>
      </c>
      <c r="H13" s="59">
        <v>0.8</v>
      </c>
      <c r="I13" s="59">
        <v>1</v>
      </c>
    </row>
    <row r="14" spans="1:23" x14ac:dyDescent="0.25">
      <c r="A14" s="42" t="s">
        <v>387</v>
      </c>
      <c r="B14" s="59">
        <v>1</v>
      </c>
      <c r="C14" s="60"/>
      <c r="D14" s="53"/>
      <c r="E14" s="42"/>
      <c r="F14" s="42" t="s">
        <v>419</v>
      </c>
      <c r="G14" s="59">
        <v>0.8</v>
      </c>
      <c r="H14" s="59">
        <v>0.8</v>
      </c>
      <c r="I14" s="59">
        <v>1</v>
      </c>
    </row>
    <row r="15" spans="1:23" x14ac:dyDescent="0.25">
      <c r="A15" s="42"/>
      <c r="B15" s="60"/>
      <c r="C15" s="64">
        <f t="shared" ref="C15:D15" si="0">SUM(C4+C9+C12)</f>
        <v>0.99999999999999989</v>
      </c>
      <c r="D15" s="64">
        <f t="shared" si="0"/>
        <v>0.99999999999999989</v>
      </c>
      <c r="E15" s="42"/>
      <c r="F15" s="42"/>
      <c r="G15" s="60"/>
      <c r="H15" s="60"/>
      <c r="I15" s="60"/>
    </row>
    <row r="16" spans="1:23" x14ac:dyDescent="0.25">
      <c r="A16" s="152" t="s">
        <v>655</v>
      </c>
      <c r="B16" s="142"/>
      <c r="C16" s="142"/>
      <c r="D16" s="142"/>
      <c r="E16" s="142"/>
      <c r="F16" s="142"/>
      <c r="G16" s="142"/>
      <c r="H16" s="142"/>
      <c r="I16" s="143"/>
    </row>
    <row r="17" spans="1:9" x14ac:dyDescent="0.25">
      <c r="A17" s="66" t="s">
        <v>656</v>
      </c>
      <c r="B17" s="67" t="s">
        <v>427</v>
      </c>
      <c r="C17" s="64"/>
      <c r="D17" s="64"/>
      <c r="E17" s="68" t="s">
        <v>113</v>
      </c>
      <c r="F17" s="42" t="s">
        <v>425</v>
      </c>
      <c r="G17" s="42"/>
      <c r="H17" s="60"/>
      <c r="I17" s="60"/>
    </row>
    <row r="18" spans="1:9" x14ac:dyDescent="0.25">
      <c r="A18" s="66" t="s">
        <v>657</v>
      </c>
      <c r="B18" s="67" t="s">
        <v>427</v>
      </c>
      <c r="C18" s="64"/>
      <c r="D18" s="64"/>
      <c r="E18" s="68" t="s">
        <v>129</v>
      </c>
      <c r="F18" s="42" t="s">
        <v>425</v>
      </c>
      <c r="G18" s="42"/>
      <c r="H18" s="60"/>
      <c r="I18" s="60"/>
    </row>
    <row r="19" spans="1:9" x14ac:dyDescent="0.25">
      <c r="A19" s="66" t="s">
        <v>658</v>
      </c>
      <c r="B19" s="67" t="s">
        <v>427</v>
      </c>
      <c r="C19" s="64"/>
      <c r="D19" s="64"/>
      <c r="E19" s="68" t="s">
        <v>242</v>
      </c>
      <c r="F19" s="42" t="s">
        <v>425</v>
      </c>
      <c r="G19" s="42"/>
      <c r="H19" s="60"/>
      <c r="I19" s="60"/>
    </row>
    <row r="20" spans="1:9" x14ac:dyDescent="0.25">
      <c r="A20" s="7"/>
      <c r="E20" s="7"/>
      <c r="F20" s="7"/>
    </row>
    <row r="21" spans="1:9" x14ac:dyDescent="0.25">
      <c r="A21" s="7"/>
      <c r="E21" s="7"/>
      <c r="F21" s="7"/>
    </row>
    <row r="22" spans="1:9" x14ac:dyDescent="0.25">
      <c r="A22" s="7"/>
      <c r="E22" s="7"/>
      <c r="F22" s="7"/>
    </row>
    <row r="23" spans="1:9" x14ac:dyDescent="0.25">
      <c r="A23" s="7"/>
      <c r="E23" s="7"/>
      <c r="F23" s="7"/>
    </row>
    <row r="24" spans="1:9" x14ac:dyDescent="0.25">
      <c r="A24" s="7"/>
      <c r="E24" s="7"/>
      <c r="F24" s="7"/>
    </row>
    <row r="25" spans="1:9" x14ac:dyDescent="0.25">
      <c r="A25" s="7"/>
      <c r="E25" s="7"/>
      <c r="F25" s="7"/>
    </row>
    <row r="26" spans="1:9" x14ac:dyDescent="0.25">
      <c r="A26" s="7"/>
      <c r="E26" s="7"/>
      <c r="F26" s="7"/>
    </row>
    <row r="27" spans="1:9" x14ac:dyDescent="0.25">
      <c r="A27" s="7"/>
      <c r="E27" s="7"/>
      <c r="F27" s="7"/>
    </row>
    <row r="28" spans="1:9" x14ac:dyDescent="0.25">
      <c r="A28" s="7"/>
      <c r="E28" s="7"/>
      <c r="F28" s="7"/>
    </row>
    <row r="29" spans="1:9" x14ac:dyDescent="0.25">
      <c r="A29" s="7"/>
      <c r="E29" s="7"/>
      <c r="F29" s="7"/>
    </row>
    <row r="30" spans="1:9" x14ac:dyDescent="0.25">
      <c r="A30" s="7"/>
      <c r="E30" s="7"/>
      <c r="F30" s="7"/>
    </row>
    <row r="31" spans="1:9" x14ac:dyDescent="0.25">
      <c r="A31" s="7"/>
      <c r="E31" s="7"/>
      <c r="F31" s="7"/>
    </row>
    <row r="32" spans="1:9" x14ac:dyDescent="0.25">
      <c r="A32" s="7"/>
      <c r="E32" s="7"/>
      <c r="F32" s="7"/>
    </row>
    <row r="33" spans="1:6" x14ac:dyDescent="0.25">
      <c r="A33" s="7"/>
      <c r="E33" s="7"/>
      <c r="F33" s="7"/>
    </row>
    <row r="34" spans="1:6" x14ac:dyDescent="0.25">
      <c r="A34" s="7"/>
      <c r="E34" s="7"/>
      <c r="F34" s="7"/>
    </row>
    <row r="35" spans="1:6" x14ac:dyDescent="0.25">
      <c r="A35" s="7"/>
      <c r="E35" s="7"/>
      <c r="F35" s="7"/>
    </row>
    <row r="36" spans="1:6" x14ac:dyDescent="0.25">
      <c r="A36" s="7"/>
      <c r="E36" s="7"/>
      <c r="F36" s="7"/>
    </row>
    <row r="37" spans="1:6" x14ac:dyDescent="0.25">
      <c r="A37" s="7"/>
      <c r="E37" s="7"/>
      <c r="F37" s="7"/>
    </row>
    <row r="38" spans="1:6" x14ac:dyDescent="0.25">
      <c r="A38" s="7"/>
      <c r="E38" s="7"/>
      <c r="F38" s="7"/>
    </row>
    <row r="39" spans="1:6" x14ac:dyDescent="0.25">
      <c r="A39" s="7"/>
      <c r="E39" s="7"/>
      <c r="F39" s="7"/>
    </row>
    <row r="40" spans="1:6" x14ac:dyDescent="0.25">
      <c r="A40" s="7"/>
      <c r="E40" s="7"/>
      <c r="F40" s="7"/>
    </row>
    <row r="41" spans="1:6" x14ac:dyDescent="0.25">
      <c r="A41" s="7"/>
      <c r="E41" s="7"/>
      <c r="F41" s="7"/>
    </row>
    <row r="42" spans="1:6" x14ac:dyDescent="0.25">
      <c r="A42" s="7"/>
      <c r="E42" s="7"/>
      <c r="F42" s="7"/>
    </row>
    <row r="43" spans="1:6" x14ac:dyDescent="0.25">
      <c r="A43" s="7"/>
      <c r="E43" s="7"/>
      <c r="F43" s="7"/>
    </row>
    <row r="44" spans="1:6" x14ac:dyDescent="0.25">
      <c r="A44" s="7"/>
      <c r="E44" s="7"/>
      <c r="F44" s="7"/>
    </row>
    <row r="45" spans="1:6" x14ac:dyDescent="0.25">
      <c r="A45" s="7"/>
      <c r="E45" s="7"/>
      <c r="F45" s="7"/>
    </row>
    <row r="46" spans="1:6" x14ac:dyDescent="0.25">
      <c r="A46" s="7"/>
      <c r="E46" s="7"/>
      <c r="F46" s="7"/>
    </row>
    <row r="47" spans="1:6" x14ac:dyDescent="0.25">
      <c r="A47" s="7"/>
      <c r="E47" s="7"/>
      <c r="F47" s="7"/>
    </row>
    <row r="48" spans="1:6" x14ac:dyDescent="0.25">
      <c r="A48" s="7"/>
      <c r="E48" s="7"/>
      <c r="F48" s="7"/>
    </row>
    <row r="49" spans="1:6" x14ac:dyDescent="0.25">
      <c r="A49" s="7"/>
      <c r="E49" s="7"/>
      <c r="F49" s="7"/>
    </row>
    <row r="50" spans="1:6" x14ac:dyDescent="0.25">
      <c r="A50" s="7"/>
      <c r="E50" s="7"/>
      <c r="F50" s="7"/>
    </row>
    <row r="51" spans="1:6" x14ac:dyDescent="0.25">
      <c r="A51" s="7"/>
      <c r="E51" s="7"/>
      <c r="F51" s="7"/>
    </row>
    <row r="52" spans="1:6" x14ac:dyDescent="0.25">
      <c r="A52" s="7"/>
      <c r="E52" s="7"/>
      <c r="F52" s="7"/>
    </row>
    <row r="53" spans="1:6" x14ac:dyDescent="0.25">
      <c r="A53" s="7"/>
      <c r="E53" s="7"/>
      <c r="F53" s="7"/>
    </row>
    <row r="54" spans="1:6" x14ac:dyDescent="0.25">
      <c r="A54" s="7"/>
      <c r="E54" s="7"/>
      <c r="F54" s="7"/>
    </row>
    <row r="55" spans="1:6" x14ac:dyDescent="0.25">
      <c r="A55" s="7"/>
      <c r="E55" s="7"/>
      <c r="F55" s="7"/>
    </row>
    <row r="56" spans="1:6" x14ac:dyDescent="0.25">
      <c r="A56" s="7"/>
      <c r="E56" s="7"/>
      <c r="F56" s="7"/>
    </row>
    <row r="57" spans="1:6" x14ac:dyDescent="0.25">
      <c r="A57" s="7"/>
      <c r="E57" s="7"/>
      <c r="F57" s="7"/>
    </row>
    <row r="58" spans="1:6" x14ac:dyDescent="0.25">
      <c r="A58" s="7"/>
      <c r="E58" s="7"/>
      <c r="F58" s="7"/>
    </row>
    <row r="59" spans="1:6" x14ac:dyDescent="0.25">
      <c r="A59" s="7"/>
      <c r="E59" s="7"/>
      <c r="F59" s="7"/>
    </row>
    <row r="60" spans="1:6" x14ac:dyDescent="0.25">
      <c r="A60" s="7"/>
      <c r="E60" s="7"/>
      <c r="F60" s="7"/>
    </row>
    <row r="61" spans="1:6" x14ac:dyDescent="0.25">
      <c r="A61" s="7"/>
      <c r="E61" s="7"/>
      <c r="F61" s="7"/>
    </row>
    <row r="62" spans="1:6" x14ac:dyDescent="0.25">
      <c r="A62" s="7"/>
      <c r="E62" s="7"/>
      <c r="F62" s="7"/>
    </row>
    <row r="63" spans="1:6" x14ac:dyDescent="0.25">
      <c r="A63" s="7"/>
      <c r="E63" s="7"/>
      <c r="F63" s="7"/>
    </row>
    <row r="64" spans="1:6" x14ac:dyDescent="0.25">
      <c r="A64" s="7"/>
      <c r="E64" s="7"/>
      <c r="F64" s="7"/>
    </row>
    <row r="65" spans="1:6" x14ac:dyDescent="0.25">
      <c r="A65" s="7"/>
      <c r="E65" s="7"/>
      <c r="F65" s="7"/>
    </row>
    <row r="66" spans="1:6" x14ac:dyDescent="0.25">
      <c r="A66" s="7"/>
      <c r="E66" s="7"/>
      <c r="F66" s="7"/>
    </row>
    <row r="67" spans="1:6" x14ac:dyDescent="0.25">
      <c r="A67" s="7"/>
      <c r="E67" s="7"/>
      <c r="F67" s="7"/>
    </row>
    <row r="68" spans="1:6" x14ac:dyDescent="0.25">
      <c r="A68" s="7"/>
      <c r="E68" s="7"/>
      <c r="F68" s="7"/>
    </row>
    <row r="69" spans="1:6" x14ac:dyDescent="0.25">
      <c r="A69" s="7"/>
      <c r="E69" s="7"/>
      <c r="F69" s="7"/>
    </row>
    <row r="70" spans="1:6" x14ac:dyDescent="0.25">
      <c r="A70" s="7"/>
      <c r="E70" s="7"/>
      <c r="F70" s="7"/>
    </row>
    <row r="71" spans="1:6" x14ac:dyDescent="0.25">
      <c r="A71" s="7"/>
      <c r="E71" s="7"/>
      <c r="F71" s="7"/>
    </row>
    <row r="72" spans="1:6" x14ac:dyDescent="0.25">
      <c r="A72" s="7"/>
      <c r="E72" s="7"/>
      <c r="F72" s="7"/>
    </row>
    <row r="73" spans="1:6" x14ac:dyDescent="0.25">
      <c r="A73" s="7"/>
      <c r="E73" s="7"/>
      <c r="F73" s="7"/>
    </row>
    <row r="74" spans="1:6" x14ac:dyDescent="0.25">
      <c r="A74" s="7"/>
      <c r="E74" s="7"/>
      <c r="F74" s="7"/>
    </row>
    <row r="75" spans="1:6" x14ac:dyDescent="0.25">
      <c r="A75" s="7"/>
      <c r="E75" s="7"/>
      <c r="F75" s="7"/>
    </row>
    <row r="76" spans="1:6" x14ac:dyDescent="0.25">
      <c r="A76" s="7"/>
      <c r="E76" s="7"/>
      <c r="F76" s="7"/>
    </row>
    <row r="77" spans="1:6" x14ac:dyDescent="0.25">
      <c r="A77" s="7"/>
      <c r="E77" s="7"/>
      <c r="F77" s="7"/>
    </row>
    <row r="78" spans="1:6" x14ac:dyDescent="0.25">
      <c r="A78" s="7"/>
      <c r="E78" s="7"/>
      <c r="F78" s="7"/>
    </row>
    <row r="79" spans="1:6" x14ac:dyDescent="0.25">
      <c r="A79" s="7"/>
      <c r="E79" s="7"/>
      <c r="F79" s="7"/>
    </row>
    <row r="80" spans="1:6" x14ac:dyDescent="0.25">
      <c r="A80" s="7"/>
      <c r="E80" s="7"/>
      <c r="F80" s="7"/>
    </row>
    <row r="81" spans="1:6" x14ac:dyDescent="0.25">
      <c r="A81" s="7"/>
      <c r="E81" s="7"/>
      <c r="F81" s="7"/>
    </row>
    <row r="82" spans="1:6" x14ac:dyDescent="0.25">
      <c r="A82" s="7"/>
      <c r="E82" s="7"/>
      <c r="F82" s="7"/>
    </row>
    <row r="83" spans="1:6" x14ac:dyDescent="0.25">
      <c r="A83" s="7"/>
      <c r="E83" s="7"/>
      <c r="F83" s="7"/>
    </row>
    <row r="84" spans="1:6" x14ac:dyDescent="0.25">
      <c r="A84" s="7"/>
      <c r="E84" s="7"/>
      <c r="F84" s="7"/>
    </row>
    <row r="85" spans="1:6" x14ac:dyDescent="0.25">
      <c r="A85" s="7"/>
      <c r="E85" s="7"/>
      <c r="F85" s="7"/>
    </row>
    <row r="86" spans="1:6" x14ac:dyDescent="0.25">
      <c r="A86" s="7"/>
      <c r="E86" s="7"/>
      <c r="F86" s="7"/>
    </row>
    <row r="87" spans="1:6" x14ac:dyDescent="0.25">
      <c r="A87" s="7"/>
      <c r="E87" s="7"/>
      <c r="F87" s="7"/>
    </row>
    <row r="88" spans="1:6" x14ac:dyDescent="0.25">
      <c r="A88" s="7"/>
      <c r="E88" s="7"/>
      <c r="F88" s="7"/>
    </row>
    <row r="89" spans="1:6" x14ac:dyDescent="0.25">
      <c r="A89" s="7"/>
      <c r="E89" s="7"/>
      <c r="F89" s="7"/>
    </row>
    <row r="90" spans="1:6" x14ac:dyDescent="0.25">
      <c r="A90" s="7"/>
      <c r="E90" s="7"/>
      <c r="F90" s="7"/>
    </row>
    <row r="91" spans="1:6" x14ac:dyDescent="0.25">
      <c r="A91" s="7"/>
      <c r="E91" s="7"/>
      <c r="F91" s="7"/>
    </row>
    <row r="92" spans="1:6" x14ac:dyDescent="0.25">
      <c r="A92" s="7"/>
      <c r="E92" s="7"/>
      <c r="F92" s="7"/>
    </row>
    <row r="93" spans="1:6" x14ac:dyDescent="0.25">
      <c r="A93" s="7"/>
      <c r="E93" s="7"/>
      <c r="F93" s="7"/>
    </row>
    <row r="94" spans="1:6" x14ac:dyDescent="0.25">
      <c r="A94" s="7"/>
      <c r="E94" s="7"/>
      <c r="F94" s="7"/>
    </row>
    <row r="95" spans="1:6" x14ac:dyDescent="0.25">
      <c r="A95" s="7"/>
      <c r="E95" s="7"/>
      <c r="F95" s="7"/>
    </row>
    <row r="96" spans="1:6" x14ac:dyDescent="0.25">
      <c r="A96" s="7"/>
      <c r="E96" s="7"/>
      <c r="F96" s="7"/>
    </row>
    <row r="97" spans="1:6" x14ac:dyDescent="0.25">
      <c r="A97" s="7"/>
      <c r="E97" s="7"/>
      <c r="F97" s="7"/>
    </row>
    <row r="98" spans="1:6" x14ac:dyDescent="0.25">
      <c r="A98" s="7"/>
      <c r="E98" s="7"/>
      <c r="F98" s="7"/>
    </row>
    <row r="99" spans="1:6" x14ac:dyDescent="0.25">
      <c r="A99" s="7"/>
      <c r="E99" s="7"/>
      <c r="F99" s="7"/>
    </row>
    <row r="100" spans="1:6" x14ac:dyDescent="0.25">
      <c r="A100" s="7"/>
      <c r="E100" s="7"/>
      <c r="F100" s="7"/>
    </row>
    <row r="101" spans="1:6" x14ac:dyDescent="0.25">
      <c r="A101" s="7"/>
      <c r="E101" s="7"/>
      <c r="F101" s="7"/>
    </row>
    <row r="102" spans="1:6" x14ac:dyDescent="0.25">
      <c r="A102" s="7"/>
      <c r="E102" s="7"/>
      <c r="F102" s="7"/>
    </row>
    <row r="103" spans="1:6" x14ac:dyDescent="0.25">
      <c r="A103" s="7"/>
      <c r="E103" s="7"/>
      <c r="F103" s="7"/>
    </row>
    <row r="104" spans="1:6" x14ac:dyDescent="0.25">
      <c r="A104" s="7"/>
      <c r="E104" s="7"/>
      <c r="F104" s="7"/>
    </row>
    <row r="105" spans="1:6" x14ac:dyDescent="0.25">
      <c r="A105" s="7"/>
      <c r="E105" s="7"/>
      <c r="F105" s="7"/>
    </row>
    <row r="106" spans="1:6" x14ac:dyDescent="0.25">
      <c r="A106" s="7"/>
      <c r="E106" s="7"/>
      <c r="F106" s="7"/>
    </row>
    <row r="107" spans="1:6" x14ac:dyDescent="0.25">
      <c r="A107" s="7"/>
      <c r="E107" s="7"/>
      <c r="F107" s="7"/>
    </row>
    <row r="108" spans="1:6" x14ac:dyDescent="0.25">
      <c r="A108" s="7"/>
      <c r="E108" s="7"/>
      <c r="F108" s="7"/>
    </row>
    <row r="109" spans="1:6" x14ac:dyDescent="0.25">
      <c r="A109" s="7"/>
      <c r="E109" s="7"/>
      <c r="F109" s="7"/>
    </row>
    <row r="110" spans="1:6" x14ac:dyDescent="0.25">
      <c r="A110" s="7"/>
      <c r="E110" s="7"/>
      <c r="F110" s="7"/>
    </row>
    <row r="111" spans="1:6" x14ac:dyDescent="0.25">
      <c r="A111" s="7"/>
      <c r="E111" s="7"/>
      <c r="F111" s="7"/>
    </row>
    <row r="112" spans="1:6" x14ac:dyDescent="0.25">
      <c r="A112" s="7"/>
      <c r="E112" s="7"/>
      <c r="F112" s="7"/>
    </row>
    <row r="113" spans="1:6" x14ac:dyDescent="0.25">
      <c r="A113" s="7"/>
      <c r="E113" s="7"/>
      <c r="F113" s="7"/>
    </row>
    <row r="114" spans="1:6" x14ac:dyDescent="0.25">
      <c r="A114" s="7"/>
      <c r="E114" s="7"/>
      <c r="F114" s="7"/>
    </row>
    <row r="115" spans="1:6" x14ac:dyDescent="0.25">
      <c r="A115" s="7"/>
      <c r="E115" s="7"/>
      <c r="F115" s="7"/>
    </row>
    <row r="116" spans="1:6" x14ac:dyDescent="0.25">
      <c r="A116" s="7"/>
      <c r="E116" s="7"/>
      <c r="F116" s="7"/>
    </row>
    <row r="117" spans="1:6" x14ac:dyDescent="0.25">
      <c r="A117" s="7"/>
      <c r="E117" s="7"/>
      <c r="F117" s="7"/>
    </row>
    <row r="118" spans="1:6" x14ac:dyDescent="0.25">
      <c r="A118" s="7"/>
      <c r="E118" s="7"/>
      <c r="F118" s="7"/>
    </row>
    <row r="119" spans="1:6" x14ac:dyDescent="0.25">
      <c r="A119" s="7"/>
      <c r="E119" s="7"/>
      <c r="F119" s="7"/>
    </row>
    <row r="120" spans="1:6" x14ac:dyDescent="0.25">
      <c r="A120" s="7"/>
      <c r="E120" s="7"/>
      <c r="F120" s="7"/>
    </row>
    <row r="121" spans="1:6" x14ac:dyDescent="0.25">
      <c r="A121" s="7"/>
      <c r="E121" s="7"/>
      <c r="F121" s="7"/>
    </row>
    <row r="122" spans="1:6" x14ac:dyDescent="0.25">
      <c r="A122" s="7"/>
      <c r="E122" s="7"/>
      <c r="F122" s="7"/>
    </row>
    <row r="123" spans="1:6" x14ac:dyDescent="0.25">
      <c r="A123" s="7"/>
      <c r="E123" s="7"/>
      <c r="F123" s="7"/>
    </row>
    <row r="124" spans="1:6" x14ac:dyDescent="0.25">
      <c r="A124" s="7"/>
      <c r="E124" s="7"/>
      <c r="F124" s="7"/>
    </row>
    <row r="125" spans="1:6" x14ac:dyDescent="0.25">
      <c r="A125" s="7"/>
      <c r="E125" s="7"/>
      <c r="F125" s="7"/>
    </row>
    <row r="126" spans="1:6" x14ac:dyDescent="0.25">
      <c r="A126" s="7"/>
      <c r="E126" s="7"/>
      <c r="F126" s="7"/>
    </row>
    <row r="127" spans="1:6" x14ac:dyDescent="0.25">
      <c r="A127" s="7"/>
      <c r="E127" s="7"/>
      <c r="F127" s="7"/>
    </row>
    <row r="128" spans="1:6" x14ac:dyDescent="0.25">
      <c r="A128" s="7"/>
      <c r="E128" s="7"/>
      <c r="F128" s="7"/>
    </row>
    <row r="129" spans="1:6" x14ac:dyDescent="0.25">
      <c r="A129" s="7"/>
      <c r="E129" s="7"/>
      <c r="F129" s="7"/>
    </row>
    <row r="130" spans="1:6" x14ac:dyDescent="0.25">
      <c r="A130" s="7"/>
      <c r="E130" s="7"/>
      <c r="F130" s="7"/>
    </row>
    <row r="131" spans="1:6" x14ac:dyDescent="0.25">
      <c r="A131" s="7"/>
      <c r="E131" s="7"/>
      <c r="F131" s="7"/>
    </row>
    <row r="132" spans="1:6" x14ac:dyDescent="0.25">
      <c r="A132" s="7"/>
      <c r="E132" s="7"/>
      <c r="F132" s="7"/>
    </row>
    <row r="133" spans="1:6" x14ac:dyDescent="0.25">
      <c r="A133" s="7"/>
      <c r="E133" s="7"/>
      <c r="F133" s="7"/>
    </row>
    <row r="134" spans="1:6" x14ac:dyDescent="0.25">
      <c r="A134" s="7"/>
      <c r="E134" s="7"/>
      <c r="F134" s="7"/>
    </row>
    <row r="135" spans="1:6" x14ac:dyDescent="0.25">
      <c r="A135" s="7"/>
      <c r="E135" s="7"/>
      <c r="F135" s="7"/>
    </row>
    <row r="136" spans="1:6" x14ac:dyDescent="0.25">
      <c r="A136" s="7"/>
      <c r="E136" s="7"/>
      <c r="F136" s="7"/>
    </row>
    <row r="137" spans="1:6" x14ac:dyDescent="0.25">
      <c r="A137" s="7"/>
      <c r="E137" s="7"/>
      <c r="F137" s="7"/>
    </row>
    <row r="138" spans="1:6" x14ac:dyDescent="0.25">
      <c r="A138" s="7"/>
      <c r="E138" s="7"/>
      <c r="F138" s="7"/>
    </row>
    <row r="139" spans="1:6" x14ac:dyDescent="0.25">
      <c r="A139" s="7"/>
      <c r="E139" s="7"/>
      <c r="F139" s="7"/>
    </row>
    <row r="140" spans="1:6" x14ac:dyDescent="0.25">
      <c r="A140" s="7"/>
      <c r="E140" s="7"/>
      <c r="F140" s="7"/>
    </row>
    <row r="141" spans="1:6" x14ac:dyDescent="0.25">
      <c r="A141" s="7"/>
      <c r="E141" s="7"/>
      <c r="F141" s="7"/>
    </row>
    <row r="142" spans="1:6" x14ac:dyDescent="0.25">
      <c r="A142" s="7"/>
      <c r="E142" s="7"/>
      <c r="F142" s="7"/>
    </row>
    <row r="143" spans="1:6" x14ac:dyDescent="0.25">
      <c r="A143" s="7"/>
      <c r="E143" s="7"/>
      <c r="F143" s="7"/>
    </row>
    <row r="144" spans="1:6" x14ac:dyDescent="0.25">
      <c r="A144" s="7"/>
      <c r="E144" s="7"/>
      <c r="F144" s="7"/>
    </row>
    <row r="145" spans="1:6" x14ac:dyDescent="0.25">
      <c r="A145" s="7"/>
      <c r="E145" s="7"/>
      <c r="F145" s="7"/>
    </row>
    <row r="146" spans="1:6" x14ac:dyDescent="0.25">
      <c r="A146" s="7"/>
      <c r="E146" s="7"/>
      <c r="F146" s="7"/>
    </row>
    <row r="147" spans="1:6" x14ac:dyDescent="0.25">
      <c r="A147" s="7"/>
      <c r="E147" s="7"/>
      <c r="F147" s="7"/>
    </row>
    <row r="148" spans="1:6" x14ac:dyDescent="0.25">
      <c r="A148" s="7"/>
      <c r="E148" s="7"/>
      <c r="F148" s="7"/>
    </row>
    <row r="149" spans="1:6" x14ac:dyDescent="0.25">
      <c r="A149" s="7"/>
      <c r="E149" s="7"/>
      <c r="F149" s="7"/>
    </row>
    <row r="150" spans="1:6" x14ac:dyDescent="0.25">
      <c r="A150" s="7"/>
      <c r="E150" s="7"/>
      <c r="F150" s="7"/>
    </row>
    <row r="151" spans="1:6" x14ac:dyDescent="0.25">
      <c r="A151" s="7"/>
      <c r="E151" s="7"/>
      <c r="F151" s="7"/>
    </row>
    <row r="152" spans="1:6" x14ac:dyDescent="0.25">
      <c r="A152" s="7"/>
      <c r="E152" s="7"/>
      <c r="F152" s="7"/>
    </row>
    <row r="153" spans="1:6" x14ac:dyDescent="0.25">
      <c r="A153" s="7"/>
      <c r="E153" s="7"/>
      <c r="F153" s="7"/>
    </row>
    <row r="154" spans="1:6" x14ac:dyDescent="0.25">
      <c r="A154" s="7"/>
      <c r="E154" s="7"/>
      <c r="F154" s="7"/>
    </row>
    <row r="155" spans="1:6" x14ac:dyDescent="0.25">
      <c r="A155" s="7"/>
      <c r="E155" s="7"/>
      <c r="F155" s="7"/>
    </row>
    <row r="156" spans="1:6" x14ac:dyDescent="0.25">
      <c r="A156" s="7"/>
      <c r="E156" s="7"/>
      <c r="F156" s="7"/>
    </row>
    <row r="157" spans="1:6" x14ac:dyDescent="0.25">
      <c r="A157" s="7"/>
      <c r="E157" s="7"/>
      <c r="F157" s="7"/>
    </row>
    <row r="158" spans="1:6" x14ac:dyDescent="0.25">
      <c r="A158" s="7"/>
      <c r="E158" s="7"/>
      <c r="F158" s="7"/>
    </row>
    <row r="159" spans="1:6" x14ac:dyDescent="0.25">
      <c r="A159" s="7"/>
      <c r="E159" s="7"/>
      <c r="F159" s="7"/>
    </row>
    <row r="160" spans="1:6" x14ac:dyDescent="0.25">
      <c r="A160" s="7"/>
      <c r="E160" s="7"/>
      <c r="F160" s="7"/>
    </row>
    <row r="161" spans="1:6" x14ac:dyDescent="0.25">
      <c r="A161" s="7"/>
      <c r="E161" s="7"/>
      <c r="F161" s="7"/>
    </row>
    <row r="162" spans="1:6" x14ac:dyDescent="0.25">
      <c r="A162" s="7"/>
      <c r="E162" s="7"/>
      <c r="F162" s="7"/>
    </row>
    <row r="163" spans="1:6" x14ac:dyDescent="0.25">
      <c r="A163" s="7"/>
      <c r="E163" s="7"/>
      <c r="F163" s="7"/>
    </row>
    <row r="164" spans="1:6" x14ac:dyDescent="0.25">
      <c r="A164" s="7"/>
      <c r="E164" s="7"/>
      <c r="F164" s="7"/>
    </row>
    <row r="165" spans="1:6" x14ac:dyDescent="0.25">
      <c r="A165" s="7"/>
      <c r="E165" s="7"/>
      <c r="F165" s="7"/>
    </row>
    <row r="166" spans="1:6" x14ac:dyDescent="0.25">
      <c r="A166" s="7"/>
      <c r="E166" s="7"/>
      <c r="F166" s="7"/>
    </row>
    <row r="167" spans="1:6" x14ac:dyDescent="0.25">
      <c r="A167" s="7"/>
      <c r="E167" s="7"/>
      <c r="F167" s="7"/>
    </row>
    <row r="168" spans="1:6" x14ac:dyDescent="0.25">
      <c r="A168" s="7"/>
      <c r="E168" s="7"/>
      <c r="F168" s="7"/>
    </row>
    <row r="169" spans="1:6" x14ac:dyDescent="0.25">
      <c r="A169" s="7"/>
      <c r="E169" s="7"/>
      <c r="F169" s="7"/>
    </row>
    <row r="170" spans="1:6" x14ac:dyDescent="0.25">
      <c r="A170" s="7"/>
      <c r="E170" s="7"/>
      <c r="F170" s="7"/>
    </row>
    <row r="171" spans="1:6" x14ac:dyDescent="0.25">
      <c r="A171" s="7"/>
      <c r="E171" s="7"/>
      <c r="F171" s="7"/>
    </row>
    <row r="172" spans="1:6" x14ac:dyDescent="0.25">
      <c r="A172" s="7"/>
      <c r="E172" s="7"/>
      <c r="F172" s="7"/>
    </row>
    <row r="173" spans="1:6" x14ac:dyDescent="0.25">
      <c r="A173" s="7"/>
      <c r="E173" s="7"/>
      <c r="F173" s="7"/>
    </row>
    <row r="174" spans="1:6" x14ac:dyDescent="0.25">
      <c r="A174" s="7"/>
      <c r="E174" s="7"/>
      <c r="F174" s="7"/>
    </row>
    <row r="175" spans="1:6" x14ac:dyDescent="0.25">
      <c r="A175" s="7"/>
      <c r="E175" s="7"/>
      <c r="F175" s="7"/>
    </row>
    <row r="176" spans="1:6" x14ac:dyDescent="0.25">
      <c r="A176" s="7"/>
      <c r="E176" s="7"/>
      <c r="F176" s="7"/>
    </row>
    <row r="177" spans="1:6" x14ac:dyDescent="0.25">
      <c r="A177" s="7"/>
      <c r="E177" s="7"/>
      <c r="F177" s="7"/>
    </row>
    <row r="178" spans="1:6" x14ac:dyDescent="0.25">
      <c r="A178" s="7"/>
      <c r="E178" s="7"/>
      <c r="F178" s="7"/>
    </row>
    <row r="179" spans="1:6" x14ac:dyDescent="0.25">
      <c r="A179" s="7"/>
      <c r="E179" s="7"/>
      <c r="F179" s="7"/>
    </row>
    <row r="180" spans="1:6" x14ac:dyDescent="0.25">
      <c r="A180" s="7"/>
      <c r="E180" s="7"/>
      <c r="F180" s="7"/>
    </row>
    <row r="181" spans="1:6" x14ac:dyDescent="0.25">
      <c r="A181" s="7"/>
      <c r="E181" s="7"/>
      <c r="F181" s="7"/>
    </row>
    <row r="182" spans="1:6" x14ac:dyDescent="0.25">
      <c r="A182" s="7"/>
      <c r="E182" s="7"/>
      <c r="F182" s="7"/>
    </row>
    <row r="183" spans="1:6" x14ac:dyDescent="0.25">
      <c r="A183" s="7"/>
      <c r="E183" s="7"/>
      <c r="F183" s="7"/>
    </row>
    <row r="184" spans="1:6" x14ac:dyDescent="0.25">
      <c r="A184" s="7"/>
      <c r="E184" s="7"/>
      <c r="F184" s="7"/>
    </row>
    <row r="185" spans="1:6" x14ac:dyDescent="0.25">
      <c r="A185" s="7"/>
      <c r="E185" s="7"/>
      <c r="F185" s="7"/>
    </row>
    <row r="186" spans="1:6" x14ac:dyDescent="0.25">
      <c r="A186" s="7"/>
      <c r="E186" s="7"/>
      <c r="F186" s="7"/>
    </row>
    <row r="187" spans="1:6" x14ac:dyDescent="0.25">
      <c r="A187" s="7"/>
      <c r="E187" s="7"/>
      <c r="F187" s="7"/>
    </row>
    <row r="188" spans="1:6" x14ac:dyDescent="0.25">
      <c r="A188" s="7"/>
      <c r="E188" s="7"/>
      <c r="F188" s="7"/>
    </row>
    <row r="189" spans="1:6" x14ac:dyDescent="0.25">
      <c r="A189" s="7"/>
      <c r="E189" s="7"/>
      <c r="F189" s="7"/>
    </row>
    <row r="190" spans="1:6" x14ac:dyDescent="0.25">
      <c r="A190" s="7"/>
      <c r="E190" s="7"/>
      <c r="F190" s="7"/>
    </row>
    <row r="191" spans="1:6" x14ac:dyDescent="0.25">
      <c r="A191" s="7"/>
      <c r="E191" s="7"/>
      <c r="F191" s="7"/>
    </row>
    <row r="192" spans="1:6" x14ac:dyDescent="0.25">
      <c r="A192" s="7"/>
      <c r="E192" s="7"/>
      <c r="F192" s="7"/>
    </row>
    <row r="193" spans="1:6" x14ac:dyDescent="0.25">
      <c r="A193" s="7"/>
      <c r="E193" s="7"/>
      <c r="F193" s="7"/>
    </row>
    <row r="194" spans="1:6" x14ac:dyDescent="0.25">
      <c r="A194" s="7"/>
      <c r="E194" s="7"/>
      <c r="F194" s="7"/>
    </row>
    <row r="195" spans="1:6" x14ac:dyDescent="0.25">
      <c r="A195" s="7"/>
      <c r="E195" s="7"/>
      <c r="F195" s="7"/>
    </row>
    <row r="196" spans="1:6" x14ac:dyDescent="0.25">
      <c r="A196" s="7"/>
      <c r="E196" s="7"/>
      <c r="F196" s="7"/>
    </row>
    <row r="197" spans="1:6" x14ac:dyDescent="0.25">
      <c r="A197" s="7"/>
      <c r="E197" s="7"/>
      <c r="F197" s="7"/>
    </row>
    <row r="198" spans="1:6" x14ac:dyDescent="0.25">
      <c r="A198" s="7"/>
      <c r="E198" s="7"/>
      <c r="F198" s="7"/>
    </row>
    <row r="199" spans="1:6" x14ac:dyDescent="0.25">
      <c r="A199" s="7"/>
      <c r="E199" s="7"/>
      <c r="F199" s="7"/>
    </row>
    <row r="200" spans="1:6" x14ac:dyDescent="0.25">
      <c r="A200" s="7"/>
      <c r="E200" s="7"/>
      <c r="F200" s="7"/>
    </row>
    <row r="201" spans="1:6" x14ac:dyDescent="0.25">
      <c r="A201" s="7"/>
      <c r="E201" s="7"/>
      <c r="F201" s="7"/>
    </row>
    <row r="202" spans="1:6" x14ac:dyDescent="0.25">
      <c r="A202" s="7"/>
      <c r="E202" s="7"/>
      <c r="F202" s="7"/>
    </row>
    <row r="203" spans="1:6" x14ac:dyDescent="0.25">
      <c r="A203" s="7"/>
      <c r="E203" s="7"/>
      <c r="F203" s="7"/>
    </row>
    <row r="204" spans="1:6" x14ac:dyDescent="0.25">
      <c r="A204" s="7"/>
      <c r="E204" s="7"/>
      <c r="F204" s="7"/>
    </row>
    <row r="205" spans="1:6" x14ac:dyDescent="0.25">
      <c r="A205" s="7"/>
      <c r="E205" s="7"/>
      <c r="F205" s="7"/>
    </row>
    <row r="206" spans="1:6" x14ac:dyDescent="0.25">
      <c r="A206" s="7"/>
      <c r="E206" s="7"/>
      <c r="F206" s="7"/>
    </row>
    <row r="207" spans="1:6" x14ac:dyDescent="0.25">
      <c r="A207" s="7"/>
      <c r="E207" s="7"/>
      <c r="F207" s="7"/>
    </row>
    <row r="208" spans="1:6" x14ac:dyDescent="0.25">
      <c r="A208" s="7"/>
      <c r="E208" s="7"/>
      <c r="F208" s="7"/>
    </row>
    <row r="209" spans="1:6" x14ac:dyDescent="0.25">
      <c r="A209" s="7"/>
      <c r="E209" s="7"/>
      <c r="F209" s="7"/>
    </row>
    <row r="210" spans="1:6" x14ac:dyDescent="0.25">
      <c r="A210" s="7"/>
      <c r="E210" s="7"/>
      <c r="F210" s="7"/>
    </row>
    <row r="211" spans="1:6" x14ac:dyDescent="0.25">
      <c r="A211" s="7"/>
      <c r="E211" s="7"/>
      <c r="F211" s="7"/>
    </row>
    <row r="212" spans="1:6" x14ac:dyDescent="0.25">
      <c r="A212" s="7"/>
      <c r="E212" s="7"/>
      <c r="F212" s="7"/>
    </row>
    <row r="213" spans="1:6" x14ac:dyDescent="0.25">
      <c r="A213" s="7"/>
      <c r="E213" s="7"/>
      <c r="F213" s="7"/>
    </row>
    <row r="214" spans="1:6" x14ac:dyDescent="0.25">
      <c r="A214" s="7"/>
      <c r="E214" s="7"/>
      <c r="F214" s="7"/>
    </row>
    <row r="215" spans="1:6" x14ac:dyDescent="0.25">
      <c r="A215" s="7"/>
      <c r="E215" s="7"/>
      <c r="F215" s="7"/>
    </row>
    <row r="216" spans="1:6" x14ac:dyDescent="0.25">
      <c r="A216" s="7"/>
      <c r="E216" s="7"/>
      <c r="F216" s="7"/>
    </row>
    <row r="217" spans="1:6" x14ac:dyDescent="0.25">
      <c r="A217" s="7"/>
      <c r="E217" s="7"/>
      <c r="F217" s="7"/>
    </row>
    <row r="218" spans="1:6" x14ac:dyDescent="0.25">
      <c r="A218" s="7"/>
      <c r="E218" s="7"/>
      <c r="F218" s="7"/>
    </row>
    <row r="219" spans="1:6" x14ac:dyDescent="0.25">
      <c r="A219" s="7"/>
      <c r="E219" s="7"/>
      <c r="F219" s="7"/>
    </row>
    <row r="220" spans="1:6" x14ac:dyDescent="0.25">
      <c r="A220" s="7"/>
      <c r="E220" s="7"/>
      <c r="F220" s="7"/>
    </row>
    <row r="221" spans="1:6" x14ac:dyDescent="0.25">
      <c r="A221" s="7"/>
      <c r="E221" s="7"/>
      <c r="F221" s="7"/>
    </row>
    <row r="222" spans="1:6" x14ac:dyDescent="0.25">
      <c r="A222" s="7"/>
      <c r="E222" s="7"/>
      <c r="F222" s="7"/>
    </row>
    <row r="223" spans="1:6" x14ac:dyDescent="0.25">
      <c r="A223" s="7"/>
      <c r="E223" s="7"/>
      <c r="F223" s="7"/>
    </row>
    <row r="224" spans="1:6" x14ac:dyDescent="0.25">
      <c r="A224" s="7"/>
      <c r="E224" s="7"/>
      <c r="F224" s="7"/>
    </row>
    <row r="225" spans="1:6" x14ac:dyDescent="0.25">
      <c r="A225" s="7"/>
      <c r="E225" s="7"/>
      <c r="F225" s="7"/>
    </row>
    <row r="226" spans="1:6" x14ac:dyDescent="0.25">
      <c r="A226" s="7"/>
      <c r="E226" s="7"/>
      <c r="F226" s="7"/>
    </row>
    <row r="227" spans="1:6" x14ac:dyDescent="0.25">
      <c r="A227" s="7"/>
      <c r="E227" s="7"/>
      <c r="F227" s="7"/>
    </row>
    <row r="228" spans="1:6" x14ac:dyDescent="0.25">
      <c r="A228" s="7"/>
      <c r="E228" s="7"/>
      <c r="F228" s="7"/>
    </row>
    <row r="229" spans="1:6" x14ac:dyDescent="0.25">
      <c r="A229" s="7"/>
      <c r="E229" s="7"/>
      <c r="F229" s="7"/>
    </row>
    <row r="230" spans="1:6" x14ac:dyDescent="0.25">
      <c r="A230" s="7"/>
      <c r="E230" s="7"/>
      <c r="F230" s="7"/>
    </row>
    <row r="231" spans="1:6" x14ac:dyDescent="0.25">
      <c r="A231" s="7"/>
      <c r="E231" s="7"/>
      <c r="F231" s="7"/>
    </row>
    <row r="232" spans="1:6" x14ac:dyDescent="0.25">
      <c r="A232" s="7"/>
      <c r="E232" s="7"/>
      <c r="F232" s="7"/>
    </row>
    <row r="233" spans="1:6" x14ac:dyDescent="0.25">
      <c r="A233" s="7"/>
      <c r="E233" s="7"/>
      <c r="F233" s="7"/>
    </row>
    <row r="234" spans="1:6" x14ac:dyDescent="0.25">
      <c r="A234" s="7"/>
      <c r="E234" s="7"/>
      <c r="F234" s="7"/>
    </row>
    <row r="235" spans="1:6" x14ac:dyDescent="0.25">
      <c r="A235" s="7"/>
      <c r="E235" s="7"/>
      <c r="F235" s="7"/>
    </row>
    <row r="236" spans="1:6" x14ac:dyDescent="0.25">
      <c r="A236" s="7"/>
      <c r="E236" s="7"/>
      <c r="F236" s="7"/>
    </row>
    <row r="237" spans="1:6" x14ac:dyDescent="0.25">
      <c r="A237" s="7"/>
      <c r="E237" s="7"/>
      <c r="F237" s="7"/>
    </row>
    <row r="238" spans="1:6" x14ac:dyDescent="0.25">
      <c r="A238" s="7"/>
      <c r="E238" s="7"/>
      <c r="F238" s="7"/>
    </row>
    <row r="239" spans="1:6" x14ac:dyDescent="0.25">
      <c r="A239" s="7"/>
      <c r="E239" s="7"/>
      <c r="F239" s="7"/>
    </row>
    <row r="240" spans="1:6" x14ac:dyDescent="0.25">
      <c r="A240" s="7"/>
      <c r="E240" s="7"/>
      <c r="F240" s="7"/>
    </row>
    <row r="241" spans="1:6" x14ac:dyDescent="0.25">
      <c r="A241" s="7"/>
      <c r="E241" s="7"/>
      <c r="F241" s="7"/>
    </row>
    <row r="242" spans="1:6" x14ac:dyDescent="0.25">
      <c r="A242" s="7"/>
      <c r="E242" s="7"/>
      <c r="F242" s="7"/>
    </row>
    <row r="243" spans="1:6" x14ac:dyDescent="0.25">
      <c r="A243" s="7"/>
      <c r="E243" s="7"/>
      <c r="F243" s="7"/>
    </row>
    <row r="244" spans="1:6" x14ac:dyDescent="0.25">
      <c r="A244" s="7"/>
      <c r="E244" s="7"/>
      <c r="F244" s="7"/>
    </row>
    <row r="245" spans="1:6" x14ac:dyDescent="0.25">
      <c r="A245" s="7"/>
      <c r="E245" s="7"/>
      <c r="F245" s="7"/>
    </row>
    <row r="246" spans="1:6" x14ac:dyDescent="0.25">
      <c r="A246" s="7"/>
      <c r="E246" s="7"/>
      <c r="F246" s="7"/>
    </row>
    <row r="247" spans="1:6" x14ac:dyDescent="0.25">
      <c r="A247" s="7"/>
      <c r="E247" s="7"/>
      <c r="F247" s="7"/>
    </row>
    <row r="248" spans="1:6" x14ac:dyDescent="0.25">
      <c r="A248" s="7"/>
      <c r="E248" s="7"/>
      <c r="F248" s="7"/>
    </row>
    <row r="249" spans="1:6" x14ac:dyDescent="0.25">
      <c r="A249" s="7"/>
      <c r="E249" s="7"/>
      <c r="F249" s="7"/>
    </row>
    <row r="250" spans="1:6" x14ac:dyDescent="0.25">
      <c r="A250" s="7"/>
      <c r="E250" s="7"/>
      <c r="F250" s="7"/>
    </row>
    <row r="251" spans="1:6" x14ac:dyDescent="0.25">
      <c r="A251" s="7"/>
      <c r="E251" s="7"/>
      <c r="F251" s="7"/>
    </row>
    <row r="252" spans="1:6" x14ac:dyDescent="0.25">
      <c r="A252" s="7"/>
      <c r="E252" s="7"/>
      <c r="F252" s="7"/>
    </row>
    <row r="253" spans="1:6" x14ac:dyDescent="0.25">
      <c r="A253" s="7"/>
      <c r="E253" s="7"/>
      <c r="F253" s="7"/>
    </row>
    <row r="254" spans="1:6" x14ac:dyDescent="0.25">
      <c r="A254" s="7"/>
      <c r="E254" s="7"/>
      <c r="F254" s="7"/>
    </row>
    <row r="255" spans="1:6" x14ac:dyDescent="0.25">
      <c r="A255" s="7"/>
      <c r="E255" s="7"/>
      <c r="F255" s="7"/>
    </row>
    <row r="256" spans="1:6" x14ac:dyDescent="0.25">
      <c r="A256" s="7"/>
      <c r="E256" s="7"/>
      <c r="F256" s="7"/>
    </row>
    <row r="257" spans="1:6" x14ac:dyDescent="0.25">
      <c r="A257" s="7"/>
      <c r="E257" s="7"/>
      <c r="F257" s="7"/>
    </row>
    <row r="258" spans="1:6" x14ac:dyDescent="0.25">
      <c r="A258" s="7"/>
      <c r="E258" s="7"/>
      <c r="F258" s="7"/>
    </row>
    <row r="259" spans="1:6" x14ac:dyDescent="0.25">
      <c r="A259" s="7"/>
      <c r="E259" s="7"/>
      <c r="F259" s="7"/>
    </row>
    <row r="260" spans="1:6" x14ac:dyDescent="0.25">
      <c r="A260" s="7"/>
      <c r="E260" s="7"/>
      <c r="F260" s="7"/>
    </row>
    <row r="261" spans="1:6" x14ac:dyDescent="0.25">
      <c r="A261" s="7"/>
      <c r="E261" s="7"/>
      <c r="F261" s="7"/>
    </row>
    <row r="262" spans="1:6" x14ac:dyDescent="0.25">
      <c r="A262" s="7"/>
      <c r="E262" s="7"/>
      <c r="F262" s="7"/>
    </row>
    <row r="263" spans="1:6" x14ac:dyDescent="0.25">
      <c r="A263" s="7"/>
      <c r="E263" s="7"/>
      <c r="F263" s="7"/>
    </row>
    <row r="264" spans="1:6" x14ac:dyDescent="0.25">
      <c r="A264" s="7"/>
      <c r="E264" s="7"/>
      <c r="F264" s="7"/>
    </row>
    <row r="265" spans="1:6" x14ac:dyDescent="0.25">
      <c r="A265" s="7"/>
      <c r="E265" s="7"/>
      <c r="F265" s="7"/>
    </row>
    <row r="266" spans="1:6" x14ac:dyDescent="0.25">
      <c r="A266" s="7"/>
      <c r="E266" s="7"/>
      <c r="F266" s="7"/>
    </row>
    <row r="267" spans="1:6" x14ac:dyDescent="0.25">
      <c r="A267" s="7"/>
      <c r="E267" s="7"/>
      <c r="F267" s="7"/>
    </row>
    <row r="268" spans="1:6" x14ac:dyDescent="0.25">
      <c r="A268" s="7"/>
      <c r="E268" s="7"/>
      <c r="F268" s="7"/>
    </row>
    <row r="269" spans="1:6" x14ac:dyDescent="0.25">
      <c r="A269" s="7"/>
      <c r="E269" s="7"/>
      <c r="F269" s="7"/>
    </row>
    <row r="270" spans="1:6" x14ac:dyDescent="0.25">
      <c r="A270" s="7"/>
      <c r="E270" s="7"/>
      <c r="F270" s="7"/>
    </row>
    <row r="271" spans="1:6" x14ac:dyDescent="0.25">
      <c r="A271" s="7"/>
      <c r="E271" s="7"/>
      <c r="F271" s="7"/>
    </row>
    <row r="272" spans="1:6" x14ac:dyDescent="0.25">
      <c r="A272" s="7"/>
      <c r="E272" s="7"/>
      <c r="F272" s="7"/>
    </row>
    <row r="273" spans="1:6" x14ac:dyDescent="0.25">
      <c r="A273" s="7"/>
      <c r="E273" s="7"/>
      <c r="F273" s="7"/>
    </row>
    <row r="274" spans="1:6" x14ac:dyDescent="0.25">
      <c r="A274" s="7"/>
      <c r="E274" s="7"/>
      <c r="F274" s="7"/>
    </row>
    <row r="275" spans="1:6" x14ac:dyDescent="0.25">
      <c r="A275" s="7"/>
      <c r="E275" s="7"/>
      <c r="F275" s="7"/>
    </row>
    <row r="276" spans="1:6" x14ac:dyDescent="0.25">
      <c r="A276" s="7"/>
      <c r="E276" s="7"/>
      <c r="F276" s="7"/>
    </row>
    <row r="277" spans="1:6" x14ac:dyDescent="0.25">
      <c r="A277" s="7"/>
      <c r="E277" s="7"/>
      <c r="F277" s="7"/>
    </row>
    <row r="278" spans="1:6" x14ac:dyDescent="0.25">
      <c r="A278" s="7"/>
      <c r="E278" s="7"/>
      <c r="F278" s="7"/>
    </row>
    <row r="279" spans="1:6" x14ac:dyDescent="0.25">
      <c r="A279" s="7"/>
      <c r="E279" s="7"/>
      <c r="F279" s="7"/>
    </row>
    <row r="280" spans="1:6" x14ac:dyDescent="0.25">
      <c r="A280" s="7"/>
      <c r="E280" s="7"/>
      <c r="F280" s="7"/>
    </row>
    <row r="281" spans="1:6" x14ac:dyDescent="0.25">
      <c r="A281" s="7"/>
      <c r="E281" s="7"/>
      <c r="F281" s="7"/>
    </row>
    <row r="282" spans="1:6" x14ac:dyDescent="0.25">
      <c r="A282" s="7"/>
      <c r="E282" s="7"/>
      <c r="F282" s="7"/>
    </row>
    <row r="283" spans="1:6" x14ac:dyDescent="0.25">
      <c r="A283" s="7"/>
      <c r="E283" s="7"/>
      <c r="F283" s="7"/>
    </row>
    <row r="284" spans="1:6" x14ac:dyDescent="0.25">
      <c r="A284" s="7"/>
      <c r="E284" s="7"/>
      <c r="F284" s="7"/>
    </row>
    <row r="285" spans="1:6" x14ac:dyDescent="0.25">
      <c r="A285" s="7"/>
      <c r="E285" s="7"/>
      <c r="F285" s="7"/>
    </row>
    <row r="286" spans="1:6" x14ac:dyDescent="0.25">
      <c r="A286" s="7"/>
      <c r="E286" s="7"/>
      <c r="F286" s="7"/>
    </row>
    <row r="287" spans="1:6" x14ac:dyDescent="0.25">
      <c r="A287" s="7"/>
      <c r="E287" s="7"/>
      <c r="F287" s="7"/>
    </row>
    <row r="288" spans="1:6" x14ac:dyDescent="0.25">
      <c r="A288" s="7"/>
      <c r="E288" s="7"/>
      <c r="F288" s="7"/>
    </row>
    <row r="289" spans="1:6" x14ac:dyDescent="0.25">
      <c r="A289" s="7"/>
      <c r="E289" s="7"/>
      <c r="F289" s="7"/>
    </row>
    <row r="290" spans="1:6" x14ac:dyDescent="0.25">
      <c r="A290" s="7"/>
      <c r="E290" s="7"/>
      <c r="F290" s="7"/>
    </row>
    <row r="291" spans="1:6" x14ac:dyDescent="0.25">
      <c r="A291" s="7"/>
      <c r="E291" s="7"/>
      <c r="F291" s="7"/>
    </row>
    <row r="292" spans="1:6" x14ac:dyDescent="0.25">
      <c r="A292" s="7"/>
      <c r="E292" s="7"/>
      <c r="F292" s="7"/>
    </row>
    <row r="293" spans="1:6" x14ac:dyDescent="0.25">
      <c r="A293" s="7"/>
      <c r="E293" s="7"/>
      <c r="F293" s="7"/>
    </row>
    <row r="294" spans="1:6" x14ac:dyDescent="0.25">
      <c r="A294" s="7"/>
      <c r="E294" s="7"/>
      <c r="F294" s="7"/>
    </row>
    <row r="295" spans="1:6" x14ac:dyDescent="0.25">
      <c r="A295" s="7"/>
      <c r="E295" s="7"/>
      <c r="F295" s="7"/>
    </row>
    <row r="296" spans="1:6" x14ac:dyDescent="0.25">
      <c r="A296" s="7"/>
      <c r="E296" s="7"/>
      <c r="F296" s="7"/>
    </row>
    <row r="297" spans="1:6" x14ac:dyDescent="0.25">
      <c r="A297" s="7"/>
      <c r="E297" s="7"/>
      <c r="F297" s="7"/>
    </row>
    <row r="298" spans="1:6" x14ac:dyDescent="0.25">
      <c r="A298" s="7"/>
      <c r="E298" s="7"/>
      <c r="F298" s="7"/>
    </row>
    <row r="299" spans="1:6" x14ac:dyDescent="0.25">
      <c r="A299" s="7"/>
      <c r="E299" s="7"/>
      <c r="F299" s="7"/>
    </row>
    <row r="300" spans="1:6" x14ac:dyDescent="0.25">
      <c r="A300" s="7"/>
      <c r="E300" s="7"/>
      <c r="F300" s="7"/>
    </row>
    <row r="301" spans="1:6" x14ac:dyDescent="0.25">
      <c r="A301" s="7"/>
      <c r="E301" s="7"/>
      <c r="F301" s="7"/>
    </row>
    <row r="302" spans="1:6" x14ac:dyDescent="0.25">
      <c r="A302" s="7"/>
      <c r="E302" s="7"/>
      <c r="F302" s="7"/>
    </row>
    <row r="303" spans="1:6" x14ac:dyDescent="0.25">
      <c r="A303" s="7"/>
      <c r="E303" s="7"/>
      <c r="F303" s="7"/>
    </row>
    <row r="304" spans="1:6" x14ac:dyDescent="0.25">
      <c r="A304" s="7"/>
      <c r="E304" s="7"/>
      <c r="F304" s="7"/>
    </row>
    <row r="305" spans="1:6" x14ac:dyDescent="0.25">
      <c r="A305" s="7"/>
      <c r="E305" s="7"/>
      <c r="F305" s="7"/>
    </row>
    <row r="306" spans="1:6" x14ac:dyDescent="0.25">
      <c r="A306" s="7"/>
      <c r="E306" s="7"/>
      <c r="F306" s="7"/>
    </row>
    <row r="307" spans="1:6" x14ac:dyDescent="0.25">
      <c r="A307" s="7"/>
      <c r="E307" s="7"/>
      <c r="F307" s="7"/>
    </row>
    <row r="308" spans="1:6" x14ac:dyDescent="0.25">
      <c r="A308" s="7"/>
      <c r="E308" s="7"/>
      <c r="F308" s="7"/>
    </row>
    <row r="309" spans="1:6" x14ac:dyDescent="0.25">
      <c r="A309" s="7"/>
      <c r="E309" s="7"/>
      <c r="F309" s="7"/>
    </row>
    <row r="310" spans="1:6" x14ac:dyDescent="0.25">
      <c r="A310" s="7"/>
      <c r="E310" s="7"/>
      <c r="F310" s="7"/>
    </row>
    <row r="311" spans="1:6" x14ac:dyDescent="0.25">
      <c r="A311" s="7"/>
      <c r="E311" s="7"/>
      <c r="F311" s="7"/>
    </row>
    <row r="312" spans="1:6" x14ac:dyDescent="0.25">
      <c r="A312" s="7"/>
      <c r="E312" s="7"/>
      <c r="F312" s="7"/>
    </row>
    <row r="313" spans="1:6" x14ac:dyDescent="0.25">
      <c r="A313" s="7"/>
      <c r="E313" s="7"/>
      <c r="F313" s="7"/>
    </row>
    <row r="314" spans="1:6" x14ac:dyDescent="0.25">
      <c r="A314" s="7"/>
      <c r="E314" s="7"/>
      <c r="F314" s="7"/>
    </row>
    <row r="315" spans="1:6" x14ac:dyDescent="0.25">
      <c r="A315" s="7"/>
      <c r="E315" s="7"/>
      <c r="F315" s="7"/>
    </row>
    <row r="316" spans="1:6" x14ac:dyDescent="0.25">
      <c r="A316" s="7"/>
      <c r="E316" s="7"/>
      <c r="F316" s="7"/>
    </row>
    <row r="317" spans="1:6" x14ac:dyDescent="0.25">
      <c r="A317" s="7"/>
      <c r="E317" s="7"/>
      <c r="F317" s="7"/>
    </row>
    <row r="318" spans="1:6" x14ac:dyDescent="0.25">
      <c r="A318" s="7"/>
      <c r="E318" s="7"/>
      <c r="F318" s="7"/>
    </row>
    <row r="319" spans="1:6" x14ac:dyDescent="0.25">
      <c r="A319" s="7"/>
      <c r="E319" s="7"/>
      <c r="F319" s="7"/>
    </row>
    <row r="320" spans="1:6" x14ac:dyDescent="0.25">
      <c r="A320" s="7"/>
      <c r="E320" s="7"/>
      <c r="F320" s="7"/>
    </row>
    <row r="321" spans="1:6" x14ac:dyDescent="0.25">
      <c r="A321" s="7"/>
      <c r="E321" s="7"/>
      <c r="F321" s="7"/>
    </row>
    <row r="322" spans="1:6" x14ac:dyDescent="0.25">
      <c r="A322" s="7"/>
      <c r="E322" s="7"/>
      <c r="F322" s="7"/>
    </row>
    <row r="323" spans="1:6" x14ac:dyDescent="0.25">
      <c r="A323" s="7"/>
      <c r="E323" s="7"/>
      <c r="F323" s="7"/>
    </row>
    <row r="324" spans="1:6" x14ac:dyDescent="0.25">
      <c r="A324" s="7"/>
      <c r="E324" s="7"/>
      <c r="F324" s="7"/>
    </row>
    <row r="325" spans="1:6" x14ac:dyDescent="0.25">
      <c r="A325" s="7"/>
      <c r="E325" s="7"/>
      <c r="F325" s="7"/>
    </row>
    <row r="326" spans="1:6" x14ac:dyDescent="0.25">
      <c r="A326" s="7"/>
      <c r="E326" s="7"/>
      <c r="F326" s="7"/>
    </row>
    <row r="327" spans="1:6" x14ac:dyDescent="0.25">
      <c r="A327" s="7"/>
      <c r="E327" s="7"/>
      <c r="F327" s="7"/>
    </row>
    <row r="328" spans="1:6" x14ac:dyDescent="0.25">
      <c r="A328" s="7"/>
      <c r="E328" s="7"/>
      <c r="F328" s="7"/>
    </row>
    <row r="329" spans="1:6" x14ac:dyDescent="0.25">
      <c r="A329" s="7"/>
      <c r="E329" s="7"/>
      <c r="F329" s="7"/>
    </row>
    <row r="330" spans="1:6" x14ac:dyDescent="0.25">
      <c r="A330" s="7"/>
      <c r="E330" s="7"/>
      <c r="F330" s="7"/>
    </row>
    <row r="331" spans="1:6" x14ac:dyDescent="0.25">
      <c r="A331" s="7"/>
      <c r="E331" s="7"/>
      <c r="F331" s="7"/>
    </row>
    <row r="332" spans="1:6" x14ac:dyDescent="0.25">
      <c r="A332" s="7"/>
      <c r="E332" s="7"/>
      <c r="F332" s="7"/>
    </row>
    <row r="333" spans="1:6" x14ac:dyDescent="0.25">
      <c r="A333" s="7"/>
      <c r="E333" s="7"/>
      <c r="F333" s="7"/>
    </row>
    <row r="334" spans="1:6" x14ac:dyDescent="0.25">
      <c r="A334" s="7"/>
      <c r="E334" s="7"/>
      <c r="F334" s="7"/>
    </row>
    <row r="335" spans="1:6" x14ac:dyDescent="0.25">
      <c r="A335" s="7"/>
      <c r="E335" s="7"/>
      <c r="F335" s="7"/>
    </row>
    <row r="336" spans="1:6" x14ac:dyDescent="0.25">
      <c r="A336" s="7"/>
      <c r="E336" s="7"/>
      <c r="F336" s="7"/>
    </row>
    <row r="337" spans="1:6" x14ac:dyDescent="0.25">
      <c r="A337" s="7"/>
      <c r="E337" s="7"/>
      <c r="F337" s="7"/>
    </row>
    <row r="338" spans="1:6" x14ac:dyDescent="0.25">
      <c r="A338" s="7"/>
      <c r="E338" s="7"/>
      <c r="F338" s="7"/>
    </row>
    <row r="339" spans="1:6" x14ac:dyDescent="0.25">
      <c r="A339" s="7"/>
      <c r="E339" s="7"/>
      <c r="F339" s="7"/>
    </row>
    <row r="340" spans="1:6" x14ac:dyDescent="0.25">
      <c r="A340" s="7"/>
      <c r="E340" s="7"/>
      <c r="F340" s="7"/>
    </row>
    <row r="341" spans="1:6" x14ac:dyDescent="0.25">
      <c r="A341" s="7"/>
      <c r="E341" s="7"/>
      <c r="F341" s="7"/>
    </row>
    <row r="342" spans="1:6" x14ac:dyDescent="0.25">
      <c r="A342" s="7"/>
      <c r="E342" s="7"/>
      <c r="F342" s="7"/>
    </row>
    <row r="343" spans="1:6" x14ac:dyDescent="0.25">
      <c r="A343" s="7"/>
      <c r="E343" s="7"/>
      <c r="F343" s="7"/>
    </row>
    <row r="344" spans="1:6" x14ac:dyDescent="0.25">
      <c r="A344" s="7"/>
      <c r="E344" s="7"/>
      <c r="F344" s="7"/>
    </row>
    <row r="345" spans="1:6" x14ac:dyDescent="0.25">
      <c r="A345" s="7"/>
      <c r="E345" s="7"/>
      <c r="F345" s="7"/>
    </row>
    <row r="346" spans="1:6" x14ac:dyDescent="0.25">
      <c r="A346" s="7"/>
      <c r="E346" s="7"/>
      <c r="F346" s="7"/>
    </row>
    <row r="347" spans="1:6" x14ac:dyDescent="0.25">
      <c r="A347" s="7"/>
      <c r="E347" s="7"/>
      <c r="F347" s="7"/>
    </row>
    <row r="348" spans="1:6" x14ac:dyDescent="0.25">
      <c r="A348" s="7"/>
      <c r="E348" s="7"/>
      <c r="F348" s="7"/>
    </row>
    <row r="349" spans="1:6" x14ac:dyDescent="0.25">
      <c r="A349" s="7"/>
      <c r="E349" s="7"/>
      <c r="F349" s="7"/>
    </row>
    <row r="350" spans="1:6" x14ac:dyDescent="0.25">
      <c r="A350" s="7"/>
      <c r="E350" s="7"/>
      <c r="F350" s="7"/>
    </row>
    <row r="351" spans="1:6" x14ac:dyDescent="0.25">
      <c r="A351" s="7"/>
      <c r="E351" s="7"/>
      <c r="F351" s="7"/>
    </row>
    <row r="352" spans="1:6" x14ac:dyDescent="0.25">
      <c r="A352" s="7"/>
      <c r="E352" s="7"/>
      <c r="F352" s="7"/>
    </row>
    <row r="353" spans="1:6" x14ac:dyDescent="0.25">
      <c r="A353" s="7"/>
      <c r="E353" s="7"/>
      <c r="F353" s="7"/>
    </row>
    <row r="354" spans="1:6" x14ac:dyDescent="0.25">
      <c r="A354" s="7"/>
      <c r="E354" s="7"/>
      <c r="F354" s="7"/>
    </row>
    <row r="355" spans="1:6" x14ac:dyDescent="0.25">
      <c r="A355" s="7"/>
      <c r="E355" s="7"/>
      <c r="F355" s="7"/>
    </row>
    <row r="356" spans="1:6" x14ac:dyDescent="0.25">
      <c r="A356" s="7"/>
      <c r="E356" s="7"/>
      <c r="F356" s="7"/>
    </row>
    <row r="357" spans="1:6" x14ac:dyDescent="0.25">
      <c r="A357" s="7"/>
      <c r="E357" s="7"/>
      <c r="F357" s="7"/>
    </row>
    <row r="358" spans="1:6" x14ac:dyDescent="0.25">
      <c r="A358" s="7"/>
      <c r="E358" s="7"/>
      <c r="F358" s="7"/>
    </row>
    <row r="359" spans="1:6" x14ac:dyDescent="0.25">
      <c r="A359" s="7"/>
      <c r="E359" s="7"/>
      <c r="F359" s="7"/>
    </row>
    <row r="360" spans="1:6" x14ac:dyDescent="0.25">
      <c r="A360" s="7"/>
      <c r="E360" s="7"/>
      <c r="F360" s="7"/>
    </row>
    <row r="361" spans="1:6" x14ac:dyDescent="0.25">
      <c r="A361" s="7"/>
      <c r="E361" s="7"/>
      <c r="F361" s="7"/>
    </row>
    <row r="362" spans="1:6" x14ac:dyDescent="0.25">
      <c r="A362" s="7"/>
      <c r="E362" s="7"/>
      <c r="F362" s="7"/>
    </row>
    <row r="363" spans="1:6" x14ac:dyDescent="0.25">
      <c r="A363" s="7"/>
      <c r="E363" s="7"/>
      <c r="F363" s="7"/>
    </row>
    <row r="364" spans="1:6" x14ac:dyDescent="0.25">
      <c r="A364" s="7"/>
      <c r="E364" s="7"/>
      <c r="F364" s="7"/>
    </row>
    <row r="365" spans="1:6" x14ac:dyDescent="0.25">
      <c r="A365" s="7"/>
      <c r="E365" s="7"/>
      <c r="F365" s="7"/>
    </row>
    <row r="366" spans="1:6" x14ac:dyDescent="0.25">
      <c r="A366" s="7"/>
      <c r="E366" s="7"/>
      <c r="F366" s="7"/>
    </row>
    <row r="367" spans="1:6" x14ac:dyDescent="0.25">
      <c r="A367" s="7"/>
      <c r="E367" s="7"/>
      <c r="F367" s="7"/>
    </row>
    <row r="368" spans="1:6" x14ac:dyDescent="0.25">
      <c r="A368" s="7"/>
      <c r="E368" s="7"/>
      <c r="F368" s="7"/>
    </row>
    <row r="369" spans="1:6" x14ac:dyDescent="0.25">
      <c r="A369" s="7"/>
      <c r="E369" s="7"/>
      <c r="F369" s="7"/>
    </row>
    <row r="370" spans="1:6" x14ac:dyDescent="0.25">
      <c r="A370" s="7"/>
      <c r="E370" s="7"/>
      <c r="F370" s="7"/>
    </row>
    <row r="371" spans="1:6" x14ac:dyDescent="0.25">
      <c r="A371" s="7"/>
      <c r="E371" s="7"/>
      <c r="F371" s="7"/>
    </row>
    <row r="372" spans="1:6" x14ac:dyDescent="0.25">
      <c r="A372" s="7"/>
      <c r="E372" s="7"/>
      <c r="F372" s="7"/>
    </row>
    <row r="373" spans="1:6" x14ac:dyDescent="0.25">
      <c r="A373" s="7"/>
      <c r="E373" s="7"/>
      <c r="F373" s="7"/>
    </row>
    <row r="374" spans="1:6" x14ac:dyDescent="0.25">
      <c r="A374" s="7"/>
      <c r="E374" s="7"/>
      <c r="F374" s="7"/>
    </row>
    <row r="375" spans="1:6" x14ac:dyDescent="0.25">
      <c r="A375" s="7"/>
      <c r="E375" s="7"/>
      <c r="F375" s="7"/>
    </row>
    <row r="376" spans="1:6" x14ac:dyDescent="0.25">
      <c r="A376" s="7"/>
      <c r="E376" s="7"/>
      <c r="F376" s="7"/>
    </row>
    <row r="377" spans="1:6" x14ac:dyDescent="0.25">
      <c r="A377" s="7"/>
      <c r="E377" s="7"/>
      <c r="F377" s="7"/>
    </row>
    <row r="378" spans="1:6" x14ac:dyDescent="0.25">
      <c r="A378" s="7"/>
      <c r="E378" s="7"/>
      <c r="F378" s="7"/>
    </row>
    <row r="379" spans="1:6" x14ac:dyDescent="0.25">
      <c r="A379" s="7"/>
      <c r="E379" s="7"/>
      <c r="F379" s="7"/>
    </row>
    <row r="380" spans="1:6" x14ac:dyDescent="0.25">
      <c r="A380" s="7"/>
      <c r="E380" s="7"/>
      <c r="F380" s="7"/>
    </row>
    <row r="381" spans="1:6" x14ac:dyDescent="0.25">
      <c r="A381" s="7"/>
      <c r="E381" s="7"/>
      <c r="F381" s="7"/>
    </row>
    <row r="382" spans="1:6" x14ac:dyDescent="0.25">
      <c r="A382" s="7"/>
      <c r="E382" s="7"/>
      <c r="F382" s="7"/>
    </row>
    <row r="383" spans="1:6" x14ac:dyDescent="0.25">
      <c r="A383" s="7"/>
      <c r="E383" s="7"/>
      <c r="F383" s="7"/>
    </row>
    <row r="384" spans="1:6" x14ac:dyDescent="0.25">
      <c r="A384" s="7"/>
      <c r="E384" s="7"/>
      <c r="F384" s="7"/>
    </row>
    <row r="385" spans="1:6" x14ac:dyDescent="0.25">
      <c r="A385" s="7"/>
      <c r="E385" s="7"/>
      <c r="F385" s="7"/>
    </row>
    <row r="386" spans="1:6" x14ac:dyDescent="0.25">
      <c r="A386" s="7"/>
      <c r="E386" s="7"/>
      <c r="F386" s="7"/>
    </row>
    <row r="387" spans="1:6" x14ac:dyDescent="0.25">
      <c r="A387" s="7"/>
      <c r="E387" s="7"/>
      <c r="F387" s="7"/>
    </row>
    <row r="388" spans="1:6" x14ac:dyDescent="0.25">
      <c r="A388" s="7"/>
      <c r="E388" s="7"/>
      <c r="F388" s="7"/>
    </row>
    <row r="389" spans="1:6" x14ac:dyDescent="0.25">
      <c r="A389" s="7"/>
      <c r="E389" s="7"/>
      <c r="F389" s="7"/>
    </row>
    <row r="390" spans="1:6" x14ac:dyDescent="0.25">
      <c r="A390" s="7"/>
      <c r="E390" s="7"/>
      <c r="F390" s="7"/>
    </row>
    <row r="391" spans="1:6" x14ac:dyDescent="0.25">
      <c r="A391" s="7"/>
      <c r="E391" s="7"/>
      <c r="F391" s="7"/>
    </row>
    <row r="392" spans="1:6" x14ac:dyDescent="0.25">
      <c r="A392" s="7"/>
      <c r="E392" s="7"/>
      <c r="F392" s="7"/>
    </row>
    <row r="393" spans="1:6" x14ac:dyDescent="0.25">
      <c r="A393" s="7"/>
      <c r="E393" s="7"/>
      <c r="F393" s="7"/>
    </row>
    <row r="394" spans="1:6" x14ac:dyDescent="0.25">
      <c r="A394" s="7"/>
      <c r="E394" s="7"/>
      <c r="F394" s="7"/>
    </row>
    <row r="395" spans="1:6" x14ac:dyDescent="0.25">
      <c r="A395" s="7"/>
      <c r="E395" s="7"/>
      <c r="F395" s="7"/>
    </row>
    <row r="396" spans="1:6" x14ac:dyDescent="0.25">
      <c r="A396" s="7"/>
      <c r="E396" s="7"/>
      <c r="F396" s="7"/>
    </row>
    <row r="397" spans="1:6" x14ac:dyDescent="0.25">
      <c r="A397" s="7"/>
      <c r="E397" s="7"/>
      <c r="F397" s="7"/>
    </row>
    <row r="398" spans="1:6" x14ac:dyDescent="0.25">
      <c r="A398" s="7"/>
      <c r="E398" s="7"/>
      <c r="F398" s="7"/>
    </row>
    <row r="399" spans="1:6" x14ac:dyDescent="0.25">
      <c r="A399" s="7"/>
      <c r="E399" s="7"/>
      <c r="F399" s="7"/>
    </row>
    <row r="400" spans="1:6" x14ac:dyDescent="0.25">
      <c r="A400" s="7"/>
      <c r="E400" s="7"/>
      <c r="F400" s="7"/>
    </row>
    <row r="401" spans="1:6" x14ac:dyDescent="0.25">
      <c r="A401" s="7"/>
      <c r="E401" s="7"/>
      <c r="F401" s="7"/>
    </row>
    <row r="402" spans="1:6" x14ac:dyDescent="0.25">
      <c r="A402" s="7"/>
      <c r="E402" s="7"/>
      <c r="F402" s="7"/>
    </row>
    <row r="403" spans="1:6" x14ac:dyDescent="0.25">
      <c r="A403" s="7"/>
      <c r="E403" s="7"/>
      <c r="F403" s="7"/>
    </row>
    <row r="404" spans="1:6" x14ac:dyDescent="0.25">
      <c r="A404" s="7"/>
      <c r="E404" s="7"/>
      <c r="F404" s="7"/>
    </row>
    <row r="405" spans="1:6" x14ac:dyDescent="0.25">
      <c r="A405" s="7"/>
      <c r="E405" s="7"/>
      <c r="F405" s="7"/>
    </row>
    <row r="406" spans="1:6" x14ac:dyDescent="0.25">
      <c r="A406" s="7"/>
      <c r="E406" s="7"/>
      <c r="F406" s="7"/>
    </row>
    <row r="407" spans="1:6" x14ac:dyDescent="0.25">
      <c r="A407" s="7"/>
      <c r="E407" s="7"/>
      <c r="F407" s="7"/>
    </row>
    <row r="408" spans="1:6" x14ac:dyDescent="0.25">
      <c r="A408" s="7"/>
      <c r="E408" s="7"/>
      <c r="F408" s="7"/>
    </row>
    <row r="409" spans="1:6" x14ac:dyDescent="0.25">
      <c r="A409" s="7"/>
      <c r="E409" s="7"/>
      <c r="F409" s="7"/>
    </row>
    <row r="410" spans="1:6" x14ac:dyDescent="0.25">
      <c r="A410" s="7"/>
      <c r="E410" s="7"/>
      <c r="F410" s="7"/>
    </row>
    <row r="411" spans="1:6" x14ac:dyDescent="0.25">
      <c r="A411" s="7"/>
      <c r="E411" s="7"/>
      <c r="F411" s="7"/>
    </row>
    <row r="412" spans="1:6" x14ac:dyDescent="0.25">
      <c r="A412" s="7"/>
      <c r="E412" s="7"/>
      <c r="F412" s="7"/>
    </row>
    <row r="413" spans="1:6" x14ac:dyDescent="0.25">
      <c r="A413" s="7"/>
      <c r="E413" s="7"/>
      <c r="F413" s="7"/>
    </row>
    <row r="414" spans="1:6" x14ac:dyDescent="0.25">
      <c r="A414" s="7"/>
      <c r="E414" s="7"/>
      <c r="F414" s="7"/>
    </row>
    <row r="415" spans="1:6" x14ac:dyDescent="0.25">
      <c r="A415" s="7"/>
      <c r="E415" s="7"/>
      <c r="F415" s="7"/>
    </row>
    <row r="416" spans="1:6" x14ac:dyDescent="0.25">
      <c r="A416" s="7"/>
      <c r="E416" s="7"/>
      <c r="F416" s="7"/>
    </row>
    <row r="417" spans="1:6" x14ac:dyDescent="0.25">
      <c r="A417" s="7"/>
      <c r="E417" s="7"/>
      <c r="F417" s="7"/>
    </row>
    <row r="418" spans="1:6" x14ac:dyDescent="0.25">
      <c r="A418" s="7"/>
      <c r="E418" s="7"/>
      <c r="F418" s="7"/>
    </row>
    <row r="419" spans="1:6" x14ac:dyDescent="0.25">
      <c r="A419" s="7"/>
      <c r="E419" s="7"/>
      <c r="F419" s="7"/>
    </row>
    <row r="420" spans="1:6" x14ac:dyDescent="0.25">
      <c r="A420" s="7"/>
      <c r="E420" s="7"/>
      <c r="F420" s="7"/>
    </row>
    <row r="421" spans="1:6" x14ac:dyDescent="0.25">
      <c r="A421" s="7"/>
      <c r="E421" s="7"/>
      <c r="F421" s="7"/>
    </row>
    <row r="422" spans="1:6" x14ac:dyDescent="0.25">
      <c r="A422" s="7"/>
      <c r="E422" s="7"/>
      <c r="F422" s="7"/>
    </row>
    <row r="423" spans="1:6" x14ac:dyDescent="0.25">
      <c r="A423" s="7"/>
      <c r="E423" s="7"/>
      <c r="F423" s="7"/>
    </row>
    <row r="424" spans="1:6" x14ac:dyDescent="0.25">
      <c r="A424" s="7"/>
      <c r="E424" s="7"/>
      <c r="F424" s="7"/>
    </row>
    <row r="425" spans="1:6" x14ac:dyDescent="0.25">
      <c r="A425" s="7"/>
      <c r="E425" s="7"/>
      <c r="F425" s="7"/>
    </row>
    <row r="426" spans="1:6" x14ac:dyDescent="0.25">
      <c r="A426" s="7"/>
      <c r="E426" s="7"/>
      <c r="F426" s="7"/>
    </row>
    <row r="427" spans="1:6" x14ac:dyDescent="0.25">
      <c r="A427" s="7"/>
      <c r="E427" s="7"/>
      <c r="F427" s="7"/>
    </row>
    <row r="428" spans="1:6" x14ac:dyDescent="0.25">
      <c r="A428" s="7"/>
      <c r="E428" s="7"/>
      <c r="F428" s="7"/>
    </row>
    <row r="429" spans="1:6" x14ac:dyDescent="0.25">
      <c r="A429" s="7"/>
      <c r="E429" s="7"/>
      <c r="F429" s="7"/>
    </row>
    <row r="430" spans="1:6" x14ac:dyDescent="0.25">
      <c r="A430" s="7"/>
      <c r="E430" s="7"/>
      <c r="F430" s="7"/>
    </row>
    <row r="431" spans="1:6" x14ac:dyDescent="0.25">
      <c r="A431" s="7"/>
      <c r="E431" s="7"/>
      <c r="F431" s="7"/>
    </row>
    <row r="432" spans="1:6" x14ac:dyDescent="0.25">
      <c r="A432" s="7"/>
      <c r="E432" s="7"/>
      <c r="F432" s="7"/>
    </row>
    <row r="433" spans="1:6" x14ac:dyDescent="0.25">
      <c r="A433" s="7"/>
      <c r="E433" s="7"/>
      <c r="F433" s="7"/>
    </row>
    <row r="434" spans="1:6" x14ac:dyDescent="0.25">
      <c r="A434" s="7"/>
      <c r="E434" s="7"/>
      <c r="F434" s="7"/>
    </row>
    <row r="435" spans="1:6" x14ac:dyDescent="0.25">
      <c r="A435" s="7"/>
      <c r="E435" s="7"/>
      <c r="F435" s="7"/>
    </row>
    <row r="436" spans="1:6" x14ac:dyDescent="0.25">
      <c r="A436" s="7"/>
      <c r="E436" s="7"/>
      <c r="F436" s="7"/>
    </row>
    <row r="437" spans="1:6" x14ac:dyDescent="0.25">
      <c r="A437" s="7"/>
      <c r="E437" s="7"/>
      <c r="F437" s="7"/>
    </row>
    <row r="438" spans="1:6" x14ac:dyDescent="0.25">
      <c r="A438" s="7"/>
      <c r="E438" s="7"/>
      <c r="F438" s="7"/>
    </row>
    <row r="439" spans="1:6" x14ac:dyDescent="0.25">
      <c r="A439" s="7"/>
      <c r="E439" s="7"/>
      <c r="F439" s="7"/>
    </row>
    <row r="440" spans="1:6" x14ac:dyDescent="0.25">
      <c r="A440" s="7"/>
      <c r="E440" s="7"/>
      <c r="F440" s="7"/>
    </row>
    <row r="441" spans="1:6" x14ac:dyDescent="0.25">
      <c r="A441" s="7"/>
      <c r="E441" s="7"/>
      <c r="F441" s="7"/>
    </row>
    <row r="442" spans="1:6" x14ac:dyDescent="0.25">
      <c r="A442" s="7"/>
      <c r="E442" s="7"/>
      <c r="F442" s="7"/>
    </row>
    <row r="443" spans="1:6" x14ac:dyDescent="0.25">
      <c r="A443" s="7"/>
      <c r="E443" s="7"/>
      <c r="F443" s="7"/>
    </row>
    <row r="444" spans="1:6" x14ac:dyDescent="0.25">
      <c r="A444" s="7"/>
      <c r="E444" s="7"/>
      <c r="F444" s="7"/>
    </row>
    <row r="445" spans="1:6" x14ac:dyDescent="0.25">
      <c r="A445" s="7"/>
      <c r="E445" s="7"/>
      <c r="F445" s="7"/>
    </row>
    <row r="446" spans="1:6" x14ac:dyDescent="0.25">
      <c r="A446" s="7"/>
      <c r="E446" s="7"/>
      <c r="F446" s="7"/>
    </row>
    <row r="447" spans="1:6" x14ac:dyDescent="0.25">
      <c r="A447" s="7"/>
      <c r="E447" s="7"/>
      <c r="F447" s="7"/>
    </row>
    <row r="448" spans="1:6" x14ac:dyDescent="0.25">
      <c r="A448" s="7"/>
      <c r="E448" s="7"/>
      <c r="F448" s="7"/>
    </row>
    <row r="449" spans="1:6" x14ac:dyDescent="0.25">
      <c r="A449" s="7"/>
      <c r="E449" s="7"/>
      <c r="F449" s="7"/>
    </row>
    <row r="450" spans="1:6" x14ac:dyDescent="0.25">
      <c r="A450" s="7"/>
      <c r="E450" s="7"/>
      <c r="F450" s="7"/>
    </row>
    <row r="451" spans="1:6" x14ac:dyDescent="0.25">
      <c r="A451" s="7"/>
      <c r="E451" s="7"/>
      <c r="F451" s="7"/>
    </row>
    <row r="452" spans="1:6" x14ac:dyDescent="0.25">
      <c r="A452" s="7"/>
      <c r="E452" s="7"/>
      <c r="F452" s="7"/>
    </row>
    <row r="453" spans="1:6" x14ac:dyDescent="0.25">
      <c r="A453" s="7"/>
      <c r="E453" s="7"/>
      <c r="F453" s="7"/>
    </row>
    <row r="454" spans="1:6" x14ac:dyDescent="0.25">
      <c r="A454" s="7"/>
      <c r="E454" s="7"/>
      <c r="F454" s="7"/>
    </row>
    <row r="455" spans="1:6" x14ac:dyDescent="0.25">
      <c r="A455" s="7"/>
      <c r="E455" s="7"/>
      <c r="F455" s="7"/>
    </row>
    <row r="456" spans="1:6" x14ac:dyDescent="0.25">
      <c r="A456" s="7"/>
      <c r="E456" s="7"/>
      <c r="F456" s="7"/>
    </row>
    <row r="457" spans="1:6" x14ac:dyDescent="0.25">
      <c r="A457" s="7"/>
      <c r="E457" s="7"/>
      <c r="F457" s="7"/>
    </row>
    <row r="458" spans="1:6" x14ac:dyDescent="0.25">
      <c r="A458" s="7"/>
      <c r="E458" s="7"/>
      <c r="F458" s="7"/>
    </row>
    <row r="459" spans="1:6" x14ac:dyDescent="0.25">
      <c r="A459" s="7"/>
      <c r="E459" s="7"/>
      <c r="F459" s="7"/>
    </row>
    <row r="460" spans="1:6" x14ac:dyDescent="0.25">
      <c r="A460" s="7"/>
      <c r="E460" s="7"/>
      <c r="F460" s="7"/>
    </row>
    <row r="461" spans="1:6" x14ac:dyDescent="0.25">
      <c r="A461" s="7"/>
      <c r="E461" s="7"/>
      <c r="F461" s="7"/>
    </row>
    <row r="462" spans="1:6" x14ac:dyDescent="0.25">
      <c r="A462" s="7"/>
      <c r="E462" s="7"/>
      <c r="F462" s="7"/>
    </row>
    <row r="463" spans="1:6" x14ac:dyDescent="0.25">
      <c r="A463" s="7"/>
      <c r="E463" s="7"/>
      <c r="F463" s="7"/>
    </row>
    <row r="464" spans="1:6" x14ac:dyDescent="0.25">
      <c r="A464" s="7"/>
      <c r="E464" s="7"/>
      <c r="F464" s="7"/>
    </row>
    <row r="465" spans="1:6" x14ac:dyDescent="0.25">
      <c r="A465" s="7"/>
      <c r="E465" s="7"/>
      <c r="F465" s="7"/>
    </row>
    <row r="466" spans="1:6" x14ac:dyDescent="0.25">
      <c r="A466" s="7"/>
      <c r="E466" s="7"/>
      <c r="F466" s="7"/>
    </row>
    <row r="467" spans="1:6" x14ac:dyDescent="0.25">
      <c r="A467" s="7"/>
      <c r="E467" s="7"/>
      <c r="F467" s="7"/>
    </row>
    <row r="468" spans="1:6" x14ac:dyDescent="0.25">
      <c r="A468" s="7"/>
      <c r="E468" s="7"/>
      <c r="F468" s="7"/>
    </row>
    <row r="469" spans="1:6" x14ac:dyDescent="0.25">
      <c r="A469" s="7"/>
      <c r="E469" s="7"/>
      <c r="F469" s="7"/>
    </row>
    <row r="470" spans="1:6" x14ac:dyDescent="0.25">
      <c r="A470" s="7"/>
      <c r="E470" s="7"/>
      <c r="F470" s="7"/>
    </row>
    <row r="471" spans="1:6" x14ac:dyDescent="0.25">
      <c r="A471" s="7"/>
      <c r="E471" s="7"/>
      <c r="F471" s="7"/>
    </row>
    <row r="472" spans="1:6" x14ac:dyDescent="0.25">
      <c r="A472" s="7"/>
      <c r="E472" s="7"/>
      <c r="F472" s="7"/>
    </row>
    <row r="473" spans="1:6" x14ac:dyDescent="0.25">
      <c r="A473" s="7"/>
      <c r="E473" s="7"/>
      <c r="F473" s="7"/>
    </row>
    <row r="474" spans="1:6" x14ac:dyDescent="0.25">
      <c r="A474" s="7"/>
      <c r="E474" s="7"/>
      <c r="F474" s="7"/>
    </row>
    <row r="475" spans="1:6" x14ac:dyDescent="0.25">
      <c r="A475" s="7"/>
      <c r="E475" s="7"/>
      <c r="F475" s="7"/>
    </row>
    <row r="476" spans="1:6" x14ac:dyDescent="0.25">
      <c r="A476" s="7"/>
      <c r="E476" s="7"/>
      <c r="F476" s="7"/>
    </row>
    <row r="477" spans="1:6" x14ac:dyDescent="0.25">
      <c r="A477" s="7"/>
      <c r="E477" s="7"/>
      <c r="F477" s="7"/>
    </row>
    <row r="478" spans="1:6" x14ac:dyDescent="0.25">
      <c r="A478" s="7"/>
      <c r="E478" s="7"/>
      <c r="F478" s="7"/>
    </row>
    <row r="479" spans="1:6" x14ac:dyDescent="0.25">
      <c r="A479" s="7"/>
      <c r="E479" s="7"/>
      <c r="F479" s="7"/>
    </row>
    <row r="480" spans="1:6" x14ac:dyDescent="0.25">
      <c r="A480" s="7"/>
      <c r="E480" s="7"/>
      <c r="F480" s="7"/>
    </row>
    <row r="481" spans="1:6" x14ac:dyDescent="0.25">
      <c r="A481" s="7"/>
      <c r="E481" s="7"/>
      <c r="F481" s="7"/>
    </row>
    <row r="482" spans="1:6" x14ac:dyDescent="0.25">
      <c r="A482" s="7"/>
      <c r="E482" s="7"/>
      <c r="F482" s="7"/>
    </row>
    <row r="483" spans="1:6" x14ac:dyDescent="0.25">
      <c r="A483" s="7"/>
      <c r="E483" s="7"/>
      <c r="F483" s="7"/>
    </row>
    <row r="484" spans="1:6" x14ac:dyDescent="0.25">
      <c r="A484" s="7"/>
      <c r="E484" s="7"/>
      <c r="F484" s="7"/>
    </row>
    <row r="485" spans="1:6" x14ac:dyDescent="0.25">
      <c r="A485" s="7"/>
      <c r="E485" s="7"/>
      <c r="F485" s="7"/>
    </row>
    <row r="486" spans="1:6" x14ac:dyDescent="0.25">
      <c r="A486" s="7"/>
      <c r="E486" s="7"/>
      <c r="F486" s="7"/>
    </row>
    <row r="487" spans="1:6" x14ac:dyDescent="0.25">
      <c r="A487" s="7"/>
      <c r="E487" s="7"/>
      <c r="F487" s="7"/>
    </row>
    <row r="488" spans="1:6" x14ac:dyDescent="0.25">
      <c r="A488" s="7"/>
      <c r="E488" s="7"/>
      <c r="F488" s="7"/>
    </row>
    <row r="489" spans="1:6" x14ac:dyDescent="0.25">
      <c r="A489" s="7"/>
      <c r="E489" s="7"/>
      <c r="F489" s="7"/>
    </row>
    <row r="490" spans="1:6" x14ac:dyDescent="0.25">
      <c r="A490" s="7"/>
      <c r="E490" s="7"/>
      <c r="F490" s="7"/>
    </row>
    <row r="491" spans="1:6" x14ac:dyDescent="0.25">
      <c r="A491" s="7"/>
      <c r="E491" s="7"/>
      <c r="F491" s="7"/>
    </row>
    <row r="492" spans="1:6" x14ac:dyDescent="0.25">
      <c r="A492" s="7"/>
      <c r="E492" s="7"/>
      <c r="F492" s="7"/>
    </row>
    <row r="493" spans="1:6" x14ac:dyDescent="0.25">
      <c r="A493" s="7"/>
      <c r="E493" s="7"/>
      <c r="F493" s="7"/>
    </row>
    <row r="494" spans="1:6" x14ac:dyDescent="0.25">
      <c r="A494" s="7"/>
      <c r="E494" s="7"/>
      <c r="F494" s="7"/>
    </row>
    <row r="495" spans="1:6" x14ac:dyDescent="0.25">
      <c r="A495" s="7"/>
      <c r="E495" s="7"/>
      <c r="F495" s="7"/>
    </row>
    <row r="496" spans="1:6" x14ac:dyDescent="0.25">
      <c r="A496" s="7"/>
      <c r="E496" s="7"/>
      <c r="F496" s="7"/>
    </row>
    <row r="497" spans="1:6" x14ac:dyDescent="0.25">
      <c r="A497" s="7"/>
      <c r="E497" s="7"/>
      <c r="F497" s="7"/>
    </row>
    <row r="498" spans="1:6" x14ac:dyDescent="0.25">
      <c r="A498" s="7"/>
      <c r="E498" s="7"/>
      <c r="F498" s="7"/>
    </row>
    <row r="499" spans="1:6" x14ac:dyDescent="0.25">
      <c r="A499" s="7"/>
      <c r="E499" s="7"/>
      <c r="F499" s="7"/>
    </row>
    <row r="500" spans="1:6" x14ac:dyDescent="0.25">
      <c r="A500" s="7"/>
      <c r="E500" s="7"/>
      <c r="F500" s="7"/>
    </row>
    <row r="501" spans="1:6" x14ac:dyDescent="0.25">
      <c r="A501" s="7"/>
      <c r="E501" s="7"/>
      <c r="F501" s="7"/>
    </row>
    <row r="502" spans="1:6" x14ac:dyDescent="0.25">
      <c r="A502" s="7"/>
      <c r="E502" s="7"/>
      <c r="F502" s="7"/>
    </row>
    <row r="503" spans="1:6" x14ac:dyDescent="0.25">
      <c r="A503" s="7"/>
      <c r="E503" s="7"/>
      <c r="F503" s="7"/>
    </row>
    <row r="504" spans="1:6" x14ac:dyDescent="0.25">
      <c r="A504" s="7"/>
      <c r="E504" s="7"/>
      <c r="F504" s="7"/>
    </row>
    <row r="505" spans="1:6" x14ac:dyDescent="0.25">
      <c r="A505" s="7"/>
      <c r="E505" s="7"/>
      <c r="F505" s="7"/>
    </row>
    <row r="506" spans="1:6" x14ac:dyDescent="0.25">
      <c r="A506" s="7"/>
      <c r="E506" s="7"/>
      <c r="F506" s="7"/>
    </row>
    <row r="507" spans="1:6" x14ac:dyDescent="0.25">
      <c r="A507" s="7"/>
      <c r="E507" s="7"/>
      <c r="F507" s="7"/>
    </row>
    <row r="508" spans="1:6" x14ac:dyDescent="0.25">
      <c r="A508" s="7"/>
      <c r="E508" s="7"/>
      <c r="F508" s="7"/>
    </row>
    <row r="509" spans="1:6" x14ac:dyDescent="0.25">
      <c r="A509" s="7"/>
      <c r="E509" s="7"/>
      <c r="F509" s="7"/>
    </row>
    <row r="510" spans="1:6" x14ac:dyDescent="0.25">
      <c r="A510" s="7"/>
      <c r="E510" s="7"/>
      <c r="F510" s="7"/>
    </row>
    <row r="511" spans="1:6" x14ac:dyDescent="0.25">
      <c r="A511" s="7"/>
      <c r="E511" s="7"/>
      <c r="F511" s="7"/>
    </row>
    <row r="512" spans="1:6" x14ac:dyDescent="0.25">
      <c r="A512" s="7"/>
      <c r="E512" s="7"/>
      <c r="F512" s="7"/>
    </row>
    <row r="513" spans="1:6" x14ac:dyDescent="0.25">
      <c r="A513" s="7"/>
      <c r="E513" s="7"/>
      <c r="F513" s="7"/>
    </row>
    <row r="514" spans="1:6" x14ac:dyDescent="0.25">
      <c r="A514" s="7"/>
      <c r="E514" s="7"/>
      <c r="F514" s="7"/>
    </row>
    <row r="515" spans="1:6" x14ac:dyDescent="0.25">
      <c r="A515" s="7"/>
      <c r="E515" s="7"/>
      <c r="F515" s="7"/>
    </row>
    <row r="516" spans="1:6" x14ac:dyDescent="0.25">
      <c r="A516" s="7"/>
      <c r="E516" s="7"/>
      <c r="F516" s="7"/>
    </row>
    <row r="517" spans="1:6" x14ac:dyDescent="0.25">
      <c r="A517" s="7"/>
      <c r="E517" s="7"/>
      <c r="F517" s="7"/>
    </row>
    <row r="518" spans="1:6" x14ac:dyDescent="0.25">
      <c r="A518" s="7"/>
      <c r="E518" s="7"/>
      <c r="F518" s="7"/>
    </row>
    <row r="519" spans="1:6" x14ac:dyDescent="0.25">
      <c r="A519" s="7"/>
      <c r="E519" s="7"/>
      <c r="F519" s="7"/>
    </row>
    <row r="520" spans="1:6" x14ac:dyDescent="0.25">
      <c r="A520" s="7"/>
      <c r="E520" s="7"/>
      <c r="F520" s="7"/>
    </row>
    <row r="521" spans="1:6" x14ac:dyDescent="0.25">
      <c r="A521" s="7"/>
      <c r="E521" s="7"/>
      <c r="F521" s="7"/>
    </row>
    <row r="522" spans="1:6" x14ac:dyDescent="0.25">
      <c r="A522" s="7"/>
      <c r="E522" s="7"/>
      <c r="F522" s="7"/>
    </row>
    <row r="523" spans="1:6" x14ac:dyDescent="0.25">
      <c r="A523" s="7"/>
      <c r="E523" s="7"/>
      <c r="F523" s="7"/>
    </row>
    <row r="524" spans="1:6" x14ac:dyDescent="0.25">
      <c r="A524" s="7"/>
      <c r="E524" s="7"/>
      <c r="F524" s="7"/>
    </row>
    <row r="525" spans="1:6" x14ac:dyDescent="0.25">
      <c r="A525" s="7"/>
      <c r="E525" s="7"/>
      <c r="F525" s="7"/>
    </row>
    <row r="526" spans="1:6" x14ac:dyDescent="0.25">
      <c r="A526" s="7"/>
      <c r="E526" s="7"/>
      <c r="F526" s="7"/>
    </row>
    <row r="527" spans="1:6" x14ac:dyDescent="0.25">
      <c r="A527" s="7"/>
      <c r="E527" s="7"/>
      <c r="F527" s="7"/>
    </row>
    <row r="528" spans="1:6" x14ac:dyDescent="0.25">
      <c r="A528" s="7"/>
      <c r="E528" s="7"/>
      <c r="F528" s="7"/>
    </row>
    <row r="529" spans="1:6" x14ac:dyDescent="0.25">
      <c r="A529" s="7"/>
      <c r="E529" s="7"/>
      <c r="F529" s="7"/>
    </row>
    <row r="530" spans="1:6" x14ac:dyDescent="0.25">
      <c r="A530" s="7"/>
      <c r="E530" s="7"/>
      <c r="F530" s="7"/>
    </row>
    <row r="531" spans="1:6" x14ac:dyDescent="0.25">
      <c r="A531" s="7"/>
      <c r="E531" s="7"/>
      <c r="F531" s="7"/>
    </row>
    <row r="532" spans="1:6" x14ac:dyDescent="0.25">
      <c r="A532" s="7"/>
      <c r="E532" s="7"/>
      <c r="F532" s="7"/>
    </row>
    <row r="533" spans="1:6" x14ac:dyDescent="0.25">
      <c r="A533" s="7"/>
      <c r="E533" s="7"/>
      <c r="F533" s="7"/>
    </row>
    <row r="534" spans="1:6" x14ac:dyDescent="0.25">
      <c r="A534" s="7"/>
      <c r="E534" s="7"/>
      <c r="F534" s="7"/>
    </row>
    <row r="535" spans="1:6" x14ac:dyDescent="0.25">
      <c r="A535" s="7"/>
      <c r="E535" s="7"/>
      <c r="F535" s="7"/>
    </row>
    <row r="536" spans="1:6" x14ac:dyDescent="0.25">
      <c r="A536" s="7"/>
      <c r="E536" s="7"/>
      <c r="F536" s="7"/>
    </row>
    <row r="537" spans="1:6" x14ac:dyDescent="0.25">
      <c r="A537" s="7"/>
      <c r="E537" s="7"/>
      <c r="F537" s="7"/>
    </row>
    <row r="538" spans="1:6" x14ac:dyDescent="0.25">
      <c r="A538" s="7"/>
      <c r="E538" s="7"/>
      <c r="F538" s="7"/>
    </row>
    <row r="539" spans="1:6" x14ac:dyDescent="0.25">
      <c r="A539" s="7"/>
      <c r="E539" s="7"/>
      <c r="F539" s="7"/>
    </row>
    <row r="540" spans="1:6" x14ac:dyDescent="0.25">
      <c r="A540" s="7"/>
      <c r="E540" s="7"/>
      <c r="F540" s="7"/>
    </row>
    <row r="541" spans="1:6" x14ac:dyDescent="0.25">
      <c r="A541" s="7"/>
      <c r="E541" s="7"/>
      <c r="F541" s="7"/>
    </row>
    <row r="542" spans="1:6" x14ac:dyDescent="0.25">
      <c r="A542" s="7"/>
      <c r="E542" s="7"/>
      <c r="F542" s="7"/>
    </row>
    <row r="543" spans="1:6" x14ac:dyDescent="0.25">
      <c r="A543" s="7"/>
      <c r="E543" s="7"/>
      <c r="F543" s="7"/>
    </row>
    <row r="544" spans="1:6" x14ac:dyDescent="0.25">
      <c r="A544" s="7"/>
      <c r="E544" s="7"/>
      <c r="F544" s="7"/>
    </row>
    <row r="545" spans="1:6" x14ac:dyDescent="0.25">
      <c r="A545" s="7"/>
      <c r="E545" s="7"/>
      <c r="F545" s="7"/>
    </row>
    <row r="546" spans="1:6" x14ac:dyDescent="0.25">
      <c r="A546" s="7"/>
      <c r="E546" s="7"/>
      <c r="F546" s="7"/>
    </row>
    <row r="547" spans="1:6" x14ac:dyDescent="0.25">
      <c r="A547" s="7"/>
      <c r="E547" s="7"/>
      <c r="F547" s="7"/>
    </row>
    <row r="548" spans="1:6" x14ac:dyDescent="0.25">
      <c r="A548" s="7"/>
      <c r="E548" s="7"/>
      <c r="F548" s="7"/>
    </row>
    <row r="549" spans="1:6" x14ac:dyDescent="0.25">
      <c r="A549" s="7"/>
      <c r="E549" s="7"/>
      <c r="F549" s="7"/>
    </row>
    <row r="550" spans="1:6" x14ac:dyDescent="0.25">
      <c r="A550" s="7"/>
      <c r="E550" s="7"/>
      <c r="F550" s="7"/>
    </row>
    <row r="551" spans="1:6" x14ac:dyDescent="0.25">
      <c r="A551" s="7"/>
      <c r="E551" s="7"/>
      <c r="F551" s="7"/>
    </row>
    <row r="552" spans="1:6" x14ac:dyDescent="0.25">
      <c r="A552" s="7"/>
      <c r="E552" s="7"/>
      <c r="F552" s="7"/>
    </row>
    <row r="553" spans="1:6" x14ac:dyDescent="0.25">
      <c r="A553" s="7"/>
      <c r="E553" s="7"/>
      <c r="F553" s="7"/>
    </row>
    <row r="554" spans="1:6" x14ac:dyDescent="0.25">
      <c r="A554" s="7"/>
      <c r="E554" s="7"/>
      <c r="F554" s="7"/>
    </row>
    <row r="555" spans="1:6" x14ac:dyDescent="0.25">
      <c r="A555" s="7"/>
      <c r="E555" s="7"/>
      <c r="F555" s="7"/>
    </row>
    <row r="556" spans="1:6" x14ac:dyDescent="0.25">
      <c r="A556" s="7"/>
      <c r="E556" s="7"/>
      <c r="F556" s="7"/>
    </row>
    <row r="557" spans="1:6" x14ac:dyDescent="0.25">
      <c r="A557" s="7"/>
      <c r="E557" s="7"/>
      <c r="F557" s="7"/>
    </row>
    <row r="558" spans="1:6" x14ac:dyDescent="0.25">
      <c r="A558" s="7"/>
      <c r="E558" s="7"/>
      <c r="F558" s="7"/>
    </row>
    <row r="559" spans="1:6" x14ac:dyDescent="0.25">
      <c r="A559" s="7"/>
      <c r="E559" s="7"/>
      <c r="F559" s="7"/>
    </row>
    <row r="560" spans="1:6" x14ac:dyDescent="0.25">
      <c r="A560" s="7"/>
      <c r="E560" s="7"/>
      <c r="F560" s="7"/>
    </row>
    <row r="561" spans="1:6" x14ac:dyDescent="0.25">
      <c r="A561" s="7"/>
      <c r="E561" s="7"/>
      <c r="F561" s="7"/>
    </row>
    <row r="562" spans="1:6" x14ac:dyDescent="0.25">
      <c r="A562" s="7"/>
      <c r="E562" s="7"/>
      <c r="F562" s="7"/>
    </row>
    <row r="563" spans="1:6" x14ac:dyDescent="0.25">
      <c r="A563" s="7"/>
      <c r="E563" s="7"/>
      <c r="F563" s="7"/>
    </row>
    <row r="564" spans="1:6" x14ac:dyDescent="0.25">
      <c r="A564" s="7"/>
      <c r="E564" s="7"/>
      <c r="F564" s="7"/>
    </row>
    <row r="565" spans="1:6" x14ac:dyDescent="0.25">
      <c r="A565" s="7"/>
      <c r="E565" s="7"/>
      <c r="F565" s="7"/>
    </row>
    <row r="566" spans="1:6" x14ac:dyDescent="0.25">
      <c r="A566" s="7"/>
      <c r="E566" s="7"/>
      <c r="F566" s="7"/>
    </row>
    <row r="567" spans="1:6" x14ac:dyDescent="0.25">
      <c r="A567" s="7"/>
      <c r="E567" s="7"/>
      <c r="F567" s="7"/>
    </row>
    <row r="568" spans="1:6" x14ac:dyDescent="0.25">
      <c r="A568" s="7"/>
      <c r="E568" s="7"/>
      <c r="F568" s="7"/>
    </row>
    <row r="569" spans="1:6" x14ac:dyDescent="0.25">
      <c r="A569" s="7"/>
      <c r="E569" s="7"/>
      <c r="F569" s="7"/>
    </row>
    <row r="570" spans="1:6" x14ac:dyDescent="0.25">
      <c r="A570" s="7"/>
      <c r="E570" s="7"/>
      <c r="F570" s="7"/>
    </row>
    <row r="571" spans="1:6" x14ac:dyDescent="0.25">
      <c r="A571" s="7"/>
      <c r="E571" s="7"/>
      <c r="F571" s="7"/>
    </row>
    <row r="572" spans="1:6" x14ac:dyDescent="0.25">
      <c r="A572" s="7"/>
      <c r="E572" s="7"/>
      <c r="F572" s="7"/>
    </row>
    <row r="573" spans="1:6" x14ac:dyDescent="0.25">
      <c r="A573" s="7"/>
      <c r="E573" s="7"/>
      <c r="F573" s="7"/>
    </row>
    <row r="574" spans="1:6" x14ac:dyDescent="0.25">
      <c r="A574" s="7"/>
      <c r="E574" s="7"/>
      <c r="F574" s="7"/>
    </row>
    <row r="575" spans="1:6" x14ac:dyDescent="0.25">
      <c r="A575" s="7"/>
      <c r="E575" s="7"/>
      <c r="F575" s="7"/>
    </row>
    <row r="576" spans="1:6" x14ac:dyDescent="0.25">
      <c r="A576" s="7"/>
      <c r="E576" s="7"/>
      <c r="F576" s="7"/>
    </row>
    <row r="577" spans="1:6" x14ac:dyDescent="0.25">
      <c r="A577" s="7"/>
      <c r="E577" s="7"/>
      <c r="F577" s="7"/>
    </row>
    <row r="578" spans="1:6" x14ac:dyDescent="0.25">
      <c r="A578" s="7"/>
      <c r="E578" s="7"/>
      <c r="F578" s="7"/>
    </row>
    <row r="579" spans="1:6" x14ac:dyDescent="0.25">
      <c r="A579" s="7"/>
      <c r="E579" s="7"/>
      <c r="F579" s="7"/>
    </row>
    <row r="580" spans="1:6" x14ac:dyDescent="0.25">
      <c r="A580" s="7"/>
      <c r="E580" s="7"/>
      <c r="F580" s="7"/>
    </row>
    <row r="581" spans="1:6" x14ac:dyDescent="0.25">
      <c r="A581" s="7"/>
      <c r="E581" s="7"/>
      <c r="F581" s="7"/>
    </row>
    <row r="582" spans="1:6" x14ac:dyDescent="0.25">
      <c r="A582" s="7"/>
      <c r="E582" s="7"/>
      <c r="F582" s="7"/>
    </row>
    <row r="583" spans="1:6" x14ac:dyDescent="0.25">
      <c r="A583" s="7"/>
      <c r="E583" s="7"/>
      <c r="F583" s="7"/>
    </row>
    <row r="584" spans="1:6" x14ac:dyDescent="0.25">
      <c r="A584" s="7"/>
      <c r="E584" s="7"/>
      <c r="F584" s="7"/>
    </row>
    <row r="585" spans="1:6" x14ac:dyDescent="0.25">
      <c r="A585" s="7"/>
      <c r="E585" s="7"/>
      <c r="F585" s="7"/>
    </row>
    <row r="586" spans="1:6" x14ac:dyDescent="0.25">
      <c r="A586" s="7"/>
      <c r="E586" s="7"/>
      <c r="F586" s="7"/>
    </row>
    <row r="587" spans="1:6" x14ac:dyDescent="0.25">
      <c r="A587" s="7"/>
      <c r="E587" s="7"/>
      <c r="F587" s="7"/>
    </row>
    <row r="588" spans="1:6" x14ac:dyDescent="0.25">
      <c r="A588" s="7"/>
      <c r="E588" s="7"/>
      <c r="F588" s="7"/>
    </row>
    <row r="589" spans="1:6" x14ac:dyDescent="0.25">
      <c r="A589" s="7"/>
      <c r="E589" s="7"/>
      <c r="F589" s="7"/>
    </row>
    <row r="590" spans="1:6" x14ac:dyDescent="0.25">
      <c r="A590" s="7"/>
      <c r="E590" s="7"/>
      <c r="F590" s="7"/>
    </row>
    <row r="591" spans="1:6" x14ac:dyDescent="0.25">
      <c r="A591" s="7"/>
      <c r="E591" s="7"/>
      <c r="F591" s="7"/>
    </row>
    <row r="592" spans="1:6" x14ac:dyDescent="0.25">
      <c r="A592" s="7"/>
      <c r="E592" s="7"/>
      <c r="F592" s="7"/>
    </row>
    <row r="593" spans="1:6" x14ac:dyDescent="0.25">
      <c r="A593" s="7"/>
      <c r="E593" s="7"/>
      <c r="F593" s="7"/>
    </row>
    <row r="594" spans="1:6" x14ac:dyDescent="0.25">
      <c r="A594" s="7"/>
      <c r="E594" s="7"/>
      <c r="F594" s="7"/>
    </row>
    <row r="595" spans="1:6" x14ac:dyDescent="0.25">
      <c r="A595" s="7"/>
      <c r="E595" s="7"/>
      <c r="F595" s="7"/>
    </row>
    <row r="596" spans="1:6" x14ac:dyDescent="0.25">
      <c r="A596" s="7"/>
      <c r="E596" s="7"/>
      <c r="F596" s="7"/>
    </row>
    <row r="597" spans="1:6" x14ac:dyDescent="0.25">
      <c r="A597" s="7"/>
      <c r="E597" s="7"/>
      <c r="F597" s="7"/>
    </row>
    <row r="598" spans="1:6" x14ac:dyDescent="0.25">
      <c r="A598" s="7"/>
      <c r="E598" s="7"/>
      <c r="F598" s="7"/>
    </row>
    <row r="599" spans="1:6" x14ac:dyDescent="0.25">
      <c r="A599" s="7"/>
      <c r="E599" s="7"/>
      <c r="F599" s="7"/>
    </row>
    <row r="600" spans="1:6" x14ac:dyDescent="0.25">
      <c r="A600" s="7"/>
      <c r="E600" s="7"/>
      <c r="F600" s="7"/>
    </row>
    <row r="601" spans="1:6" x14ac:dyDescent="0.25">
      <c r="A601" s="7"/>
      <c r="E601" s="7"/>
      <c r="F601" s="7"/>
    </row>
    <row r="602" spans="1:6" x14ac:dyDescent="0.25">
      <c r="A602" s="7"/>
      <c r="E602" s="7"/>
      <c r="F602" s="7"/>
    </row>
    <row r="603" spans="1:6" x14ac:dyDescent="0.25">
      <c r="A603" s="7"/>
      <c r="E603" s="7"/>
      <c r="F603" s="7"/>
    </row>
    <row r="604" spans="1:6" x14ac:dyDescent="0.25">
      <c r="A604" s="7"/>
      <c r="E604" s="7"/>
      <c r="F604" s="7"/>
    </row>
    <row r="605" spans="1:6" x14ac:dyDescent="0.25">
      <c r="A605" s="7"/>
      <c r="E605" s="7"/>
      <c r="F605" s="7"/>
    </row>
    <row r="606" spans="1:6" x14ac:dyDescent="0.25">
      <c r="A606" s="7"/>
      <c r="E606" s="7"/>
      <c r="F606" s="7"/>
    </row>
    <row r="607" spans="1:6" x14ac:dyDescent="0.25">
      <c r="A607" s="7"/>
      <c r="E607" s="7"/>
      <c r="F607" s="7"/>
    </row>
    <row r="608" spans="1:6" x14ac:dyDescent="0.25">
      <c r="A608" s="7"/>
      <c r="E608" s="7"/>
      <c r="F608" s="7"/>
    </row>
    <row r="609" spans="1:6" x14ac:dyDescent="0.25">
      <c r="A609" s="7"/>
      <c r="E609" s="7"/>
      <c r="F609" s="7"/>
    </row>
    <row r="610" spans="1:6" x14ac:dyDescent="0.25">
      <c r="A610" s="7"/>
      <c r="E610" s="7"/>
      <c r="F610" s="7"/>
    </row>
    <row r="611" spans="1:6" x14ac:dyDescent="0.25">
      <c r="A611" s="7"/>
      <c r="E611" s="7"/>
      <c r="F611" s="7"/>
    </row>
    <row r="612" spans="1:6" x14ac:dyDescent="0.25">
      <c r="A612" s="7"/>
      <c r="E612" s="7"/>
      <c r="F612" s="7"/>
    </row>
    <row r="613" spans="1:6" x14ac:dyDescent="0.25">
      <c r="A613" s="7"/>
      <c r="E613" s="7"/>
      <c r="F613" s="7"/>
    </row>
    <row r="614" spans="1:6" x14ac:dyDescent="0.25">
      <c r="A614" s="7"/>
      <c r="E614" s="7"/>
      <c r="F614" s="7"/>
    </row>
    <row r="615" spans="1:6" x14ac:dyDescent="0.25">
      <c r="A615" s="7"/>
      <c r="E615" s="7"/>
      <c r="F615" s="7"/>
    </row>
    <row r="616" spans="1:6" x14ac:dyDescent="0.25">
      <c r="A616" s="7"/>
      <c r="E616" s="7"/>
      <c r="F616" s="7"/>
    </row>
    <row r="617" spans="1:6" x14ac:dyDescent="0.25">
      <c r="A617" s="7"/>
      <c r="E617" s="7"/>
      <c r="F617" s="7"/>
    </row>
    <row r="618" spans="1:6" x14ac:dyDescent="0.25">
      <c r="A618" s="7"/>
      <c r="E618" s="7"/>
      <c r="F618" s="7"/>
    </row>
    <row r="619" spans="1:6" x14ac:dyDescent="0.25">
      <c r="A619" s="7"/>
      <c r="E619" s="7"/>
      <c r="F619" s="7"/>
    </row>
    <row r="620" spans="1:6" x14ac:dyDescent="0.25">
      <c r="A620" s="7"/>
      <c r="E620" s="7"/>
      <c r="F620" s="7"/>
    </row>
    <row r="621" spans="1:6" x14ac:dyDescent="0.25">
      <c r="A621" s="7"/>
      <c r="E621" s="7"/>
      <c r="F621" s="7"/>
    </row>
    <row r="622" spans="1:6" x14ac:dyDescent="0.25">
      <c r="A622" s="7"/>
      <c r="E622" s="7"/>
      <c r="F622" s="7"/>
    </row>
    <row r="623" spans="1:6" x14ac:dyDescent="0.25">
      <c r="A623" s="7"/>
      <c r="E623" s="7"/>
      <c r="F623" s="7"/>
    </row>
    <row r="624" spans="1:6" x14ac:dyDescent="0.25">
      <c r="A624" s="7"/>
      <c r="E624" s="7"/>
      <c r="F624" s="7"/>
    </row>
    <row r="625" spans="1:6" x14ac:dyDescent="0.25">
      <c r="A625" s="7"/>
      <c r="E625" s="7"/>
      <c r="F625" s="7"/>
    </row>
    <row r="626" spans="1:6" x14ac:dyDescent="0.25">
      <c r="A626" s="7"/>
      <c r="E626" s="7"/>
      <c r="F626" s="7"/>
    </row>
    <row r="627" spans="1:6" x14ac:dyDescent="0.25">
      <c r="A627" s="7"/>
      <c r="E627" s="7"/>
      <c r="F627" s="7"/>
    </row>
    <row r="628" spans="1:6" x14ac:dyDescent="0.25">
      <c r="A628" s="7"/>
      <c r="E628" s="7"/>
      <c r="F628" s="7"/>
    </row>
    <row r="629" spans="1:6" x14ac:dyDescent="0.25">
      <c r="A629" s="7"/>
      <c r="E629" s="7"/>
      <c r="F629" s="7"/>
    </row>
    <row r="630" spans="1:6" x14ac:dyDescent="0.25">
      <c r="A630" s="7"/>
      <c r="E630" s="7"/>
      <c r="F630" s="7"/>
    </row>
    <row r="631" spans="1:6" x14ac:dyDescent="0.25">
      <c r="A631" s="7"/>
      <c r="E631" s="7"/>
      <c r="F631" s="7"/>
    </row>
    <row r="632" spans="1:6" x14ac:dyDescent="0.25">
      <c r="A632" s="7"/>
      <c r="E632" s="7"/>
      <c r="F632" s="7"/>
    </row>
    <row r="633" spans="1:6" x14ac:dyDescent="0.25">
      <c r="A633" s="7"/>
      <c r="E633" s="7"/>
      <c r="F633" s="7"/>
    </row>
    <row r="634" spans="1:6" x14ac:dyDescent="0.25">
      <c r="A634" s="7"/>
      <c r="E634" s="7"/>
      <c r="F634" s="7"/>
    </row>
    <row r="635" spans="1:6" x14ac:dyDescent="0.25">
      <c r="A635" s="7"/>
      <c r="E635" s="7"/>
      <c r="F635" s="7"/>
    </row>
    <row r="636" spans="1:6" x14ac:dyDescent="0.25">
      <c r="A636" s="7"/>
      <c r="E636" s="7"/>
      <c r="F636" s="7"/>
    </row>
    <row r="637" spans="1:6" x14ac:dyDescent="0.25">
      <c r="A637" s="7"/>
      <c r="E637" s="7"/>
      <c r="F637" s="7"/>
    </row>
    <row r="638" spans="1:6" x14ac:dyDescent="0.25">
      <c r="A638" s="7"/>
      <c r="E638" s="7"/>
      <c r="F638" s="7"/>
    </row>
    <row r="639" spans="1:6" x14ac:dyDescent="0.25">
      <c r="A639" s="7"/>
      <c r="E639" s="7"/>
      <c r="F639" s="7"/>
    </row>
    <row r="640" spans="1:6" x14ac:dyDescent="0.25">
      <c r="A640" s="7"/>
      <c r="E640" s="7"/>
      <c r="F640" s="7"/>
    </row>
    <row r="641" spans="1:6" x14ac:dyDescent="0.25">
      <c r="A641" s="7"/>
      <c r="E641" s="7"/>
      <c r="F641" s="7"/>
    </row>
    <row r="642" spans="1:6" x14ac:dyDescent="0.25">
      <c r="A642" s="7"/>
      <c r="E642" s="7"/>
      <c r="F642" s="7"/>
    </row>
    <row r="643" spans="1:6" x14ac:dyDescent="0.25">
      <c r="A643" s="7"/>
      <c r="E643" s="7"/>
      <c r="F643" s="7"/>
    </row>
    <row r="644" spans="1:6" x14ac:dyDescent="0.25">
      <c r="A644" s="7"/>
      <c r="E644" s="7"/>
      <c r="F644" s="7"/>
    </row>
    <row r="645" spans="1:6" x14ac:dyDescent="0.25">
      <c r="A645" s="7"/>
      <c r="E645" s="7"/>
      <c r="F645" s="7"/>
    </row>
    <row r="646" spans="1:6" x14ac:dyDescent="0.25">
      <c r="A646" s="7"/>
      <c r="E646" s="7"/>
      <c r="F646" s="7"/>
    </row>
    <row r="647" spans="1:6" x14ac:dyDescent="0.25">
      <c r="A647" s="7"/>
      <c r="E647" s="7"/>
      <c r="F647" s="7"/>
    </row>
    <row r="648" spans="1:6" x14ac:dyDescent="0.25">
      <c r="A648" s="7"/>
      <c r="E648" s="7"/>
      <c r="F648" s="7"/>
    </row>
    <row r="649" spans="1:6" x14ac:dyDescent="0.25">
      <c r="A649" s="7"/>
      <c r="E649" s="7"/>
      <c r="F649" s="7"/>
    </row>
    <row r="650" spans="1:6" x14ac:dyDescent="0.25">
      <c r="A650" s="7"/>
      <c r="E650" s="7"/>
      <c r="F650" s="7"/>
    </row>
    <row r="651" spans="1:6" x14ac:dyDescent="0.25">
      <c r="A651" s="7"/>
      <c r="E651" s="7"/>
      <c r="F651" s="7"/>
    </row>
    <row r="652" spans="1:6" x14ac:dyDescent="0.25">
      <c r="A652" s="7"/>
      <c r="E652" s="7"/>
      <c r="F652" s="7"/>
    </row>
    <row r="653" spans="1:6" x14ac:dyDescent="0.25">
      <c r="A653" s="7"/>
      <c r="E653" s="7"/>
      <c r="F653" s="7"/>
    </row>
    <row r="654" spans="1:6" x14ac:dyDescent="0.25">
      <c r="A654" s="7"/>
      <c r="E654" s="7"/>
      <c r="F654" s="7"/>
    </row>
    <row r="655" spans="1:6" x14ac:dyDescent="0.25">
      <c r="A655" s="7"/>
      <c r="E655" s="7"/>
      <c r="F655" s="7"/>
    </row>
    <row r="656" spans="1:6" x14ac:dyDescent="0.25">
      <c r="A656" s="7"/>
      <c r="E656" s="7"/>
      <c r="F656" s="7"/>
    </row>
    <row r="657" spans="1:6" x14ac:dyDescent="0.25">
      <c r="A657" s="7"/>
      <c r="E657" s="7"/>
      <c r="F657" s="7"/>
    </row>
    <row r="658" spans="1:6" x14ac:dyDescent="0.25">
      <c r="A658" s="7"/>
      <c r="E658" s="7"/>
      <c r="F658" s="7"/>
    </row>
    <row r="659" spans="1:6" x14ac:dyDescent="0.25">
      <c r="A659" s="7"/>
      <c r="E659" s="7"/>
      <c r="F659" s="7"/>
    </row>
    <row r="660" spans="1:6" x14ac:dyDescent="0.25">
      <c r="A660" s="7"/>
      <c r="E660" s="7"/>
      <c r="F660" s="7"/>
    </row>
    <row r="661" spans="1:6" x14ac:dyDescent="0.25">
      <c r="A661" s="7"/>
      <c r="E661" s="7"/>
      <c r="F661" s="7"/>
    </row>
    <row r="662" spans="1:6" x14ac:dyDescent="0.25">
      <c r="A662" s="7"/>
      <c r="E662" s="7"/>
      <c r="F662" s="7"/>
    </row>
    <row r="663" spans="1:6" x14ac:dyDescent="0.25">
      <c r="A663" s="7"/>
      <c r="E663" s="7"/>
      <c r="F663" s="7"/>
    </row>
    <row r="664" spans="1:6" x14ac:dyDescent="0.25">
      <c r="A664" s="7"/>
      <c r="E664" s="7"/>
      <c r="F664" s="7"/>
    </row>
    <row r="665" spans="1:6" x14ac:dyDescent="0.25">
      <c r="A665" s="7"/>
      <c r="E665" s="7"/>
      <c r="F665" s="7"/>
    </row>
    <row r="666" spans="1:6" x14ac:dyDescent="0.25">
      <c r="A666" s="7"/>
      <c r="E666" s="7"/>
      <c r="F666" s="7"/>
    </row>
    <row r="667" spans="1:6" x14ac:dyDescent="0.25">
      <c r="A667" s="7"/>
      <c r="E667" s="7"/>
      <c r="F667" s="7"/>
    </row>
    <row r="668" spans="1:6" x14ac:dyDescent="0.25">
      <c r="A668" s="7"/>
      <c r="E668" s="7"/>
      <c r="F668" s="7"/>
    </row>
    <row r="669" spans="1:6" x14ac:dyDescent="0.25">
      <c r="A669" s="7"/>
      <c r="E669" s="7"/>
      <c r="F669" s="7"/>
    </row>
    <row r="670" spans="1:6" x14ac:dyDescent="0.25">
      <c r="A670" s="7"/>
      <c r="E670" s="7"/>
      <c r="F670" s="7"/>
    </row>
    <row r="671" spans="1:6" x14ac:dyDescent="0.25">
      <c r="A671" s="7"/>
      <c r="E671" s="7"/>
      <c r="F671" s="7"/>
    </row>
    <row r="672" spans="1:6" x14ac:dyDescent="0.25">
      <c r="A672" s="7"/>
      <c r="E672" s="7"/>
      <c r="F672" s="7"/>
    </row>
    <row r="673" spans="1:6" x14ac:dyDescent="0.25">
      <c r="A673" s="7"/>
      <c r="E673" s="7"/>
      <c r="F673" s="7"/>
    </row>
    <row r="674" spans="1:6" x14ac:dyDescent="0.25">
      <c r="A674" s="7"/>
      <c r="E674" s="7"/>
      <c r="F674" s="7"/>
    </row>
    <row r="675" spans="1:6" x14ac:dyDescent="0.25">
      <c r="A675" s="7"/>
      <c r="E675" s="7"/>
      <c r="F675" s="7"/>
    </row>
    <row r="676" spans="1:6" x14ac:dyDescent="0.25">
      <c r="A676" s="7"/>
      <c r="E676" s="7"/>
      <c r="F676" s="7"/>
    </row>
    <row r="677" spans="1:6" x14ac:dyDescent="0.25">
      <c r="A677" s="7"/>
      <c r="E677" s="7"/>
      <c r="F677" s="7"/>
    </row>
    <row r="678" spans="1:6" x14ac:dyDescent="0.25">
      <c r="A678" s="7"/>
      <c r="E678" s="7"/>
      <c r="F678" s="7"/>
    </row>
    <row r="679" spans="1:6" x14ac:dyDescent="0.25">
      <c r="A679" s="7"/>
      <c r="E679" s="7"/>
      <c r="F679" s="7"/>
    </row>
    <row r="680" spans="1:6" x14ac:dyDescent="0.25">
      <c r="A680" s="7"/>
      <c r="E680" s="7"/>
      <c r="F680" s="7"/>
    </row>
    <row r="681" spans="1:6" x14ac:dyDescent="0.25">
      <c r="A681" s="7"/>
      <c r="E681" s="7"/>
      <c r="F681" s="7"/>
    </row>
    <row r="682" spans="1:6" x14ac:dyDescent="0.25">
      <c r="A682" s="7"/>
      <c r="E682" s="7"/>
      <c r="F682" s="7"/>
    </row>
    <row r="683" spans="1:6" x14ac:dyDescent="0.25">
      <c r="A683" s="7"/>
      <c r="E683" s="7"/>
      <c r="F683" s="7"/>
    </row>
    <row r="684" spans="1:6" x14ac:dyDescent="0.25">
      <c r="A684" s="7"/>
      <c r="E684" s="7"/>
      <c r="F684" s="7"/>
    </row>
    <row r="685" spans="1:6" x14ac:dyDescent="0.25">
      <c r="A685" s="7"/>
      <c r="E685" s="7"/>
      <c r="F685" s="7"/>
    </row>
    <row r="686" spans="1:6" x14ac:dyDescent="0.25">
      <c r="A686" s="7"/>
      <c r="E686" s="7"/>
      <c r="F686" s="7"/>
    </row>
    <row r="687" spans="1:6" x14ac:dyDescent="0.25">
      <c r="A687" s="7"/>
      <c r="E687" s="7"/>
      <c r="F687" s="7"/>
    </row>
    <row r="688" spans="1:6" x14ac:dyDescent="0.25">
      <c r="A688" s="7"/>
      <c r="E688" s="7"/>
      <c r="F688" s="7"/>
    </row>
    <row r="689" spans="1:6" x14ac:dyDescent="0.25">
      <c r="A689" s="7"/>
      <c r="E689" s="7"/>
      <c r="F689" s="7"/>
    </row>
    <row r="690" spans="1:6" x14ac:dyDescent="0.25">
      <c r="A690" s="7"/>
      <c r="E690" s="7"/>
      <c r="F690" s="7"/>
    </row>
    <row r="691" spans="1:6" x14ac:dyDescent="0.25">
      <c r="A691" s="7"/>
      <c r="E691" s="7"/>
      <c r="F691" s="7"/>
    </row>
    <row r="692" spans="1:6" x14ac:dyDescent="0.25">
      <c r="A692" s="7"/>
      <c r="E692" s="7"/>
      <c r="F692" s="7"/>
    </row>
    <row r="693" spans="1:6" x14ac:dyDescent="0.25">
      <c r="A693" s="7"/>
      <c r="E693" s="7"/>
      <c r="F693" s="7"/>
    </row>
    <row r="694" spans="1:6" x14ac:dyDescent="0.25">
      <c r="A694" s="7"/>
      <c r="E694" s="7"/>
      <c r="F694" s="7"/>
    </row>
    <row r="695" spans="1:6" x14ac:dyDescent="0.25">
      <c r="A695" s="7"/>
      <c r="E695" s="7"/>
      <c r="F695" s="7"/>
    </row>
    <row r="696" spans="1:6" x14ac:dyDescent="0.25">
      <c r="A696" s="7"/>
      <c r="E696" s="7"/>
      <c r="F696" s="7"/>
    </row>
    <row r="697" spans="1:6" x14ac:dyDescent="0.25">
      <c r="A697" s="7"/>
      <c r="E697" s="7"/>
      <c r="F697" s="7"/>
    </row>
    <row r="698" spans="1:6" x14ac:dyDescent="0.25">
      <c r="A698" s="7"/>
      <c r="E698" s="7"/>
      <c r="F698" s="7"/>
    </row>
    <row r="699" spans="1:6" x14ac:dyDescent="0.25">
      <c r="A699" s="7"/>
      <c r="E699" s="7"/>
      <c r="F699" s="7"/>
    </row>
    <row r="700" spans="1:6" x14ac:dyDescent="0.25">
      <c r="A700" s="7"/>
      <c r="E700" s="7"/>
      <c r="F700" s="7"/>
    </row>
    <row r="701" spans="1:6" x14ac:dyDescent="0.25">
      <c r="A701" s="7"/>
      <c r="E701" s="7"/>
      <c r="F701" s="7"/>
    </row>
    <row r="702" spans="1:6" x14ac:dyDescent="0.25">
      <c r="A702" s="7"/>
      <c r="E702" s="7"/>
      <c r="F702" s="7"/>
    </row>
    <row r="703" spans="1:6" x14ac:dyDescent="0.25">
      <c r="A703" s="7"/>
      <c r="E703" s="7"/>
      <c r="F703" s="7"/>
    </row>
    <row r="704" spans="1:6" x14ac:dyDescent="0.25">
      <c r="A704" s="7"/>
      <c r="E704" s="7"/>
      <c r="F704" s="7"/>
    </row>
    <row r="705" spans="1:6" x14ac:dyDescent="0.25">
      <c r="A705" s="7"/>
      <c r="E705" s="7"/>
      <c r="F705" s="7"/>
    </row>
    <row r="706" spans="1:6" x14ac:dyDescent="0.25">
      <c r="A706" s="7"/>
      <c r="E706" s="7"/>
      <c r="F706" s="7"/>
    </row>
    <row r="707" spans="1:6" x14ac:dyDescent="0.25">
      <c r="A707" s="7"/>
      <c r="E707" s="7"/>
      <c r="F707" s="7"/>
    </row>
    <row r="708" spans="1:6" x14ac:dyDescent="0.25">
      <c r="A708" s="7"/>
      <c r="E708" s="7"/>
      <c r="F708" s="7"/>
    </row>
    <row r="709" spans="1:6" x14ac:dyDescent="0.25">
      <c r="A709" s="7"/>
      <c r="E709" s="7"/>
      <c r="F709" s="7"/>
    </row>
    <row r="710" spans="1:6" x14ac:dyDescent="0.25">
      <c r="A710" s="7"/>
      <c r="E710" s="7"/>
      <c r="F710" s="7"/>
    </row>
    <row r="711" spans="1:6" x14ac:dyDescent="0.25">
      <c r="A711" s="7"/>
      <c r="E711" s="7"/>
      <c r="F711" s="7"/>
    </row>
    <row r="712" spans="1:6" x14ac:dyDescent="0.25">
      <c r="A712" s="7"/>
      <c r="E712" s="7"/>
      <c r="F712" s="7"/>
    </row>
    <row r="713" spans="1:6" x14ac:dyDescent="0.25">
      <c r="A713" s="7"/>
      <c r="E713" s="7"/>
      <c r="F713" s="7"/>
    </row>
    <row r="714" spans="1:6" x14ac:dyDescent="0.25">
      <c r="A714" s="7"/>
      <c r="E714" s="7"/>
      <c r="F714" s="7"/>
    </row>
    <row r="715" spans="1:6" x14ac:dyDescent="0.25">
      <c r="A715" s="7"/>
      <c r="E715" s="7"/>
      <c r="F715" s="7"/>
    </row>
    <row r="716" spans="1:6" x14ac:dyDescent="0.25">
      <c r="A716" s="7"/>
      <c r="E716" s="7"/>
      <c r="F716" s="7"/>
    </row>
    <row r="717" spans="1:6" x14ac:dyDescent="0.25">
      <c r="A717" s="7"/>
      <c r="E717" s="7"/>
      <c r="F717" s="7"/>
    </row>
    <row r="718" spans="1:6" x14ac:dyDescent="0.25">
      <c r="A718" s="7"/>
      <c r="E718" s="7"/>
      <c r="F718" s="7"/>
    </row>
    <row r="719" spans="1:6" x14ac:dyDescent="0.25">
      <c r="A719" s="7"/>
      <c r="E719" s="7"/>
      <c r="F719" s="7"/>
    </row>
    <row r="720" spans="1:6" x14ac:dyDescent="0.25">
      <c r="A720" s="7"/>
      <c r="E720" s="7"/>
      <c r="F720" s="7"/>
    </row>
    <row r="721" spans="1:6" x14ac:dyDescent="0.25">
      <c r="A721" s="7"/>
      <c r="E721" s="7"/>
      <c r="F721" s="7"/>
    </row>
    <row r="722" spans="1:6" x14ac:dyDescent="0.25">
      <c r="A722" s="7"/>
      <c r="E722" s="7"/>
      <c r="F722" s="7"/>
    </row>
    <row r="723" spans="1:6" x14ac:dyDescent="0.25">
      <c r="A723" s="7"/>
      <c r="E723" s="7"/>
      <c r="F723" s="7"/>
    </row>
    <row r="724" spans="1:6" x14ac:dyDescent="0.25">
      <c r="A724" s="7"/>
      <c r="E724" s="7"/>
      <c r="F724" s="7"/>
    </row>
    <row r="725" spans="1:6" x14ac:dyDescent="0.25">
      <c r="A725" s="7"/>
      <c r="E725" s="7"/>
      <c r="F725" s="7"/>
    </row>
    <row r="726" spans="1:6" x14ac:dyDescent="0.25">
      <c r="A726" s="7"/>
      <c r="E726" s="7"/>
      <c r="F726" s="7"/>
    </row>
    <row r="727" spans="1:6" x14ac:dyDescent="0.25">
      <c r="A727" s="7"/>
      <c r="E727" s="7"/>
      <c r="F727" s="7"/>
    </row>
    <row r="728" spans="1:6" x14ac:dyDescent="0.25">
      <c r="A728" s="7"/>
      <c r="E728" s="7"/>
      <c r="F728" s="7"/>
    </row>
    <row r="729" spans="1:6" x14ac:dyDescent="0.25">
      <c r="A729" s="7"/>
      <c r="E729" s="7"/>
      <c r="F729" s="7"/>
    </row>
    <row r="730" spans="1:6" x14ac:dyDescent="0.25">
      <c r="A730" s="7"/>
      <c r="E730" s="7"/>
      <c r="F730" s="7"/>
    </row>
    <row r="731" spans="1:6" x14ac:dyDescent="0.25">
      <c r="A731" s="7"/>
      <c r="E731" s="7"/>
      <c r="F731" s="7"/>
    </row>
    <row r="732" spans="1:6" x14ac:dyDescent="0.25">
      <c r="A732" s="7"/>
      <c r="E732" s="7"/>
      <c r="F732" s="7"/>
    </row>
    <row r="733" spans="1:6" x14ac:dyDescent="0.25">
      <c r="A733" s="7"/>
      <c r="E733" s="7"/>
      <c r="F733" s="7"/>
    </row>
    <row r="734" spans="1:6" x14ac:dyDescent="0.25">
      <c r="A734" s="7"/>
      <c r="E734" s="7"/>
      <c r="F734" s="7"/>
    </row>
    <row r="735" spans="1:6" x14ac:dyDescent="0.25">
      <c r="A735" s="7"/>
      <c r="E735" s="7"/>
      <c r="F735" s="7"/>
    </row>
    <row r="736" spans="1:6" x14ac:dyDescent="0.25">
      <c r="A736" s="7"/>
      <c r="E736" s="7"/>
      <c r="F736" s="7"/>
    </row>
    <row r="737" spans="1:6" x14ac:dyDescent="0.25">
      <c r="A737" s="7"/>
      <c r="E737" s="7"/>
      <c r="F737" s="7"/>
    </row>
    <row r="738" spans="1:6" x14ac:dyDescent="0.25">
      <c r="A738" s="7"/>
      <c r="E738" s="7"/>
      <c r="F738" s="7"/>
    </row>
    <row r="739" spans="1:6" x14ac:dyDescent="0.25">
      <c r="A739" s="7"/>
      <c r="E739" s="7"/>
      <c r="F739" s="7"/>
    </row>
    <row r="740" spans="1:6" x14ac:dyDescent="0.25">
      <c r="A740" s="7"/>
      <c r="E740" s="7"/>
      <c r="F740" s="7"/>
    </row>
    <row r="741" spans="1:6" x14ac:dyDescent="0.25">
      <c r="A741" s="7"/>
      <c r="E741" s="7"/>
      <c r="F741" s="7"/>
    </row>
    <row r="742" spans="1:6" x14ac:dyDescent="0.25">
      <c r="A742" s="7"/>
      <c r="E742" s="7"/>
      <c r="F742" s="7"/>
    </row>
    <row r="743" spans="1:6" x14ac:dyDescent="0.25">
      <c r="A743" s="7"/>
      <c r="E743" s="7"/>
      <c r="F743" s="7"/>
    </row>
    <row r="744" spans="1:6" x14ac:dyDescent="0.25">
      <c r="A744" s="7"/>
      <c r="E744" s="7"/>
      <c r="F744" s="7"/>
    </row>
    <row r="745" spans="1:6" x14ac:dyDescent="0.25">
      <c r="A745" s="7"/>
      <c r="E745" s="7"/>
      <c r="F745" s="7"/>
    </row>
    <row r="746" spans="1:6" x14ac:dyDescent="0.25">
      <c r="A746" s="7"/>
      <c r="E746" s="7"/>
      <c r="F746" s="7"/>
    </row>
    <row r="747" spans="1:6" x14ac:dyDescent="0.25">
      <c r="A747" s="7"/>
      <c r="E747" s="7"/>
      <c r="F747" s="7"/>
    </row>
    <row r="748" spans="1:6" x14ac:dyDescent="0.25">
      <c r="A748" s="7"/>
      <c r="E748" s="7"/>
      <c r="F748" s="7"/>
    </row>
    <row r="749" spans="1:6" x14ac:dyDescent="0.25">
      <c r="A749" s="7"/>
      <c r="E749" s="7"/>
      <c r="F749" s="7"/>
    </row>
    <row r="750" spans="1:6" x14ac:dyDescent="0.25">
      <c r="A750" s="7"/>
      <c r="E750" s="7"/>
      <c r="F750" s="7"/>
    </row>
    <row r="751" spans="1:6" x14ac:dyDescent="0.25">
      <c r="A751" s="7"/>
      <c r="E751" s="7"/>
      <c r="F751" s="7"/>
    </row>
    <row r="752" spans="1:6" x14ac:dyDescent="0.25">
      <c r="A752" s="7"/>
      <c r="E752" s="7"/>
      <c r="F752" s="7"/>
    </row>
    <row r="753" spans="1:6" x14ac:dyDescent="0.25">
      <c r="A753" s="7"/>
      <c r="E753" s="7"/>
      <c r="F753" s="7"/>
    </row>
    <row r="754" spans="1:6" x14ac:dyDescent="0.25">
      <c r="A754" s="7"/>
      <c r="E754" s="7"/>
      <c r="F754" s="7"/>
    </row>
    <row r="755" spans="1:6" x14ac:dyDescent="0.25">
      <c r="A755" s="7"/>
      <c r="E755" s="7"/>
      <c r="F755" s="7"/>
    </row>
    <row r="756" spans="1:6" x14ac:dyDescent="0.25">
      <c r="A756" s="7"/>
      <c r="E756" s="7"/>
      <c r="F756" s="7"/>
    </row>
    <row r="757" spans="1:6" x14ac:dyDescent="0.25">
      <c r="A757" s="7"/>
      <c r="E757" s="7"/>
      <c r="F757" s="7"/>
    </row>
    <row r="758" spans="1:6" x14ac:dyDescent="0.25">
      <c r="A758" s="7"/>
      <c r="E758" s="7"/>
      <c r="F758" s="7"/>
    </row>
    <row r="759" spans="1:6" x14ac:dyDescent="0.25">
      <c r="A759" s="7"/>
      <c r="E759" s="7"/>
      <c r="F759" s="7"/>
    </row>
    <row r="760" spans="1:6" x14ac:dyDescent="0.25">
      <c r="A760" s="7"/>
      <c r="E760" s="7"/>
      <c r="F760" s="7"/>
    </row>
    <row r="761" spans="1:6" x14ac:dyDescent="0.25">
      <c r="A761" s="7"/>
      <c r="E761" s="7"/>
      <c r="F761" s="7"/>
    </row>
    <row r="762" spans="1:6" x14ac:dyDescent="0.25">
      <c r="A762" s="7"/>
      <c r="E762" s="7"/>
      <c r="F762" s="7"/>
    </row>
    <row r="763" spans="1:6" x14ac:dyDescent="0.25">
      <c r="A763" s="7"/>
      <c r="E763" s="7"/>
      <c r="F763" s="7"/>
    </row>
    <row r="764" spans="1:6" x14ac:dyDescent="0.25">
      <c r="A764" s="7"/>
      <c r="E764" s="7"/>
      <c r="F764" s="7"/>
    </row>
    <row r="765" spans="1:6" x14ac:dyDescent="0.25">
      <c r="A765" s="7"/>
      <c r="E765" s="7"/>
      <c r="F765" s="7"/>
    </row>
    <row r="766" spans="1:6" x14ac:dyDescent="0.25">
      <c r="A766" s="7"/>
      <c r="E766" s="7"/>
      <c r="F766" s="7"/>
    </row>
    <row r="767" spans="1:6" x14ac:dyDescent="0.25">
      <c r="A767" s="7"/>
      <c r="E767" s="7"/>
      <c r="F767" s="7"/>
    </row>
    <row r="768" spans="1:6" x14ac:dyDescent="0.25">
      <c r="A768" s="7"/>
      <c r="E768" s="7"/>
      <c r="F768" s="7"/>
    </row>
    <row r="769" spans="1:6" x14ac:dyDescent="0.25">
      <c r="A769" s="7"/>
      <c r="E769" s="7"/>
      <c r="F769" s="7"/>
    </row>
    <row r="770" spans="1:6" x14ac:dyDescent="0.25">
      <c r="A770" s="7"/>
      <c r="E770" s="7"/>
      <c r="F770" s="7"/>
    </row>
    <row r="771" spans="1:6" x14ac:dyDescent="0.25">
      <c r="A771" s="7"/>
      <c r="E771" s="7"/>
      <c r="F771" s="7"/>
    </row>
    <row r="772" spans="1:6" x14ac:dyDescent="0.25">
      <c r="A772" s="7"/>
      <c r="E772" s="7"/>
      <c r="F772" s="7"/>
    </row>
    <row r="773" spans="1:6" x14ac:dyDescent="0.25">
      <c r="A773" s="7"/>
      <c r="E773" s="7"/>
      <c r="F773" s="7"/>
    </row>
    <row r="774" spans="1:6" x14ac:dyDescent="0.25">
      <c r="A774" s="7"/>
      <c r="E774" s="7"/>
      <c r="F774" s="7"/>
    </row>
    <row r="775" spans="1:6" x14ac:dyDescent="0.25">
      <c r="A775" s="7"/>
      <c r="E775" s="7"/>
      <c r="F775" s="7"/>
    </row>
    <row r="776" spans="1:6" x14ac:dyDescent="0.25">
      <c r="A776" s="7"/>
      <c r="E776" s="7"/>
      <c r="F776" s="7"/>
    </row>
    <row r="777" spans="1:6" x14ac:dyDescent="0.25">
      <c r="A777" s="7"/>
      <c r="E777" s="7"/>
      <c r="F777" s="7"/>
    </row>
    <row r="778" spans="1:6" x14ac:dyDescent="0.25">
      <c r="A778" s="7"/>
      <c r="E778" s="7"/>
      <c r="F778" s="7"/>
    </row>
    <row r="779" spans="1:6" x14ac:dyDescent="0.25">
      <c r="A779" s="7"/>
      <c r="E779" s="7"/>
      <c r="F779" s="7"/>
    </row>
    <row r="780" spans="1:6" x14ac:dyDescent="0.25">
      <c r="A780" s="7"/>
      <c r="E780" s="7"/>
      <c r="F780" s="7"/>
    </row>
    <row r="781" spans="1:6" x14ac:dyDescent="0.25">
      <c r="A781" s="7"/>
      <c r="E781" s="7"/>
      <c r="F781" s="7"/>
    </row>
    <row r="782" spans="1:6" x14ac:dyDescent="0.25">
      <c r="A782" s="7"/>
      <c r="E782" s="7"/>
      <c r="F782" s="7"/>
    </row>
    <row r="783" spans="1:6" x14ac:dyDescent="0.25">
      <c r="A783" s="7"/>
      <c r="E783" s="7"/>
      <c r="F783" s="7"/>
    </row>
    <row r="784" spans="1:6" x14ac:dyDescent="0.25">
      <c r="A784" s="7"/>
      <c r="E784" s="7"/>
      <c r="F784" s="7"/>
    </row>
    <row r="785" spans="1:6" x14ac:dyDescent="0.25">
      <c r="A785" s="7"/>
      <c r="E785" s="7"/>
      <c r="F785" s="7"/>
    </row>
    <row r="786" spans="1:6" x14ac:dyDescent="0.25">
      <c r="A786" s="7"/>
      <c r="E786" s="7"/>
      <c r="F786" s="7"/>
    </row>
    <row r="787" spans="1:6" x14ac:dyDescent="0.25">
      <c r="A787" s="7"/>
      <c r="E787" s="7"/>
      <c r="F787" s="7"/>
    </row>
    <row r="788" spans="1:6" x14ac:dyDescent="0.25">
      <c r="A788" s="7"/>
      <c r="E788" s="7"/>
      <c r="F788" s="7"/>
    </row>
    <row r="789" spans="1:6" x14ac:dyDescent="0.25">
      <c r="A789" s="7"/>
      <c r="E789" s="7"/>
      <c r="F789" s="7"/>
    </row>
    <row r="790" spans="1:6" x14ac:dyDescent="0.25">
      <c r="A790" s="7"/>
      <c r="E790" s="7"/>
      <c r="F790" s="7"/>
    </row>
    <row r="791" spans="1:6" x14ac:dyDescent="0.25">
      <c r="A791" s="7"/>
      <c r="E791" s="7"/>
      <c r="F791" s="7"/>
    </row>
    <row r="792" spans="1:6" x14ac:dyDescent="0.25">
      <c r="A792" s="7"/>
      <c r="E792" s="7"/>
      <c r="F792" s="7"/>
    </row>
    <row r="793" spans="1:6" x14ac:dyDescent="0.25">
      <c r="A793" s="7"/>
      <c r="E793" s="7"/>
      <c r="F793" s="7"/>
    </row>
    <row r="794" spans="1:6" x14ac:dyDescent="0.25">
      <c r="A794" s="7"/>
      <c r="E794" s="7"/>
      <c r="F794" s="7"/>
    </row>
    <row r="795" spans="1:6" x14ac:dyDescent="0.25">
      <c r="A795" s="7"/>
      <c r="E795" s="7"/>
      <c r="F795" s="7"/>
    </row>
    <row r="796" spans="1:6" x14ac:dyDescent="0.25">
      <c r="A796" s="7"/>
      <c r="E796" s="7"/>
      <c r="F796" s="7"/>
    </row>
    <row r="797" spans="1:6" x14ac:dyDescent="0.25">
      <c r="A797" s="7"/>
      <c r="E797" s="7"/>
      <c r="F797" s="7"/>
    </row>
    <row r="798" spans="1:6" x14ac:dyDescent="0.25">
      <c r="A798" s="7"/>
      <c r="E798" s="7"/>
      <c r="F798" s="7"/>
    </row>
    <row r="799" spans="1:6" x14ac:dyDescent="0.25">
      <c r="A799" s="7"/>
      <c r="E799" s="7"/>
      <c r="F799" s="7"/>
    </row>
    <row r="800" spans="1:6" x14ac:dyDescent="0.25">
      <c r="A800" s="7"/>
      <c r="E800" s="7"/>
      <c r="F800" s="7"/>
    </row>
    <row r="801" spans="1:6" x14ac:dyDescent="0.25">
      <c r="A801" s="7"/>
      <c r="E801" s="7"/>
      <c r="F801" s="7"/>
    </row>
    <row r="802" spans="1:6" x14ac:dyDescent="0.25">
      <c r="A802" s="7"/>
      <c r="E802" s="7"/>
      <c r="F802" s="7"/>
    </row>
    <row r="803" spans="1:6" x14ac:dyDescent="0.25">
      <c r="A803" s="7"/>
      <c r="E803" s="7"/>
      <c r="F803" s="7"/>
    </row>
    <row r="804" spans="1:6" x14ac:dyDescent="0.25">
      <c r="A804" s="7"/>
      <c r="E804" s="7"/>
      <c r="F804" s="7"/>
    </row>
    <row r="805" spans="1:6" x14ac:dyDescent="0.25">
      <c r="A805" s="7"/>
      <c r="E805" s="7"/>
      <c r="F805" s="7"/>
    </row>
    <row r="806" spans="1:6" x14ac:dyDescent="0.25">
      <c r="A806" s="7"/>
      <c r="E806" s="7"/>
      <c r="F806" s="7"/>
    </row>
    <row r="807" spans="1:6" x14ac:dyDescent="0.25">
      <c r="A807" s="7"/>
      <c r="E807" s="7"/>
      <c r="F807" s="7"/>
    </row>
    <row r="808" spans="1:6" x14ac:dyDescent="0.25">
      <c r="A808" s="7"/>
      <c r="E808" s="7"/>
      <c r="F808" s="7"/>
    </row>
    <row r="809" spans="1:6" x14ac:dyDescent="0.25">
      <c r="A809" s="7"/>
      <c r="E809" s="7"/>
      <c r="F809" s="7"/>
    </row>
    <row r="810" spans="1:6" x14ac:dyDescent="0.25">
      <c r="A810" s="7"/>
      <c r="E810" s="7"/>
      <c r="F810" s="7"/>
    </row>
    <row r="811" spans="1:6" x14ac:dyDescent="0.25">
      <c r="A811" s="7"/>
      <c r="E811" s="7"/>
      <c r="F811" s="7"/>
    </row>
    <row r="812" spans="1:6" x14ac:dyDescent="0.25">
      <c r="A812" s="7"/>
      <c r="E812" s="7"/>
      <c r="F812" s="7"/>
    </row>
    <row r="813" spans="1:6" x14ac:dyDescent="0.25">
      <c r="A813" s="7"/>
      <c r="E813" s="7"/>
      <c r="F813" s="7"/>
    </row>
    <row r="814" spans="1:6" x14ac:dyDescent="0.25">
      <c r="A814" s="7"/>
      <c r="E814" s="7"/>
      <c r="F814" s="7"/>
    </row>
    <row r="815" spans="1:6" x14ac:dyDescent="0.25">
      <c r="A815" s="7"/>
      <c r="E815" s="7"/>
      <c r="F815" s="7"/>
    </row>
    <row r="816" spans="1:6" x14ac:dyDescent="0.25">
      <c r="A816" s="7"/>
      <c r="E816" s="7"/>
      <c r="F816" s="7"/>
    </row>
    <row r="817" spans="1:6" x14ac:dyDescent="0.25">
      <c r="A817" s="7"/>
      <c r="E817" s="7"/>
      <c r="F817" s="7"/>
    </row>
    <row r="818" spans="1:6" x14ac:dyDescent="0.25">
      <c r="A818" s="7"/>
      <c r="E818" s="7"/>
      <c r="F818" s="7"/>
    </row>
    <row r="819" spans="1:6" x14ac:dyDescent="0.25">
      <c r="A819" s="7"/>
      <c r="E819" s="7"/>
      <c r="F819" s="7"/>
    </row>
    <row r="820" spans="1:6" x14ac:dyDescent="0.25">
      <c r="A820" s="7"/>
      <c r="E820" s="7"/>
      <c r="F820" s="7"/>
    </row>
    <row r="821" spans="1:6" x14ac:dyDescent="0.25">
      <c r="A821" s="7"/>
      <c r="E821" s="7"/>
      <c r="F821" s="7"/>
    </row>
    <row r="822" spans="1:6" x14ac:dyDescent="0.25">
      <c r="A822" s="7"/>
      <c r="E822" s="7"/>
      <c r="F822" s="7"/>
    </row>
    <row r="823" spans="1:6" x14ac:dyDescent="0.25">
      <c r="A823" s="7"/>
      <c r="E823" s="7"/>
      <c r="F823" s="7"/>
    </row>
    <row r="824" spans="1:6" x14ac:dyDescent="0.25">
      <c r="A824" s="7"/>
      <c r="E824" s="7"/>
      <c r="F824" s="7"/>
    </row>
    <row r="825" spans="1:6" x14ac:dyDescent="0.25">
      <c r="A825" s="7"/>
      <c r="E825" s="7"/>
      <c r="F825" s="7"/>
    </row>
    <row r="826" spans="1:6" x14ac:dyDescent="0.25">
      <c r="A826" s="7"/>
      <c r="E826" s="7"/>
      <c r="F826" s="7"/>
    </row>
    <row r="827" spans="1:6" x14ac:dyDescent="0.25">
      <c r="A827" s="7"/>
      <c r="E827" s="7"/>
      <c r="F827" s="7"/>
    </row>
    <row r="828" spans="1:6" x14ac:dyDescent="0.25">
      <c r="A828" s="7"/>
      <c r="E828" s="7"/>
      <c r="F828" s="7"/>
    </row>
    <row r="829" spans="1:6" x14ac:dyDescent="0.25">
      <c r="A829" s="7"/>
      <c r="E829" s="7"/>
      <c r="F829" s="7"/>
    </row>
    <row r="830" spans="1:6" x14ac:dyDescent="0.25">
      <c r="A830" s="7"/>
      <c r="E830" s="7"/>
      <c r="F830" s="7"/>
    </row>
    <row r="831" spans="1:6" x14ac:dyDescent="0.25">
      <c r="A831" s="7"/>
      <c r="E831" s="7"/>
      <c r="F831" s="7"/>
    </row>
    <row r="832" spans="1:6" x14ac:dyDescent="0.25">
      <c r="A832" s="7"/>
      <c r="E832" s="7"/>
      <c r="F832" s="7"/>
    </row>
    <row r="833" spans="1:6" x14ac:dyDescent="0.25">
      <c r="A833" s="7"/>
      <c r="E833" s="7"/>
      <c r="F833" s="7"/>
    </row>
    <row r="834" spans="1:6" x14ac:dyDescent="0.25">
      <c r="A834" s="7"/>
      <c r="E834" s="7"/>
      <c r="F834" s="7"/>
    </row>
    <row r="835" spans="1:6" x14ac:dyDescent="0.25">
      <c r="A835" s="7"/>
      <c r="E835" s="7"/>
      <c r="F835" s="7"/>
    </row>
    <row r="836" spans="1:6" x14ac:dyDescent="0.25">
      <c r="A836" s="7"/>
      <c r="E836" s="7"/>
      <c r="F836" s="7"/>
    </row>
    <row r="837" spans="1:6" x14ac:dyDescent="0.25">
      <c r="A837" s="7"/>
      <c r="E837" s="7"/>
      <c r="F837" s="7"/>
    </row>
    <row r="838" spans="1:6" x14ac:dyDescent="0.25">
      <c r="A838" s="7"/>
      <c r="E838" s="7"/>
      <c r="F838" s="7"/>
    </row>
    <row r="839" spans="1:6" x14ac:dyDescent="0.25">
      <c r="A839" s="7"/>
      <c r="E839" s="7"/>
      <c r="F839" s="7"/>
    </row>
    <row r="840" spans="1:6" x14ac:dyDescent="0.25">
      <c r="A840" s="7"/>
      <c r="E840" s="7"/>
      <c r="F840" s="7"/>
    </row>
    <row r="841" spans="1:6" x14ac:dyDescent="0.25">
      <c r="A841" s="7"/>
      <c r="E841" s="7"/>
      <c r="F841" s="7"/>
    </row>
    <row r="842" spans="1:6" x14ac:dyDescent="0.25">
      <c r="A842" s="7"/>
      <c r="E842" s="7"/>
      <c r="F842" s="7"/>
    </row>
    <row r="843" spans="1:6" x14ac:dyDescent="0.25">
      <c r="A843" s="7"/>
      <c r="E843" s="7"/>
      <c r="F843" s="7"/>
    </row>
    <row r="844" spans="1:6" x14ac:dyDescent="0.25">
      <c r="A844" s="7"/>
      <c r="E844" s="7"/>
      <c r="F844" s="7"/>
    </row>
    <row r="845" spans="1:6" x14ac:dyDescent="0.25">
      <c r="A845" s="7"/>
      <c r="E845" s="7"/>
      <c r="F845" s="7"/>
    </row>
    <row r="846" spans="1:6" x14ac:dyDescent="0.25">
      <c r="A846" s="7"/>
      <c r="E846" s="7"/>
      <c r="F846" s="7"/>
    </row>
    <row r="847" spans="1:6" x14ac:dyDescent="0.25">
      <c r="A847" s="7"/>
      <c r="E847" s="7"/>
      <c r="F847" s="7"/>
    </row>
    <row r="848" spans="1:6" x14ac:dyDescent="0.25">
      <c r="A848" s="7"/>
      <c r="E848" s="7"/>
      <c r="F848" s="7"/>
    </row>
    <row r="849" spans="1:6" x14ac:dyDescent="0.25">
      <c r="A849" s="7"/>
      <c r="E849" s="7"/>
      <c r="F849" s="7"/>
    </row>
    <row r="850" spans="1:6" x14ac:dyDescent="0.25">
      <c r="A850" s="7"/>
      <c r="E850" s="7"/>
      <c r="F850" s="7"/>
    </row>
    <row r="851" spans="1:6" x14ac:dyDescent="0.25">
      <c r="A851" s="7"/>
      <c r="E851" s="7"/>
      <c r="F851" s="7"/>
    </row>
    <row r="852" spans="1:6" x14ac:dyDescent="0.25">
      <c r="A852" s="7"/>
      <c r="E852" s="7"/>
      <c r="F852" s="7"/>
    </row>
    <row r="853" spans="1:6" x14ac:dyDescent="0.25">
      <c r="A853" s="7"/>
      <c r="E853" s="7"/>
      <c r="F853" s="7"/>
    </row>
    <row r="854" spans="1:6" x14ac:dyDescent="0.25">
      <c r="A854" s="7"/>
      <c r="E854" s="7"/>
      <c r="F854" s="7"/>
    </row>
    <row r="855" spans="1:6" x14ac:dyDescent="0.25">
      <c r="A855" s="7"/>
      <c r="E855" s="7"/>
      <c r="F855" s="7"/>
    </row>
    <row r="856" spans="1:6" x14ac:dyDescent="0.25">
      <c r="A856" s="7"/>
      <c r="E856" s="7"/>
      <c r="F856" s="7"/>
    </row>
    <row r="857" spans="1:6" x14ac:dyDescent="0.25">
      <c r="A857" s="7"/>
      <c r="E857" s="7"/>
      <c r="F857" s="7"/>
    </row>
    <row r="858" spans="1:6" x14ac:dyDescent="0.25">
      <c r="A858" s="7"/>
      <c r="E858" s="7"/>
      <c r="F858" s="7"/>
    </row>
    <row r="859" spans="1:6" x14ac:dyDescent="0.25">
      <c r="A859" s="7"/>
      <c r="E859" s="7"/>
      <c r="F859" s="7"/>
    </row>
    <row r="860" spans="1:6" x14ac:dyDescent="0.25">
      <c r="A860" s="7"/>
      <c r="E860" s="7"/>
      <c r="F860" s="7"/>
    </row>
    <row r="861" spans="1:6" x14ac:dyDescent="0.25">
      <c r="A861" s="7"/>
      <c r="E861" s="7"/>
      <c r="F861" s="7"/>
    </row>
    <row r="862" spans="1:6" x14ac:dyDescent="0.25">
      <c r="A862" s="7"/>
      <c r="E862" s="7"/>
      <c r="F862" s="7"/>
    </row>
    <row r="863" spans="1:6" x14ac:dyDescent="0.25">
      <c r="A863" s="7"/>
      <c r="E863" s="7"/>
      <c r="F863" s="7"/>
    </row>
    <row r="864" spans="1:6" x14ac:dyDescent="0.25">
      <c r="A864" s="7"/>
      <c r="E864" s="7"/>
      <c r="F864" s="7"/>
    </row>
    <row r="865" spans="1:6" x14ac:dyDescent="0.25">
      <c r="A865" s="7"/>
      <c r="E865" s="7"/>
      <c r="F865" s="7"/>
    </row>
    <row r="866" spans="1:6" x14ac:dyDescent="0.25">
      <c r="A866" s="7"/>
      <c r="E866" s="7"/>
      <c r="F866" s="7"/>
    </row>
    <row r="867" spans="1:6" x14ac:dyDescent="0.25">
      <c r="A867" s="7"/>
      <c r="E867" s="7"/>
      <c r="F867" s="7"/>
    </row>
    <row r="868" spans="1:6" x14ac:dyDescent="0.25">
      <c r="A868" s="7"/>
      <c r="E868" s="7"/>
      <c r="F868" s="7"/>
    </row>
    <row r="869" spans="1:6" x14ac:dyDescent="0.25">
      <c r="A869" s="7"/>
      <c r="E869" s="7"/>
      <c r="F869" s="7"/>
    </row>
    <row r="870" spans="1:6" x14ac:dyDescent="0.25">
      <c r="A870" s="7"/>
      <c r="E870" s="7"/>
      <c r="F870" s="7"/>
    </row>
    <row r="871" spans="1:6" x14ac:dyDescent="0.25">
      <c r="A871" s="7"/>
      <c r="E871" s="7"/>
      <c r="F871" s="7"/>
    </row>
    <row r="872" spans="1:6" x14ac:dyDescent="0.25">
      <c r="A872" s="7"/>
      <c r="E872" s="7"/>
      <c r="F872" s="7"/>
    </row>
    <row r="873" spans="1:6" x14ac:dyDescent="0.25">
      <c r="A873" s="7"/>
      <c r="E873" s="7"/>
      <c r="F873" s="7"/>
    </row>
    <row r="874" spans="1:6" x14ac:dyDescent="0.25">
      <c r="A874" s="7"/>
      <c r="E874" s="7"/>
      <c r="F874" s="7"/>
    </row>
    <row r="875" spans="1:6" x14ac:dyDescent="0.25">
      <c r="A875" s="7"/>
      <c r="E875" s="7"/>
      <c r="F875" s="7"/>
    </row>
    <row r="876" spans="1:6" x14ac:dyDescent="0.25">
      <c r="A876" s="7"/>
      <c r="E876" s="7"/>
      <c r="F876" s="7"/>
    </row>
    <row r="877" spans="1:6" x14ac:dyDescent="0.25">
      <c r="A877" s="7"/>
      <c r="E877" s="7"/>
      <c r="F877" s="7"/>
    </row>
    <row r="878" spans="1:6" x14ac:dyDescent="0.25">
      <c r="A878" s="7"/>
      <c r="E878" s="7"/>
      <c r="F878" s="7"/>
    </row>
    <row r="879" spans="1:6" x14ac:dyDescent="0.25">
      <c r="A879" s="7"/>
      <c r="E879" s="7"/>
      <c r="F879" s="7"/>
    </row>
    <row r="880" spans="1:6" x14ac:dyDescent="0.25">
      <c r="A880" s="7"/>
      <c r="E880" s="7"/>
      <c r="F880" s="7"/>
    </row>
    <row r="881" spans="1:6" x14ac:dyDescent="0.25">
      <c r="A881" s="7"/>
      <c r="E881" s="7"/>
      <c r="F881" s="7"/>
    </row>
    <row r="882" spans="1:6" x14ac:dyDescent="0.25">
      <c r="A882" s="7"/>
      <c r="E882" s="7"/>
      <c r="F882" s="7"/>
    </row>
    <row r="883" spans="1:6" x14ac:dyDescent="0.25">
      <c r="A883" s="7"/>
      <c r="E883" s="7"/>
      <c r="F883" s="7"/>
    </row>
    <row r="884" spans="1:6" x14ac:dyDescent="0.25">
      <c r="A884" s="7"/>
      <c r="E884" s="7"/>
      <c r="F884" s="7"/>
    </row>
    <row r="885" spans="1:6" x14ac:dyDescent="0.25">
      <c r="A885" s="7"/>
      <c r="E885" s="7"/>
      <c r="F885" s="7"/>
    </row>
    <row r="886" spans="1:6" x14ac:dyDescent="0.25">
      <c r="A886" s="7"/>
      <c r="E886" s="7"/>
      <c r="F886" s="7"/>
    </row>
    <row r="887" spans="1:6" x14ac:dyDescent="0.25">
      <c r="A887" s="7"/>
      <c r="E887" s="7"/>
      <c r="F887" s="7"/>
    </row>
    <row r="888" spans="1:6" x14ac:dyDescent="0.25">
      <c r="A888" s="7"/>
      <c r="E888" s="7"/>
      <c r="F888" s="7"/>
    </row>
    <row r="889" spans="1:6" x14ac:dyDescent="0.25">
      <c r="A889" s="7"/>
      <c r="E889" s="7"/>
      <c r="F889" s="7"/>
    </row>
    <row r="890" spans="1:6" x14ac:dyDescent="0.25">
      <c r="A890" s="7"/>
      <c r="E890" s="7"/>
      <c r="F890" s="7"/>
    </row>
    <row r="891" spans="1:6" x14ac:dyDescent="0.25">
      <c r="A891" s="7"/>
      <c r="E891" s="7"/>
      <c r="F891" s="7"/>
    </row>
    <row r="892" spans="1:6" x14ac:dyDescent="0.25">
      <c r="A892" s="7"/>
      <c r="E892" s="7"/>
      <c r="F892" s="7"/>
    </row>
    <row r="893" spans="1:6" x14ac:dyDescent="0.25">
      <c r="A893" s="7"/>
      <c r="E893" s="7"/>
      <c r="F893" s="7"/>
    </row>
    <row r="894" spans="1:6" x14ac:dyDescent="0.25">
      <c r="A894" s="7"/>
      <c r="E894" s="7"/>
      <c r="F894" s="7"/>
    </row>
    <row r="895" spans="1:6" x14ac:dyDescent="0.25">
      <c r="A895" s="7"/>
      <c r="E895" s="7"/>
      <c r="F895" s="7"/>
    </row>
    <row r="896" spans="1:6" x14ac:dyDescent="0.25">
      <c r="A896" s="7"/>
      <c r="E896" s="7"/>
      <c r="F896" s="7"/>
    </row>
    <row r="897" spans="1:6" x14ac:dyDescent="0.25">
      <c r="A897" s="7"/>
      <c r="E897" s="7"/>
      <c r="F897" s="7"/>
    </row>
    <row r="898" spans="1:6" x14ac:dyDescent="0.25">
      <c r="A898" s="7"/>
      <c r="E898" s="7"/>
      <c r="F898" s="7"/>
    </row>
    <row r="899" spans="1:6" x14ac:dyDescent="0.25">
      <c r="A899" s="7"/>
      <c r="E899" s="7"/>
      <c r="F899" s="7"/>
    </row>
    <row r="900" spans="1:6" x14ac:dyDescent="0.25">
      <c r="A900" s="7"/>
      <c r="E900" s="7"/>
      <c r="F900" s="7"/>
    </row>
    <row r="901" spans="1:6" x14ac:dyDescent="0.25">
      <c r="A901" s="7"/>
      <c r="E901" s="7"/>
      <c r="F901" s="7"/>
    </row>
    <row r="902" spans="1:6" x14ac:dyDescent="0.25">
      <c r="A902" s="7"/>
      <c r="E902" s="7"/>
      <c r="F902" s="7"/>
    </row>
    <row r="903" spans="1:6" x14ac:dyDescent="0.25">
      <c r="A903" s="7"/>
      <c r="E903" s="7"/>
      <c r="F903" s="7"/>
    </row>
    <row r="904" spans="1:6" x14ac:dyDescent="0.25">
      <c r="A904" s="7"/>
      <c r="E904" s="7"/>
      <c r="F904" s="7"/>
    </row>
    <row r="905" spans="1:6" x14ac:dyDescent="0.25">
      <c r="A905" s="7"/>
      <c r="E905" s="7"/>
      <c r="F905" s="7"/>
    </row>
    <row r="906" spans="1:6" x14ac:dyDescent="0.25">
      <c r="A906" s="7"/>
      <c r="E906" s="7"/>
      <c r="F906" s="7"/>
    </row>
    <row r="907" spans="1:6" x14ac:dyDescent="0.25">
      <c r="A907" s="7"/>
      <c r="E907" s="7"/>
      <c r="F907" s="7"/>
    </row>
    <row r="908" spans="1:6" x14ac:dyDescent="0.25">
      <c r="A908" s="7"/>
      <c r="E908" s="7"/>
      <c r="F908" s="7"/>
    </row>
    <row r="909" spans="1:6" x14ac:dyDescent="0.25">
      <c r="A909" s="7"/>
      <c r="E909" s="7"/>
      <c r="F909" s="7"/>
    </row>
    <row r="910" spans="1:6" x14ac:dyDescent="0.25">
      <c r="A910" s="7"/>
      <c r="E910" s="7"/>
      <c r="F910" s="7"/>
    </row>
    <row r="911" spans="1:6" x14ac:dyDescent="0.25">
      <c r="A911" s="7"/>
      <c r="E911" s="7"/>
      <c r="F911" s="7"/>
    </row>
    <row r="912" spans="1:6" x14ac:dyDescent="0.25">
      <c r="A912" s="7"/>
      <c r="E912" s="7"/>
      <c r="F912" s="7"/>
    </row>
    <row r="913" spans="1:6" x14ac:dyDescent="0.25">
      <c r="A913" s="7"/>
      <c r="E913" s="7"/>
      <c r="F913" s="7"/>
    </row>
    <row r="914" spans="1:6" x14ac:dyDescent="0.25">
      <c r="A914" s="7"/>
      <c r="E914" s="7"/>
      <c r="F914" s="7"/>
    </row>
    <row r="915" spans="1:6" x14ac:dyDescent="0.25">
      <c r="A915" s="7"/>
      <c r="E915" s="7"/>
      <c r="F915" s="7"/>
    </row>
    <row r="916" spans="1:6" x14ac:dyDescent="0.25">
      <c r="A916" s="7"/>
      <c r="E916" s="7"/>
      <c r="F916" s="7"/>
    </row>
    <row r="917" spans="1:6" x14ac:dyDescent="0.25">
      <c r="A917" s="7"/>
      <c r="E917" s="7"/>
      <c r="F917" s="7"/>
    </row>
    <row r="918" spans="1:6" x14ac:dyDescent="0.25">
      <c r="A918" s="7"/>
      <c r="E918" s="7"/>
      <c r="F918" s="7"/>
    </row>
    <row r="919" spans="1:6" x14ac:dyDescent="0.25">
      <c r="A919" s="7"/>
      <c r="E919" s="7"/>
      <c r="F919" s="7"/>
    </row>
    <row r="920" spans="1:6" x14ac:dyDescent="0.25">
      <c r="A920" s="7"/>
      <c r="E920" s="7"/>
      <c r="F920" s="7"/>
    </row>
    <row r="921" spans="1:6" x14ac:dyDescent="0.25">
      <c r="A921" s="7"/>
      <c r="E921" s="7"/>
      <c r="F921" s="7"/>
    </row>
    <row r="922" spans="1:6" x14ac:dyDescent="0.25">
      <c r="A922" s="7"/>
      <c r="E922" s="7"/>
      <c r="F922" s="7"/>
    </row>
    <row r="923" spans="1:6" x14ac:dyDescent="0.25">
      <c r="A923" s="7"/>
      <c r="E923" s="7"/>
      <c r="F923" s="7"/>
    </row>
    <row r="924" spans="1:6" x14ac:dyDescent="0.25">
      <c r="A924" s="7"/>
      <c r="E924" s="7"/>
      <c r="F924" s="7"/>
    </row>
    <row r="925" spans="1:6" x14ac:dyDescent="0.25">
      <c r="A925" s="7"/>
      <c r="E925" s="7"/>
      <c r="F925" s="7"/>
    </row>
    <row r="926" spans="1:6" x14ac:dyDescent="0.25">
      <c r="A926" s="7"/>
      <c r="E926" s="7"/>
      <c r="F926" s="7"/>
    </row>
    <row r="927" spans="1:6" x14ac:dyDescent="0.25">
      <c r="A927" s="7"/>
      <c r="E927" s="7"/>
      <c r="F927" s="7"/>
    </row>
    <row r="928" spans="1:6" x14ac:dyDescent="0.25">
      <c r="A928" s="7"/>
      <c r="E928" s="7"/>
      <c r="F928" s="7"/>
    </row>
    <row r="929" spans="1:6" x14ac:dyDescent="0.25">
      <c r="A929" s="7"/>
      <c r="E929" s="7"/>
      <c r="F929" s="7"/>
    </row>
    <row r="930" spans="1:6" x14ac:dyDescent="0.25">
      <c r="A930" s="7"/>
      <c r="E930" s="7"/>
      <c r="F930" s="7"/>
    </row>
    <row r="931" spans="1:6" x14ac:dyDescent="0.25">
      <c r="A931" s="7"/>
      <c r="E931" s="7"/>
      <c r="F931" s="7"/>
    </row>
    <row r="932" spans="1:6" x14ac:dyDescent="0.25">
      <c r="A932" s="7"/>
      <c r="E932" s="7"/>
      <c r="F932" s="7"/>
    </row>
    <row r="933" spans="1:6" x14ac:dyDescent="0.25">
      <c r="A933" s="7"/>
      <c r="E933" s="7"/>
      <c r="F933" s="7"/>
    </row>
    <row r="934" spans="1:6" x14ac:dyDescent="0.25">
      <c r="A934" s="7"/>
      <c r="E934" s="7"/>
      <c r="F934" s="7"/>
    </row>
    <row r="935" spans="1:6" x14ac:dyDescent="0.25">
      <c r="A935" s="7"/>
      <c r="E935" s="7"/>
      <c r="F935" s="7"/>
    </row>
    <row r="936" spans="1:6" x14ac:dyDescent="0.25">
      <c r="A936" s="7"/>
      <c r="E936" s="7"/>
      <c r="F936" s="7"/>
    </row>
    <row r="937" spans="1:6" x14ac:dyDescent="0.25">
      <c r="A937" s="7"/>
      <c r="E937" s="7"/>
      <c r="F937" s="7"/>
    </row>
    <row r="938" spans="1:6" x14ac:dyDescent="0.25">
      <c r="A938" s="7"/>
      <c r="E938" s="7"/>
      <c r="F938" s="7"/>
    </row>
    <row r="939" spans="1:6" x14ac:dyDescent="0.25">
      <c r="A939" s="7"/>
      <c r="E939" s="7"/>
      <c r="F939" s="7"/>
    </row>
    <row r="940" spans="1:6" x14ac:dyDescent="0.25">
      <c r="A940" s="7"/>
      <c r="E940" s="7"/>
      <c r="F940" s="7"/>
    </row>
    <row r="941" spans="1:6" x14ac:dyDescent="0.25">
      <c r="A941" s="7"/>
      <c r="E941" s="7"/>
      <c r="F941" s="7"/>
    </row>
    <row r="942" spans="1:6" x14ac:dyDescent="0.25">
      <c r="A942" s="7"/>
      <c r="E942" s="7"/>
      <c r="F942" s="7"/>
    </row>
    <row r="943" spans="1:6" x14ac:dyDescent="0.25">
      <c r="A943" s="7"/>
      <c r="E943" s="7"/>
      <c r="F943" s="7"/>
    </row>
    <row r="944" spans="1:6" x14ac:dyDescent="0.25">
      <c r="A944" s="7"/>
      <c r="E944" s="7"/>
      <c r="F944" s="7"/>
    </row>
    <row r="945" spans="1:6" x14ac:dyDescent="0.25">
      <c r="A945" s="7"/>
      <c r="E945" s="7"/>
      <c r="F945" s="7"/>
    </row>
    <row r="946" spans="1:6" x14ac:dyDescent="0.25">
      <c r="A946" s="7"/>
      <c r="E946" s="7"/>
      <c r="F946" s="7"/>
    </row>
    <row r="947" spans="1:6" x14ac:dyDescent="0.25">
      <c r="A947" s="7"/>
      <c r="E947" s="7"/>
      <c r="F947" s="7"/>
    </row>
    <row r="948" spans="1:6" x14ac:dyDescent="0.25">
      <c r="A948" s="7"/>
      <c r="E948" s="7"/>
      <c r="F948" s="7"/>
    </row>
    <row r="949" spans="1:6" x14ac:dyDescent="0.25">
      <c r="A949" s="7"/>
      <c r="E949" s="7"/>
      <c r="F949" s="7"/>
    </row>
    <row r="950" spans="1:6" x14ac:dyDescent="0.25">
      <c r="A950" s="7"/>
      <c r="E950" s="7"/>
      <c r="F950" s="7"/>
    </row>
    <row r="951" spans="1:6" x14ac:dyDescent="0.25">
      <c r="A951" s="7"/>
      <c r="E951" s="7"/>
      <c r="F951" s="7"/>
    </row>
    <row r="952" spans="1:6" x14ac:dyDescent="0.25">
      <c r="A952" s="7"/>
      <c r="E952" s="7"/>
      <c r="F952" s="7"/>
    </row>
    <row r="953" spans="1:6" x14ac:dyDescent="0.25">
      <c r="A953" s="7"/>
      <c r="E953" s="7"/>
      <c r="F953" s="7"/>
    </row>
    <row r="954" spans="1:6" x14ac:dyDescent="0.25">
      <c r="A954" s="7"/>
      <c r="E954" s="7"/>
      <c r="F954" s="7"/>
    </row>
    <row r="955" spans="1:6" x14ac:dyDescent="0.25">
      <c r="A955" s="7"/>
      <c r="E955" s="7"/>
      <c r="F955" s="7"/>
    </row>
    <row r="956" spans="1:6" x14ac:dyDescent="0.25">
      <c r="A956" s="7"/>
      <c r="E956" s="7"/>
      <c r="F956" s="7"/>
    </row>
    <row r="957" spans="1:6" x14ac:dyDescent="0.25">
      <c r="A957" s="7"/>
      <c r="E957" s="7"/>
      <c r="F957" s="7"/>
    </row>
    <row r="958" spans="1:6" x14ac:dyDescent="0.25">
      <c r="A958" s="7"/>
      <c r="E958" s="7"/>
      <c r="F958" s="7"/>
    </row>
    <row r="959" spans="1:6" x14ac:dyDescent="0.25">
      <c r="A959" s="7"/>
      <c r="E959" s="7"/>
      <c r="F959" s="7"/>
    </row>
    <row r="960" spans="1:6" x14ac:dyDescent="0.25">
      <c r="A960" s="7"/>
      <c r="E960" s="7"/>
      <c r="F960" s="7"/>
    </row>
    <row r="961" spans="1:6" x14ac:dyDescent="0.25">
      <c r="A961" s="7"/>
      <c r="E961" s="7"/>
      <c r="F961" s="7"/>
    </row>
    <row r="962" spans="1:6" x14ac:dyDescent="0.25">
      <c r="A962" s="7"/>
      <c r="E962" s="7"/>
      <c r="F962" s="7"/>
    </row>
    <row r="963" spans="1:6" x14ac:dyDescent="0.25">
      <c r="A963" s="7"/>
      <c r="E963" s="7"/>
      <c r="F963" s="7"/>
    </row>
    <row r="964" spans="1:6" x14ac:dyDescent="0.25">
      <c r="A964" s="7"/>
      <c r="E964" s="7"/>
      <c r="F964" s="7"/>
    </row>
    <row r="965" spans="1:6" x14ac:dyDescent="0.25">
      <c r="A965" s="7"/>
      <c r="E965" s="7"/>
      <c r="F965" s="7"/>
    </row>
    <row r="966" spans="1:6" x14ac:dyDescent="0.25">
      <c r="A966" s="7"/>
      <c r="E966" s="7"/>
      <c r="F966" s="7"/>
    </row>
    <row r="967" spans="1:6" x14ac:dyDescent="0.25">
      <c r="A967" s="7"/>
      <c r="E967" s="7"/>
      <c r="F967" s="7"/>
    </row>
    <row r="968" spans="1:6" x14ac:dyDescent="0.25">
      <c r="A968" s="7"/>
      <c r="E968" s="7"/>
      <c r="F968" s="7"/>
    </row>
    <row r="969" spans="1:6" x14ac:dyDescent="0.25">
      <c r="A969" s="7"/>
      <c r="E969" s="7"/>
      <c r="F969" s="7"/>
    </row>
    <row r="970" spans="1:6" x14ac:dyDescent="0.25">
      <c r="A970" s="7"/>
      <c r="E970" s="7"/>
      <c r="F970" s="7"/>
    </row>
    <row r="971" spans="1:6" x14ac:dyDescent="0.25">
      <c r="A971" s="7"/>
      <c r="E971" s="7"/>
      <c r="F971" s="7"/>
    </row>
    <row r="972" spans="1:6" x14ac:dyDescent="0.25">
      <c r="A972" s="7"/>
      <c r="E972" s="7"/>
      <c r="F972" s="7"/>
    </row>
    <row r="973" spans="1:6" x14ac:dyDescent="0.25">
      <c r="A973" s="7"/>
      <c r="E973" s="7"/>
      <c r="F973" s="7"/>
    </row>
    <row r="974" spans="1:6" x14ac:dyDescent="0.25">
      <c r="A974" s="7"/>
      <c r="E974" s="7"/>
      <c r="F974" s="7"/>
    </row>
    <row r="975" spans="1:6" x14ac:dyDescent="0.25">
      <c r="A975" s="7"/>
      <c r="E975" s="7"/>
      <c r="F975" s="7"/>
    </row>
    <row r="976" spans="1:6" x14ac:dyDescent="0.25">
      <c r="A976" s="7"/>
      <c r="E976" s="7"/>
      <c r="F976" s="7"/>
    </row>
    <row r="977" spans="1:6" x14ac:dyDescent="0.25">
      <c r="A977" s="7"/>
      <c r="E977" s="7"/>
      <c r="F977" s="7"/>
    </row>
    <row r="978" spans="1:6" x14ac:dyDescent="0.25">
      <c r="A978" s="7"/>
      <c r="E978" s="7"/>
      <c r="F978" s="7"/>
    </row>
    <row r="979" spans="1:6" x14ac:dyDescent="0.25">
      <c r="A979" s="7"/>
      <c r="E979" s="7"/>
      <c r="F979" s="7"/>
    </row>
    <row r="980" spans="1:6" x14ac:dyDescent="0.25">
      <c r="A980" s="7"/>
      <c r="E980" s="7"/>
      <c r="F980" s="7"/>
    </row>
    <row r="981" spans="1:6" x14ac:dyDescent="0.25">
      <c r="A981" s="7"/>
      <c r="E981" s="7"/>
      <c r="F981" s="7"/>
    </row>
    <row r="982" spans="1:6" x14ac:dyDescent="0.25">
      <c r="A982" s="7"/>
      <c r="E982" s="7"/>
      <c r="F982" s="7"/>
    </row>
    <row r="983" spans="1:6" x14ac:dyDescent="0.25">
      <c r="A983" s="7"/>
      <c r="E983" s="7"/>
      <c r="F983" s="7"/>
    </row>
    <row r="984" spans="1:6" x14ac:dyDescent="0.25">
      <c r="A984" s="7"/>
      <c r="E984" s="7"/>
      <c r="F984" s="7"/>
    </row>
    <row r="985" spans="1:6" x14ac:dyDescent="0.25">
      <c r="A985" s="7"/>
      <c r="E985" s="7"/>
      <c r="F985" s="7"/>
    </row>
    <row r="986" spans="1:6" x14ac:dyDescent="0.25">
      <c r="A986" s="7"/>
      <c r="E986" s="7"/>
      <c r="F986" s="7"/>
    </row>
    <row r="987" spans="1:6" x14ac:dyDescent="0.25">
      <c r="A987" s="7"/>
      <c r="E987" s="7"/>
      <c r="F987" s="7"/>
    </row>
    <row r="988" spans="1:6" x14ac:dyDescent="0.25">
      <c r="A988" s="7"/>
      <c r="E988" s="7"/>
      <c r="F988" s="7"/>
    </row>
    <row r="989" spans="1:6" x14ac:dyDescent="0.25">
      <c r="A989" s="7"/>
      <c r="E989" s="7"/>
      <c r="F989" s="7"/>
    </row>
    <row r="990" spans="1:6" x14ac:dyDescent="0.25">
      <c r="A990" s="7"/>
      <c r="E990" s="7"/>
      <c r="F990" s="7"/>
    </row>
    <row r="991" spans="1:6" x14ac:dyDescent="0.25">
      <c r="A991" s="7"/>
      <c r="E991" s="7"/>
      <c r="F991" s="7"/>
    </row>
    <row r="992" spans="1:6" x14ac:dyDescent="0.25">
      <c r="A992" s="7"/>
      <c r="E992" s="7"/>
      <c r="F992" s="7"/>
    </row>
    <row r="993" spans="1:6" x14ac:dyDescent="0.25">
      <c r="A993" s="7"/>
      <c r="E993" s="7"/>
      <c r="F993" s="7"/>
    </row>
    <row r="994" spans="1:6" x14ac:dyDescent="0.25">
      <c r="A994" s="7"/>
      <c r="E994" s="7"/>
      <c r="F994" s="7"/>
    </row>
    <row r="995" spans="1:6" x14ac:dyDescent="0.25">
      <c r="A995" s="7"/>
      <c r="E995" s="7"/>
      <c r="F995" s="7"/>
    </row>
    <row r="996" spans="1:6" x14ac:dyDescent="0.25">
      <c r="A996" s="7"/>
      <c r="E996" s="7"/>
      <c r="F996" s="7"/>
    </row>
    <row r="997" spans="1:6" x14ac:dyDescent="0.25">
      <c r="A997" s="7"/>
      <c r="E997" s="7"/>
      <c r="F997" s="7"/>
    </row>
    <row r="998" spans="1:6" x14ac:dyDescent="0.25">
      <c r="A998" s="7"/>
      <c r="E998" s="7"/>
      <c r="F998" s="7"/>
    </row>
    <row r="999" spans="1:6" x14ac:dyDescent="0.25">
      <c r="A999" s="7"/>
      <c r="E999" s="7"/>
      <c r="F999" s="7"/>
    </row>
    <row r="1000" spans="1:6" x14ac:dyDescent="0.25">
      <c r="A1000" s="7"/>
      <c r="E1000" s="7"/>
      <c r="F1000" s="7"/>
    </row>
    <row r="1001" spans="1:6" x14ac:dyDescent="0.25">
      <c r="A1001" s="7"/>
      <c r="E1001" s="7"/>
      <c r="F1001" s="7"/>
    </row>
    <row r="1002" spans="1:6" x14ac:dyDescent="0.25">
      <c r="A1002" s="7"/>
      <c r="E1002" s="7"/>
      <c r="F1002" s="7"/>
    </row>
  </sheetData>
  <mergeCells count="4">
    <mergeCell ref="A1:I1"/>
    <mergeCell ref="A2:I2"/>
    <mergeCell ref="B3:C3"/>
    <mergeCell ref="A16:I16"/>
  </mergeCells>
  <printOptions horizontalCentered="1" verticalCentered="1" gridLines="1"/>
  <pageMargins left="0.25" right="0.25" top="0.75" bottom="0.75" header="0" footer="0"/>
  <pageSetup fitToHeight="0" pageOrder="overThenDown" orientation="landscape" cellComments="atEnd"/>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B6D7A8"/>
    <outlinePr summaryBelow="0" summaryRight="0"/>
    <pageSetUpPr fitToPage="1"/>
  </sheetPr>
  <dimension ref="A1:W1003"/>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46.33203125" customWidth="1"/>
    <col min="2" max="2" width="7.77734375" customWidth="1"/>
    <col min="3" max="3" width="6.109375" customWidth="1"/>
    <col min="4" max="4" width="6.21875" customWidth="1"/>
    <col min="5" max="5" width="30.6640625" customWidth="1"/>
    <col min="6" max="6" width="14.6640625" customWidth="1"/>
    <col min="7" max="7" width="11.109375" customWidth="1"/>
    <col min="8" max="8" width="11.21875" customWidth="1"/>
    <col min="9" max="9" width="11.88671875" customWidth="1"/>
  </cols>
  <sheetData>
    <row r="1" spans="1:23" x14ac:dyDescent="0.25">
      <c r="A1" s="141" t="s">
        <v>659</v>
      </c>
      <c r="B1" s="142"/>
      <c r="C1" s="142"/>
      <c r="D1" s="142"/>
      <c r="E1" s="142"/>
      <c r="F1" s="142"/>
      <c r="G1" s="142"/>
      <c r="H1" s="142"/>
      <c r="I1" s="143"/>
    </row>
    <row r="2" spans="1:23" x14ac:dyDescent="0.25">
      <c r="A2" s="144" t="s">
        <v>660</v>
      </c>
      <c r="B2" s="142"/>
      <c r="C2" s="142"/>
      <c r="D2" s="142"/>
      <c r="E2" s="142"/>
      <c r="F2" s="142"/>
      <c r="G2" s="142"/>
      <c r="H2" s="142"/>
      <c r="I2" s="143"/>
    </row>
    <row r="3" spans="1:23" x14ac:dyDescent="0.25">
      <c r="A3" s="43" t="s">
        <v>374</v>
      </c>
      <c r="B3" s="145" t="s">
        <v>408</v>
      </c>
      <c r="C3" s="143"/>
      <c r="D3" s="49" t="s">
        <v>370</v>
      </c>
      <c r="E3" s="50" t="s">
        <v>371</v>
      </c>
      <c r="F3" s="51" t="s">
        <v>372</v>
      </c>
      <c r="G3" s="52" t="s">
        <v>373</v>
      </c>
      <c r="H3" s="53" t="s">
        <v>409</v>
      </c>
      <c r="I3" s="53" t="s">
        <v>410</v>
      </c>
      <c r="J3" s="7"/>
      <c r="K3" s="7"/>
      <c r="L3" s="7"/>
      <c r="M3" s="7"/>
      <c r="N3" s="7"/>
      <c r="O3" s="7"/>
      <c r="P3" s="7"/>
      <c r="Q3" s="7"/>
      <c r="R3" s="7"/>
      <c r="S3" s="7"/>
      <c r="T3" s="7"/>
      <c r="U3" s="7"/>
      <c r="V3" s="7"/>
      <c r="W3" s="7"/>
    </row>
    <row r="4" spans="1:23" x14ac:dyDescent="0.25">
      <c r="A4" s="41" t="s">
        <v>411</v>
      </c>
      <c r="B4" s="54">
        <f>SUM(B5:B8)/4</f>
        <v>1</v>
      </c>
      <c r="C4" s="55">
        <f>D4*B4</f>
        <v>0.7</v>
      </c>
      <c r="D4" s="56">
        <v>0.7</v>
      </c>
      <c r="E4" s="57"/>
      <c r="F4" s="57"/>
      <c r="G4" s="58"/>
      <c r="H4" s="58"/>
      <c r="I4" s="58"/>
    </row>
    <row r="5" spans="1:23" x14ac:dyDescent="0.25">
      <c r="A5" s="42" t="s">
        <v>661</v>
      </c>
      <c r="B5" s="59">
        <v>1</v>
      </c>
      <c r="C5" s="60"/>
      <c r="D5" s="60"/>
      <c r="E5" s="42"/>
      <c r="F5" s="61"/>
      <c r="G5" s="59">
        <v>0.8</v>
      </c>
      <c r="H5" s="59">
        <v>0.8</v>
      </c>
      <c r="I5" s="59">
        <v>1</v>
      </c>
    </row>
    <row r="6" spans="1:23" x14ac:dyDescent="0.25">
      <c r="A6" s="42" t="s">
        <v>662</v>
      </c>
      <c r="B6" s="59">
        <v>1</v>
      </c>
      <c r="C6" s="60"/>
      <c r="D6" s="60"/>
      <c r="E6" s="63" t="s">
        <v>663</v>
      </c>
      <c r="F6" s="61"/>
      <c r="G6" s="59">
        <v>0.8</v>
      </c>
      <c r="H6" s="59">
        <v>0.8</v>
      </c>
      <c r="I6" s="59">
        <v>1</v>
      </c>
    </row>
    <row r="7" spans="1:23" x14ac:dyDescent="0.25">
      <c r="A7" s="42" t="s">
        <v>664</v>
      </c>
      <c r="B7" s="59">
        <v>1</v>
      </c>
      <c r="C7" s="60"/>
      <c r="D7" s="60"/>
      <c r="E7" s="42"/>
      <c r="F7" s="61"/>
      <c r="G7" s="59">
        <v>0.8</v>
      </c>
      <c r="H7" s="59">
        <v>0.8</v>
      </c>
      <c r="I7" s="59">
        <v>1</v>
      </c>
    </row>
    <row r="8" spans="1:23" x14ac:dyDescent="0.25">
      <c r="A8" s="42" t="s">
        <v>665</v>
      </c>
      <c r="B8" s="59">
        <v>1</v>
      </c>
      <c r="C8" s="60"/>
      <c r="D8" s="60"/>
      <c r="E8" s="42"/>
      <c r="F8" s="42"/>
      <c r="G8" s="60"/>
      <c r="H8" s="60"/>
      <c r="I8" s="60"/>
    </row>
    <row r="9" spans="1:23" x14ac:dyDescent="0.25">
      <c r="A9" s="41" t="s">
        <v>415</v>
      </c>
      <c r="B9" s="54">
        <f>SUM(B10:B11)/1</f>
        <v>1</v>
      </c>
      <c r="C9" s="55">
        <f>D9*B9</f>
        <v>0.2</v>
      </c>
      <c r="D9" s="56">
        <v>0.2</v>
      </c>
      <c r="E9" s="57"/>
      <c r="F9" s="57"/>
      <c r="G9" s="58"/>
      <c r="H9" s="58"/>
      <c r="I9" s="58"/>
    </row>
    <row r="10" spans="1:23" x14ac:dyDescent="0.25">
      <c r="A10" s="79" t="s">
        <v>666</v>
      </c>
      <c r="B10" s="80">
        <v>1</v>
      </c>
      <c r="C10" s="81"/>
      <c r="D10" s="81"/>
      <c r="E10" s="79" t="s">
        <v>667</v>
      </c>
      <c r="F10" s="103" t="s">
        <v>425</v>
      </c>
      <c r="G10" s="80">
        <v>1</v>
      </c>
      <c r="H10" s="80"/>
      <c r="I10" s="80"/>
      <c r="J10" s="85"/>
      <c r="K10" s="85"/>
      <c r="L10" s="85"/>
      <c r="M10" s="85"/>
      <c r="N10" s="85"/>
      <c r="O10" s="85"/>
      <c r="P10" s="85"/>
      <c r="Q10" s="85"/>
      <c r="R10" s="85"/>
      <c r="S10" s="85"/>
      <c r="T10" s="85"/>
      <c r="U10" s="85"/>
      <c r="V10" s="85"/>
      <c r="W10" s="85"/>
    </row>
    <row r="11" spans="1:23" x14ac:dyDescent="0.25">
      <c r="A11" s="43"/>
      <c r="B11" s="62"/>
      <c r="C11" s="60"/>
      <c r="D11" s="60"/>
      <c r="E11" s="42"/>
      <c r="F11" s="61"/>
      <c r="G11" s="59"/>
      <c r="H11" s="59"/>
      <c r="I11" s="59"/>
    </row>
    <row r="12" spans="1:23" x14ac:dyDescent="0.25">
      <c r="A12" s="41" t="s">
        <v>385</v>
      </c>
      <c r="B12" s="54">
        <f>SUM(B13:B15)/2</f>
        <v>1</v>
      </c>
      <c r="C12" s="55">
        <f>D12*B12</f>
        <v>0.1</v>
      </c>
      <c r="D12" s="56">
        <v>0.1</v>
      </c>
      <c r="E12" s="57"/>
      <c r="F12" s="57"/>
      <c r="G12" s="58"/>
      <c r="H12" s="58"/>
      <c r="I12" s="58"/>
    </row>
    <row r="13" spans="1:23" x14ac:dyDescent="0.25">
      <c r="A13" s="42" t="s">
        <v>386</v>
      </c>
      <c r="B13" s="59">
        <v>1</v>
      </c>
      <c r="C13" s="60"/>
      <c r="D13" s="53"/>
      <c r="E13" s="42"/>
      <c r="F13" s="42" t="s">
        <v>418</v>
      </c>
      <c r="G13" s="59">
        <v>0.8</v>
      </c>
      <c r="H13" s="59">
        <v>0.8</v>
      </c>
      <c r="I13" s="59">
        <v>1</v>
      </c>
    </row>
    <row r="14" spans="1:23" x14ac:dyDescent="0.25">
      <c r="A14" s="42" t="s">
        <v>387</v>
      </c>
      <c r="B14" s="59">
        <v>0.5</v>
      </c>
      <c r="C14" s="60"/>
      <c r="D14" s="53"/>
      <c r="E14" s="42"/>
      <c r="F14" s="42" t="s">
        <v>419</v>
      </c>
      <c r="G14" s="59">
        <v>0.8</v>
      </c>
      <c r="H14" s="59">
        <v>0.8</v>
      </c>
      <c r="I14" s="59">
        <v>1</v>
      </c>
    </row>
    <row r="15" spans="1:23" x14ac:dyDescent="0.25">
      <c r="A15" s="87" t="s">
        <v>506</v>
      </c>
      <c r="B15" s="71">
        <v>0.5</v>
      </c>
      <c r="C15" s="77"/>
      <c r="D15" s="77"/>
      <c r="E15" s="70" t="s">
        <v>668</v>
      </c>
      <c r="F15" s="70" t="s">
        <v>420</v>
      </c>
      <c r="G15" s="71">
        <v>1</v>
      </c>
      <c r="H15" s="71">
        <v>1</v>
      </c>
      <c r="I15" s="71">
        <v>1</v>
      </c>
    </row>
    <row r="16" spans="1:23" x14ac:dyDescent="0.25">
      <c r="A16" s="90"/>
      <c r="B16" s="71"/>
      <c r="C16" s="64">
        <f t="shared" ref="C16:D16" si="0">SUM(C4+C9+C12)</f>
        <v>0.99999999999999989</v>
      </c>
      <c r="D16" s="64">
        <f t="shared" si="0"/>
        <v>0.99999999999999989</v>
      </c>
      <c r="E16" s="70"/>
      <c r="F16" s="70"/>
      <c r="G16" s="71"/>
      <c r="H16" s="71"/>
      <c r="I16" s="71"/>
    </row>
    <row r="17" spans="1:9" x14ac:dyDescent="0.25">
      <c r="A17" s="152" t="s">
        <v>669</v>
      </c>
      <c r="B17" s="142"/>
      <c r="C17" s="142"/>
      <c r="D17" s="142"/>
      <c r="E17" s="142"/>
      <c r="F17" s="142"/>
      <c r="G17" s="142"/>
      <c r="H17" s="142"/>
      <c r="I17" s="143"/>
    </row>
    <row r="18" spans="1:9" x14ac:dyDescent="0.25">
      <c r="A18" s="66" t="s">
        <v>670</v>
      </c>
      <c r="B18" s="67" t="s">
        <v>427</v>
      </c>
      <c r="C18" s="64"/>
      <c r="D18" s="64"/>
      <c r="E18" s="68" t="s">
        <v>671</v>
      </c>
      <c r="F18" s="42" t="s">
        <v>425</v>
      </c>
      <c r="G18" s="42"/>
      <c r="H18" s="60"/>
      <c r="I18" s="60"/>
    </row>
    <row r="19" spans="1:9" x14ac:dyDescent="0.25">
      <c r="A19" s="66" t="s">
        <v>672</v>
      </c>
      <c r="B19" s="67" t="s">
        <v>427</v>
      </c>
      <c r="C19" s="64"/>
      <c r="D19" s="64"/>
      <c r="E19" s="68" t="s">
        <v>673</v>
      </c>
      <c r="F19" s="42" t="s">
        <v>425</v>
      </c>
      <c r="G19" s="69"/>
      <c r="H19" s="60"/>
      <c r="I19" s="60"/>
    </row>
    <row r="20" spans="1:9" x14ac:dyDescent="0.25">
      <c r="A20" s="66" t="s">
        <v>674</v>
      </c>
      <c r="B20" s="67" t="s">
        <v>427</v>
      </c>
      <c r="C20" s="64"/>
      <c r="D20" s="64"/>
      <c r="E20" s="68" t="s">
        <v>675</v>
      </c>
      <c r="F20" s="42" t="s">
        <v>425</v>
      </c>
      <c r="G20" s="42"/>
      <c r="H20" s="60"/>
      <c r="I20" s="60"/>
    </row>
    <row r="21" spans="1:9" x14ac:dyDescent="0.25">
      <c r="A21" s="7"/>
      <c r="E21" s="7"/>
      <c r="F21" s="7"/>
    </row>
    <row r="22" spans="1:9" x14ac:dyDescent="0.25">
      <c r="A22" s="7"/>
      <c r="E22" s="7"/>
      <c r="F22" s="7"/>
    </row>
    <row r="23" spans="1:9" x14ac:dyDescent="0.25">
      <c r="A23" s="7"/>
      <c r="E23" s="7"/>
      <c r="F23" s="7"/>
    </row>
    <row r="24" spans="1:9" x14ac:dyDescent="0.25">
      <c r="A24" s="7"/>
      <c r="E24" s="7"/>
      <c r="F24" s="7"/>
    </row>
    <row r="25" spans="1:9" x14ac:dyDescent="0.25">
      <c r="A25" s="7"/>
      <c r="E25" s="7"/>
      <c r="F25" s="7"/>
    </row>
    <row r="26" spans="1:9" x14ac:dyDescent="0.25">
      <c r="A26" s="7"/>
      <c r="E26" s="7"/>
      <c r="F26" s="7"/>
    </row>
    <row r="27" spans="1:9" x14ac:dyDescent="0.25">
      <c r="A27" s="7"/>
      <c r="E27" s="7"/>
      <c r="F27" s="7"/>
    </row>
    <row r="28" spans="1:9" x14ac:dyDescent="0.25">
      <c r="A28" s="7"/>
      <c r="E28" s="7"/>
      <c r="F28" s="7"/>
    </row>
    <row r="29" spans="1:9" x14ac:dyDescent="0.25">
      <c r="A29" s="7"/>
      <c r="E29" s="7"/>
      <c r="F29" s="7"/>
    </row>
    <row r="30" spans="1:9" x14ac:dyDescent="0.25">
      <c r="A30" s="7"/>
      <c r="E30" s="7"/>
      <c r="F30" s="7"/>
    </row>
    <row r="31" spans="1:9" x14ac:dyDescent="0.25">
      <c r="A31" s="7"/>
      <c r="E31" s="7"/>
      <c r="F31" s="7"/>
    </row>
    <row r="32" spans="1:9" x14ac:dyDescent="0.25">
      <c r="A32" s="7"/>
      <c r="E32" s="7"/>
      <c r="F32" s="7"/>
    </row>
    <row r="33" spans="1:6" x14ac:dyDescent="0.25">
      <c r="A33" s="7"/>
      <c r="E33" s="7"/>
      <c r="F33" s="7"/>
    </row>
    <row r="34" spans="1:6" x14ac:dyDescent="0.25">
      <c r="A34" s="7"/>
      <c r="E34" s="7"/>
      <c r="F34" s="7"/>
    </row>
    <row r="35" spans="1:6" x14ac:dyDescent="0.25">
      <c r="A35" s="7"/>
      <c r="E35" s="7"/>
      <c r="F35" s="7"/>
    </row>
    <row r="36" spans="1:6" x14ac:dyDescent="0.25">
      <c r="A36" s="7"/>
      <c r="E36" s="7"/>
      <c r="F36" s="7"/>
    </row>
    <row r="37" spans="1:6" x14ac:dyDescent="0.25">
      <c r="A37" s="7"/>
      <c r="E37" s="7"/>
      <c r="F37" s="7"/>
    </row>
    <row r="38" spans="1:6" x14ac:dyDescent="0.25">
      <c r="A38" s="7"/>
      <c r="E38" s="7"/>
      <c r="F38" s="7"/>
    </row>
    <row r="39" spans="1:6" x14ac:dyDescent="0.25">
      <c r="A39" s="7"/>
      <c r="E39" s="7"/>
      <c r="F39" s="7"/>
    </row>
    <row r="40" spans="1:6" x14ac:dyDescent="0.25">
      <c r="A40" s="7"/>
      <c r="E40" s="7"/>
      <c r="F40" s="7"/>
    </row>
    <row r="41" spans="1:6" x14ac:dyDescent="0.25">
      <c r="A41" s="7"/>
      <c r="E41" s="7"/>
      <c r="F41" s="7"/>
    </row>
    <row r="42" spans="1:6" x14ac:dyDescent="0.25">
      <c r="A42" s="7"/>
      <c r="E42" s="7"/>
      <c r="F42" s="7"/>
    </row>
    <row r="43" spans="1:6" x14ac:dyDescent="0.25">
      <c r="A43" s="7"/>
      <c r="E43" s="7"/>
      <c r="F43" s="7"/>
    </row>
    <row r="44" spans="1:6" x14ac:dyDescent="0.25">
      <c r="A44" s="7"/>
      <c r="E44" s="7"/>
      <c r="F44" s="7"/>
    </row>
    <row r="45" spans="1:6" x14ac:dyDescent="0.25">
      <c r="A45" s="7"/>
      <c r="E45" s="7"/>
      <c r="F45" s="7"/>
    </row>
    <row r="46" spans="1:6" x14ac:dyDescent="0.25">
      <c r="A46" s="7"/>
      <c r="E46" s="7"/>
      <c r="F46" s="7"/>
    </row>
    <row r="47" spans="1:6" x14ac:dyDescent="0.25">
      <c r="A47" s="7"/>
      <c r="E47" s="7"/>
      <c r="F47" s="7"/>
    </row>
    <row r="48" spans="1:6" x14ac:dyDescent="0.25">
      <c r="A48" s="7"/>
      <c r="E48" s="7"/>
      <c r="F48" s="7"/>
    </row>
    <row r="49" spans="1:6" x14ac:dyDescent="0.25">
      <c r="A49" s="7"/>
      <c r="E49" s="7"/>
      <c r="F49" s="7"/>
    </row>
    <row r="50" spans="1:6" x14ac:dyDescent="0.25">
      <c r="A50" s="7"/>
      <c r="E50" s="7"/>
      <c r="F50" s="7"/>
    </row>
    <row r="51" spans="1:6" x14ac:dyDescent="0.25">
      <c r="A51" s="7"/>
      <c r="E51" s="7"/>
      <c r="F51" s="7"/>
    </row>
    <row r="52" spans="1:6" x14ac:dyDescent="0.25">
      <c r="A52" s="7"/>
      <c r="E52" s="7"/>
      <c r="F52" s="7"/>
    </row>
    <row r="53" spans="1:6" x14ac:dyDescent="0.25">
      <c r="A53" s="7"/>
      <c r="E53" s="7"/>
      <c r="F53" s="7"/>
    </row>
    <row r="54" spans="1:6" x14ac:dyDescent="0.25">
      <c r="A54" s="7"/>
      <c r="E54" s="7"/>
      <c r="F54" s="7"/>
    </row>
    <row r="55" spans="1:6" x14ac:dyDescent="0.25">
      <c r="A55" s="7"/>
      <c r="E55" s="7"/>
      <c r="F55" s="7"/>
    </row>
    <row r="56" spans="1:6" x14ac:dyDescent="0.25">
      <c r="A56" s="7"/>
      <c r="E56" s="7"/>
      <c r="F56" s="7"/>
    </row>
    <row r="57" spans="1:6" x14ac:dyDescent="0.25">
      <c r="A57" s="7"/>
      <c r="E57" s="7"/>
      <c r="F57" s="7"/>
    </row>
    <row r="58" spans="1:6" x14ac:dyDescent="0.25">
      <c r="A58" s="7"/>
      <c r="E58" s="7"/>
      <c r="F58" s="7"/>
    </row>
    <row r="59" spans="1:6" x14ac:dyDescent="0.25">
      <c r="A59" s="7"/>
      <c r="E59" s="7"/>
      <c r="F59" s="7"/>
    </row>
    <row r="60" spans="1:6" x14ac:dyDescent="0.25">
      <c r="A60" s="7"/>
      <c r="E60" s="7"/>
      <c r="F60" s="7"/>
    </row>
    <row r="61" spans="1:6" x14ac:dyDescent="0.25">
      <c r="A61" s="7"/>
      <c r="E61" s="7"/>
      <c r="F61" s="7"/>
    </row>
    <row r="62" spans="1:6" x14ac:dyDescent="0.25">
      <c r="A62" s="7"/>
      <c r="E62" s="7"/>
      <c r="F62" s="7"/>
    </row>
    <row r="63" spans="1:6" x14ac:dyDescent="0.25">
      <c r="A63" s="7"/>
      <c r="E63" s="7"/>
      <c r="F63" s="7"/>
    </row>
    <row r="64" spans="1:6" x14ac:dyDescent="0.25">
      <c r="A64" s="7"/>
      <c r="E64" s="7"/>
      <c r="F64" s="7"/>
    </row>
    <row r="65" spans="1:6" x14ac:dyDescent="0.25">
      <c r="A65" s="7"/>
      <c r="E65" s="7"/>
      <c r="F65" s="7"/>
    </row>
    <row r="66" spans="1:6" x14ac:dyDescent="0.25">
      <c r="A66" s="7"/>
      <c r="E66" s="7"/>
      <c r="F66" s="7"/>
    </row>
    <row r="67" spans="1:6" x14ac:dyDescent="0.25">
      <c r="A67" s="7"/>
      <c r="E67" s="7"/>
      <c r="F67" s="7"/>
    </row>
    <row r="68" spans="1:6" x14ac:dyDescent="0.25">
      <c r="A68" s="7"/>
      <c r="E68" s="7"/>
      <c r="F68" s="7"/>
    </row>
    <row r="69" spans="1:6" x14ac:dyDescent="0.25">
      <c r="A69" s="7"/>
      <c r="E69" s="7"/>
      <c r="F69" s="7"/>
    </row>
    <row r="70" spans="1:6" x14ac:dyDescent="0.25">
      <c r="A70" s="7"/>
      <c r="E70" s="7"/>
      <c r="F70" s="7"/>
    </row>
    <row r="71" spans="1:6" x14ac:dyDescent="0.25">
      <c r="A71" s="7"/>
      <c r="E71" s="7"/>
      <c r="F71" s="7"/>
    </row>
    <row r="72" spans="1:6" x14ac:dyDescent="0.25">
      <c r="A72" s="7"/>
      <c r="E72" s="7"/>
      <c r="F72" s="7"/>
    </row>
    <row r="73" spans="1:6" x14ac:dyDescent="0.25">
      <c r="A73" s="7"/>
      <c r="E73" s="7"/>
      <c r="F73" s="7"/>
    </row>
    <row r="74" spans="1:6" x14ac:dyDescent="0.25">
      <c r="A74" s="7"/>
      <c r="E74" s="7"/>
      <c r="F74" s="7"/>
    </row>
    <row r="75" spans="1:6" x14ac:dyDescent="0.25">
      <c r="A75" s="7"/>
      <c r="E75" s="7"/>
      <c r="F75" s="7"/>
    </row>
    <row r="76" spans="1:6" x14ac:dyDescent="0.25">
      <c r="A76" s="7"/>
      <c r="E76" s="7"/>
      <c r="F76" s="7"/>
    </row>
    <row r="77" spans="1:6" x14ac:dyDescent="0.25">
      <c r="A77" s="7"/>
      <c r="E77" s="7"/>
      <c r="F77" s="7"/>
    </row>
    <row r="78" spans="1:6" x14ac:dyDescent="0.25">
      <c r="A78" s="7"/>
      <c r="E78" s="7"/>
      <c r="F78" s="7"/>
    </row>
    <row r="79" spans="1:6" x14ac:dyDescent="0.25">
      <c r="A79" s="7"/>
      <c r="E79" s="7"/>
      <c r="F79" s="7"/>
    </row>
    <row r="80" spans="1:6" x14ac:dyDescent="0.25">
      <c r="A80" s="7"/>
      <c r="E80" s="7"/>
      <c r="F80" s="7"/>
    </row>
    <row r="81" spans="1:6" x14ac:dyDescent="0.25">
      <c r="A81" s="7"/>
      <c r="E81" s="7"/>
      <c r="F81" s="7"/>
    </row>
    <row r="82" spans="1:6" x14ac:dyDescent="0.25">
      <c r="A82" s="7"/>
      <c r="E82" s="7"/>
      <c r="F82" s="7"/>
    </row>
    <row r="83" spans="1:6" x14ac:dyDescent="0.25">
      <c r="A83" s="7"/>
      <c r="E83" s="7"/>
      <c r="F83" s="7"/>
    </row>
    <row r="84" spans="1:6" x14ac:dyDescent="0.25">
      <c r="A84" s="7"/>
      <c r="E84" s="7"/>
      <c r="F84" s="7"/>
    </row>
    <row r="85" spans="1:6" x14ac:dyDescent="0.25">
      <c r="A85" s="7"/>
      <c r="E85" s="7"/>
      <c r="F85" s="7"/>
    </row>
    <row r="86" spans="1:6" x14ac:dyDescent="0.25">
      <c r="A86" s="7"/>
      <c r="E86" s="7"/>
      <c r="F86" s="7"/>
    </row>
    <row r="87" spans="1:6" x14ac:dyDescent="0.25">
      <c r="A87" s="7"/>
      <c r="E87" s="7"/>
      <c r="F87" s="7"/>
    </row>
    <row r="88" spans="1:6" x14ac:dyDescent="0.25">
      <c r="A88" s="7"/>
      <c r="E88" s="7"/>
      <c r="F88" s="7"/>
    </row>
    <row r="89" spans="1:6" x14ac:dyDescent="0.25">
      <c r="A89" s="7"/>
      <c r="E89" s="7"/>
      <c r="F89" s="7"/>
    </row>
    <row r="90" spans="1:6" x14ac:dyDescent="0.25">
      <c r="A90" s="7"/>
      <c r="E90" s="7"/>
      <c r="F90" s="7"/>
    </row>
    <row r="91" spans="1:6" x14ac:dyDescent="0.25">
      <c r="A91" s="7"/>
      <c r="E91" s="7"/>
      <c r="F91" s="7"/>
    </row>
    <row r="92" spans="1:6" x14ac:dyDescent="0.25">
      <c r="A92" s="7"/>
      <c r="E92" s="7"/>
      <c r="F92" s="7"/>
    </row>
    <row r="93" spans="1:6" x14ac:dyDescent="0.25">
      <c r="A93" s="7"/>
      <c r="E93" s="7"/>
      <c r="F93" s="7"/>
    </row>
    <row r="94" spans="1:6" x14ac:dyDescent="0.25">
      <c r="A94" s="7"/>
      <c r="E94" s="7"/>
      <c r="F94" s="7"/>
    </row>
    <row r="95" spans="1:6" x14ac:dyDescent="0.25">
      <c r="A95" s="7"/>
      <c r="E95" s="7"/>
      <c r="F95" s="7"/>
    </row>
    <row r="96" spans="1:6" x14ac:dyDescent="0.25">
      <c r="A96" s="7"/>
      <c r="E96" s="7"/>
      <c r="F96" s="7"/>
    </row>
    <row r="97" spans="1:6" x14ac:dyDescent="0.25">
      <c r="A97" s="7"/>
      <c r="E97" s="7"/>
      <c r="F97" s="7"/>
    </row>
    <row r="98" spans="1:6" x14ac:dyDescent="0.25">
      <c r="A98" s="7"/>
      <c r="E98" s="7"/>
      <c r="F98" s="7"/>
    </row>
    <row r="99" spans="1:6" x14ac:dyDescent="0.25">
      <c r="A99" s="7"/>
      <c r="E99" s="7"/>
      <c r="F99" s="7"/>
    </row>
    <row r="100" spans="1:6" x14ac:dyDescent="0.25">
      <c r="A100" s="7"/>
      <c r="E100" s="7"/>
      <c r="F100" s="7"/>
    </row>
    <row r="101" spans="1:6" x14ac:dyDescent="0.25">
      <c r="A101" s="7"/>
      <c r="E101" s="7"/>
      <c r="F101" s="7"/>
    </row>
    <row r="102" spans="1:6" x14ac:dyDescent="0.25">
      <c r="A102" s="7"/>
      <c r="E102" s="7"/>
      <c r="F102" s="7"/>
    </row>
    <row r="103" spans="1:6" x14ac:dyDescent="0.25">
      <c r="A103" s="7"/>
      <c r="E103" s="7"/>
      <c r="F103" s="7"/>
    </row>
    <row r="104" spans="1:6" x14ac:dyDescent="0.25">
      <c r="A104" s="7"/>
      <c r="E104" s="7"/>
      <c r="F104" s="7"/>
    </row>
    <row r="105" spans="1:6" x14ac:dyDescent="0.25">
      <c r="A105" s="7"/>
      <c r="E105" s="7"/>
      <c r="F105" s="7"/>
    </row>
    <row r="106" spans="1:6" x14ac:dyDescent="0.25">
      <c r="A106" s="7"/>
      <c r="E106" s="7"/>
      <c r="F106" s="7"/>
    </row>
    <row r="107" spans="1:6" x14ac:dyDescent="0.25">
      <c r="A107" s="7"/>
      <c r="E107" s="7"/>
      <c r="F107" s="7"/>
    </row>
    <row r="108" spans="1:6" x14ac:dyDescent="0.25">
      <c r="A108" s="7"/>
      <c r="E108" s="7"/>
      <c r="F108" s="7"/>
    </row>
    <row r="109" spans="1:6" x14ac:dyDescent="0.25">
      <c r="A109" s="7"/>
      <c r="E109" s="7"/>
      <c r="F109" s="7"/>
    </row>
    <row r="110" spans="1:6" x14ac:dyDescent="0.25">
      <c r="A110" s="7"/>
      <c r="E110" s="7"/>
      <c r="F110" s="7"/>
    </row>
    <row r="111" spans="1:6" x14ac:dyDescent="0.25">
      <c r="A111" s="7"/>
      <c r="E111" s="7"/>
      <c r="F111" s="7"/>
    </row>
    <row r="112" spans="1:6" x14ac:dyDescent="0.25">
      <c r="A112" s="7"/>
      <c r="E112" s="7"/>
      <c r="F112" s="7"/>
    </row>
    <row r="113" spans="1:6" x14ac:dyDescent="0.25">
      <c r="A113" s="7"/>
      <c r="E113" s="7"/>
      <c r="F113" s="7"/>
    </row>
    <row r="114" spans="1:6" x14ac:dyDescent="0.25">
      <c r="A114" s="7"/>
      <c r="E114" s="7"/>
      <c r="F114" s="7"/>
    </row>
    <row r="115" spans="1:6" x14ac:dyDescent="0.25">
      <c r="A115" s="7"/>
      <c r="E115" s="7"/>
      <c r="F115" s="7"/>
    </row>
    <row r="116" spans="1:6" x14ac:dyDescent="0.25">
      <c r="A116" s="7"/>
      <c r="E116" s="7"/>
      <c r="F116" s="7"/>
    </row>
    <row r="117" spans="1:6" x14ac:dyDescent="0.25">
      <c r="A117" s="7"/>
      <c r="E117" s="7"/>
      <c r="F117" s="7"/>
    </row>
    <row r="118" spans="1:6" x14ac:dyDescent="0.25">
      <c r="A118" s="7"/>
      <c r="E118" s="7"/>
      <c r="F118" s="7"/>
    </row>
    <row r="119" spans="1:6" x14ac:dyDescent="0.25">
      <c r="A119" s="7"/>
      <c r="E119" s="7"/>
      <c r="F119" s="7"/>
    </row>
    <row r="120" spans="1:6" x14ac:dyDescent="0.25">
      <c r="A120" s="7"/>
      <c r="E120" s="7"/>
      <c r="F120" s="7"/>
    </row>
    <row r="121" spans="1:6" x14ac:dyDescent="0.25">
      <c r="A121" s="7"/>
      <c r="E121" s="7"/>
      <c r="F121" s="7"/>
    </row>
    <row r="122" spans="1:6" x14ac:dyDescent="0.25">
      <c r="A122" s="7"/>
      <c r="E122" s="7"/>
      <c r="F122" s="7"/>
    </row>
    <row r="123" spans="1:6" x14ac:dyDescent="0.25">
      <c r="A123" s="7"/>
      <c r="E123" s="7"/>
      <c r="F123" s="7"/>
    </row>
    <row r="124" spans="1:6" x14ac:dyDescent="0.25">
      <c r="A124" s="7"/>
      <c r="E124" s="7"/>
      <c r="F124" s="7"/>
    </row>
    <row r="125" spans="1:6" x14ac:dyDescent="0.25">
      <c r="A125" s="7"/>
      <c r="E125" s="7"/>
      <c r="F125" s="7"/>
    </row>
    <row r="126" spans="1:6" x14ac:dyDescent="0.25">
      <c r="A126" s="7"/>
      <c r="E126" s="7"/>
      <c r="F126" s="7"/>
    </row>
    <row r="127" spans="1:6" x14ac:dyDescent="0.25">
      <c r="A127" s="7"/>
      <c r="E127" s="7"/>
      <c r="F127" s="7"/>
    </row>
    <row r="128" spans="1:6" x14ac:dyDescent="0.25">
      <c r="A128" s="7"/>
      <c r="E128" s="7"/>
      <c r="F128" s="7"/>
    </row>
    <row r="129" spans="1:6" x14ac:dyDescent="0.25">
      <c r="A129" s="7"/>
      <c r="E129" s="7"/>
      <c r="F129" s="7"/>
    </row>
    <row r="130" spans="1:6" x14ac:dyDescent="0.25">
      <c r="A130" s="7"/>
      <c r="E130" s="7"/>
      <c r="F130" s="7"/>
    </row>
    <row r="131" spans="1:6" x14ac:dyDescent="0.25">
      <c r="A131" s="7"/>
      <c r="E131" s="7"/>
      <c r="F131" s="7"/>
    </row>
    <row r="132" spans="1:6" x14ac:dyDescent="0.25">
      <c r="A132" s="7"/>
      <c r="E132" s="7"/>
      <c r="F132" s="7"/>
    </row>
    <row r="133" spans="1:6" x14ac:dyDescent="0.25">
      <c r="A133" s="7"/>
      <c r="E133" s="7"/>
      <c r="F133" s="7"/>
    </row>
    <row r="134" spans="1:6" x14ac:dyDescent="0.25">
      <c r="A134" s="7"/>
      <c r="E134" s="7"/>
      <c r="F134" s="7"/>
    </row>
    <row r="135" spans="1:6" x14ac:dyDescent="0.25">
      <c r="A135" s="7"/>
      <c r="E135" s="7"/>
      <c r="F135" s="7"/>
    </row>
    <row r="136" spans="1:6" x14ac:dyDescent="0.25">
      <c r="A136" s="7"/>
      <c r="E136" s="7"/>
      <c r="F136" s="7"/>
    </row>
    <row r="137" spans="1:6" x14ac:dyDescent="0.25">
      <c r="A137" s="7"/>
      <c r="E137" s="7"/>
      <c r="F137" s="7"/>
    </row>
    <row r="138" spans="1:6" x14ac:dyDescent="0.25">
      <c r="A138" s="7"/>
      <c r="E138" s="7"/>
      <c r="F138" s="7"/>
    </row>
    <row r="139" spans="1:6" x14ac:dyDescent="0.25">
      <c r="A139" s="7"/>
      <c r="E139" s="7"/>
      <c r="F139" s="7"/>
    </row>
    <row r="140" spans="1:6" x14ac:dyDescent="0.25">
      <c r="A140" s="7"/>
      <c r="E140" s="7"/>
      <c r="F140" s="7"/>
    </row>
    <row r="141" spans="1:6" x14ac:dyDescent="0.25">
      <c r="A141" s="7"/>
      <c r="E141" s="7"/>
      <c r="F141" s="7"/>
    </row>
    <row r="142" spans="1:6" x14ac:dyDescent="0.25">
      <c r="A142" s="7"/>
      <c r="E142" s="7"/>
      <c r="F142" s="7"/>
    </row>
    <row r="143" spans="1:6" x14ac:dyDescent="0.25">
      <c r="A143" s="7"/>
      <c r="E143" s="7"/>
      <c r="F143" s="7"/>
    </row>
    <row r="144" spans="1:6" x14ac:dyDescent="0.25">
      <c r="A144" s="7"/>
      <c r="E144" s="7"/>
      <c r="F144" s="7"/>
    </row>
    <row r="145" spans="1:6" x14ac:dyDescent="0.25">
      <c r="A145" s="7"/>
      <c r="E145" s="7"/>
      <c r="F145" s="7"/>
    </row>
    <row r="146" spans="1:6" x14ac:dyDescent="0.25">
      <c r="A146" s="7"/>
      <c r="E146" s="7"/>
      <c r="F146" s="7"/>
    </row>
    <row r="147" spans="1:6" x14ac:dyDescent="0.25">
      <c r="A147" s="7"/>
      <c r="E147" s="7"/>
      <c r="F147" s="7"/>
    </row>
    <row r="148" spans="1:6" x14ac:dyDescent="0.25">
      <c r="A148" s="7"/>
      <c r="E148" s="7"/>
      <c r="F148" s="7"/>
    </row>
    <row r="149" spans="1:6" x14ac:dyDescent="0.25">
      <c r="A149" s="7"/>
      <c r="E149" s="7"/>
      <c r="F149" s="7"/>
    </row>
    <row r="150" spans="1:6" x14ac:dyDescent="0.25">
      <c r="A150" s="7"/>
      <c r="E150" s="7"/>
      <c r="F150" s="7"/>
    </row>
    <row r="151" spans="1:6" x14ac:dyDescent="0.25">
      <c r="A151" s="7"/>
      <c r="E151" s="7"/>
      <c r="F151" s="7"/>
    </row>
    <row r="152" spans="1:6" x14ac:dyDescent="0.25">
      <c r="A152" s="7"/>
      <c r="E152" s="7"/>
      <c r="F152" s="7"/>
    </row>
    <row r="153" spans="1:6" x14ac:dyDescent="0.25">
      <c r="A153" s="7"/>
      <c r="E153" s="7"/>
      <c r="F153" s="7"/>
    </row>
    <row r="154" spans="1:6" x14ac:dyDescent="0.25">
      <c r="A154" s="7"/>
      <c r="E154" s="7"/>
      <c r="F154" s="7"/>
    </row>
    <row r="155" spans="1:6" x14ac:dyDescent="0.25">
      <c r="A155" s="7"/>
      <c r="E155" s="7"/>
      <c r="F155" s="7"/>
    </row>
    <row r="156" spans="1:6" x14ac:dyDescent="0.25">
      <c r="A156" s="7"/>
      <c r="E156" s="7"/>
      <c r="F156" s="7"/>
    </row>
    <row r="157" spans="1:6" x14ac:dyDescent="0.25">
      <c r="A157" s="7"/>
      <c r="E157" s="7"/>
      <c r="F157" s="7"/>
    </row>
    <row r="158" spans="1:6" x14ac:dyDescent="0.25">
      <c r="A158" s="7"/>
      <c r="E158" s="7"/>
      <c r="F158" s="7"/>
    </row>
    <row r="159" spans="1:6" x14ac:dyDescent="0.25">
      <c r="A159" s="7"/>
      <c r="E159" s="7"/>
      <c r="F159" s="7"/>
    </row>
    <row r="160" spans="1:6" x14ac:dyDescent="0.25">
      <c r="A160" s="7"/>
      <c r="E160" s="7"/>
      <c r="F160" s="7"/>
    </row>
    <row r="161" spans="1:6" x14ac:dyDescent="0.25">
      <c r="A161" s="7"/>
      <c r="E161" s="7"/>
      <c r="F161" s="7"/>
    </row>
    <row r="162" spans="1:6" x14ac:dyDescent="0.25">
      <c r="A162" s="7"/>
      <c r="E162" s="7"/>
      <c r="F162" s="7"/>
    </row>
    <row r="163" spans="1:6" x14ac:dyDescent="0.25">
      <c r="A163" s="7"/>
      <c r="E163" s="7"/>
      <c r="F163" s="7"/>
    </row>
    <row r="164" spans="1:6" x14ac:dyDescent="0.25">
      <c r="A164" s="7"/>
      <c r="E164" s="7"/>
      <c r="F164" s="7"/>
    </row>
    <row r="165" spans="1:6" x14ac:dyDescent="0.25">
      <c r="A165" s="7"/>
      <c r="E165" s="7"/>
      <c r="F165" s="7"/>
    </row>
    <row r="166" spans="1:6" x14ac:dyDescent="0.25">
      <c r="A166" s="7"/>
      <c r="E166" s="7"/>
      <c r="F166" s="7"/>
    </row>
    <row r="167" spans="1:6" x14ac:dyDescent="0.25">
      <c r="A167" s="7"/>
      <c r="E167" s="7"/>
      <c r="F167" s="7"/>
    </row>
    <row r="168" spans="1:6" x14ac:dyDescent="0.25">
      <c r="A168" s="7"/>
      <c r="E168" s="7"/>
      <c r="F168" s="7"/>
    </row>
    <row r="169" spans="1:6" x14ac:dyDescent="0.25">
      <c r="A169" s="7"/>
      <c r="E169" s="7"/>
      <c r="F169" s="7"/>
    </row>
    <row r="170" spans="1:6" x14ac:dyDescent="0.25">
      <c r="A170" s="7"/>
      <c r="E170" s="7"/>
      <c r="F170" s="7"/>
    </row>
    <row r="171" spans="1:6" x14ac:dyDescent="0.25">
      <c r="A171" s="7"/>
      <c r="E171" s="7"/>
      <c r="F171" s="7"/>
    </row>
    <row r="172" spans="1:6" x14ac:dyDescent="0.25">
      <c r="A172" s="7"/>
      <c r="E172" s="7"/>
      <c r="F172" s="7"/>
    </row>
    <row r="173" spans="1:6" x14ac:dyDescent="0.25">
      <c r="A173" s="7"/>
      <c r="E173" s="7"/>
      <c r="F173" s="7"/>
    </row>
    <row r="174" spans="1:6" x14ac:dyDescent="0.25">
      <c r="A174" s="7"/>
      <c r="E174" s="7"/>
      <c r="F174" s="7"/>
    </row>
    <row r="175" spans="1:6" x14ac:dyDescent="0.25">
      <c r="A175" s="7"/>
      <c r="E175" s="7"/>
      <c r="F175" s="7"/>
    </row>
    <row r="176" spans="1:6" x14ac:dyDescent="0.25">
      <c r="A176" s="7"/>
      <c r="E176" s="7"/>
      <c r="F176" s="7"/>
    </row>
    <row r="177" spans="1:6" x14ac:dyDescent="0.25">
      <c r="A177" s="7"/>
      <c r="E177" s="7"/>
      <c r="F177" s="7"/>
    </row>
    <row r="178" spans="1:6" x14ac:dyDescent="0.25">
      <c r="A178" s="7"/>
      <c r="E178" s="7"/>
      <c r="F178" s="7"/>
    </row>
    <row r="179" spans="1:6" x14ac:dyDescent="0.25">
      <c r="A179" s="7"/>
      <c r="E179" s="7"/>
      <c r="F179" s="7"/>
    </row>
    <row r="180" spans="1:6" x14ac:dyDescent="0.25">
      <c r="A180" s="7"/>
      <c r="E180" s="7"/>
      <c r="F180" s="7"/>
    </row>
    <row r="181" spans="1:6" x14ac:dyDescent="0.25">
      <c r="A181" s="7"/>
      <c r="E181" s="7"/>
      <c r="F181" s="7"/>
    </row>
    <row r="182" spans="1:6" x14ac:dyDescent="0.25">
      <c r="A182" s="7"/>
      <c r="E182" s="7"/>
      <c r="F182" s="7"/>
    </row>
    <row r="183" spans="1:6" x14ac:dyDescent="0.25">
      <c r="A183" s="7"/>
      <c r="E183" s="7"/>
      <c r="F183" s="7"/>
    </row>
    <row r="184" spans="1:6" x14ac:dyDescent="0.25">
      <c r="A184" s="7"/>
      <c r="E184" s="7"/>
      <c r="F184" s="7"/>
    </row>
    <row r="185" spans="1:6" x14ac:dyDescent="0.25">
      <c r="A185" s="7"/>
      <c r="E185" s="7"/>
      <c r="F185" s="7"/>
    </row>
    <row r="186" spans="1:6" x14ac:dyDescent="0.25">
      <c r="A186" s="7"/>
      <c r="E186" s="7"/>
      <c r="F186" s="7"/>
    </row>
    <row r="187" spans="1:6" x14ac:dyDescent="0.25">
      <c r="A187" s="7"/>
      <c r="E187" s="7"/>
      <c r="F187" s="7"/>
    </row>
    <row r="188" spans="1:6" x14ac:dyDescent="0.25">
      <c r="A188" s="7"/>
      <c r="E188" s="7"/>
      <c r="F188" s="7"/>
    </row>
    <row r="189" spans="1:6" x14ac:dyDescent="0.25">
      <c r="A189" s="7"/>
      <c r="E189" s="7"/>
      <c r="F189" s="7"/>
    </row>
    <row r="190" spans="1:6" x14ac:dyDescent="0.25">
      <c r="A190" s="7"/>
      <c r="E190" s="7"/>
      <c r="F190" s="7"/>
    </row>
    <row r="191" spans="1:6" x14ac:dyDescent="0.25">
      <c r="A191" s="7"/>
      <c r="E191" s="7"/>
      <c r="F191" s="7"/>
    </row>
    <row r="192" spans="1:6" x14ac:dyDescent="0.25">
      <c r="A192" s="7"/>
      <c r="E192" s="7"/>
      <c r="F192" s="7"/>
    </row>
    <row r="193" spans="1:6" x14ac:dyDescent="0.25">
      <c r="A193" s="7"/>
      <c r="E193" s="7"/>
      <c r="F193" s="7"/>
    </row>
    <row r="194" spans="1:6" x14ac:dyDescent="0.25">
      <c r="A194" s="7"/>
      <c r="E194" s="7"/>
      <c r="F194" s="7"/>
    </row>
    <row r="195" spans="1:6" x14ac:dyDescent="0.25">
      <c r="A195" s="7"/>
      <c r="E195" s="7"/>
      <c r="F195" s="7"/>
    </row>
    <row r="196" spans="1:6" x14ac:dyDescent="0.25">
      <c r="A196" s="7"/>
      <c r="E196" s="7"/>
      <c r="F196" s="7"/>
    </row>
    <row r="197" spans="1:6" x14ac:dyDescent="0.25">
      <c r="A197" s="7"/>
      <c r="E197" s="7"/>
      <c r="F197" s="7"/>
    </row>
    <row r="198" spans="1:6" x14ac:dyDescent="0.25">
      <c r="A198" s="7"/>
      <c r="E198" s="7"/>
      <c r="F198" s="7"/>
    </row>
    <row r="199" spans="1:6" x14ac:dyDescent="0.25">
      <c r="A199" s="7"/>
      <c r="E199" s="7"/>
      <c r="F199" s="7"/>
    </row>
    <row r="200" spans="1:6" x14ac:dyDescent="0.25">
      <c r="A200" s="7"/>
      <c r="E200" s="7"/>
      <c r="F200" s="7"/>
    </row>
    <row r="201" spans="1:6" x14ac:dyDescent="0.25">
      <c r="A201" s="7"/>
      <c r="E201" s="7"/>
      <c r="F201" s="7"/>
    </row>
    <row r="202" spans="1:6" x14ac:dyDescent="0.25">
      <c r="A202" s="7"/>
      <c r="E202" s="7"/>
      <c r="F202" s="7"/>
    </row>
    <row r="203" spans="1:6" x14ac:dyDescent="0.25">
      <c r="A203" s="7"/>
      <c r="E203" s="7"/>
      <c r="F203" s="7"/>
    </row>
    <row r="204" spans="1:6" x14ac:dyDescent="0.25">
      <c r="A204" s="7"/>
      <c r="E204" s="7"/>
      <c r="F204" s="7"/>
    </row>
    <row r="205" spans="1:6" x14ac:dyDescent="0.25">
      <c r="A205" s="7"/>
      <c r="E205" s="7"/>
      <c r="F205" s="7"/>
    </row>
    <row r="206" spans="1:6" x14ac:dyDescent="0.25">
      <c r="A206" s="7"/>
      <c r="E206" s="7"/>
      <c r="F206" s="7"/>
    </row>
    <row r="207" spans="1:6" x14ac:dyDescent="0.25">
      <c r="A207" s="7"/>
      <c r="E207" s="7"/>
      <c r="F207" s="7"/>
    </row>
    <row r="208" spans="1:6" x14ac:dyDescent="0.25">
      <c r="A208" s="7"/>
      <c r="E208" s="7"/>
      <c r="F208" s="7"/>
    </row>
    <row r="209" spans="1:6" x14ac:dyDescent="0.25">
      <c r="A209" s="7"/>
      <c r="E209" s="7"/>
      <c r="F209" s="7"/>
    </row>
    <row r="210" spans="1:6" x14ac:dyDescent="0.25">
      <c r="A210" s="7"/>
      <c r="E210" s="7"/>
      <c r="F210" s="7"/>
    </row>
    <row r="211" spans="1:6" x14ac:dyDescent="0.25">
      <c r="A211" s="7"/>
      <c r="E211" s="7"/>
      <c r="F211" s="7"/>
    </row>
    <row r="212" spans="1:6" x14ac:dyDescent="0.25">
      <c r="A212" s="7"/>
      <c r="E212" s="7"/>
      <c r="F212" s="7"/>
    </row>
    <row r="213" spans="1:6" x14ac:dyDescent="0.25">
      <c r="A213" s="7"/>
      <c r="E213" s="7"/>
      <c r="F213" s="7"/>
    </row>
    <row r="214" spans="1:6" x14ac:dyDescent="0.25">
      <c r="A214" s="7"/>
      <c r="E214" s="7"/>
      <c r="F214" s="7"/>
    </row>
    <row r="215" spans="1:6" x14ac:dyDescent="0.25">
      <c r="A215" s="7"/>
      <c r="E215" s="7"/>
      <c r="F215" s="7"/>
    </row>
    <row r="216" spans="1:6" x14ac:dyDescent="0.25">
      <c r="A216" s="7"/>
      <c r="E216" s="7"/>
      <c r="F216" s="7"/>
    </row>
    <row r="217" spans="1:6" x14ac:dyDescent="0.25">
      <c r="A217" s="7"/>
      <c r="E217" s="7"/>
      <c r="F217" s="7"/>
    </row>
    <row r="218" spans="1:6" x14ac:dyDescent="0.25">
      <c r="A218" s="7"/>
      <c r="E218" s="7"/>
      <c r="F218" s="7"/>
    </row>
    <row r="219" spans="1:6" x14ac:dyDescent="0.25">
      <c r="A219" s="7"/>
      <c r="E219" s="7"/>
      <c r="F219" s="7"/>
    </row>
    <row r="220" spans="1:6" x14ac:dyDescent="0.25">
      <c r="A220" s="7"/>
      <c r="E220" s="7"/>
      <c r="F220" s="7"/>
    </row>
    <row r="221" spans="1:6" x14ac:dyDescent="0.25">
      <c r="A221" s="7"/>
      <c r="E221" s="7"/>
      <c r="F221" s="7"/>
    </row>
    <row r="222" spans="1:6" x14ac:dyDescent="0.25">
      <c r="A222" s="7"/>
      <c r="E222" s="7"/>
      <c r="F222" s="7"/>
    </row>
    <row r="223" spans="1:6" x14ac:dyDescent="0.25">
      <c r="A223" s="7"/>
      <c r="E223" s="7"/>
      <c r="F223" s="7"/>
    </row>
    <row r="224" spans="1:6" x14ac:dyDescent="0.25">
      <c r="A224" s="7"/>
      <c r="E224" s="7"/>
      <c r="F224" s="7"/>
    </row>
    <row r="225" spans="1:6" x14ac:dyDescent="0.25">
      <c r="A225" s="7"/>
      <c r="E225" s="7"/>
      <c r="F225" s="7"/>
    </row>
    <row r="226" spans="1:6" x14ac:dyDescent="0.25">
      <c r="A226" s="7"/>
      <c r="E226" s="7"/>
      <c r="F226" s="7"/>
    </row>
    <row r="227" spans="1:6" x14ac:dyDescent="0.25">
      <c r="A227" s="7"/>
      <c r="E227" s="7"/>
      <c r="F227" s="7"/>
    </row>
    <row r="228" spans="1:6" x14ac:dyDescent="0.25">
      <c r="A228" s="7"/>
      <c r="E228" s="7"/>
      <c r="F228" s="7"/>
    </row>
    <row r="229" spans="1:6" x14ac:dyDescent="0.25">
      <c r="A229" s="7"/>
      <c r="E229" s="7"/>
      <c r="F229" s="7"/>
    </row>
    <row r="230" spans="1:6" x14ac:dyDescent="0.25">
      <c r="A230" s="7"/>
      <c r="E230" s="7"/>
      <c r="F230" s="7"/>
    </row>
    <row r="231" spans="1:6" x14ac:dyDescent="0.25">
      <c r="A231" s="7"/>
      <c r="E231" s="7"/>
      <c r="F231" s="7"/>
    </row>
    <row r="232" spans="1:6" x14ac:dyDescent="0.25">
      <c r="A232" s="7"/>
      <c r="E232" s="7"/>
      <c r="F232" s="7"/>
    </row>
    <row r="233" spans="1:6" x14ac:dyDescent="0.25">
      <c r="A233" s="7"/>
      <c r="E233" s="7"/>
      <c r="F233" s="7"/>
    </row>
    <row r="234" spans="1:6" x14ac:dyDescent="0.25">
      <c r="A234" s="7"/>
      <c r="E234" s="7"/>
      <c r="F234" s="7"/>
    </row>
    <row r="235" spans="1:6" x14ac:dyDescent="0.25">
      <c r="A235" s="7"/>
      <c r="E235" s="7"/>
      <c r="F235" s="7"/>
    </row>
    <row r="236" spans="1:6" x14ac:dyDescent="0.25">
      <c r="A236" s="7"/>
      <c r="E236" s="7"/>
      <c r="F236" s="7"/>
    </row>
    <row r="237" spans="1:6" x14ac:dyDescent="0.25">
      <c r="A237" s="7"/>
      <c r="E237" s="7"/>
      <c r="F237" s="7"/>
    </row>
    <row r="238" spans="1:6" x14ac:dyDescent="0.25">
      <c r="A238" s="7"/>
      <c r="E238" s="7"/>
      <c r="F238" s="7"/>
    </row>
    <row r="239" spans="1:6" x14ac:dyDescent="0.25">
      <c r="A239" s="7"/>
      <c r="E239" s="7"/>
      <c r="F239" s="7"/>
    </row>
    <row r="240" spans="1:6" x14ac:dyDescent="0.25">
      <c r="A240" s="7"/>
      <c r="E240" s="7"/>
      <c r="F240" s="7"/>
    </row>
    <row r="241" spans="1:6" x14ac:dyDescent="0.25">
      <c r="A241" s="7"/>
      <c r="E241" s="7"/>
      <c r="F241" s="7"/>
    </row>
    <row r="242" spans="1:6" x14ac:dyDescent="0.25">
      <c r="A242" s="7"/>
      <c r="E242" s="7"/>
      <c r="F242" s="7"/>
    </row>
    <row r="243" spans="1:6" x14ac:dyDescent="0.25">
      <c r="A243" s="7"/>
      <c r="E243" s="7"/>
      <c r="F243" s="7"/>
    </row>
    <row r="244" spans="1:6" x14ac:dyDescent="0.25">
      <c r="A244" s="7"/>
      <c r="E244" s="7"/>
      <c r="F244" s="7"/>
    </row>
    <row r="245" spans="1:6" x14ac:dyDescent="0.25">
      <c r="A245" s="7"/>
      <c r="E245" s="7"/>
      <c r="F245" s="7"/>
    </row>
    <row r="246" spans="1:6" x14ac:dyDescent="0.25">
      <c r="A246" s="7"/>
      <c r="E246" s="7"/>
      <c r="F246" s="7"/>
    </row>
    <row r="247" spans="1:6" x14ac:dyDescent="0.25">
      <c r="A247" s="7"/>
      <c r="E247" s="7"/>
      <c r="F247" s="7"/>
    </row>
    <row r="248" spans="1:6" x14ac:dyDescent="0.25">
      <c r="A248" s="7"/>
      <c r="E248" s="7"/>
      <c r="F248" s="7"/>
    </row>
    <row r="249" spans="1:6" x14ac:dyDescent="0.25">
      <c r="A249" s="7"/>
      <c r="E249" s="7"/>
      <c r="F249" s="7"/>
    </row>
    <row r="250" spans="1:6" x14ac:dyDescent="0.25">
      <c r="A250" s="7"/>
      <c r="E250" s="7"/>
      <c r="F250" s="7"/>
    </row>
    <row r="251" spans="1:6" x14ac:dyDescent="0.25">
      <c r="A251" s="7"/>
      <c r="E251" s="7"/>
      <c r="F251" s="7"/>
    </row>
    <row r="252" spans="1:6" x14ac:dyDescent="0.25">
      <c r="A252" s="7"/>
      <c r="E252" s="7"/>
      <c r="F252" s="7"/>
    </row>
    <row r="253" spans="1:6" x14ac:dyDescent="0.25">
      <c r="A253" s="7"/>
      <c r="E253" s="7"/>
      <c r="F253" s="7"/>
    </row>
    <row r="254" spans="1:6" x14ac:dyDescent="0.25">
      <c r="A254" s="7"/>
      <c r="E254" s="7"/>
      <c r="F254" s="7"/>
    </row>
    <row r="255" spans="1:6" x14ac:dyDescent="0.25">
      <c r="A255" s="7"/>
      <c r="E255" s="7"/>
      <c r="F255" s="7"/>
    </row>
    <row r="256" spans="1:6" x14ac:dyDescent="0.25">
      <c r="A256" s="7"/>
      <c r="E256" s="7"/>
      <c r="F256" s="7"/>
    </row>
    <row r="257" spans="1:6" x14ac:dyDescent="0.25">
      <c r="A257" s="7"/>
      <c r="E257" s="7"/>
      <c r="F257" s="7"/>
    </row>
    <row r="258" spans="1:6" x14ac:dyDescent="0.25">
      <c r="A258" s="7"/>
      <c r="E258" s="7"/>
      <c r="F258" s="7"/>
    </row>
    <row r="259" spans="1:6" x14ac:dyDescent="0.25">
      <c r="A259" s="7"/>
      <c r="E259" s="7"/>
      <c r="F259" s="7"/>
    </row>
    <row r="260" spans="1:6" x14ac:dyDescent="0.25">
      <c r="A260" s="7"/>
      <c r="E260" s="7"/>
      <c r="F260" s="7"/>
    </row>
    <row r="261" spans="1:6" x14ac:dyDescent="0.25">
      <c r="A261" s="7"/>
      <c r="E261" s="7"/>
      <c r="F261" s="7"/>
    </row>
    <row r="262" spans="1:6" x14ac:dyDescent="0.25">
      <c r="A262" s="7"/>
      <c r="E262" s="7"/>
      <c r="F262" s="7"/>
    </row>
    <row r="263" spans="1:6" x14ac:dyDescent="0.25">
      <c r="A263" s="7"/>
      <c r="E263" s="7"/>
      <c r="F263" s="7"/>
    </row>
    <row r="264" spans="1:6" x14ac:dyDescent="0.25">
      <c r="A264" s="7"/>
      <c r="E264" s="7"/>
      <c r="F264" s="7"/>
    </row>
    <row r="265" spans="1:6" x14ac:dyDescent="0.25">
      <c r="A265" s="7"/>
      <c r="E265" s="7"/>
      <c r="F265" s="7"/>
    </row>
    <row r="266" spans="1:6" x14ac:dyDescent="0.25">
      <c r="A266" s="7"/>
      <c r="E266" s="7"/>
      <c r="F266" s="7"/>
    </row>
    <row r="267" spans="1:6" x14ac:dyDescent="0.25">
      <c r="A267" s="7"/>
      <c r="E267" s="7"/>
      <c r="F267" s="7"/>
    </row>
    <row r="268" spans="1:6" x14ac:dyDescent="0.25">
      <c r="A268" s="7"/>
      <c r="E268" s="7"/>
      <c r="F268" s="7"/>
    </row>
    <row r="269" spans="1:6" x14ac:dyDescent="0.25">
      <c r="A269" s="7"/>
      <c r="E269" s="7"/>
      <c r="F269" s="7"/>
    </row>
    <row r="270" spans="1:6" x14ac:dyDescent="0.25">
      <c r="A270" s="7"/>
      <c r="E270" s="7"/>
      <c r="F270" s="7"/>
    </row>
    <row r="271" spans="1:6" x14ac:dyDescent="0.25">
      <c r="A271" s="7"/>
      <c r="E271" s="7"/>
      <c r="F271" s="7"/>
    </row>
    <row r="272" spans="1:6" x14ac:dyDescent="0.25">
      <c r="A272" s="7"/>
      <c r="E272" s="7"/>
      <c r="F272" s="7"/>
    </row>
    <row r="273" spans="1:6" x14ac:dyDescent="0.25">
      <c r="A273" s="7"/>
      <c r="E273" s="7"/>
      <c r="F273" s="7"/>
    </row>
    <row r="274" spans="1:6" x14ac:dyDescent="0.25">
      <c r="A274" s="7"/>
      <c r="E274" s="7"/>
      <c r="F274" s="7"/>
    </row>
    <row r="275" spans="1:6" x14ac:dyDescent="0.25">
      <c r="A275" s="7"/>
      <c r="E275" s="7"/>
      <c r="F275" s="7"/>
    </row>
    <row r="276" spans="1:6" x14ac:dyDescent="0.25">
      <c r="A276" s="7"/>
      <c r="E276" s="7"/>
      <c r="F276" s="7"/>
    </row>
    <row r="277" spans="1:6" x14ac:dyDescent="0.25">
      <c r="A277" s="7"/>
      <c r="E277" s="7"/>
      <c r="F277" s="7"/>
    </row>
    <row r="278" spans="1:6" x14ac:dyDescent="0.25">
      <c r="A278" s="7"/>
      <c r="E278" s="7"/>
      <c r="F278" s="7"/>
    </row>
    <row r="279" spans="1:6" x14ac:dyDescent="0.25">
      <c r="A279" s="7"/>
      <c r="E279" s="7"/>
      <c r="F279" s="7"/>
    </row>
    <row r="280" spans="1:6" x14ac:dyDescent="0.25">
      <c r="A280" s="7"/>
      <c r="E280" s="7"/>
      <c r="F280" s="7"/>
    </row>
    <row r="281" spans="1:6" x14ac:dyDescent="0.25">
      <c r="A281" s="7"/>
      <c r="E281" s="7"/>
      <c r="F281" s="7"/>
    </row>
    <row r="282" spans="1:6" x14ac:dyDescent="0.25">
      <c r="A282" s="7"/>
      <c r="E282" s="7"/>
      <c r="F282" s="7"/>
    </row>
    <row r="283" spans="1:6" x14ac:dyDescent="0.25">
      <c r="A283" s="7"/>
      <c r="E283" s="7"/>
      <c r="F283" s="7"/>
    </row>
    <row r="284" spans="1:6" x14ac:dyDescent="0.25">
      <c r="A284" s="7"/>
      <c r="E284" s="7"/>
      <c r="F284" s="7"/>
    </row>
    <row r="285" spans="1:6" x14ac:dyDescent="0.25">
      <c r="A285" s="7"/>
      <c r="E285" s="7"/>
      <c r="F285" s="7"/>
    </row>
    <row r="286" spans="1:6" x14ac:dyDescent="0.25">
      <c r="A286" s="7"/>
      <c r="E286" s="7"/>
      <c r="F286" s="7"/>
    </row>
    <row r="287" spans="1:6" x14ac:dyDescent="0.25">
      <c r="A287" s="7"/>
      <c r="E287" s="7"/>
      <c r="F287" s="7"/>
    </row>
    <row r="288" spans="1:6" x14ac:dyDescent="0.25">
      <c r="A288" s="7"/>
      <c r="E288" s="7"/>
      <c r="F288" s="7"/>
    </row>
    <row r="289" spans="1:6" x14ac:dyDescent="0.25">
      <c r="A289" s="7"/>
      <c r="E289" s="7"/>
      <c r="F289" s="7"/>
    </row>
    <row r="290" spans="1:6" x14ac:dyDescent="0.25">
      <c r="A290" s="7"/>
      <c r="E290" s="7"/>
      <c r="F290" s="7"/>
    </row>
    <row r="291" spans="1:6" x14ac:dyDescent="0.25">
      <c r="A291" s="7"/>
      <c r="E291" s="7"/>
      <c r="F291" s="7"/>
    </row>
    <row r="292" spans="1:6" x14ac:dyDescent="0.25">
      <c r="A292" s="7"/>
      <c r="E292" s="7"/>
      <c r="F292" s="7"/>
    </row>
    <row r="293" spans="1:6" x14ac:dyDescent="0.25">
      <c r="A293" s="7"/>
      <c r="E293" s="7"/>
      <c r="F293" s="7"/>
    </row>
    <row r="294" spans="1:6" x14ac:dyDescent="0.25">
      <c r="A294" s="7"/>
      <c r="E294" s="7"/>
      <c r="F294" s="7"/>
    </row>
    <row r="295" spans="1:6" x14ac:dyDescent="0.25">
      <c r="A295" s="7"/>
      <c r="E295" s="7"/>
      <c r="F295" s="7"/>
    </row>
    <row r="296" spans="1:6" x14ac:dyDescent="0.25">
      <c r="A296" s="7"/>
      <c r="E296" s="7"/>
      <c r="F296" s="7"/>
    </row>
    <row r="297" spans="1:6" x14ac:dyDescent="0.25">
      <c r="A297" s="7"/>
      <c r="E297" s="7"/>
      <c r="F297" s="7"/>
    </row>
    <row r="298" spans="1:6" x14ac:dyDescent="0.25">
      <c r="A298" s="7"/>
      <c r="E298" s="7"/>
      <c r="F298" s="7"/>
    </row>
    <row r="299" spans="1:6" x14ac:dyDescent="0.25">
      <c r="A299" s="7"/>
      <c r="E299" s="7"/>
      <c r="F299" s="7"/>
    </row>
    <row r="300" spans="1:6" x14ac:dyDescent="0.25">
      <c r="A300" s="7"/>
      <c r="E300" s="7"/>
      <c r="F300" s="7"/>
    </row>
    <row r="301" spans="1:6" x14ac:dyDescent="0.25">
      <c r="A301" s="7"/>
      <c r="E301" s="7"/>
      <c r="F301" s="7"/>
    </row>
    <row r="302" spans="1:6" x14ac:dyDescent="0.25">
      <c r="A302" s="7"/>
      <c r="E302" s="7"/>
      <c r="F302" s="7"/>
    </row>
    <row r="303" spans="1:6" x14ac:dyDescent="0.25">
      <c r="A303" s="7"/>
      <c r="E303" s="7"/>
      <c r="F303" s="7"/>
    </row>
    <row r="304" spans="1:6" x14ac:dyDescent="0.25">
      <c r="A304" s="7"/>
      <c r="E304" s="7"/>
      <c r="F304" s="7"/>
    </row>
    <row r="305" spans="1:6" x14ac:dyDescent="0.25">
      <c r="A305" s="7"/>
      <c r="E305" s="7"/>
      <c r="F305" s="7"/>
    </row>
    <row r="306" spans="1:6" x14ac:dyDescent="0.25">
      <c r="A306" s="7"/>
      <c r="E306" s="7"/>
      <c r="F306" s="7"/>
    </row>
    <row r="307" spans="1:6" x14ac:dyDescent="0.25">
      <c r="A307" s="7"/>
      <c r="E307" s="7"/>
      <c r="F307" s="7"/>
    </row>
    <row r="308" spans="1:6" x14ac:dyDescent="0.25">
      <c r="A308" s="7"/>
      <c r="E308" s="7"/>
      <c r="F308" s="7"/>
    </row>
    <row r="309" spans="1:6" x14ac:dyDescent="0.25">
      <c r="A309" s="7"/>
      <c r="E309" s="7"/>
      <c r="F309" s="7"/>
    </row>
    <row r="310" spans="1:6" x14ac:dyDescent="0.25">
      <c r="A310" s="7"/>
      <c r="E310" s="7"/>
      <c r="F310" s="7"/>
    </row>
    <row r="311" spans="1:6" x14ac:dyDescent="0.25">
      <c r="A311" s="7"/>
      <c r="E311" s="7"/>
      <c r="F311" s="7"/>
    </row>
    <row r="312" spans="1:6" x14ac:dyDescent="0.25">
      <c r="A312" s="7"/>
      <c r="E312" s="7"/>
      <c r="F312" s="7"/>
    </row>
    <row r="313" spans="1:6" x14ac:dyDescent="0.25">
      <c r="A313" s="7"/>
      <c r="E313" s="7"/>
      <c r="F313" s="7"/>
    </row>
    <row r="314" spans="1:6" x14ac:dyDescent="0.25">
      <c r="A314" s="7"/>
      <c r="E314" s="7"/>
      <c r="F314" s="7"/>
    </row>
    <row r="315" spans="1:6" x14ac:dyDescent="0.25">
      <c r="A315" s="7"/>
      <c r="E315" s="7"/>
      <c r="F315" s="7"/>
    </row>
    <row r="316" spans="1:6" x14ac:dyDescent="0.25">
      <c r="A316" s="7"/>
      <c r="E316" s="7"/>
      <c r="F316" s="7"/>
    </row>
    <row r="317" spans="1:6" x14ac:dyDescent="0.25">
      <c r="A317" s="7"/>
      <c r="E317" s="7"/>
      <c r="F317" s="7"/>
    </row>
    <row r="318" spans="1:6" x14ac:dyDescent="0.25">
      <c r="A318" s="7"/>
      <c r="E318" s="7"/>
      <c r="F318" s="7"/>
    </row>
    <row r="319" spans="1:6" x14ac:dyDescent="0.25">
      <c r="A319" s="7"/>
      <c r="E319" s="7"/>
      <c r="F319" s="7"/>
    </row>
    <row r="320" spans="1:6" x14ac:dyDescent="0.25">
      <c r="A320" s="7"/>
      <c r="E320" s="7"/>
      <c r="F320" s="7"/>
    </row>
    <row r="321" spans="1:6" x14ac:dyDescent="0.25">
      <c r="A321" s="7"/>
      <c r="E321" s="7"/>
      <c r="F321" s="7"/>
    </row>
    <row r="322" spans="1:6" x14ac:dyDescent="0.25">
      <c r="A322" s="7"/>
      <c r="E322" s="7"/>
      <c r="F322" s="7"/>
    </row>
    <row r="323" spans="1:6" x14ac:dyDescent="0.25">
      <c r="A323" s="7"/>
      <c r="E323" s="7"/>
      <c r="F323" s="7"/>
    </row>
    <row r="324" spans="1:6" x14ac:dyDescent="0.25">
      <c r="A324" s="7"/>
      <c r="E324" s="7"/>
      <c r="F324" s="7"/>
    </row>
    <row r="325" spans="1:6" x14ac:dyDescent="0.25">
      <c r="A325" s="7"/>
      <c r="E325" s="7"/>
      <c r="F325" s="7"/>
    </row>
    <row r="326" spans="1:6" x14ac:dyDescent="0.25">
      <c r="A326" s="7"/>
      <c r="E326" s="7"/>
      <c r="F326" s="7"/>
    </row>
    <row r="327" spans="1:6" x14ac:dyDescent="0.25">
      <c r="A327" s="7"/>
      <c r="E327" s="7"/>
      <c r="F327" s="7"/>
    </row>
    <row r="328" spans="1:6" x14ac:dyDescent="0.25">
      <c r="A328" s="7"/>
      <c r="E328" s="7"/>
      <c r="F328" s="7"/>
    </row>
    <row r="329" spans="1:6" x14ac:dyDescent="0.25">
      <c r="A329" s="7"/>
      <c r="E329" s="7"/>
      <c r="F329" s="7"/>
    </row>
    <row r="330" spans="1:6" x14ac:dyDescent="0.25">
      <c r="A330" s="7"/>
      <c r="E330" s="7"/>
      <c r="F330" s="7"/>
    </row>
    <row r="331" spans="1:6" x14ac:dyDescent="0.25">
      <c r="A331" s="7"/>
      <c r="E331" s="7"/>
      <c r="F331" s="7"/>
    </row>
    <row r="332" spans="1:6" x14ac:dyDescent="0.25">
      <c r="A332" s="7"/>
      <c r="E332" s="7"/>
      <c r="F332" s="7"/>
    </row>
    <row r="333" spans="1:6" x14ac:dyDescent="0.25">
      <c r="A333" s="7"/>
      <c r="E333" s="7"/>
      <c r="F333" s="7"/>
    </row>
    <row r="334" spans="1:6" x14ac:dyDescent="0.25">
      <c r="A334" s="7"/>
      <c r="E334" s="7"/>
      <c r="F334" s="7"/>
    </row>
    <row r="335" spans="1:6" x14ac:dyDescent="0.25">
      <c r="A335" s="7"/>
      <c r="E335" s="7"/>
      <c r="F335" s="7"/>
    </row>
    <row r="336" spans="1:6" x14ac:dyDescent="0.25">
      <c r="A336" s="7"/>
      <c r="E336" s="7"/>
      <c r="F336" s="7"/>
    </row>
    <row r="337" spans="1:6" x14ac:dyDescent="0.25">
      <c r="A337" s="7"/>
      <c r="E337" s="7"/>
      <c r="F337" s="7"/>
    </row>
    <row r="338" spans="1:6" x14ac:dyDescent="0.25">
      <c r="A338" s="7"/>
      <c r="E338" s="7"/>
      <c r="F338" s="7"/>
    </row>
    <row r="339" spans="1:6" x14ac:dyDescent="0.25">
      <c r="A339" s="7"/>
      <c r="E339" s="7"/>
      <c r="F339" s="7"/>
    </row>
    <row r="340" spans="1:6" x14ac:dyDescent="0.25">
      <c r="A340" s="7"/>
      <c r="E340" s="7"/>
      <c r="F340" s="7"/>
    </row>
    <row r="341" spans="1:6" x14ac:dyDescent="0.25">
      <c r="A341" s="7"/>
      <c r="E341" s="7"/>
      <c r="F341" s="7"/>
    </row>
    <row r="342" spans="1:6" x14ac:dyDescent="0.25">
      <c r="A342" s="7"/>
      <c r="E342" s="7"/>
      <c r="F342" s="7"/>
    </row>
    <row r="343" spans="1:6" x14ac:dyDescent="0.25">
      <c r="A343" s="7"/>
      <c r="E343" s="7"/>
      <c r="F343" s="7"/>
    </row>
    <row r="344" spans="1:6" x14ac:dyDescent="0.25">
      <c r="A344" s="7"/>
      <c r="E344" s="7"/>
      <c r="F344" s="7"/>
    </row>
    <row r="345" spans="1:6" x14ac:dyDescent="0.25">
      <c r="A345" s="7"/>
      <c r="E345" s="7"/>
      <c r="F345" s="7"/>
    </row>
    <row r="346" spans="1:6" x14ac:dyDescent="0.25">
      <c r="A346" s="7"/>
      <c r="E346" s="7"/>
      <c r="F346" s="7"/>
    </row>
    <row r="347" spans="1:6" x14ac:dyDescent="0.25">
      <c r="A347" s="7"/>
      <c r="E347" s="7"/>
      <c r="F347" s="7"/>
    </row>
    <row r="348" spans="1:6" x14ac:dyDescent="0.25">
      <c r="A348" s="7"/>
      <c r="E348" s="7"/>
      <c r="F348" s="7"/>
    </row>
    <row r="349" spans="1:6" x14ac:dyDescent="0.25">
      <c r="A349" s="7"/>
      <c r="E349" s="7"/>
      <c r="F349" s="7"/>
    </row>
    <row r="350" spans="1:6" x14ac:dyDescent="0.25">
      <c r="A350" s="7"/>
      <c r="E350" s="7"/>
      <c r="F350" s="7"/>
    </row>
    <row r="351" spans="1:6" x14ac:dyDescent="0.25">
      <c r="A351" s="7"/>
      <c r="E351" s="7"/>
      <c r="F351" s="7"/>
    </row>
    <row r="352" spans="1:6" x14ac:dyDescent="0.25">
      <c r="A352" s="7"/>
      <c r="E352" s="7"/>
      <c r="F352" s="7"/>
    </row>
    <row r="353" spans="1:6" x14ac:dyDescent="0.25">
      <c r="A353" s="7"/>
      <c r="E353" s="7"/>
      <c r="F353" s="7"/>
    </row>
    <row r="354" spans="1:6" x14ac:dyDescent="0.25">
      <c r="A354" s="7"/>
      <c r="E354" s="7"/>
      <c r="F354" s="7"/>
    </row>
    <row r="355" spans="1:6" x14ac:dyDescent="0.25">
      <c r="A355" s="7"/>
      <c r="E355" s="7"/>
      <c r="F355" s="7"/>
    </row>
    <row r="356" spans="1:6" x14ac:dyDescent="0.25">
      <c r="A356" s="7"/>
      <c r="E356" s="7"/>
      <c r="F356" s="7"/>
    </row>
    <row r="357" spans="1:6" x14ac:dyDescent="0.25">
      <c r="A357" s="7"/>
      <c r="E357" s="7"/>
      <c r="F357" s="7"/>
    </row>
    <row r="358" spans="1:6" x14ac:dyDescent="0.25">
      <c r="A358" s="7"/>
      <c r="E358" s="7"/>
      <c r="F358" s="7"/>
    </row>
    <row r="359" spans="1:6" x14ac:dyDescent="0.25">
      <c r="A359" s="7"/>
      <c r="E359" s="7"/>
      <c r="F359" s="7"/>
    </row>
    <row r="360" spans="1:6" x14ac:dyDescent="0.25">
      <c r="A360" s="7"/>
      <c r="E360" s="7"/>
      <c r="F360" s="7"/>
    </row>
    <row r="361" spans="1:6" x14ac:dyDescent="0.25">
      <c r="A361" s="7"/>
      <c r="E361" s="7"/>
      <c r="F361" s="7"/>
    </row>
    <row r="362" spans="1:6" x14ac:dyDescent="0.25">
      <c r="A362" s="7"/>
      <c r="E362" s="7"/>
      <c r="F362" s="7"/>
    </row>
    <row r="363" spans="1:6" x14ac:dyDescent="0.25">
      <c r="A363" s="7"/>
      <c r="E363" s="7"/>
      <c r="F363" s="7"/>
    </row>
    <row r="364" spans="1:6" x14ac:dyDescent="0.25">
      <c r="A364" s="7"/>
      <c r="E364" s="7"/>
      <c r="F364" s="7"/>
    </row>
    <row r="365" spans="1:6" x14ac:dyDescent="0.25">
      <c r="A365" s="7"/>
      <c r="E365" s="7"/>
      <c r="F365" s="7"/>
    </row>
    <row r="366" spans="1:6" x14ac:dyDescent="0.25">
      <c r="A366" s="7"/>
      <c r="E366" s="7"/>
      <c r="F366" s="7"/>
    </row>
    <row r="367" spans="1:6" x14ac:dyDescent="0.25">
      <c r="A367" s="7"/>
      <c r="E367" s="7"/>
      <c r="F367" s="7"/>
    </row>
    <row r="368" spans="1:6" x14ac:dyDescent="0.25">
      <c r="A368" s="7"/>
      <c r="E368" s="7"/>
      <c r="F368" s="7"/>
    </row>
    <row r="369" spans="1:6" x14ac:dyDescent="0.25">
      <c r="A369" s="7"/>
      <c r="E369" s="7"/>
      <c r="F369" s="7"/>
    </row>
    <row r="370" spans="1:6" x14ac:dyDescent="0.25">
      <c r="A370" s="7"/>
      <c r="E370" s="7"/>
      <c r="F370" s="7"/>
    </row>
    <row r="371" spans="1:6" x14ac:dyDescent="0.25">
      <c r="A371" s="7"/>
      <c r="E371" s="7"/>
      <c r="F371" s="7"/>
    </row>
    <row r="372" spans="1:6" x14ac:dyDescent="0.25">
      <c r="A372" s="7"/>
      <c r="E372" s="7"/>
      <c r="F372" s="7"/>
    </row>
    <row r="373" spans="1:6" x14ac:dyDescent="0.25">
      <c r="A373" s="7"/>
      <c r="E373" s="7"/>
      <c r="F373" s="7"/>
    </row>
    <row r="374" spans="1:6" x14ac:dyDescent="0.25">
      <c r="A374" s="7"/>
      <c r="E374" s="7"/>
      <c r="F374" s="7"/>
    </row>
    <row r="375" spans="1:6" x14ac:dyDescent="0.25">
      <c r="A375" s="7"/>
      <c r="E375" s="7"/>
      <c r="F375" s="7"/>
    </row>
    <row r="376" spans="1:6" x14ac:dyDescent="0.25">
      <c r="A376" s="7"/>
      <c r="E376" s="7"/>
      <c r="F376" s="7"/>
    </row>
    <row r="377" spans="1:6" x14ac:dyDescent="0.25">
      <c r="A377" s="7"/>
      <c r="E377" s="7"/>
      <c r="F377" s="7"/>
    </row>
    <row r="378" spans="1:6" x14ac:dyDescent="0.25">
      <c r="A378" s="7"/>
      <c r="E378" s="7"/>
      <c r="F378" s="7"/>
    </row>
    <row r="379" spans="1:6" x14ac:dyDescent="0.25">
      <c r="A379" s="7"/>
      <c r="E379" s="7"/>
      <c r="F379" s="7"/>
    </row>
    <row r="380" spans="1:6" x14ac:dyDescent="0.25">
      <c r="A380" s="7"/>
      <c r="E380" s="7"/>
      <c r="F380" s="7"/>
    </row>
    <row r="381" spans="1:6" x14ac:dyDescent="0.25">
      <c r="A381" s="7"/>
      <c r="E381" s="7"/>
      <c r="F381" s="7"/>
    </row>
    <row r="382" spans="1:6" x14ac:dyDescent="0.25">
      <c r="A382" s="7"/>
      <c r="E382" s="7"/>
      <c r="F382" s="7"/>
    </row>
    <row r="383" spans="1:6" x14ac:dyDescent="0.25">
      <c r="A383" s="7"/>
      <c r="E383" s="7"/>
      <c r="F383" s="7"/>
    </row>
    <row r="384" spans="1:6" x14ac:dyDescent="0.25">
      <c r="A384" s="7"/>
      <c r="E384" s="7"/>
      <c r="F384" s="7"/>
    </row>
    <row r="385" spans="1:6" x14ac:dyDescent="0.25">
      <c r="A385" s="7"/>
      <c r="E385" s="7"/>
      <c r="F385" s="7"/>
    </row>
    <row r="386" spans="1:6" x14ac:dyDescent="0.25">
      <c r="A386" s="7"/>
      <c r="E386" s="7"/>
      <c r="F386" s="7"/>
    </row>
    <row r="387" spans="1:6" x14ac:dyDescent="0.25">
      <c r="A387" s="7"/>
      <c r="E387" s="7"/>
      <c r="F387" s="7"/>
    </row>
    <row r="388" spans="1:6" x14ac:dyDescent="0.25">
      <c r="A388" s="7"/>
      <c r="E388" s="7"/>
      <c r="F388" s="7"/>
    </row>
    <row r="389" spans="1:6" x14ac:dyDescent="0.25">
      <c r="A389" s="7"/>
      <c r="E389" s="7"/>
      <c r="F389" s="7"/>
    </row>
    <row r="390" spans="1:6" x14ac:dyDescent="0.25">
      <c r="A390" s="7"/>
      <c r="E390" s="7"/>
      <c r="F390" s="7"/>
    </row>
    <row r="391" spans="1:6" x14ac:dyDescent="0.25">
      <c r="A391" s="7"/>
      <c r="E391" s="7"/>
      <c r="F391" s="7"/>
    </row>
    <row r="392" spans="1:6" x14ac:dyDescent="0.25">
      <c r="A392" s="7"/>
      <c r="E392" s="7"/>
      <c r="F392" s="7"/>
    </row>
    <row r="393" spans="1:6" x14ac:dyDescent="0.25">
      <c r="A393" s="7"/>
      <c r="E393" s="7"/>
      <c r="F393" s="7"/>
    </row>
    <row r="394" spans="1:6" x14ac:dyDescent="0.25">
      <c r="A394" s="7"/>
      <c r="E394" s="7"/>
      <c r="F394" s="7"/>
    </row>
    <row r="395" spans="1:6" x14ac:dyDescent="0.25">
      <c r="A395" s="7"/>
      <c r="E395" s="7"/>
      <c r="F395" s="7"/>
    </row>
    <row r="396" spans="1:6" x14ac:dyDescent="0.25">
      <c r="A396" s="7"/>
      <c r="E396" s="7"/>
      <c r="F396" s="7"/>
    </row>
    <row r="397" spans="1:6" x14ac:dyDescent="0.25">
      <c r="A397" s="7"/>
      <c r="E397" s="7"/>
      <c r="F397" s="7"/>
    </row>
    <row r="398" spans="1:6" x14ac:dyDescent="0.25">
      <c r="A398" s="7"/>
      <c r="E398" s="7"/>
      <c r="F398" s="7"/>
    </row>
    <row r="399" spans="1:6" x14ac:dyDescent="0.25">
      <c r="A399" s="7"/>
      <c r="E399" s="7"/>
      <c r="F399" s="7"/>
    </row>
    <row r="400" spans="1:6" x14ac:dyDescent="0.25">
      <c r="A400" s="7"/>
      <c r="E400" s="7"/>
      <c r="F400" s="7"/>
    </row>
    <row r="401" spans="1:6" x14ac:dyDescent="0.25">
      <c r="A401" s="7"/>
      <c r="E401" s="7"/>
      <c r="F401" s="7"/>
    </row>
    <row r="402" spans="1:6" x14ac:dyDescent="0.25">
      <c r="A402" s="7"/>
      <c r="E402" s="7"/>
      <c r="F402" s="7"/>
    </row>
    <row r="403" spans="1:6" x14ac:dyDescent="0.25">
      <c r="A403" s="7"/>
      <c r="E403" s="7"/>
      <c r="F403" s="7"/>
    </row>
    <row r="404" spans="1:6" x14ac:dyDescent="0.25">
      <c r="A404" s="7"/>
      <c r="E404" s="7"/>
      <c r="F404" s="7"/>
    </row>
    <row r="405" spans="1:6" x14ac:dyDescent="0.25">
      <c r="A405" s="7"/>
      <c r="E405" s="7"/>
      <c r="F405" s="7"/>
    </row>
    <row r="406" spans="1:6" x14ac:dyDescent="0.25">
      <c r="A406" s="7"/>
      <c r="E406" s="7"/>
      <c r="F406" s="7"/>
    </row>
    <row r="407" spans="1:6" x14ac:dyDescent="0.25">
      <c r="A407" s="7"/>
      <c r="E407" s="7"/>
      <c r="F407" s="7"/>
    </row>
    <row r="408" spans="1:6" x14ac:dyDescent="0.25">
      <c r="A408" s="7"/>
      <c r="E408" s="7"/>
      <c r="F408" s="7"/>
    </row>
    <row r="409" spans="1:6" x14ac:dyDescent="0.25">
      <c r="A409" s="7"/>
      <c r="E409" s="7"/>
      <c r="F409" s="7"/>
    </row>
    <row r="410" spans="1:6" x14ac:dyDescent="0.25">
      <c r="A410" s="7"/>
      <c r="E410" s="7"/>
      <c r="F410" s="7"/>
    </row>
    <row r="411" spans="1:6" x14ac:dyDescent="0.25">
      <c r="A411" s="7"/>
      <c r="E411" s="7"/>
      <c r="F411" s="7"/>
    </row>
    <row r="412" spans="1:6" x14ac:dyDescent="0.25">
      <c r="A412" s="7"/>
      <c r="E412" s="7"/>
      <c r="F412" s="7"/>
    </row>
    <row r="413" spans="1:6" x14ac:dyDescent="0.25">
      <c r="A413" s="7"/>
      <c r="E413" s="7"/>
      <c r="F413" s="7"/>
    </row>
    <row r="414" spans="1:6" x14ac:dyDescent="0.25">
      <c r="A414" s="7"/>
      <c r="E414" s="7"/>
      <c r="F414" s="7"/>
    </row>
    <row r="415" spans="1:6" x14ac:dyDescent="0.25">
      <c r="A415" s="7"/>
      <c r="E415" s="7"/>
      <c r="F415" s="7"/>
    </row>
    <row r="416" spans="1:6" x14ac:dyDescent="0.25">
      <c r="A416" s="7"/>
      <c r="E416" s="7"/>
      <c r="F416" s="7"/>
    </row>
    <row r="417" spans="1:6" x14ac:dyDescent="0.25">
      <c r="A417" s="7"/>
      <c r="E417" s="7"/>
      <c r="F417" s="7"/>
    </row>
    <row r="418" spans="1:6" x14ac:dyDescent="0.25">
      <c r="A418" s="7"/>
      <c r="E418" s="7"/>
      <c r="F418" s="7"/>
    </row>
    <row r="419" spans="1:6" x14ac:dyDescent="0.25">
      <c r="A419" s="7"/>
      <c r="E419" s="7"/>
      <c r="F419" s="7"/>
    </row>
    <row r="420" spans="1:6" x14ac:dyDescent="0.25">
      <c r="A420" s="7"/>
      <c r="E420" s="7"/>
      <c r="F420" s="7"/>
    </row>
    <row r="421" spans="1:6" x14ac:dyDescent="0.25">
      <c r="A421" s="7"/>
      <c r="E421" s="7"/>
      <c r="F421" s="7"/>
    </row>
    <row r="422" spans="1:6" x14ac:dyDescent="0.25">
      <c r="A422" s="7"/>
      <c r="E422" s="7"/>
      <c r="F422" s="7"/>
    </row>
    <row r="423" spans="1:6" x14ac:dyDescent="0.25">
      <c r="A423" s="7"/>
      <c r="E423" s="7"/>
      <c r="F423" s="7"/>
    </row>
    <row r="424" spans="1:6" x14ac:dyDescent="0.25">
      <c r="A424" s="7"/>
      <c r="E424" s="7"/>
      <c r="F424" s="7"/>
    </row>
    <row r="425" spans="1:6" x14ac:dyDescent="0.25">
      <c r="A425" s="7"/>
      <c r="E425" s="7"/>
      <c r="F425" s="7"/>
    </row>
    <row r="426" spans="1:6" x14ac:dyDescent="0.25">
      <c r="A426" s="7"/>
      <c r="E426" s="7"/>
      <c r="F426" s="7"/>
    </row>
    <row r="427" spans="1:6" x14ac:dyDescent="0.25">
      <c r="A427" s="7"/>
      <c r="E427" s="7"/>
      <c r="F427" s="7"/>
    </row>
    <row r="428" spans="1:6" x14ac:dyDescent="0.25">
      <c r="A428" s="7"/>
      <c r="E428" s="7"/>
      <c r="F428" s="7"/>
    </row>
    <row r="429" spans="1:6" x14ac:dyDescent="0.25">
      <c r="A429" s="7"/>
      <c r="E429" s="7"/>
      <c r="F429" s="7"/>
    </row>
    <row r="430" spans="1:6" x14ac:dyDescent="0.25">
      <c r="A430" s="7"/>
      <c r="E430" s="7"/>
      <c r="F430" s="7"/>
    </row>
    <row r="431" spans="1:6" x14ac:dyDescent="0.25">
      <c r="A431" s="7"/>
      <c r="E431" s="7"/>
      <c r="F431" s="7"/>
    </row>
    <row r="432" spans="1:6" x14ac:dyDescent="0.25">
      <c r="A432" s="7"/>
      <c r="E432" s="7"/>
      <c r="F432" s="7"/>
    </row>
    <row r="433" spans="1:6" x14ac:dyDescent="0.25">
      <c r="A433" s="7"/>
      <c r="E433" s="7"/>
      <c r="F433" s="7"/>
    </row>
    <row r="434" spans="1:6" x14ac:dyDescent="0.25">
      <c r="A434" s="7"/>
      <c r="E434" s="7"/>
      <c r="F434" s="7"/>
    </row>
    <row r="435" spans="1:6" x14ac:dyDescent="0.25">
      <c r="A435" s="7"/>
      <c r="E435" s="7"/>
      <c r="F435" s="7"/>
    </row>
    <row r="436" spans="1:6" x14ac:dyDescent="0.25">
      <c r="A436" s="7"/>
      <c r="E436" s="7"/>
      <c r="F436" s="7"/>
    </row>
    <row r="437" spans="1:6" x14ac:dyDescent="0.25">
      <c r="A437" s="7"/>
      <c r="E437" s="7"/>
      <c r="F437" s="7"/>
    </row>
    <row r="438" spans="1:6" x14ac:dyDescent="0.25">
      <c r="A438" s="7"/>
      <c r="E438" s="7"/>
      <c r="F438" s="7"/>
    </row>
    <row r="439" spans="1:6" x14ac:dyDescent="0.25">
      <c r="A439" s="7"/>
      <c r="E439" s="7"/>
      <c r="F439" s="7"/>
    </row>
    <row r="440" spans="1:6" x14ac:dyDescent="0.25">
      <c r="A440" s="7"/>
      <c r="E440" s="7"/>
      <c r="F440" s="7"/>
    </row>
    <row r="441" spans="1:6" x14ac:dyDescent="0.25">
      <c r="A441" s="7"/>
      <c r="E441" s="7"/>
      <c r="F441" s="7"/>
    </row>
    <row r="442" spans="1:6" x14ac:dyDescent="0.25">
      <c r="A442" s="7"/>
      <c r="E442" s="7"/>
      <c r="F442" s="7"/>
    </row>
    <row r="443" spans="1:6" x14ac:dyDescent="0.25">
      <c r="A443" s="7"/>
      <c r="E443" s="7"/>
      <c r="F443" s="7"/>
    </row>
    <row r="444" spans="1:6" x14ac:dyDescent="0.25">
      <c r="A444" s="7"/>
      <c r="E444" s="7"/>
      <c r="F444" s="7"/>
    </row>
    <row r="445" spans="1:6" x14ac:dyDescent="0.25">
      <c r="A445" s="7"/>
      <c r="E445" s="7"/>
      <c r="F445" s="7"/>
    </row>
    <row r="446" spans="1:6" x14ac:dyDescent="0.25">
      <c r="A446" s="7"/>
      <c r="E446" s="7"/>
      <c r="F446" s="7"/>
    </row>
    <row r="447" spans="1:6" x14ac:dyDescent="0.25">
      <c r="A447" s="7"/>
      <c r="E447" s="7"/>
      <c r="F447" s="7"/>
    </row>
    <row r="448" spans="1:6" x14ac:dyDescent="0.25">
      <c r="A448" s="7"/>
      <c r="E448" s="7"/>
      <c r="F448" s="7"/>
    </row>
    <row r="449" spans="1:6" x14ac:dyDescent="0.25">
      <c r="A449" s="7"/>
      <c r="E449" s="7"/>
      <c r="F449" s="7"/>
    </row>
    <row r="450" spans="1:6" x14ac:dyDescent="0.25">
      <c r="A450" s="7"/>
      <c r="E450" s="7"/>
      <c r="F450" s="7"/>
    </row>
    <row r="451" spans="1:6" x14ac:dyDescent="0.25">
      <c r="A451" s="7"/>
      <c r="E451" s="7"/>
      <c r="F451" s="7"/>
    </row>
    <row r="452" spans="1:6" x14ac:dyDescent="0.25">
      <c r="A452" s="7"/>
      <c r="E452" s="7"/>
      <c r="F452" s="7"/>
    </row>
    <row r="453" spans="1:6" x14ac:dyDescent="0.25">
      <c r="A453" s="7"/>
      <c r="E453" s="7"/>
      <c r="F453" s="7"/>
    </row>
    <row r="454" spans="1:6" x14ac:dyDescent="0.25">
      <c r="A454" s="7"/>
      <c r="E454" s="7"/>
      <c r="F454" s="7"/>
    </row>
    <row r="455" spans="1:6" x14ac:dyDescent="0.25">
      <c r="A455" s="7"/>
      <c r="E455" s="7"/>
      <c r="F455" s="7"/>
    </row>
    <row r="456" spans="1:6" x14ac:dyDescent="0.25">
      <c r="A456" s="7"/>
      <c r="E456" s="7"/>
      <c r="F456" s="7"/>
    </row>
    <row r="457" spans="1:6" x14ac:dyDescent="0.25">
      <c r="A457" s="7"/>
      <c r="E457" s="7"/>
      <c r="F457" s="7"/>
    </row>
    <row r="458" spans="1:6" x14ac:dyDescent="0.25">
      <c r="A458" s="7"/>
      <c r="E458" s="7"/>
      <c r="F458" s="7"/>
    </row>
    <row r="459" spans="1:6" x14ac:dyDescent="0.25">
      <c r="A459" s="7"/>
      <c r="E459" s="7"/>
      <c r="F459" s="7"/>
    </row>
    <row r="460" spans="1:6" x14ac:dyDescent="0.25">
      <c r="A460" s="7"/>
      <c r="E460" s="7"/>
      <c r="F460" s="7"/>
    </row>
    <row r="461" spans="1:6" x14ac:dyDescent="0.25">
      <c r="A461" s="7"/>
      <c r="E461" s="7"/>
      <c r="F461" s="7"/>
    </row>
    <row r="462" spans="1:6" x14ac:dyDescent="0.25">
      <c r="A462" s="7"/>
      <c r="E462" s="7"/>
      <c r="F462" s="7"/>
    </row>
    <row r="463" spans="1:6" x14ac:dyDescent="0.25">
      <c r="A463" s="7"/>
      <c r="E463" s="7"/>
      <c r="F463" s="7"/>
    </row>
    <row r="464" spans="1:6" x14ac:dyDescent="0.25">
      <c r="A464" s="7"/>
      <c r="E464" s="7"/>
      <c r="F464" s="7"/>
    </row>
    <row r="465" spans="1:6" x14ac:dyDescent="0.25">
      <c r="A465" s="7"/>
      <c r="E465" s="7"/>
      <c r="F465" s="7"/>
    </row>
    <row r="466" spans="1:6" x14ac:dyDescent="0.25">
      <c r="A466" s="7"/>
      <c r="E466" s="7"/>
      <c r="F466" s="7"/>
    </row>
    <row r="467" spans="1:6" x14ac:dyDescent="0.25">
      <c r="A467" s="7"/>
      <c r="E467" s="7"/>
      <c r="F467" s="7"/>
    </row>
    <row r="468" spans="1:6" x14ac:dyDescent="0.25">
      <c r="A468" s="7"/>
      <c r="E468" s="7"/>
      <c r="F468" s="7"/>
    </row>
    <row r="469" spans="1:6" x14ac:dyDescent="0.25">
      <c r="A469" s="7"/>
      <c r="E469" s="7"/>
      <c r="F469" s="7"/>
    </row>
    <row r="470" spans="1:6" x14ac:dyDescent="0.25">
      <c r="A470" s="7"/>
      <c r="E470" s="7"/>
      <c r="F470" s="7"/>
    </row>
    <row r="471" spans="1:6" x14ac:dyDescent="0.25">
      <c r="A471" s="7"/>
      <c r="E471" s="7"/>
      <c r="F471" s="7"/>
    </row>
    <row r="472" spans="1:6" x14ac:dyDescent="0.25">
      <c r="A472" s="7"/>
      <c r="E472" s="7"/>
      <c r="F472" s="7"/>
    </row>
    <row r="473" spans="1:6" x14ac:dyDescent="0.25">
      <c r="A473" s="7"/>
      <c r="E473" s="7"/>
      <c r="F473" s="7"/>
    </row>
    <row r="474" spans="1:6" x14ac:dyDescent="0.25">
      <c r="A474" s="7"/>
      <c r="E474" s="7"/>
      <c r="F474" s="7"/>
    </row>
    <row r="475" spans="1:6" x14ac:dyDescent="0.25">
      <c r="A475" s="7"/>
      <c r="E475" s="7"/>
      <c r="F475" s="7"/>
    </row>
    <row r="476" spans="1:6" x14ac:dyDescent="0.25">
      <c r="A476" s="7"/>
      <c r="E476" s="7"/>
      <c r="F476" s="7"/>
    </row>
    <row r="477" spans="1:6" x14ac:dyDescent="0.25">
      <c r="A477" s="7"/>
      <c r="E477" s="7"/>
      <c r="F477" s="7"/>
    </row>
    <row r="478" spans="1:6" x14ac:dyDescent="0.25">
      <c r="A478" s="7"/>
      <c r="E478" s="7"/>
      <c r="F478" s="7"/>
    </row>
    <row r="479" spans="1:6" x14ac:dyDescent="0.25">
      <c r="A479" s="7"/>
      <c r="E479" s="7"/>
      <c r="F479" s="7"/>
    </row>
    <row r="480" spans="1:6" x14ac:dyDescent="0.25">
      <c r="A480" s="7"/>
      <c r="E480" s="7"/>
      <c r="F480" s="7"/>
    </row>
    <row r="481" spans="1:6" x14ac:dyDescent="0.25">
      <c r="A481" s="7"/>
      <c r="E481" s="7"/>
      <c r="F481" s="7"/>
    </row>
    <row r="482" spans="1:6" x14ac:dyDescent="0.25">
      <c r="A482" s="7"/>
      <c r="E482" s="7"/>
      <c r="F482" s="7"/>
    </row>
    <row r="483" spans="1:6" x14ac:dyDescent="0.25">
      <c r="A483" s="7"/>
      <c r="E483" s="7"/>
      <c r="F483" s="7"/>
    </row>
    <row r="484" spans="1:6" x14ac:dyDescent="0.25">
      <c r="A484" s="7"/>
      <c r="E484" s="7"/>
      <c r="F484" s="7"/>
    </row>
    <row r="485" spans="1:6" x14ac:dyDescent="0.25">
      <c r="A485" s="7"/>
      <c r="E485" s="7"/>
      <c r="F485" s="7"/>
    </row>
    <row r="486" spans="1:6" x14ac:dyDescent="0.25">
      <c r="A486" s="7"/>
      <c r="E486" s="7"/>
      <c r="F486" s="7"/>
    </row>
    <row r="487" spans="1:6" x14ac:dyDescent="0.25">
      <c r="A487" s="7"/>
      <c r="E487" s="7"/>
      <c r="F487" s="7"/>
    </row>
    <row r="488" spans="1:6" x14ac:dyDescent="0.25">
      <c r="A488" s="7"/>
      <c r="E488" s="7"/>
      <c r="F488" s="7"/>
    </row>
    <row r="489" spans="1:6" x14ac:dyDescent="0.25">
      <c r="A489" s="7"/>
      <c r="E489" s="7"/>
      <c r="F489" s="7"/>
    </row>
    <row r="490" spans="1:6" x14ac:dyDescent="0.25">
      <c r="A490" s="7"/>
      <c r="E490" s="7"/>
      <c r="F490" s="7"/>
    </row>
    <row r="491" spans="1:6" x14ac:dyDescent="0.25">
      <c r="A491" s="7"/>
      <c r="E491" s="7"/>
      <c r="F491" s="7"/>
    </row>
    <row r="492" spans="1:6" x14ac:dyDescent="0.25">
      <c r="A492" s="7"/>
      <c r="E492" s="7"/>
      <c r="F492" s="7"/>
    </row>
    <row r="493" spans="1:6" x14ac:dyDescent="0.25">
      <c r="A493" s="7"/>
      <c r="E493" s="7"/>
      <c r="F493" s="7"/>
    </row>
    <row r="494" spans="1:6" x14ac:dyDescent="0.25">
      <c r="A494" s="7"/>
      <c r="E494" s="7"/>
      <c r="F494" s="7"/>
    </row>
    <row r="495" spans="1:6" x14ac:dyDescent="0.25">
      <c r="A495" s="7"/>
      <c r="E495" s="7"/>
      <c r="F495" s="7"/>
    </row>
    <row r="496" spans="1:6" x14ac:dyDescent="0.25">
      <c r="A496" s="7"/>
      <c r="E496" s="7"/>
      <c r="F496" s="7"/>
    </row>
    <row r="497" spans="1:6" x14ac:dyDescent="0.25">
      <c r="A497" s="7"/>
      <c r="E497" s="7"/>
      <c r="F497" s="7"/>
    </row>
    <row r="498" spans="1:6" x14ac:dyDescent="0.25">
      <c r="A498" s="7"/>
      <c r="E498" s="7"/>
      <c r="F498" s="7"/>
    </row>
    <row r="499" spans="1:6" x14ac:dyDescent="0.25">
      <c r="A499" s="7"/>
      <c r="E499" s="7"/>
      <c r="F499" s="7"/>
    </row>
    <row r="500" spans="1:6" x14ac:dyDescent="0.25">
      <c r="A500" s="7"/>
      <c r="E500" s="7"/>
      <c r="F500" s="7"/>
    </row>
    <row r="501" spans="1:6" x14ac:dyDescent="0.25">
      <c r="A501" s="7"/>
      <c r="E501" s="7"/>
      <c r="F501" s="7"/>
    </row>
    <row r="502" spans="1:6" x14ac:dyDescent="0.25">
      <c r="A502" s="7"/>
      <c r="E502" s="7"/>
      <c r="F502" s="7"/>
    </row>
    <row r="503" spans="1:6" x14ac:dyDescent="0.25">
      <c r="A503" s="7"/>
      <c r="E503" s="7"/>
      <c r="F503" s="7"/>
    </row>
    <row r="504" spans="1:6" x14ac:dyDescent="0.25">
      <c r="A504" s="7"/>
      <c r="E504" s="7"/>
      <c r="F504" s="7"/>
    </row>
    <row r="505" spans="1:6" x14ac:dyDescent="0.25">
      <c r="A505" s="7"/>
      <c r="E505" s="7"/>
      <c r="F505" s="7"/>
    </row>
    <row r="506" spans="1:6" x14ac:dyDescent="0.25">
      <c r="A506" s="7"/>
      <c r="E506" s="7"/>
      <c r="F506" s="7"/>
    </row>
    <row r="507" spans="1:6" x14ac:dyDescent="0.25">
      <c r="A507" s="7"/>
      <c r="E507" s="7"/>
      <c r="F507" s="7"/>
    </row>
    <row r="508" spans="1:6" x14ac:dyDescent="0.25">
      <c r="A508" s="7"/>
      <c r="E508" s="7"/>
      <c r="F508" s="7"/>
    </row>
    <row r="509" spans="1:6" x14ac:dyDescent="0.25">
      <c r="A509" s="7"/>
      <c r="E509" s="7"/>
      <c r="F509" s="7"/>
    </row>
    <row r="510" spans="1:6" x14ac:dyDescent="0.25">
      <c r="A510" s="7"/>
      <c r="E510" s="7"/>
      <c r="F510" s="7"/>
    </row>
    <row r="511" spans="1:6" x14ac:dyDescent="0.25">
      <c r="A511" s="7"/>
      <c r="E511" s="7"/>
      <c r="F511" s="7"/>
    </row>
    <row r="512" spans="1:6" x14ac:dyDescent="0.25">
      <c r="A512" s="7"/>
      <c r="E512" s="7"/>
      <c r="F512" s="7"/>
    </row>
    <row r="513" spans="1:6" x14ac:dyDescent="0.25">
      <c r="A513" s="7"/>
      <c r="E513" s="7"/>
      <c r="F513" s="7"/>
    </row>
    <row r="514" spans="1:6" x14ac:dyDescent="0.25">
      <c r="A514" s="7"/>
      <c r="E514" s="7"/>
      <c r="F514" s="7"/>
    </row>
    <row r="515" spans="1:6" x14ac:dyDescent="0.25">
      <c r="A515" s="7"/>
      <c r="E515" s="7"/>
      <c r="F515" s="7"/>
    </row>
    <row r="516" spans="1:6" x14ac:dyDescent="0.25">
      <c r="A516" s="7"/>
      <c r="E516" s="7"/>
      <c r="F516" s="7"/>
    </row>
    <row r="517" spans="1:6" x14ac:dyDescent="0.25">
      <c r="A517" s="7"/>
      <c r="E517" s="7"/>
      <c r="F517" s="7"/>
    </row>
    <row r="518" spans="1:6" x14ac:dyDescent="0.25">
      <c r="A518" s="7"/>
      <c r="E518" s="7"/>
      <c r="F518" s="7"/>
    </row>
    <row r="519" spans="1:6" x14ac:dyDescent="0.25">
      <c r="A519" s="7"/>
      <c r="E519" s="7"/>
      <c r="F519" s="7"/>
    </row>
    <row r="520" spans="1:6" x14ac:dyDescent="0.25">
      <c r="A520" s="7"/>
      <c r="E520" s="7"/>
      <c r="F520" s="7"/>
    </row>
    <row r="521" spans="1:6" x14ac:dyDescent="0.25">
      <c r="A521" s="7"/>
      <c r="E521" s="7"/>
      <c r="F521" s="7"/>
    </row>
    <row r="522" spans="1:6" x14ac:dyDescent="0.25">
      <c r="A522" s="7"/>
      <c r="E522" s="7"/>
      <c r="F522" s="7"/>
    </row>
    <row r="523" spans="1:6" x14ac:dyDescent="0.25">
      <c r="A523" s="7"/>
      <c r="E523" s="7"/>
      <c r="F523" s="7"/>
    </row>
    <row r="524" spans="1:6" x14ac:dyDescent="0.25">
      <c r="A524" s="7"/>
      <c r="E524" s="7"/>
      <c r="F524" s="7"/>
    </row>
    <row r="525" spans="1:6" x14ac:dyDescent="0.25">
      <c r="A525" s="7"/>
      <c r="E525" s="7"/>
      <c r="F525" s="7"/>
    </row>
    <row r="526" spans="1:6" x14ac:dyDescent="0.25">
      <c r="A526" s="7"/>
      <c r="E526" s="7"/>
      <c r="F526" s="7"/>
    </row>
    <row r="527" spans="1:6" x14ac:dyDescent="0.25">
      <c r="A527" s="7"/>
      <c r="E527" s="7"/>
      <c r="F527" s="7"/>
    </row>
    <row r="528" spans="1:6" x14ac:dyDescent="0.25">
      <c r="A528" s="7"/>
      <c r="E528" s="7"/>
      <c r="F528" s="7"/>
    </row>
    <row r="529" spans="1:6" x14ac:dyDescent="0.25">
      <c r="A529" s="7"/>
      <c r="E529" s="7"/>
      <c r="F529" s="7"/>
    </row>
    <row r="530" spans="1:6" x14ac:dyDescent="0.25">
      <c r="A530" s="7"/>
      <c r="E530" s="7"/>
      <c r="F530" s="7"/>
    </row>
    <row r="531" spans="1:6" x14ac:dyDescent="0.25">
      <c r="A531" s="7"/>
      <c r="E531" s="7"/>
      <c r="F531" s="7"/>
    </row>
    <row r="532" spans="1:6" x14ac:dyDescent="0.25">
      <c r="A532" s="7"/>
      <c r="E532" s="7"/>
      <c r="F532" s="7"/>
    </row>
    <row r="533" spans="1:6" x14ac:dyDescent="0.25">
      <c r="A533" s="7"/>
      <c r="E533" s="7"/>
      <c r="F533" s="7"/>
    </row>
    <row r="534" spans="1:6" x14ac:dyDescent="0.25">
      <c r="A534" s="7"/>
      <c r="E534" s="7"/>
      <c r="F534" s="7"/>
    </row>
    <row r="535" spans="1:6" x14ac:dyDescent="0.25">
      <c r="A535" s="7"/>
      <c r="E535" s="7"/>
      <c r="F535" s="7"/>
    </row>
    <row r="536" spans="1:6" x14ac:dyDescent="0.25">
      <c r="A536" s="7"/>
      <c r="E536" s="7"/>
      <c r="F536" s="7"/>
    </row>
    <row r="537" spans="1:6" x14ac:dyDescent="0.25">
      <c r="A537" s="7"/>
      <c r="E537" s="7"/>
      <c r="F537" s="7"/>
    </row>
    <row r="538" spans="1:6" x14ac:dyDescent="0.25">
      <c r="A538" s="7"/>
      <c r="E538" s="7"/>
      <c r="F538" s="7"/>
    </row>
    <row r="539" spans="1:6" x14ac:dyDescent="0.25">
      <c r="A539" s="7"/>
      <c r="E539" s="7"/>
      <c r="F539" s="7"/>
    </row>
    <row r="540" spans="1:6" x14ac:dyDescent="0.25">
      <c r="A540" s="7"/>
      <c r="E540" s="7"/>
      <c r="F540" s="7"/>
    </row>
    <row r="541" spans="1:6" x14ac:dyDescent="0.25">
      <c r="A541" s="7"/>
      <c r="E541" s="7"/>
      <c r="F541" s="7"/>
    </row>
    <row r="542" spans="1:6" x14ac:dyDescent="0.25">
      <c r="A542" s="7"/>
      <c r="E542" s="7"/>
      <c r="F542" s="7"/>
    </row>
    <row r="543" spans="1:6" x14ac:dyDescent="0.25">
      <c r="A543" s="7"/>
      <c r="E543" s="7"/>
      <c r="F543" s="7"/>
    </row>
    <row r="544" spans="1:6" x14ac:dyDescent="0.25">
      <c r="A544" s="7"/>
      <c r="E544" s="7"/>
      <c r="F544" s="7"/>
    </row>
    <row r="545" spans="1:6" x14ac:dyDescent="0.25">
      <c r="A545" s="7"/>
      <c r="E545" s="7"/>
      <c r="F545" s="7"/>
    </row>
    <row r="546" spans="1:6" x14ac:dyDescent="0.25">
      <c r="A546" s="7"/>
      <c r="E546" s="7"/>
      <c r="F546" s="7"/>
    </row>
    <row r="547" spans="1:6" x14ac:dyDescent="0.25">
      <c r="A547" s="7"/>
      <c r="E547" s="7"/>
      <c r="F547" s="7"/>
    </row>
    <row r="548" spans="1:6" x14ac:dyDescent="0.25">
      <c r="A548" s="7"/>
      <c r="E548" s="7"/>
      <c r="F548" s="7"/>
    </row>
    <row r="549" spans="1:6" x14ac:dyDescent="0.25">
      <c r="A549" s="7"/>
      <c r="E549" s="7"/>
      <c r="F549" s="7"/>
    </row>
    <row r="550" spans="1:6" x14ac:dyDescent="0.25">
      <c r="A550" s="7"/>
      <c r="E550" s="7"/>
      <c r="F550" s="7"/>
    </row>
    <row r="551" spans="1:6" x14ac:dyDescent="0.25">
      <c r="A551" s="7"/>
      <c r="E551" s="7"/>
      <c r="F551" s="7"/>
    </row>
    <row r="552" spans="1:6" x14ac:dyDescent="0.25">
      <c r="A552" s="7"/>
      <c r="E552" s="7"/>
      <c r="F552" s="7"/>
    </row>
    <row r="553" spans="1:6" x14ac:dyDescent="0.25">
      <c r="A553" s="7"/>
      <c r="E553" s="7"/>
      <c r="F553" s="7"/>
    </row>
    <row r="554" spans="1:6" x14ac:dyDescent="0.25">
      <c r="A554" s="7"/>
      <c r="E554" s="7"/>
      <c r="F554" s="7"/>
    </row>
    <row r="555" spans="1:6" x14ac:dyDescent="0.25">
      <c r="A555" s="7"/>
      <c r="E555" s="7"/>
      <c r="F555" s="7"/>
    </row>
    <row r="556" spans="1:6" x14ac:dyDescent="0.25">
      <c r="A556" s="7"/>
      <c r="E556" s="7"/>
      <c r="F556" s="7"/>
    </row>
    <row r="557" spans="1:6" x14ac:dyDescent="0.25">
      <c r="A557" s="7"/>
      <c r="E557" s="7"/>
      <c r="F557" s="7"/>
    </row>
    <row r="558" spans="1:6" x14ac:dyDescent="0.25">
      <c r="A558" s="7"/>
      <c r="E558" s="7"/>
      <c r="F558" s="7"/>
    </row>
    <row r="559" spans="1:6" x14ac:dyDescent="0.25">
      <c r="A559" s="7"/>
      <c r="E559" s="7"/>
      <c r="F559" s="7"/>
    </row>
    <row r="560" spans="1:6" x14ac:dyDescent="0.25">
      <c r="A560" s="7"/>
      <c r="E560" s="7"/>
      <c r="F560" s="7"/>
    </row>
    <row r="561" spans="1:6" x14ac:dyDescent="0.25">
      <c r="A561" s="7"/>
      <c r="E561" s="7"/>
      <c r="F561" s="7"/>
    </row>
    <row r="562" spans="1:6" x14ac:dyDescent="0.25">
      <c r="A562" s="7"/>
      <c r="E562" s="7"/>
      <c r="F562" s="7"/>
    </row>
    <row r="563" spans="1:6" x14ac:dyDescent="0.25">
      <c r="A563" s="7"/>
      <c r="E563" s="7"/>
      <c r="F563" s="7"/>
    </row>
    <row r="564" spans="1:6" x14ac:dyDescent="0.25">
      <c r="A564" s="7"/>
      <c r="E564" s="7"/>
      <c r="F564" s="7"/>
    </row>
    <row r="565" spans="1:6" x14ac:dyDescent="0.25">
      <c r="A565" s="7"/>
      <c r="E565" s="7"/>
      <c r="F565" s="7"/>
    </row>
    <row r="566" spans="1:6" x14ac:dyDescent="0.25">
      <c r="A566" s="7"/>
      <c r="E566" s="7"/>
      <c r="F566" s="7"/>
    </row>
    <row r="567" spans="1:6" x14ac:dyDescent="0.25">
      <c r="A567" s="7"/>
      <c r="E567" s="7"/>
      <c r="F567" s="7"/>
    </row>
    <row r="568" spans="1:6" x14ac:dyDescent="0.25">
      <c r="A568" s="7"/>
      <c r="E568" s="7"/>
      <c r="F568" s="7"/>
    </row>
    <row r="569" spans="1:6" x14ac:dyDescent="0.25">
      <c r="A569" s="7"/>
      <c r="E569" s="7"/>
      <c r="F569" s="7"/>
    </row>
    <row r="570" spans="1:6" x14ac:dyDescent="0.25">
      <c r="A570" s="7"/>
      <c r="E570" s="7"/>
      <c r="F570" s="7"/>
    </row>
    <row r="571" spans="1:6" x14ac:dyDescent="0.25">
      <c r="A571" s="7"/>
      <c r="E571" s="7"/>
      <c r="F571" s="7"/>
    </row>
    <row r="572" spans="1:6" x14ac:dyDescent="0.25">
      <c r="A572" s="7"/>
      <c r="E572" s="7"/>
      <c r="F572" s="7"/>
    </row>
    <row r="573" spans="1:6" x14ac:dyDescent="0.25">
      <c r="A573" s="7"/>
      <c r="E573" s="7"/>
      <c r="F573" s="7"/>
    </row>
    <row r="574" spans="1:6" x14ac:dyDescent="0.25">
      <c r="A574" s="7"/>
      <c r="E574" s="7"/>
      <c r="F574" s="7"/>
    </row>
    <row r="575" spans="1:6" x14ac:dyDescent="0.25">
      <c r="A575" s="7"/>
      <c r="E575" s="7"/>
      <c r="F575" s="7"/>
    </row>
    <row r="576" spans="1:6" x14ac:dyDescent="0.25">
      <c r="A576" s="7"/>
      <c r="E576" s="7"/>
      <c r="F576" s="7"/>
    </row>
    <row r="577" spans="1:6" x14ac:dyDescent="0.25">
      <c r="A577" s="7"/>
      <c r="E577" s="7"/>
      <c r="F577" s="7"/>
    </row>
    <row r="578" spans="1:6" x14ac:dyDescent="0.25">
      <c r="A578" s="7"/>
      <c r="E578" s="7"/>
      <c r="F578" s="7"/>
    </row>
    <row r="579" spans="1:6" x14ac:dyDescent="0.25">
      <c r="A579" s="7"/>
      <c r="E579" s="7"/>
      <c r="F579" s="7"/>
    </row>
    <row r="580" spans="1:6" x14ac:dyDescent="0.25">
      <c r="A580" s="7"/>
      <c r="E580" s="7"/>
      <c r="F580" s="7"/>
    </row>
    <row r="581" spans="1:6" x14ac:dyDescent="0.25">
      <c r="A581" s="7"/>
      <c r="E581" s="7"/>
      <c r="F581" s="7"/>
    </row>
    <row r="582" spans="1:6" x14ac:dyDescent="0.25">
      <c r="A582" s="7"/>
      <c r="E582" s="7"/>
      <c r="F582" s="7"/>
    </row>
    <row r="583" spans="1:6" x14ac:dyDescent="0.25">
      <c r="A583" s="7"/>
      <c r="E583" s="7"/>
      <c r="F583" s="7"/>
    </row>
    <row r="584" spans="1:6" x14ac:dyDescent="0.25">
      <c r="A584" s="7"/>
      <c r="E584" s="7"/>
      <c r="F584" s="7"/>
    </row>
    <row r="585" spans="1:6" x14ac:dyDescent="0.25">
      <c r="A585" s="7"/>
      <c r="E585" s="7"/>
      <c r="F585" s="7"/>
    </row>
    <row r="586" spans="1:6" x14ac:dyDescent="0.25">
      <c r="A586" s="7"/>
      <c r="E586" s="7"/>
      <c r="F586" s="7"/>
    </row>
    <row r="587" spans="1:6" x14ac:dyDescent="0.25">
      <c r="A587" s="7"/>
      <c r="E587" s="7"/>
      <c r="F587" s="7"/>
    </row>
    <row r="588" spans="1:6" x14ac:dyDescent="0.25">
      <c r="A588" s="7"/>
      <c r="E588" s="7"/>
      <c r="F588" s="7"/>
    </row>
    <row r="589" spans="1:6" x14ac:dyDescent="0.25">
      <c r="A589" s="7"/>
      <c r="E589" s="7"/>
      <c r="F589" s="7"/>
    </row>
    <row r="590" spans="1:6" x14ac:dyDescent="0.25">
      <c r="A590" s="7"/>
      <c r="E590" s="7"/>
      <c r="F590" s="7"/>
    </row>
    <row r="591" spans="1:6" x14ac:dyDescent="0.25">
      <c r="A591" s="7"/>
      <c r="E591" s="7"/>
      <c r="F591" s="7"/>
    </row>
    <row r="592" spans="1:6" x14ac:dyDescent="0.25">
      <c r="A592" s="7"/>
      <c r="E592" s="7"/>
      <c r="F592" s="7"/>
    </row>
    <row r="593" spans="1:6" x14ac:dyDescent="0.25">
      <c r="A593" s="7"/>
      <c r="E593" s="7"/>
      <c r="F593" s="7"/>
    </row>
    <row r="594" spans="1:6" x14ac:dyDescent="0.25">
      <c r="A594" s="7"/>
      <c r="E594" s="7"/>
      <c r="F594" s="7"/>
    </row>
    <row r="595" spans="1:6" x14ac:dyDescent="0.25">
      <c r="A595" s="7"/>
      <c r="E595" s="7"/>
      <c r="F595" s="7"/>
    </row>
    <row r="596" spans="1:6" x14ac:dyDescent="0.25">
      <c r="A596" s="7"/>
      <c r="E596" s="7"/>
      <c r="F596" s="7"/>
    </row>
    <row r="597" spans="1:6" x14ac:dyDescent="0.25">
      <c r="A597" s="7"/>
      <c r="E597" s="7"/>
      <c r="F597" s="7"/>
    </row>
    <row r="598" spans="1:6" x14ac:dyDescent="0.25">
      <c r="A598" s="7"/>
      <c r="E598" s="7"/>
      <c r="F598" s="7"/>
    </row>
    <row r="599" spans="1:6" x14ac:dyDescent="0.25">
      <c r="A599" s="7"/>
      <c r="E599" s="7"/>
      <c r="F599" s="7"/>
    </row>
    <row r="600" spans="1:6" x14ac:dyDescent="0.25">
      <c r="A600" s="7"/>
      <c r="E600" s="7"/>
      <c r="F600" s="7"/>
    </row>
    <row r="601" spans="1:6" x14ac:dyDescent="0.25">
      <c r="A601" s="7"/>
      <c r="E601" s="7"/>
      <c r="F601" s="7"/>
    </row>
    <row r="602" spans="1:6" x14ac:dyDescent="0.25">
      <c r="A602" s="7"/>
      <c r="E602" s="7"/>
      <c r="F602" s="7"/>
    </row>
    <row r="603" spans="1:6" x14ac:dyDescent="0.25">
      <c r="A603" s="7"/>
      <c r="E603" s="7"/>
      <c r="F603" s="7"/>
    </row>
    <row r="604" spans="1:6" x14ac:dyDescent="0.25">
      <c r="A604" s="7"/>
      <c r="E604" s="7"/>
      <c r="F604" s="7"/>
    </row>
    <row r="605" spans="1:6" x14ac:dyDescent="0.25">
      <c r="A605" s="7"/>
      <c r="E605" s="7"/>
      <c r="F605" s="7"/>
    </row>
    <row r="606" spans="1:6" x14ac:dyDescent="0.25">
      <c r="A606" s="7"/>
      <c r="E606" s="7"/>
      <c r="F606" s="7"/>
    </row>
    <row r="607" spans="1:6" x14ac:dyDescent="0.25">
      <c r="A607" s="7"/>
      <c r="E607" s="7"/>
      <c r="F607" s="7"/>
    </row>
    <row r="608" spans="1:6" x14ac:dyDescent="0.25">
      <c r="A608" s="7"/>
      <c r="E608" s="7"/>
      <c r="F608" s="7"/>
    </row>
    <row r="609" spans="1:6" x14ac:dyDescent="0.25">
      <c r="A609" s="7"/>
      <c r="E609" s="7"/>
      <c r="F609" s="7"/>
    </row>
    <row r="610" spans="1:6" x14ac:dyDescent="0.25">
      <c r="A610" s="7"/>
      <c r="E610" s="7"/>
      <c r="F610" s="7"/>
    </row>
    <row r="611" spans="1:6" x14ac:dyDescent="0.25">
      <c r="A611" s="7"/>
      <c r="E611" s="7"/>
      <c r="F611" s="7"/>
    </row>
    <row r="612" spans="1:6" x14ac:dyDescent="0.25">
      <c r="A612" s="7"/>
      <c r="E612" s="7"/>
      <c r="F612" s="7"/>
    </row>
    <row r="613" spans="1:6" x14ac:dyDescent="0.25">
      <c r="A613" s="7"/>
      <c r="E613" s="7"/>
      <c r="F613" s="7"/>
    </row>
    <row r="614" spans="1:6" x14ac:dyDescent="0.25">
      <c r="A614" s="7"/>
      <c r="E614" s="7"/>
      <c r="F614" s="7"/>
    </row>
    <row r="615" spans="1:6" x14ac:dyDescent="0.25">
      <c r="A615" s="7"/>
      <c r="E615" s="7"/>
      <c r="F615" s="7"/>
    </row>
    <row r="616" spans="1:6" x14ac:dyDescent="0.25">
      <c r="A616" s="7"/>
      <c r="E616" s="7"/>
      <c r="F616" s="7"/>
    </row>
    <row r="617" spans="1:6" x14ac:dyDescent="0.25">
      <c r="A617" s="7"/>
      <c r="E617" s="7"/>
      <c r="F617" s="7"/>
    </row>
    <row r="618" spans="1:6" x14ac:dyDescent="0.25">
      <c r="A618" s="7"/>
      <c r="E618" s="7"/>
      <c r="F618" s="7"/>
    </row>
    <row r="619" spans="1:6" x14ac:dyDescent="0.25">
      <c r="A619" s="7"/>
      <c r="E619" s="7"/>
      <c r="F619" s="7"/>
    </row>
    <row r="620" spans="1:6" x14ac:dyDescent="0.25">
      <c r="A620" s="7"/>
      <c r="E620" s="7"/>
      <c r="F620" s="7"/>
    </row>
    <row r="621" spans="1:6" x14ac:dyDescent="0.25">
      <c r="A621" s="7"/>
      <c r="E621" s="7"/>
      <c r="F621" s="7"/>
    </row>
    <row r="622" spans="1:6" x14ac:dyDescent="0.25">
      <c r="A622" s="7"/>
      <c r="E622" s="7"/>
      <c r="F622" s="7"/>
    </row>
    <row r="623" spans="1:6" x14ac:dyDescent="0.25">
      <c r="A623" s="7"/>
      <c r="E623" s="7"/>
      <c r="F623" s="7"/>
    </row>
    <row r="624" spans="1:6" x14ac:dyDescent="0.25">
      <c r="A624" s="7"/>
      <c r="E624" s="7"/>
      <c r="F624" s="7"/>
    </row>
    <row r="625" spans="1:6" x14ac:dyDescent="0.25">
      <c r="A625" s="7"/>
      <c r="E625" s="7"/>
      <c r="F625" s="7"/>
    </row>
    <row r="626" spans="1:6" x14ac:dyDescent="0.25">
      <c r="A626" s="7"/>
      <c r="E626" s="7"/>
      <c r="F626" s="7"/>
    </row>
    <row r="627" spans="1:6" x14ac:dyDescent="0.25">
      <c r="A627" s="7"/>
      <c r="E627" s="7"/>
      <c r="F627" s="7"/>
    </row>
    <row r="628" spans="1:6" x14ac:dyDescent="0.25">
      <c r="A628" s="7"/>
      <c r="E628" s="7"/>
      <c r="F628" s="7"/>
    </row>
    <row r="629" spans="1:6" x14ac:dyDescent="0.25">
      <c r="A629" s="7"/>
      <c r="E629" s="7"/>
      <c r="F629" s="7"/>
    </row>
    <row r="630" spans="1:6" x14ac:dyDescent="0.25">
      <c r="A630" s="7"/>
      <c r="E630" s="7"/>
      <c r="F630" s="7"/>
    </row>
    <row r="631" spans="1:6" x14ac:dyDescent="0.25">
      <c r="A631" s="7"/>
      <c r="E631" s="7"/>
      <c r="F631" s="7"/>
    </row>
    <row r="632" spans="1:6" x14ac:dyDescent="0.25">
      <c r="A632" s="7"/>
      <c r="E632" s="7"/>
      <c r="F632" s="7"/>
    </row>
    <row r="633" spans="1:6" x14ac:dyDescent="0.25">
      <c r="A633" s="7"/>
      <c r="E633" s="7"/>
      <c r="F633" s="7"/>
    </row>
    <row r="634" spans="1:6" x14ac:dyDescent="0.25">
      <c r="A634" s="7"/>
      <c r="E634" s="7"/>
      <c r="F634" s="7"/>
    </row>
    <row r="635" spans="1:6" x14ac:dyDescent="0.25">
      <c r="A635" s="7"/>
      <c r="E635" s="7"/>
      <c r="F635" s="7"/>
    </row>
    <row r="636" spans="1:6" x14ac:dyDescent="0.25">
      <c r="A636" s="7"/>
      <c r="E636" s="7"/>
      <c r="F636" s="7"/>
    </row>
    <row r="637" spans="1:6" x14ac:dyDescent="0.25">
      <c r="A637" s="7"/>
      <c r="E637" s="7"/>
      <c r="F637" s="7"/>
    </row>
    <row r="638" spans="1:6" x14ac:dyDescent="0.25">
      <c r="A638" s="7"/>
      <c r="E638" s="7"/>
      <c r="F638" s="7"/>
    </row>
    <row r="639" spans="1:6" x14ac:dyDescent="0.25">
      <c r="A639" s="7"/>
      <c r="E639" s="7"/>
      <c r="F639" s="7"/>
    </row>
    <row r="640" spans="1:6" x14ac:dyDescent="0.25">
      <c r="A640" s="7"/>
      <c r="E640" s="7"/>
      <c r="F640" s="7"/>
    </row>
    <row r="641" spans="1:6" x14ac:dyDescent="0.25">
      <c r="A641" s="7"/>
      <c r="E641" s="7"/>
      <c r="F641" s="7"/>
    </row>
    <row r="642" spans="1:6" x14ac:dyDescent="0.25">
      <c r="A642" s="7"/>
      <c r="E642" s="7"/>
      <c r="F642" s="7"/>
    </row>
    <row r="643" spans="1:6" x14ac:dyDescent="0.25">
      <c r="A643" s="7"/>
      <c r="E643" s="7"/>
      <c r="F643" s="7"/>
    </row>
    <row r="644" spans="1:6" x14ac:dyDescent="0.25">
      <c r="A644" s="7"/>
      <c r="E644" s="7"/>
      <c r="F644" s="7"/>
    </row>
    <row r="645" spans="1:6" x14ac:dyDescent="0.25">
      <c r="A645" s="7"/>
      <c r="E645" s="7"/>
      <c r="F645" s="7"/>
    </row>
    <row r="646" spans="1:6" x14ac:dyDescent="0.25">
      <c r="A646" s="7"/>
      <c r="E646" s="7"/>
      <c r="F646" s="7"/>
    </row>
    <row r="647" spans="1:6" x14ac:dyDescent="0.25">
      <c r="A647" s="7"/>
      <c r="E647" s="7"/>
      <c r="F647" s="7"/>
    </row>
    <row r="648" spans="1:6" x14ac:dyDescent="0.25">
      <c r="A648" s="7"/>
      <c r="E648" s="7"/>
      <c r="F648" s="7"/>
    </row>
    <row r="649" spans="1:6" x14ac:dyDescent="0.25">
      <c r="A649" s="7"/>
      <c r="E649" s="7"/>
      <c r="F649" s="7"/>
    </row>
    <row r="650" spans="1:6" x14ac:dyDescent="0.25">
      <c r="A650" s="7"/>
      <c r="E650" s="7"/>
      <c r="F650" s="7"/>
    </row>
    <row r="651" spans="1:6" x14ac:dyDescent="0.25">
      <c r="A651" s="7"/>
      <c r="E651" s="7"/>
      <c r="F651" s="7"/>
    </row>
    <row r="652" spans="1:6" x14ac:dyDescent="0.25">
      <c r="A652" s="7"/>
      <c r="E652" s="7"/>
      <c r="F652" s="7"/>
    </row>
    <row r="653" spans="1:6" x14ac:dyDescent="0.25">
      <c r="A653" s="7"/>
      <c r="E653" s="7"/>
      <c r="F653" s="7"/>
    </row>
    <row r="654" spans="1:6" x14ac:dyDescent="0.25">
      <c r="A654" s="7"/>
      <c r="E654" s="7"/>
      <c r="F654" s="7"/>
    </row>
    <row r="655" spans="1:6" x14ac:dyDescent="0.25">
      <c r="A655" s="7"/>
      <c r="E655" s="7"/>
      <c r="F655" s="7"/>
    </row>
    <row r="656" spans="1:6" x14ac:dyDescent="0.25">
      <c r="A656" s="7"/>
      <c r="E656" s="7"/>
      <c r="F656" s="7"/>
    </row>
    <row r="657" spans="1:6" x14ac:dyDescent="0.25">
      <c r="A657" s="7"/>
      <c r="E657" s="7"/>
      <c r="F657" s="7"/>
    </row>
    <row r="658" spans="1:6" x14ac:dyDescent="0.25">
      <c r="A658" s="7"/>
      <c r="E658" s="7"/>
      <c r="F658" s="7"/>
    </row>
    <row r="659" spans="1:6" x14ac:dyDescent="0.25">
      <c r="A659" s="7"/>
      <c r="E659" s="7"/>
      <c r="F659" s="7"/>
    </row>
    <row r="660" spans="1:6" x14ac:dyDescent="0.25">
      <c r="A660" s="7"/>
      <c r="E660" s="7"/>
      <c r="F660" s="7"/>
    </row>
    <row r="661" spans="1:6" x14ac:dyDescent="0.25">
      <c r="A661" s="7"/>
      <c r="E661" s="7"/>
      <c r="F661" s="7"/>
    </row>
    <row r="662" spans="1:6" x14ac:dyDescent="0.25">
      <c r="A662" s="7"/>
      <c r="E662" s="7"/>
      <c r="F662" s="7"/>
    </row>
    <row r="663" spans="1:6" x14ac:dyDescent="0.25">
      <c r="A663" s="7"/>
      <c r="E663" s="7"/>
      <c r="F663" s="7"/>
    </row>
    <row r="664" spans="1:6" x14ac:dyDescent="0.25">
      <c r="A664" s="7"/>
      <c r="E664" s="7"/>
      <c r="F664" s="7"/>
    </row>
    <row r="665" spans="1:6" x14ac:dyDescent="0.25">
      <c r="A665" s="7"/>
      <c r="E665" s="7"/>
      <c r="F665" s="7"/>
    </row>
    <row r="666" spans="1:6" x14ac:dyDescent="0.25">
      <c r="A666" s="7"/>
      <c r="E666" s="7"/>
      <c r="F666" s="7"/>
    </row>
    <row r="667" spans="1:6" x14ac:dyDescent="0.25">
      <c r="A667" s="7"/>
      <c r="E667" s="7"/>
      <c r="F667" s="7"/>
    </row>
    <row r="668" spans="1:6" x14ac:dyDescent="0.25">
      <c r="A668" s="7"/>
      <c r="E668" s="7"/>
      <c r="F668" s="7"/>
    </row>
    <row r="669" spans="1:6" x14ac:dyDescent="0.25">
      <c r="A669" s="7"/>
      <c r="E669" s="7"/>
      <c r="F669" s="7"/>
    </row>
    <row r="670" spans="1:6" x14ac:dyDescent="0.25">
      <c r="A670" s="7"/>
      <c r="E670" s="7"/>
      <c r="F670" s="7"/>
    </row>
    <row r="671" spans="1:6" x14ac:dyDescent="0.25">
      <c r="A671" s="7"/>
      <c r="E671" s="7"/>
      <c r="F671" s="7"/>
    </row>
    <row r="672" spans="1:6" x14ac:dyDescent="0.25">
      <c r="A672" s="7"/>
      <c r="E672" s="7"/>
      <c r="F672" s="7"/>
    </row>
    <row r="673" spans="1:6" x14ac:dyDescent="0.25">
      <c r="A673" s="7"/>
      <c r="E673" s="7"/>
      <c r="F673" s="7"/>
    </row>
    <row r="674" spans="1:6" x14ac:dyDescent="0.25">
      <c r="A674" s="7"/>
      <c r="E674" s="7"/>
      <c r="F674" s="7"/>
    </row>
    <row r="675" spans="1:6" x14ac:dyDescent="0.25">
      <c r="A675" s="7"/>
      <c r="E675" s="7"/>
      <c r="F675" s="7"/>
    </row>
    <row r="676" spans="1:6" x14ac:dyDescent="0.25">
      <c r="A676" s="7"/>
      <c r="E676" s="7"/>
      <c r="F676" s="7"/>
    </row>
    <row r="677" spans="1:6" x14ac:dyDescent="0.25">
      <c r="A677" s="7"/>
      <c r="E677" s="7"/>
      <c r="F677" s="7"/>
    </row>
    <row r="678" spans="1:6" x14ac:dyDescent="0.25">
      <c r="A678" s="7"/>
      <c r="E678" s="7"/>
      <c r="F678" s="7"/>
    </row>
    <row r="679" spans="1:6" x14ac:dyDescent="0.25">
      <c r="A679" s="7"/>
      <c r="E679" s="7"/>
      <c r="F679" s="7"/>
    </row>
    <row r="680" spans="1:6" x14ac:dyDescent="0.25">
      <c r="A680" s="7"/>
      <c r="E680" s="7"/>
      <c r="F680" s="7"/>
    </row>
    <row r="681" spans="1:6" x14ac:dyDescent="0.25">
      <c r="A681" s="7"/>
      <c r="E681" s="7"/>
      <c r="F681" s="7"/>
    </row>
    <row r="682" spans="1:6" x14ac:dyDescent="0.25">
      <c r="A682" s="7"/>
      <c r="E682" s="7"/>
      <c r="F682" s="7"/>
    </row>
    <row r="683" spans="1:6" x14ac:dyDescent="0.25">
      <c r="A683" s="7"/>
      <c r="E683" s="7"/>
      <c r="F683" s="7"/>
    </row>
    <row r="684" spans="1:6" x14ac:dyDescent="0.25">
      <c r="A684" s="7"/>
      <c r="E684" s="7"/>
      <c r="F684" s="7"/>
    </row>
    <row r="685" spans="1:6" x14ac:dyDescent="0.25">
      <c r="A685" s="7"/>
      <c r="E685" s="7"/>
      <c r="F685" s="7"/>
    </row>
    <row r="686" spans="1:6" x14ac:dyDescent="0.25">
      <c r="A686" s="7"/>
      <c r="E686" s="7"/>
      <c r="F686" s="7"/>
    </row>
    <row r="687" spans="1:6" x14ac:dyDescent="0.25">
      <c r="A687" s="7"/>
      <c r="E687" s="7"/>
      <c r="F687" s="7"/>
    </row>
    <row r="688" spans="1:6" x14ac:dyDescent="0.25">
      <c r="A688" s="7"/>
      <c r="E688" s="7"/>
      <c r="F688" s="7"/>
    </row>
    <row r="689" spans="1:6" x14ac:dyDescent="0.25">
      <c r="A689" s="7"/>
      <c r="E689" s="7"/>
      <c r="F689" s="7"/>
    </row>
    <row r="690" spans="1:6" x14ac:dyDescent="0.25">
      <c r="A690" s="7"/>
      <c r="E690" s="7"/>
      <c r="F690" s="7"/>
    </row>
    <row r="691" spans="1:6" x14ac:dyDescent="0.25">
      <c r="A691" s="7"/>
      <c r="E691" s="7"/>
      <c r="F691" s="7"/>
    </row>
    <row r="692" spans="1:6" x14ac:dyDescent="0.25">
      <c r="A692" s="7"/>
      <c r="E692" s="7"/>
      <c r="F692" s="7"/>
    </row>
    <row r="693" spans="1:6" x14ac:dyDescent="0.25">
      <c r="A693" s="7"/>
      <c r="E693" s="7"/>
      <c r="F693" s="7"/>
    </row>
    <row r="694" spans="1:6" x14ac:dyDescent="0.25">
      <c r="A694" s="7"/>
      <c r="E694" s="7"/>
      <c r="F694" s="7"/>
    </row>
    <row r="695" spans="1:6" x14ac:dyDescent="0.25">
      <c r="A695" s="7"/>
      <c r="E695" s="7"/>
      <c r="F695" s="7"/>
    </row>
    <row r="696" spans="1:6" x14ac:dyDescent="0.25">
      <c r="A696" s="7"/>
      <c r="E696" s="7"/>
      <c r="F696" s="7"/>
    </row>
    <row r="697" spans="1:6" x14ac:dyDescent="0.25">
      <c r="A697" s="7"/>
      <c r="E697" s="7"/>
      <c r="F697" s="7"/>
    </row>
    <row r="698" spans="1:6" x14ac:dyDescent="0.25">
      <c r="A698" s="7"/>
      <c r="E698" s="7"/>
      <c r="F698" s="7"/>
    </row>
    <row r="699" spans="1:6" x14ac:dyDescent="0.25">
      <c r="A699" s="7"/>
      <c r="E699" s="7"/>
      <c r="F699" s="7"/>
    </row>
    <row r="700" spans="1:6" x14ac:dyDescent="0.25">
      <c r="A700" s="7"/>
      <c r="E700" s="7"/>
      <c r="F700" s="7"/>
    </row>
    <row r="701" spans="1:6" x14ac:dyDescent="0.25">
      <c r="A701" s="7"/>
      <c r="E701" s="7"/>
      <c r="F701" s="7"/>
    </row>
    <row r="702" spans="1:6" x14ac:dyDescent="0.25">
      <c r="A702" s="7"/>
      <c r="E702" s="7"/>
      <c r="F702" s="7"/>
    </row>
    <row r="703" spans="1:6" x14ac:dyDescent="0.25">
      <c r="A703" s="7"/>
      <c r="E703" s="7"/>
      <c r="F703" s="7"/>
    </row>
    <row r="704" spans="1:6" x14ac:dyDescent="0.25">
      <c r="A704" s="7"/>
      <c r="E704" s="7"/>
      <c r="F704" s="7"/>
    </row>
    <row r="705" spans="1:6" x14ac:dyDescent="0.25">
      <c r="A705" s="7"/>
      <c r="E705" s="7"/>
      <c r="F705" s="7"/>
    </row>
    <row r="706" spans="1:6" x14ac:dyDescent="0.25">
      <c r="A706" s="7"/>
      <c r="E706" s="7"/>
      <c r="F706" s="7"/>
    </row>
    <row r="707" spans="1:6" x14ac:dyDescent="0.25">
      <c r="A707" s="7"/>
      <c r="E707" s="7"/>
      <c r="F707" s="7"/>
    </row>
    <row r="708" spans="1:6" x14ac:dyDescent="0.25">
      <c r="A708" s="7"/>
      <c r="E708" s="7"/>
      <c r="F708" s="7"/>
    </row>
    <row r="709" spans="1:6" x14ac:dyDescent="0.25">
      <c r="A709" s="7"/>
      <c r="E709" s="7"/>
      <c r="F709" s="7"/>
    </row>
    <row r="710" spans="1:6" x14ac:dyDescent="0.25">
      <c r="A710" s="7"/>
      <c r="E710" s="7"/>
      <c r="F710" s="7"/>
    </row>
    <row r="711" spans="1:6" x14ac:dyDescent="0.25">
      <c r="A711" s="7"/>
      <c r="E711" s="7"/>
      <c r="F711" s="7"/>
    </row>
    <row r="712" spans="1:6" x14ac:dyDescent="0.25">
      <c r="A712" s="7"/>
      <c r="E712" s="7"/>
      <c r="F712" s="7"/>
    </row>
    <row r="713" spans="1:6" x14ac:dyDescent="0.25">
      <c r="A713" s="7"/>
      <c r="E713" s="7"/>
      <c r="F713" s="7"/>
    </row>
    <row r="714" spans="1:6" x14ac:dyDescent="0.25">
      <c r="A714" s="7"/>
      <c r="E714" s="7"/>
      <c r="F714" s="7"/>
    </row>
    <row r="715" spans="1:6" x14ac:dyDescent="0.25">
      <c r="A715" s="7"/>
      <c r="E715" s="7"/>
      <c r="F715" s="7"/>
    </row>
    <row r="716" spans="1:6" x14ac:dyDescent="0.25">
      <c r="A716" s="7"/>
      <c r="E716" s="7"/>
      <c r="F716" s="7"/>
    </row>
    <row r="717" spans="1:6" x14ac:dyDescent="0.25">
      <c r="A717" s="7"/>
      <c r="E717" s="7"/>
      <c r="F717" s="7"/>
    </row>
    <row r="718" spans="1:6" x14ac:dyDescent="0.25">
      <c r="A718" s="7"/>
      <c r="E718" s="7"/>
      <c r="F718" s="7"/>
    </row>
    <row r="719" spans="1:6" x14ac:dyDescent="0.25">
      <c r="A719" s="7"/>
      <c r="E719" s="7"/>
      <c r="F719" s="7"/>
    </row>
    <row r="720" spans="1:6" x14ac:dyDescent="0.25">
      <c r="A720" s="7"/>
      <c r="E720" s="7"/>
      <c r="F720" s="7"/>
    </row>
    <row r="721" spans="1:6" x14ac:dyDescent="0.25">
      <c r="A721" s="7"/>
      <c r="E721" s="7"/>
      <c r="F721" s="7"/>
    </row>
    <row r="722" spans="1:6" x14ac:dyDescent="0.25">
      <c r="A722" s="7"/>
      <c r="E722" s="7"/>
      <c r="F722" s="7"/>
    </row>
    <row r="723" spans="1:6" x14ac:dyDescent="0.25">
      <c r="A723" s="7"/>
      <c r="E723" s="7"/>
      <c r="F723" s="7"/>
    </row>
    <row r="724" spans="1:6" x14ac:dyDescent="0.25">
      <c r="A724" s="7"/>
      <c r="E724" s="7"/>
      <c r="F724" s="7"/>
    </row>
    <row r="725" spans="1:6" x14ac:dyDescent="0.25">
      <c r="A725" s="7"/>
      <c r="E725" s="7"/>
      <c r="F725" s="7"/>
    </row>
    <row r="726" spans="1:6" x14ac:dyDescent="0.25">
      <c r="A726" s="7"/>
      <c r="E726" s="7"/>
      <c r="F726" s="7"/>
    </row>
    <row r="727" spans="1:6" x14ac:dyDescent="0.25">
      <c r="A727" s="7"/>
      <c r="E727" s="7"/>
      <c r="F727" s="7"/>
    </row>
    <row r="728" spans="1:6" x14ac:dyDescent="0.25">
      <c r="A728" s="7"/>
      <c r="E728" s="7"/>
      <c r="F728" s="7"/>
    </row>
    <row r="729" spans="1:6" x14ac:dyDescent="0.25">
      <c r="A729" s="7"/>
      <c r="E729" s="7"/>
      <c r="F729" s="7"/>
    </row>
    <row r="730" spans="1:6" x14ac:dyDescent="0.25">
      <c r="A730" s="7"/>
      <c r="E730" s="7"/>
      <c r="F730" s="7"/>
    </row>
    <row r="731" spans="1:6" x14ac:dyDescent="0.25">
      <c r="A731" s="7"/>
      <c r="E731" s="7"/>
      <c r="F731" s="7"/>
    </row>
    <row r="732" spans="1:6" x14ac:dyDescent="0.25">
      <c r="A732" s="7"/>
      <c r="E732" s="7"/>
      <c r="F732" s="7"/>
    </row>
    <row r="733" spans="1:6" x14ac:dyDescent="0.25">
      <c r="A733" s="7"/>
      <c r="E733" s="7"/>
      <c r="F733" s="7"/>
    </row>
    <row r="734" spans="1:6" x14ac:dyDescent="0.25">
      <c r="A734" s="7"/>
      <c r="E734" s="7"/>
      <c r="F734" s="7"/>
    </row>
    <row r="735" spans="1:6" x14ac:dyDescent="0.25">
      <c r="A735" s="7"/>
      <c r="E735" s="7"/>
      <c r="F735" s="7"/>
    </row>
    <row r="736" spans="1:6" x14ac:dyDescent="0.25">
      <c r="A736" s="7"/>
      <c r="E736" s="7"/>
      <c r="F736" s="7"/>
    </row>
    <row r="737" spans="1:6" x14ac:dyDescent="0.25">
      <c r="A737" s="7"/>
      <c r="E737" s="7"/>
      <c r="F737" s="7"/>
    </row>
    <row r="738" spans="1:6" x14ac:dyDescent="0.25">
      <c r="A738" s="7"/>
      <c r="E738" s="7"/>
      <c r="F738" s="7"/>
    </row>
    <row r="739" spans="1:6" x14ac:dyDescent="0.25">
      <c r="A739" s="7"/>
      <c r="E739" s="7"/>
      <c r="F739" s="7"/>
    </row>
    <row r="740" spans="1:6" x14ac:dyDescent="0.25">
      <c r="A740" s="7"/>
      <c r="E740" s="7"/>
      <c r="F740" s="7"/>
    </row>
    <row r="741" spans="1:6" x14ac:dyDescent="0.25">
      <c r="A741" s="7"/>
      <c r="E741" s="7"/>
      <c r="F741" s="7"/>
    </row>
    <row r="742" spans="1:6" x14ac:dyDescent="0.25">
      <c r="A742" s="7"/>
      <c r="E742" s="7"/>
      <c r="F742" s="7"/>
    </row>
    <row r="743" spans="1:6" x14ac:dyDescent="0.25">
      <c r="A743" s="7"/>
      <c r="E743" s="7"/>
      <c r="F743" s="7"/>
    </row>
    <row r="744" spans="1:6" x14ac:dyDescent="0.25">
      <c r="A744" s="7"/>
      <c r="E744" s="7"/>
      <c r="F744" s="7"/>
    </row>
    <row r="745" spans="1:6" x14ac:dyDescent="0.25">
      <c r="A745" s="7"/>
      <c r="E745" s="7"/>
      <c r="F745" s="7"/>
    </row>
    <row r="746" spans="1:6" x14ac:dyDescent="0.25">
      <c r="A746" s="7"/>
      <c r="E746" s="7"/>
      <c r="F746" s="7"/>
    </row>
    <row r="747" spans="1:6" x14ac:dyDescent="0.25">
      <c r="A747" s="7"/>
      <c r="E747" s="7"/>
      <c r="F747" s="7"/>
    </row>
    <row r="748" spans="1:6" x14ac:dyDescent="0.25">
      <c r="A748" s="7"/>
      <c r="E748" s="7"/>
      <c r="F748" s="7"/>
    </row>
    <row r="749" spans="1:6" x14ac:dyDescent="0.25">
      <c r="A749" s="7"/>
      <c r="E749" s="7"/>
      <c r="F749" s="7"/>
    </row>
    <row r="750" spans="1:6" x14ac:dyDescent="0.25">
      <c r="A750" s="7"/>
      <c r="E750" s="7"/>
      <c r="F750" s="7"/>
    </row>
    <row r="751" spans="1:6" x14ac:dyDescent="0.25">
      <c r="A751" s="7"/>
      <c r="E751" s="7"/>
      <c r="F751" s="7"/>
    </row>
    <row r="752" spans="1:6" x14ac:dyDescent="0.25">
      <c r="A752" s="7"/>
      <c r="E752" s="7"/>
      <c r="F752" s="7"/>
    </row>
    <row r="753" spans="1:6" x14ac:dyDescent="0.25">
      <c r="A753" s="7"/>
      <c r="E753" s="7"/>
      <c r="F753" s="7"/>
    </row>
    <row r="754" spans="1:6" x14ac:dyDescent="0.25">
      <c r="A754" s="7"/>
      <c r="E754" s="7"/>
      <c r="F754" s="7"/>
    </row>
    <row r="755" spans="1:6" x14ac:dyDescent="0.25">
      <c r="A755" s="7"/>
      <c r="E755" s="7"/>
      <c r="F755" s="7"/>
    </row>
    <row r="756" spans="1:6" x14ac:dyDescent="0.25">
      <c r="A756" s="7"/>
      <c r="E756" s="7"/>
      <c r="F756" s="7"/>
    </row>
    <row r="757" spans="1:6" x14ac:dyDescent="0.25">
      <c r="A757" s="7"/>
      <c r="E757" s="7"/>
      <c r="F757" s="7"/>
    </row>
    <row r="758" spans="1:6" x14ac:dyDescent="0.25">
      <c r="A758" s="7"/>
      <c r="E758" s="7"/>
      <c r="F758" s="7"/>
    </row>
    <row r="759" spans="1:6" x14ac:dyDescent="0.25">
      <c r="A759" s="7"/>
      <c r="E759" s="7"/>
      <c r="F759" s="7"/>
    </row>
    <row r="760" spans="1:6" x14ac:dyDescent="0.25">
      <c r="A760" s="7"/>
      <c r="E760" s="7"/>
      <c r="F760" s="7"/>
    </row>
    <row r="761" spans="1:6" x14ac:dyDescent="0.25">
      <c r="A761" s="7"/>
      <c r="E761" s="7"/>
      <c r="F761" s="7"/>
    </row>
    <row r="762" spans="1:6" x14ac:dyDescent="0.25">
      <c r="A762" s="7"/>
      <c r="E762" s="7"/>
      <c r="F762" s="7"/>
    </row>
    <row r="763" spans="1:6" x14ac:dyDescent="0.25">
      <c r="A763" s="7"/>
      <c r="E763" s="7"/>
      <c r="F763" s="7"/>
    </row>
    <row r="764" spans="1:6" x14ac:dyDescent="0.25">
      <c r="A764" s="7"/>
      <c r="E764" s="7"/>
      <c r="F764" s="7"/>
    </row>
    <row r="765" spans="1:6" x14ac:dyDescent="0.25">
      <c r="A765" s="7"/>
      <c r="E765" s="7"/>
      <c r="F765" s="7"/>
    </row>
    <row r="766" spans="1:6" x14ac:dyDescent="0.25">
      <c r="A766" s="7"/>
      <c r="E766" s="7"/>
      <c r="F766" s="7"/>
    </row>
    <row r="767" spans="1:6" x14ac:dyDescent="0.25">
      <c r="A767" s="7"/>
      <c r="E767" s="7"/>
      <c r="F767" s="7"/>
    </row>
    <row r="768" spans="1:6" x14ac:dyDescent="0.25">
      <c r="A768" s="7"/>
      <c r="E768" s="7"/>
      <c r="F768" s="7"/>
    </row>
    <row r="769" spans="1:6" x14ac:dyDescent="0.25">
      <c r="A769" s="7"/>
      <c r="E769" s="7"/>
      <c r="F769" s="7"/>
    </row>
    <row r="770" spans="1:6" x14ac:dyDescent="0.25">
      <c r="A770" s="7"/>
      <c r="E770" s="7"/>
      <c r="F770" s="7"/>
    </row>
    <row r="771" spans="1:6" x14ac:dyDescent="0.25">
      <c r="A771" s="7"/>
      <c r="E771" s="7"/>
      <c r="F771" s="7"/>
    </row>
    <row r="772" spans="1:6" x14ac:dyDescent="0.25">
      <c r="A772" s="7"/>
      <c r="E772" s="7"/>
      <c r="F772" s="7"/>
    </row>
    <row r="773" spans="1:6" x14ac:dyDescent="0.25">
      <c r="A773" s="7"/>
      <c r="E773" s="7"/>
      <c r="F773" s="7"/>
    </row>
    <row r="774" spans="1:6" x14ac:dyDescent="0.25">
      <c r="A774" s="7"/>
      <c r="E774" s="7"/>
      <c r="F774" s="7"/>
    </row>
    <row r="775" spans="1:6" x14ac:dyDescent="0.25">
      <c r="A775" s="7"/>
      <c r="E775" s="7"/>
      <c r="F775" s="7"/>
    </row>
    <row r="776" spans="1:6" x14ac:dyDescent="0.25">
      <c r="A776" s="7"/>
      <c r="E776" s="7"/>
      <c r="F776" s="7"/>
    </row>
    <row r="777" spans="1:6" x14ac:dyDescent="0.25">
      <c r="A777" s="7"/>
      <c r="E777" s="7"/>
      <c r="F777" s="7"/>
    </row>
    <row r="778" spans="1:6" x14ac:dyDescent="0.25">
      <c r="A778" s="7"/>
      <c r="E778" s="7"/>
      <c r="F778" s="7"/>
    </row>
    <row r="779" spans="1:6" x14ac:dyDescent="0.25">
      <c r="A779" s="7"/>
      <c r="E779" s="7"/>
      <c r="F779" s="7"/>
    </row>
    <row r="780" spans="1:6" x14ac:dyDescent="0.25">
      <c r="A780" s="7"/>
      <c r="E780" s="7"/>
      <c r="F780" s="7"/>
    </row>
    <row r="781" spans="1:6" x14ac:dyDescent="0.25">
      <c r="A781" s="7"/>
      <c r="E781" s="7"/>
      <c r="F781" s="7"/>
    </row>
    <row r="782" spans="1:6" x14ac:dyDescent="0.25">
      <c r="A782" s="7"/>
      <c r="E782" s="7"/>
      <c r="F782" s="7"/>
    </row>
    <row r="783" spans="1:6" x14ac:dyDescent="0.25">
      <c r="A783" s="7"/>
      <c r="E783" s="7"/>
      <c r="F783" s="7"/>
    </row>
    <row r="784" spans="1:6" x14ac:dyDescent="0.25">
      <c r="A784" s="7"/>
      <c r="E784" s="7"/>
      <c r="F784" s="7"/>
    </row>
    <row r="785" spans="1:6" x14ac:dyDescent="0.25">
      <c r="A785" s="7"/>
      <c r="E785" s="7"/>
      <c r="F785" s="7"/>
    </row>
    <row r="786" spans="1:6" x14ac:dyDescent="0.25">
      <c r="A786" s="7"/>
      <c r="E786" s="7"/>
      <c r="F786" s="7"/>
    </row>
    <row r="787" spans="1:6" x14ac:dyDescent="0.25">
      <c r="A787" s="7"/>
      <c r="E787" s="7"/>
      <c r="F787" s="7"/>
    </row>
    <row r="788" spans="1:6" x14ac:dyDescent="0.25">
      <c r="A788" s="7"/>
      <c r="E788" s="7"/>
      <c r="F788" s="7"/>
    </row>
    <row r="789" spans="1:6" x14ac:dyDescent="0.25">
      <c r="A789" s="7"/>
      <c r="E789" s="7"/>
      <c r="F789" s="7"/>
    </row>
    <row r="790" spans="1:6" x14ac:dyDescent="0.25">
      <c r="A790" s="7"/>
      <c r="E790" s="7"/>
      <c r="F790" s="7"/>
    </row>
    <row r="791" spans="1:6" x14ac:dyDescent="0.25">
      <c r="A791" s="7"/>
      <c r="E791" s="7"/>
      <c r="F791" s="7"/>
    </row>
    <row r="792" spans="1:6" x14ac:dyDescent="0.25">
      <c r="A792" s="7"/>
      <c r="E792" s="7"/>
      <c r="F792" s="7"/>
    </row>
    <row r="793" spans="1:6" x14ac:dyDescent="0.25">
      <c r="A793" s="7"/>
      <c r="E793" s="7"/>
      <c r="F793" s="7"/>
    </row>
    <row r="794" spans="1:6" x14ac:dyDescent="0.25">
      <c r="A794" s="7"/>
      <c r="E794" s="7"/>
      <c r="F794" s="7"/>
    </row>
    <row r="795" spans="1:6" x14ac:dyDescent="0.25">
      <c r="A795" s="7"/>
      <c r="E795" s="7"/>
      <c r="F795" s="7"/>
    </row>
    <row r="796" spans="1:6" x14ac:dyDescent="0.25">
      <c r="A796" s="7"/>
      <c r="E796" s="7"/>
      <c r="F796" s="7"/>
    </row>
    <row r="797" spans="1:6" x14ac:dyDescent="0.25">
      <c r="A797" s="7"/>
      <c r="E797" s="7"/>
      <c r="F797" s="7"/>
    </row>
    <row r="798" spans="1:6" x14ac:dyDescent="0.25">
      <c r="A798" s="7"/>
      <c r="E798" s="7"/>
      <c r="F798" s="7"/>
    </row>
    <row r="799" spans="1:6" x14ac:dyDescent="0.25">
      <c r="A799" s="7"/>
      <c r="E799" s="7"/>
      <c r="F799" s="7"/>
    </row>
    <row r="800" spans="1:6" x14ac:dyDescent="0.25">
      <c r="A800" s="7"/>
      <c r="E800" s="7"/>
      <c r="F800" s="7"/>
    </row>
    <row r="801" spans="1:6" x14ac:dyDescent="0.25">
      <c r="A801" s="7"/>
      <c r="E801" s="7"/>
      <c r="F801" s="7"/>
    </row>
    <row r="802" spans="1:6" x14ac:dyDescent="0.25">
      <c r="A802" s="7"/>
      <c r="E802" s="7"/>
      <c r="F802" s="7"/>
    </row>
    <row r="803" spans="1:6" x14ac:dyDescent="0.25">
      <c r="A803" s="7"/>
      <c r="E803" s="7"/>
      <c r="F803" s="7"/>
    </row>
    <row r="804" spans="1:6" x14ac:dyDescent="0.25">
      <c r="A804" s="7"/>
      <c r="E804" s="7"/>
      <c r="F804" s="7"/>
    </row>
    <row r="805" spans="1:6" x14ac:dyDescent="0.25">
      <c r="A805" s="7"/>
      <c r="E805" s="7"/>
      <c r="F805" s="7"/>
    </row>
    <row r="806" spans="1:6" x14ac:dyDescent="0.25">
      <c r="A806" s="7"/>
      <c r="E806" s="7"/>
      <c r="F806" s="7"/>
    </row>
    <row r="807" spans="1:6" x14ac:dyDescent="0.25">
      <c r="A807" s="7"/>
      <c r="E807" s="7"/>
      <c r="F807" s="7"/>
    </row>
    <row r="808" spans="1:6" x14ac:dyDescent="0.25">
      <c r="A808" s="7"/>
      <c r="E808" s="7"/>
      <c r="F808" s="7"/>
    </row>
    <row r="809" spans="1:6" x14ac:dyDescent="0.25">
      <c r="A809" s="7"/>
      <c r="E809" s="7"/>
      <c r="F809" s="7"/>
    </row>
    <row r="810" spans="1:6" x14ac:dyDescent="0.25">
      <c r="A810" s="7"/>
      <c r="E810" s="7"/>
      <c r="F810" s="7"/>
    </row>
    <row r="811" spans="1:6" x14ac:dyDescent="0.25">
      <c r="A811" s="7"/>
      <c r="E811" s="7"/>
      <c r="F811" s="7"/>
    </row>
    <row r="812" spans="1:6" x14ac:dyDescent="0.25">
      <c r="A812" s="7"/>
      <c r="E812" s="7"/>
      <c r="F812" s="7"/>
    </row>
    <row r="813" spans="1:6" x14ac:dyDescent="0.25">
      <c r="A813" s="7"/>
      <c r="E813" s="7"/>
      <c r="F813" s="7"/>
    </row>
    <row r="814" spans="1:6" x14ac:dyDescent="0.25">
      <c r="A814" s="7"/>
      <c r="E814" s="7"/>
      <c r="F814" s="7"/>
    </row>
    <row r="815" spans="1:6" x14ac:dyDescent="0.25">
      <c r="A815" s="7"/>
      <c r="E815" s="7"/>
      <c r="F815" s="7"/>
    </row>
    <row r="816" spans="1:6" x14ac:dyDescent="0.25">
      <c r="A816" s="7"/>
      <c r="E816" s="7"/>
      <c r="F816" s="7"/>
    </row>
    <row r="817" spans="1:6" x14ac:dyDescent="0.25">
      <c r="A817" s="7"/>
      <c r="E817" s="7"/>
      <c r="F817" s="7"/>
    </row>
    <row r="818" spans="1:6" x14ac:dyDescent="0.25">
      <c r="A818" s="7"/>
      <c r="E818" s="7"/>
      <c r="F818" s="7"/>
    </row>
    <row r="819" spans="1:6" x14ac:dyDescent="0.25">
      <c r="A819" s="7"/>
      <c r="E819" s="7"/>
      <c r="F819" s="7"/>
    </row>
    <row r="820" spans="1:6" x14ac:dyDescent="0.25">
      <c r="A820" s="7"/>
      <c r="E820" s="7"/>
      <c r="F820" s="7"/>
    </row>
    <row r="821" spans="1:6" x14ac:dyDescent="0.25">
      <c r="A821" s="7"/>
      <c r="E821" s="7"/>
      <c r="F821" s="7"/>
    </row>
    <row r="822" spans="1:6" x14ac:dyDescent="0.25">
      <c r="A822" s="7"/>
      <c r="E822" s="7"/>
      <c r="F822" s="7"/>
    </row>
    <row r="823" spans="1:6" x14ac:dyDescent="0.25">
      <c r="A823" s="7"/>
      <c r="E823" s="7"/>
      <c r="F823" s="7"/>
    </row>
    <row r="824" spans="1:6" x14ac:dyDescent="0.25">
      <c r="A824" s="7"/>
      <c r="E824" s="7"/>
      <c r="F824" s="7"/>
    </row>
    <row r="825" spans="1:6" x14ac:dyDescent="0.25">
      <c r="A825" s="7"/>
      <c r="E825" s="7"/>
      <c r="F825" s="7"/>
    </row>
    <row r="826" spans="1:6" x14ac:dyDescent="0.25">
      <c r="A826" s="7"/>
      <c r="E826" s="7"/>
      <c r="F826" s="7"/>
    </row>
    <row r="827" spans="1:6" x14ac:dyDescent="0.25">
      <c r="A827" s="7"/>
      <c r="E827" s="7"/>
      <c r="F827" s="7"/>
    </row>
    <row r="828" spans="1:6" x14ac:dyDescent="0.25">
      <c r="A828" s="7"/>
      <c r="E828" s="7"/>
      <c r="F828" s="7"/>
    </row>
    <row r="829" spans="1:6" x14ac:dyDescent="0.25">
      <c r="A829" s="7"/>
      <c r="E829" s="7"/>
      <c r="F829" s="7"/>
    </row>
    <row r="830" spans="1:6" x14ac:dyDescent="0.25">
      <c r="A830" s="7"/>
      <c r="E830" s="7"/>
      <c r="F830" s="7"/>
    </row>
    <row r="831" spans="1:6" x14ac:dyDescent="0.25">
      <c r="A831" s="7"/>
      <c r="E831" s="7"/>
      <c r="F831" s="7"/>
    </row>
    <row r="832" spans="1:6" x14ac:dyDescent="0.25">
      <c r="A832" s="7"/>
      <c r="E832" s="7"/>
      <c r="F832" s="7"/>
    </row>
    <row r="833" spans="1:6" x14ac:dyDescent="0.25">
      <c r="A833" s="7"/>
      <c r="E833" s="7"/>
      <c r="F833" s="7"/>
    </row>
    <row r="834" spans="1:6" x14ac:dyDescent="0.25">
      <c r="A834" s="7"/>
      <c r="E834" s="7"/>
      <c r="F834" s="7"/>
    </row>
    <row r="835" spans="1:6" x14ac:dyDescent="0.25">
      <c r="A835" s="7"/>
      <c r="E835" s="7"/>
      <c r="F835" s="7"/>
    </row>
    <row r="836" spans="1:6" x14ac:dyDescent="0.25">
      <c r="A836" s="7"/>
      <c r="E836" s="7"/>
      <c r="F836" s="7"/>
    </row>
    <row r="837" spans="1:6" x14ac:dyDescent="0.25">
      <c r="A837" s="7"/>
      <c r="E837" s="7"/>
      <c r="F837" s="7"/>
    </row>
    <row r="838" spans="1:6" x14ac:dyDescent="0.25">
      <c r="A838" s="7"/>
      <c r="E838" s="7"/>
      <c r="F838" s="7"/>
    </row>
    <row r="839" spans="1:6" x14ac:dyDescent="0.25">
      <c r="A839" s="7"/>
      <c r="E839" s="7"/>
      <c r="F839" s="7"/>
    </row>
    <row r="840" spans="1:6" x14ac:dyDescent="0.25">
      <c r="A840" s="7"/>
      <c r="E840" s="7"/>
      <c r="F840" s="7"/>
    </row>
    <row r="841" spans="1:6" x14ac:dyDescent="0.25">
      <c r="A841" s="7"/>
      <c r="E841" s="7"/>
      <c r="F841" s="7"/>
    </row>
    <row r="842" spans="1:6" x14ac:dyDescent="0.25">
      <c r="A842" s="7"/>
      <c r="E842" s="7"/>
      <c r="F842" s="7"/>
    </row>
    <row r="843" spans="1:6" x14ac:dyDescent="0.25">
      <c r="A843" s="7"/>
      <c r="E843" s="7"/>
      <c r="F843" s="7"/>
    </row>
    <row r="844" spans="1:6" x14ac:dyDescent="0.25">
      <c r="A844" s="7"/>
      <c r="E844" s="7"/>
      <c r="F844" s="7"/>
    </row>
    <row r="845" spans="1:6" x14ac:dyDescent="0.25">
      <c r="A845" s="7"/>
      <c r="E845" s="7"/>
      <c r="F845" s="7"/>
    </row>
    <row r="846" spans="1:6" x14ac:dyDescent="0.25">
      <c r="A846" s="7"/>
      <c r="E846" s="7"/>
      <c r="F846" s="7"/>
    </row>
    <row r="847" spans="1:6" x14ac:dyDescent="0.25">
      <c r="A847" s="7"/>
      <c r="E847" s="7"/>
      <c r="F847" s="7"/>
    </row>
    <row r="848" spans="1:6" x14ac:dyDescent="0.25">
      <c r="A848" s="7"/>
      <c r="E848" s="7"/>
      <c r="F848" s="7"/>
    </row>
    <row r="849" spans="1:6" x14ac:dyDescent="0.25">
      <c r="A849" s="7"/>
      <c r="E849" s="7"/>
      <c r="F849" s="7"/>
    </row>
    <row r="850" spans="1:6" x14ac:dyDescent="0.25">
      <c r="A850" s="7"/>
      <c r="E850" s="7"/>
      <c r="F850" s="7"/>
    </row>
    <row r="851" spans="1:6" x14ac:dyDescent="0.25">
      <c r="A851" s="7"/>
      <c r="E851" s="7"/>
      <c r="F851" s="7"/>
    </row>
    <row r="852" spans="1:6" x14ac:dyDescent="0.25">
      <c r="A852" s="7"/>
      <c r="E852" s="7"/>
      <c r="F852" s="7"/>
    </row>
    <row r="853" spans="1:6" x14ac:dyDescent="0.25">
      <c r="A853" s="7"/>
      <c r="E853" s="7"/>
      <c r="F853" s="7"/>
    </row>
    <row r="854" spans="1:6" x14ac:dyDescent="0.25">
      <c r="A854" s="7"/>
      <c r="E854" s="7"/>
      <c r="F854" s="7"/>
    </row>
    <row r="855" spans="1:6" x14ac:dyDescent="0.25">
      <c r="A855" s="7"/>
      <c r="E855" s="7"/>
      <c r="F855" s="7"/>
    </row>
    <row r="856" spans="1:6" x14ac:dyDescent="0.25">
      <c r="A856" s="7"/>
      <c r="E856" s="7"/>
      <c r="F856" s="7"/>
    </row>
    <row r="857" spans="1:6" x14ac:dyDescent="0.25">
      <c r="A857" s="7"/>
      <c r="E857" s="7"/>
      <c r="F857" s="7"/>
    </row>
    <row r="858" spans="1:6" x14ac:dyDescent="0.25">
      <c r="A858" s="7"/>
      <c r="E858" s="7"/>
      <c r="F858" s="7"/>
    </row>
    <row r="859" spans="1:6" x14ac:dyDescent="0.25">
      <c r="A859" s="7"/>
      <c r="E859" s="7"/>
      <c r="F859" s="7"/>
    </row>
    <row r="860" spans="1:6" x14ac:dyDescent="0.25">
      <c r="A860" s="7"/>
      <c r="E860" s="7"/>
      <c r="F860" s="7"/>
    </row>
    <row r="861" spans="1:6" x14ac:dyDescent="0.25">
      <c r="A861" s="7"/>
      <c r="E861" s="7"/>
      <c r="F861" s="7"/>
    </row>
    <row r="862" spans="1:6" x14ac:dyDescent="0.25">
      <c r="A862" s="7"/>
      <c r="E862" s="7"/>
      <c r="F862" s="7"/>
    </row>
    <row r="863" spans="1:6" x14ac:dyDescent="0.25">
      <c r="A863" s="7"/>
      <c r="E863" s="7"/>
      <c r="F863" s="7"/>
    </row>
    <row r="864" spans="1:6" x14ac:dyDescent="0.25">
      <c r="A864" s="7"/>
      <c r="E864" s="7"/>
      <c r="F864" s="7"/>
    </row>
    <row r="865" spans="1:6" x14ac:dyDescent="0.25">
      <c r="A865" s="7"/>
      <c r="E865" s="7"/>
      <c r="F865" s="7"/>
    </row>
    <row r="866" spans="1:6" x14ac:dyDescent="0.25">
      <c r="A866" s="7"/>
      <c r="E866" s="7"/>
      <c r="F866" s="7"/>
    </row>
    <row r="867" spans="1:6" x14ac:dyDescent="0.25">
      <c r="A867" s="7"/>
      <c r="E867" s="7"/>
      <c r="F867" s="7"/>
    </row>
    <row r="868" spans="1:6" x14ac:dyDescent="0.25">
      <c r="A868" s="7"/>
      <c r="E868" s="7"/>
      <c r="F868" s="7"/>
    </row>
    <row r="869" spans="1:6" x14ac:dyDescent="0.25">
      <c r="A869" s="7"/>
      <c r="E869" s="7"/>
      <c r="F869" s="7"/>
    </row>
    <row r="870" spans="1:6" x14ac:dyDescent="0.25">
      <c r="A870" s="7"/>
      <c r="E870" s="7"/>
      <c r="F870" s="7"/>
    </row>
    <row r="871" spans="1:6" x14ac:dyDescent="0.25">
      <c r="A871" s="7"/>
      <c r="E871" s="7"/>
      <c r="F871" s="7"/>
    </row>
    <row r="872" spans="1:6" x14ac:dyDescent="0.25">
      <c r="A872" s="7"/>
      <c r="E872" s="7"/>
      <c r="F872" s="7"/>
    </row>
    <row r="873" spans="1:6" x14ac:dyDescent="0.25">
      <c r="A873" s="7"/>
      <c r="E873" s="7"/>
      <c r="F873" s="7"/>
    </row>
    <row r="874" spans="1:6" x14ac:dyDescent="0.25">
      <c r="A874" s="7"/>
      <c r="E874" s="7"/>
      <c r="F874" s="7"/>
    </row>
    <row r="875" spans="1:6" x14ac:dyDescent="0.25">
      <c r="A875" s="7"/>
      <c r="E875" s="7"/>
      <c r="F875" s="7"/>
    </row>
    <row r="876" spans="1:6" x14ac:dyDescent="0.25">
      <c r="A876" s="7"/>
      <c r="E876" s="7"/>
      <c r="F876" s="7"/>
    </row>
    <row r="877" spans="1:6" x14ac:dyDescent="0.25">
      <c r="A877" s="7"/>
      <c r="E877" s="7"/>
      <c r="F877" s="7"/>
    </row>
    <row r="878" spans="1:6" x14ac:dyDescent="0.25">
      <c r="A878" s="7"/>
      <c r="E878" s="7"/>
      <c r="F878" s="7"/>
    </row>
    <row r="879" spans="1:6" x14ac:dyDescent="0.25">
      <c r="A879" s="7"/>
      <c r="E879" s="7"/>
      <c r="F879" s="7"/>
    </row>
    <row r="880" spans="1:6" x14ac:dyDescent="0.25">
      <c r="A880" s="7"/>
      <c r="E880" s="7"/>
      <c r="F880" s="7"/>
    </row>
    <row r="881" spans="1:6" x14ac:dyDescent="0.25">
      <c r="A881" s="7"/>
      <c r="E881" s="7"/>
      <c r="F881" s="7"/>
    </row>
    <row r="882" spans="1:6" x14ac:dyDescent="0.25">
      <c r="A882" s="7"/>
      <c r="E882" s="7"/>
      <c r="F882" s="7"/>
    </row>
    <row r="883" spans="1:6" x14ac:dyDescent="0.25">
      <c r="A883" s="7"/>
      <c r="E883" s="7"/>
      <c r="F883" s="7"/>
    </row>
    <row r="884" spans="1:6" x14ac:dyDescent="0.25">
      <c r="A884" s="7"/>
      <c r="E884" s="7"/>
      <c r="F884" s="7"/>
    </row>
    <row r="885" spans="1:6" x14ac:dyDescent="0.25">
      <c r="A885" s="7"/>
      <c r="E885" s="7"/>
      <c r="F885" s="7"/>
    </row>
    <row r="886" spans="1:6" x14ac:dyDescent="0.25">
      <c r="A886" s="7"/>
      <c r="E886" s="7"/>
      <c r="F886" s="7"/>
    </row>
    <row r="887" spans="1:6" x14ac:dyDescent="0.25">
      <c r="A887" s="7"/>
      <c r="E887" s="7"/>
      <c r="F887" s="7"/>
    </row>
    <row r="888" spans="1:6" x14ac:dyDescent="0.25">
      <c r="A888" s="7"/>
      <c r="E888" s="7"/>
      <c r="F888" s="7"/>
    </row>
    <row r="889" spans="1:6" x14ac:dyDescent="0.25">
      <c r="A889" s="7"/>
      <c r="E889" s="7"/>
      <c r="F889" s="7"/>
    </row>
    <row r="890" spans="1:6" x14ac:dyDescent="0.25">
      <c r="A890" s="7"/>
      <c r="E890" s="7"/>
      <c r="F890" s="7"/>
    </row>
    <row r="891" spans="1:6" x14ac:dyDescent="0.25">
      <c r="A891" s="7"/>
      <c r="E891" s="7"/>
      <c r="F891" s="7"/>
    </row>
    <row r="892" spans="1:6" x14ac:dyDescent="0.25">
      <c r="A892" s="7"/>
      <c r="E892" s="7"/>
      <c r="F892" s="7"/>
    </row>
    <row r="893" spans="1:6" x14ac:dyDescent="0.25">
      <c r="A893" s="7"/>
      <c r="E893" s="7"/>
      <c r="F893" s="7"/>
    </row>
    <row r="894" spans="1:6" x14ac:dyDescent="0.25">
      <c r="A894" s="7"/>
      <c r="E894" s="7"/>
      <c r="F894" s="7"/>
    </row>
    <row r="895" spans="1:6" x14ac:dyDescent="0.25">
      <c r="A895" s="7"/>
      <c r="E895" s="7"/>
      <c r="F895" s="7"/>
    </row>
    <row r="896" spans="1:6" x14ac:dyDescent="0.25">
      <c r="A896" s="7"/>
      <c r="E896" s="7"/>
      <c r="F896" s="7"/>
    </row>
    <row r="897" spans="1:6" x14ac:dyDescent="0.25">
      <c r="A897" s="7"/>
      <c r="E897" s="7"/>
      <c r="F897" s="7"/>
    </row>
    <row r="898" spans="1:6" x14ac:dyDescent="0.25">
      <c r="A898" s="7"/>
      <c r="E898" s="7"/>
      <c r="F898" s="7"/>
    </row>
    <row r="899" spans="1:6" x14ac:dyDescent="0.25">
      <c r="A899" s="7"/>
      <c r="E899" s="7"/>
      <c r="F899" s="7"/>
    </row>
    <row r="900" spans="1:6" x14ac:dyDescent="0.25">
      <c r="A900" s="7"/>
      <c r="E900" s="7"/>
      <c r="F900" s="7"/>
    </row>
    <row r="901" spans="1:6" x14ac:dyDescent="0.25">
      <c r="A901" s="7"/>
      <c r="E901" s="7"/>
      <c r="F901" s="7"/>
    </row>
    <row r="902" spans="1:6" x14ac:dyDescent="0.25">
      <c r="A902" s="7"/>
      <c r="E902" s="7"/>
      <c r="F902" s="7"/>
    </row>
    <row r="903" spans="1:6" x14ac:dyDescent="0.25">
      <c r="A903" s="7"/>
      <c r="E903" s="7"/>
      <c r="F903" s="7"/>
    </row>
    <row r="904" spans="1:6" x14ac:dyDescent="0.25">
      <c r="A904" s="7"/>
      <c r="E904" s="7"/>
      <c r="F904" s="7"/>
    </row>
    <row r="905" spans="1:6" x14ac:dyDescent="0.25">
      <c r="A905" s="7"/>
      <c r="E905" s="7"/>
      <c r="F905" s="7"/>
    </row>
    <row r="906" spans="1:6" x14ac:dyDescent="0.25">
      <c r="A906" s="7"/>
      <c r="E906" s="7"/>
      <c r="F906" s="7"/>
    </row>
    <row r="907" spans="1:6" x14ac:dyDescent="0.25">
      <c r="A907" s="7"/>
      <c r="E907" s="7"/>
      <c r="F907" s="7"/>
    </row>
    <row r="908" spans="1:6" x14ac:dyDescent="0.25">
      <c r="A908" s="7"/>
      <c r="E908" s="7"/>
      <c r="F908" s="7"/>
    </row>
    <row r="909" spans="1:6" x14ac:dyDescent="0.25">
      <c r="A909" s="7"/>
      <c r="E909" s="7"/>
      <c r="F909" s="7"/>
    </row>
    <row r="910" spans="1:6" x14ac:dyDescent="0.25">
      <c r="A910" s="7"/>
      <c r="E910" s="7"/>
      <c r="F910" s="7"/>
    </row>
    <row r="911" spans="1:6" x14ac:dyDescent="0.25">
      <c r="A911" s="7"/>
      <c r="E911" s="7"/>
      <c r="F911" s="7"/>
    </row>
    <row r="912" spans="1:6" x14ac:dyDescent="0.25">
      <c r="A912" s="7"/>
      <c r="E912" s="7"/>
      <c r="F912" s="7"/>
    </row>
    <row r="913" spans="1:6" x14ac:dyDescent="0.25">
      <c r="A913" s="7"/>
      <c r="E913" s="7"/>
      <c r="F913" s="7"/>
    </row>
    <row r="914" spans="1:6" x14ac:dyDescent="0.25">
      <c r="A914" s="7"/>
      <c r="E914" s="7"/>
      <c r="F914" s="7"/>
    </row>
    <row r="915" spans="1:6" x14ac:dyDescent="0.25">
      <c r="A915" s="7"/>
      <c r="E915" s="7"/>
      <c r="F915" s="7"/>
    </row>
    <row r="916" spans="1:6" x14ac:dyDescent="0.25">
      <c r="A916" s="7"/>
      <c r="E916" s="7"/>
      <c r="F916" s="7"/>
    </row>
    <row r="917" spans="1:6" x14ac:dyDescent="0.25">
      <c r="A917" s="7"/>
      <c r="E917" s="7"/>
      <c r="F917" s="7"/>
    </row>
    <row r="918" spans="1:6" x14ac:dyDescent="0.25">
      <c r="A918" s="7"/>
      <c r="E918" s="7"/>
      <c r="F918" s="7"/>
    </row>
    <row r="919" spans="1:6" x14ac:dyDescent="0.25">
      <c r="A919" s="7"/>
      <c r="E919" s="7"/>
      <c r="F919" s="7"/>
    </row>
    <row r="920" spans="1:6" x14ac:dyDescent="0.25">
      <c r="A920" s="7"/>
      <c r="E920" s="7"/>
      <c r="F920" s="7"/>
    </row>
    <row r="921" spans="1:6" x14ac:dyDescent="0.25">
      <c r="A921" s="7"/>
      <c r="E921" s="7"/>
      <c r="F921" s="7"/>
    </row>
    <row r="922" spans="1:6" x14ac:dyDescent="0.25">
      <c r="A922" s="7"/>
      <c r="E922" s="7"/>
      <c r="F922" s="7"/>
    </row>
    <row r="923" spans="1:6" x14ac:dyDescent="0.25">
      <c r="A923" s="7"/>
      <c r="E923" s="7"/>
      <c r="F923" s="7"/>
    </row>
    <row r="924" spans="1:6" x14ac:dyDescent="0.25">
      <c r="A924" s="7"/>
      <c r="E924" s="7"/>
      <c r="F924" s="7"/>
    </row>
    <row r="925" spans="1:6" x14ac:dyDescent="0.25">
      <c r="A925" s="7"/>
      <c r="E925" s="7"/>
      <c r="F925" s="7"/>
    </row>
    <row r="926" spans="1:6" x14ac:dyDescent="0.25">
      <c r="A926" s="7"/>
      <c r="E926" s="7"/>
      <c r="F926" s="7"/>
    </row>
    <row r="927" spans="1:6" x14ac:dyDescent="0.25">
      <c r="A927" s="7"/>
      <c r="E927" s="7"/>
      <c r="F927" s="7"/>
    </row>
    <row r="928" spans="1:6" x14ac:dyDescent="0.25">
      <c r="A928" s="7"/>
      <c r="E928" s="7"/>
      <c r="F928" s="7"/>
    </row>
    <row r="929" spans="1:6" x14ac:dyDescent="0.25">
      <c r="A929" s="7"/>
      <c r="E929" s="7"/>
      <c r="F929" s="7"/>
    </row>
    <row r="930" spans="1:6" x14ac:dyDescent="0.25">
      <c r="A930" s="7"/>
      <c r="E930" s="7"/>
      <c r="F930" s="7"/>
    </row>
    <row r="931" spans="1:6" x14ac:dyDescent="0.25">
      <c r="A931" s="7"/>
      <c r="E931" s="7"/>
      <c r="F931" s="7"/>
    </row>
    <row r="932" spans="1:6" x14ac:dyDescent="0.25">
      <c r="A932" s="7"/>
      <c r="E932" s="7"/>
      <c r="F932" s="7"/>
    </row>
    <row r="933" spans="1:6" x14ac:dyDescent="0.25">
      <c r="A933" s="7"/>
      <c r="E933" s="7"/>
      <c r="F933" s="7"/>
    </row>
    <row r="934" spans="1:6" x14ac:dyDescent="0.25">
      <c r="A934" s="7"/>
      <c r="E934" s="7"/>
      <c r="F934" s="7"/>
    </row>
    <row r="935" spans="1:6" x14ac:dyDescent="0.25">
      <c r="A935" s="7"/>
      <c r="E935" s="7"/>
      <c r="F935" s="7"/>
    </row>
    <row r="936" spans="1:6" x14ac:dyDescent="0.25">
      <c r="A936" s="7"/>
      <c r="E936" s="7"/>
      <c r="F936" s="7"/>
    </row>
    <row r="937" spans="1:6" x14ac:dyDescent="0.25">
      <c r="A937" s="7"/>
      <c r="E937" s="7"/>
      <c r="F937" s="7"/>
    </row>
    <row r="938" spans="1:6" x14ac:dyDescent="0.25">
      <c r="A938" s="7"/>
      <c r="E938" s="7"/>
      <c r="F938" s="7"/>
    </row>
    <row r="939" spans="1:6" x14ac:dyDescent="0.25">
      <c r="A939" s="7"/>
      <c r="E939" s="7"/>
      <c r="F939" s="7"/>
    </row>
    <row r="940" spans="1:6" x14ac:dyDescent="0.25">
      <c r="A940" s="7"/>
      <c r="E940" s="7"/>
      <c r="F940" s="7"/>
    </row>
    <row r="941" spans="1:6" x14ac:dyDescent="0.25">
      <c r="A941" s="7"/>
      <c r="E941" s="7"/>
      <c r="F941" s="7"/>
    </row>
    <row r="942" spans="1:6" x14ac:dyDescent="0.25">
      <c r="A942" s="7"/>
      <c r="E942" s="7"/>
      <c r="F942" s="7"/>
    </row>
    <row r="943" spans="1:6" x14ac:dyDescent="0.25">
      <c r="A943" s="7"/>
      <c r="E943" s="7"/>
      <c r="F943" s="7"/>
    </row>
    <row r="944" spans="1:6" x14ac:dyDescent="0.25">
      <c r="A944" s="7"/>
      <c r="E944" s="7"/>
      <c r="F944" s="7"/>
    </row>
    <row r="945" spans="1:6" x14ac:dyDescent="0.25">
      <c r="A945" s="7"/>
      <c r="E945" s="7"/>
      <c r="F945" s="7"/>
    </row>
    <row r="946" spans="1:6" x14ac:dyDescent="0.25">
      <c r="A946" s="7"/>
      <c r="E946" s="7"/>
      <c r="F946" s="7"/>
    </row>
    <row r="947" spans="1:6" x14ac:dyDescent="0.25">
      <c r="A947" s="7"/>
      <c r="E947" s="7"/>
      <c r="F947" s="7"/>
    </row>
    <row r="948" spans="1:6" x14ac:dyDescent="0.25">
      <c r="A948" s="7"/>
      <c r="E948" s="7"/>
      <c r="F948" s="7"/>
    </row>
    <row r="949" spans="1:6" x14ac:dyDescent="0.25">
      <c r="A949" s="7"/>
      <c r="E949" s="7"/>
      <c r="F949" s="7"/>
    </row>
    <row r="950" spans="1:6" x14ac:dyDescent="0.25">
      <c r="A950" s="7"/>
      <c r="E950" s="7"/>
      <c r="F950" s="7"/>
    </row>
    <row r="951" spans="1:6" x14ac:dyDescent="0.25">
      <c r="A951" s="7"/>
      <c r="E951" s="7"/>
      <c r="F951" s="7"/>
    </row>
    <row r="952" spans="1:6" x14ac:dyDescent="0.25">
      <c r="A952" s="7"/>
      <c r="E952" s="7"/>
      <c r="F952" s="7"/>
    </row>
    <row r="953" spans="1:6" x14ac:dyDescent="0.25">
      <c r="A953" s="7"/>
      <c r="E953" s="7"/>
      <c r="F953" s="7"/>
    </row>
    <row r="954" spans="1:6" x14ac:dyDescent="0.25">
      <c r="A954" s="7"/>
      <c r="E954" s="7"/>
      <c r="F954" s="7"/>
    </row>
    <row r="955" spans="1:6" x14ac:dyDescent="0.25">
      <c r="A955" s="7"/>
      <c r="E955" s="7"/>
      <c r="F955" s="7"/>
    </row>
    <row r="956" spans="1:6" x14ac:dyDescent="0.25">
      <c r="A956" s="7"/>
      <c r="E956" s="7"/>
      <c r="F956" s="7"/>
    </row>
    <row r="957" spans="1:6" x14ac:dyDescent="0.25">
      <c r="A957" s="7"/>
      <c r="E957" s="7"/>
      <c r="F957" s="7"/>
    </row>
    <row r="958" spans="1:6" x14ac:dyDescent="0.25">
      <c r="A958" s="7"/>
      <c r="E958" s="7"/>
      <c r="F958" s="7"/>
    </row>
    <row r="959" spans="1:6" x14ac:dyDescent="0.25">
      <c r="A959" s="7"/>
      <c r="E959" s="7"/>
      <c r="F959" s="7"/>
    </row>
    <row r="960" spans="1:6" x14ac:dyDescent="0.25">
      <c r="A960" s="7"/>
      <c r="E960" s="7"/>
      <c r="F960" s="7"/>
    </row>
    <row r="961" spans="1:6" x14ac:dyDescent="0.25">
      <c r="A961" s="7"/>
      <c r="E961" s="7"/>
      <c r="F961" s="7"/>
    </row>
    <row r="962" spans="1:6" x14ac:dyDescent="0.25">
      <c r="A962" s="7"/>
      <c r="E962" s="7"/>
      <c r="F962" s="7"/>
    </row>
    <row r="963" spans="1:6" x14ac:dyDescent="0.25">
      <c r="A963" s="7"/>
      <c r="E963" s="7"/>
      <c r="F963" s="7"/>
    </row>
    <row r="964" spans="1:6" x14ac:dyDescent="0.25">
      <c r="A964" s="7"/>
      <c r="E964" s="7"/>
      <c r="F964" s="7"/>
    </row>
    <row r="965" spans="1:6" x14ac:dyDescent="0.25">
      <c r="A965" s="7"/>
      <c r="E965" s="7"/>
      <c r="F965" s="7"/>
    </row>
    <row r="966" spans="1:6" x14ac:dyDescent="0.25">
      <c r="A966" s="7"/>
      <c r="E966" s="7"/>
      <c r="F966" s="7"/>
    </row>
    <row r="967" spans="1:6" x14ac:dyDescent="0.25">
      <c r="A967" s="7"/>
      <c r="E967" s="7"/>
      <c r="F967" s="7"/>
    </row>
    <row r="968" spans="1:6" x14ac:dyDescent="0.25">
      <c r="A968" s="7"/>
      <c r="E968" s="7"/>
      <c r="F968" s="7"/>
    </row>
    <row r="969" spans="1:6" x14ac:dyDescent="0.25">
      <c r="A969" s="7"/>
      <c r="E969" s="7"/>
      <c r="F969" s="7"/>
    </row>
    <row r="970" spans="1:6" x14ac:dyDescent="0.25">
      <c r="A970" s="7"/>
      <c r="E970" s="7"/>
      <c r="F970" s="7"/>
    </row>
    <row r="971" spans="1:6" x14ac:dyDescent="0.25">
      <c r="A971" s="7"/>
      <c r="E971" s="7"/>
      <c r="F971" s="7"/>
    </row>
    <row r="972" spans="1:6" x14ac:dyDescent="0.25">
      <c r="A972" s="7"/>
      <c r="E972" s="7"/>
      <c r="F972" s="7"/>
    </row>
    <row r="973" spans="1:6" x14ac:dyDescent="0.25">
      <c r="A973" s="7"/>
      <c r="E973" s="7"/>
      <c r="F973" s="7"/>
    </row>
    <row r="974" spans="1:6" x14ac:dyDescent="0.25">
      <c r="A974" s="7"/>
      <c r="E974" s="7"/>
      <c r="F974" s="7"/>
    </row>
    <row r="975" spans="1:6" x14ac:dyDescent="0.25">
      <c r="A975" s="7"/>
      <c r="E975" s="7"/>
      <c r="F975" s="7"/>
    </row>
    <row r="976" spans="1:6" x14ac:dyDescent="0.25">
      <c r="A976" s="7"/>
      <c r="E976" s="7"/>
      <c r="F976" s="7"/>
    </row>
    <row r="977" spans="1:6" x14ac:dyDescent="0.25">
      <c r="A977" s="7"/>
      <c r="E977" s="7"/>
      <c r="F977" s="7"/>
    </row>
    <row r="978" spans="1:6" x14ac:dyDescent="0.25">
      <c r="A978" s="7"/>
      <c r="E978" s="7"/>
      <c r="F978" s="7"/>
    </row>
    <row r="979" spans="1:6" x14ac:dyDescent="0.25">
      <c r="A979" s="7"/>
      <c r="E979" s="7"/>
      <c r="F979" s="7"/>
    </row>
    <row r="980" spans="1:6" x14ac:dyDescent="0.25">
      <c r="A980" s="7"/>
      <c r="E980" s="7"/>
      <c r="F980" s="7"/>
    </row>
    <row r="981" spans="1:6" x14ac:dyDescent="0.25">
      <c r="A981" s="7"/>
      <c r="E981" s="7"/>
      <c r="F981" s="7"/>
    </row>
    <row r="982" spans="1:6" x14ac:dyDescent="0.25">
      <c r="A982" s="7"/>
      <c r="E982" s="7"/>
      <c r="F982" s="7"/>
    </row>
    <row r="983" spans="1:6" x14ac:dyDescent="0.25">
      <c r="A983" s="7"/>
      <c r="E983" s="7"/>
      <c r="F983" s="7"/>
    </row>
    <row r="984" spans="1:6" x14ac:dyDescent="0.25">
      <c r="A984" s="7"/>
      <c r="E984" s="7"/>
      <c r="F984" s="7"/>
    </row>
    <row r="985" spans="1:6" x14ac:dyDescent="0.25">
      <c r="A985" s="7"/>
      <c r="E985" s="7"/>
      <c r="F985" s="7"/>
    </row>
    <row r="986" spans="1:6" x14ac:dyDescent="0.25">
      <c r="A986" s="7"/>
      <c r="E986" s="7"/>
      <c r="F986" s="7"/>
    </row>
    <row r="987" spans="1:6" x14ac:dyDescent="0.25">
      <c r="A987" s="7"/>
      <c r="E987" s="7"/>
      <c r="F987" s="7"/>
    </row>
    <row r="988" spans="1:6" x14ac:dyDescent="0.25">
      <c r="A988" s="7"/>
      <c r="E988" s="7"/>
      <c r="F988" s="7"/>
    </row>
    <row r="989" spans="1:6" x14ac:dyDescent="0.25">
      <c r="A989" s="7"/>
      <c r="E989" s="7"/>
      <c r="F989" s="7"/>
    </row>
    <row r="990" spans="1:6" x14ac:dyDescent="0.25">
      <c r="A990" s="7"/>
      <c r="E990" s="7"/>
      <c r="F990" s="7"/>
    </row>
    <row r="991" spans="1:6" x14ac:dyDescent="0.25">
      <c r="A991" s="7"/>
      <c r="E991" s="7"/>
      <c r="F991" s="7"/>
    </row>
    <row r="992" spans="1:6" x14ac:dyDescent="0.25">
      <c r="A992" s="7"/>
      <c r="E992" s="7"/>
      <c r="F992" s="7"/>
    </row>
    <row r="993" spans="1:6" x14ac:dyDescent="0.25">
      <c r="A993" s="7"/>
      <c r="E993" s="7"/>
      <c r="F993" s="7"/>
    </row>
    <row r="994" spans="1:6" x14ac:dyDescent="0.25">
      <c r="A994" s="7"/>
      <c r="E994" s="7"/>
      <c r="F994" s="7"/>
    </row>
    <row r="995" spans="1:6" x14ac:dyDescent="0.25">
      <c r="A995" s="7"/>
      <c r="E995" s="7"/>
      <c r="F995" s="7"/>
    </row>
    <row r="996" spans="1:6" x14ac:dyDescent="0.25">
      <c r="A996" s="7"/>
      <c r="E996" s="7"/>
      <c r="F996" s="7"/>
    </row>
    <row r="997" spans="1:6" x14ac:dyDescent="0.25">
      <c r="A997" s="7"/>
      <c r="E997" s="7"/>
      <c r="F997" s="7"/>
    </row>
    <row r="998" spans="1:6" x14ac:dyDescent="0.25">
      <c r="A998" s="7"/>
      <c r="E998" s="7"/>
      <c r="F998" s="7"/>
    </row>
    <row r="999" spans="1:6" x14ac:dyDescent="0.25">
      <c r="A999" s="7"/>
      <c r="E999" s="7"/>
      <c r="F999" s="7"/>
    </row>
    <row r="1000" spans="1:6" x14ac:dyDescent="0.25">
      <c r="A1000" s="7"/>
      <c r="E1000" s="7"/>
      <c r="F1000" s="7"/>
    </row>
    <row r="1001" spans="1:6" x14ac:dyDescent="0.25">
      <c r="A1001" s="7"/>
      <c r="E1001" s="7"/>
      <c r="F1001" s="7"/>
    </row>
    <row r="1002" spans="1:6" x14ac:dyDescent="0.25">
      <c r="A1002" s="7"/>
      <c r="E1002" s="7"/>
      <c r="F1002" s="7"/>
    </row>
    <row r="1003" spans="1:6" x14ac:dyDescent="0.25">
      <c r="A1003" s="7"/>
      <c r="E1003" s="7"/>
      <c r="F1003" s="7"/>
    </row>
  </sheetData>
  <mergeCells count="4">
    <mergeCell ref="A1:I1"/>
    <mergeCell ref="A2:I2"/>
    <mergeCell ref="B3:C3"/>
    <mergeCell ref="A17:I17"/>
  </mergeCells>
  <printOptions horizontalCentered="1" verticalCentered="1" gridLines="1"/>
  <pageMargins left="0.25" right="0.25" top="0.75" bottom="0.75" header="0" footer="0"/>
  <pageSetup pageOrder="overThenDown" orientation="landscape" cellComments="atEnd"/>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outlinePr summaryBelow="0" summaryRight="0"/>
    <pageSetUpPr fitToPage="1"/>
  </sheetPr>
  <dimension ref="A1:W1002"/>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46.33203125" customWidth="1"/>
    <col min="2" max="2" width="7.33203125" customWidth="1"/>
    <col min="3" max="4" width="7.88671875" customWidth="1"/>
    <col min="5" max="5" width="22.21875" customWidth="1"/>
    <col min="6" max="6" width="14.6640625" customWidth="1"/>
  </cols>
  <sheetData>
    <row r="1" spans="1:23" x14ac:dyDescent="0.25">
      <c r="A1" s="141" t="s">
        <v>676</v>
      </c>
      <c r="B1" s="142"/>
      <c r="C1" s="142"/>
      <c r="D1" s="142"/>
      <c r="E1" s="142"/>
      <c r="F1" s="142"/>
      <c r="G1" s="142"/>
      <c r="H1" s="142"/>
      <c r="I1" s="143"/>
    </row>
    <row r="2" spans="1:23" x14ac:dyDescent="0.25">
      <c r="A2" s="144" t="s">
        <v>677</v>
      </c>
      <c r="B2" s="142"/>
      <c r="C2" s="142"/>
      <c r="D2" s="142"/>
      <c r="E2" s="142"/>
      <c r="F2" s="142"/>
      <c r="G2" s="142"/>
      <c r="H2" s="142"/>
      <c r="I2" s="143"/>
    </row>
    <row r="3" spans="1:23" x14ac:dyDescent="0.25">
      <c r="A3" s="43" t="s">
        <v>374</v>
      </c>
      <c r="B3" s="145" t="s">
        <v>408</v>
      </c>
      <c r="C3" s="143"/>
      <c r="D3" s="49" t="s">
        <v>370</v>
      </c>
      <c r="E3" s="50" t="s">
        <v>371</v>
      </c>
      <c r="F3" s="51" t="s">
        <v>372</v>
      </c>
      <c r="G3" s="52" t="s">
        <v>373</v>
      </c>
      <c r="H3" s="53" t="s">
        <v>409</v>
      </c>
      <c r="I3" s="53" t="s">
        <v>410</v>
      </c>
      <c r="J3" s="7"/>
      <c r="K3" s="7"/>
      <c r="L3" s="7"/>
      <c r="M3" s="7"/>
      <c r="N3" s="7"/>
      <c r="O3" s="7"/>
      <c r="P3" s="7"/>
      <c r="Q3" s="7"/>
      <c r="R3" s="7"/>
      <c r="S3" s="7"/>
      <c r="T3" s="7"/>
      <c r="U3" s="7"/>
      <c r="V3" s="7"/>
      <c r="W3" s="7"/>
    </row>
    <row r="4" spans="1:23" x14ac:dyDescent="0.25">
      <c r="A4" s="41" t="s">
        <v>411</v>
      </c>
      <c r="B4" s="54">
        <f>SUM(B5:B8)/4</f>
        <v>1</v>
      </c>
      <c r="C4" s="55">
        <f>D4*B4</f>
        <v>0.7</v>
      </c>
      <c r="D4" s="56">
        <v>0.7</v>
      </c>
      <c r="E4" s="57"/>
      <c r="F4" s="57"/>
      <c r="G4" s="58"/>
      <c r="H4" s="58"/>
      <c r="I4" s="58"/>
    </row>
    <row r="5" spans="1:23" x14ac:dyDescent="0.25">
      <c r="A5" s="42" t="s">
        <v>623</v>
      </c>
      <c r="B5" s="59">
        <v>1</v>
      </c>
      <c r="C5" s="60"/>
      <c r="D5" s="60"/>
      <c r="E5" s="42"/>
      <c r="F5" s="61"/>
      <c r="G5" s="59">
        <v>0.8</v>
      </c>
      <c r="H5" s="59">
        <v>0.8</v>
      </c>
      <c r="I5" s="59">
        <v>1</v>
      </c>
    </row>
    <row r="6" spans="1:23" x14ac:dyDescent="0.25">
      <c r="A6" s="42" t="s">
        <v>678</v>
      </c>
      <c r="B6" s="59">
        <v>1</v>
      </c>
      <c r="C6" s="60"/>
      <c r="D6" s="60"/>
      <c r="E6" s="42"/>
      <c r="F6" s="61"/>
      <c r="G6" s="59">
        <v>0.8</v>
      </c>
      <c r="H6" s="59">
        <v>0.8</v>
      </c>
      <c r="I6" s="59">
        <v>1</v>
      </c>
    </row>
    <row r="7" spans="1:23" x14ac:dyDescent="0.25">
      <c r="A7" s="42" t="s">
        <v>679</v>
      </c>
      <c r="B7" s="59">
        <v>1</v>
      </c>
      <c r="C7" s="60"/>
      <c r="D7" s="60"/>
      <c r="E7" s="42"/>
      <c r="F7" s="61"/>
      <c r="G7" s="59">
        <v>0.8</v>
      </c>
      <c r="H7" s="59">
        <v>0.8</v>
      </c>
      <c r="I7" s="59">
        <v>1</v>
      </c>
    </row>
    <row r="8" spans="1:23" x14ac:dyDescent="0.25">
      <c r="A8" s="42" t="s">
        <v>680</v>
      </c>
      <c r="B8" s="59">
        <v>1</v>
      </c>
      <c r="C8" s="60"/>
      <c r="D8" s="60"/>
      <c r="E8" s="42"/>
      <c r="F8" s="42"/>
      <c r="G8" s="59">
        <v>0.8</v>
      </c>
      <c r="H8" s="59">
        <v>0.8</v>
      </c>
      <c r="I8" s="59">
        <v>1</v>
      </c>
    </row>
    <row r="9" spans="1:23" x14ac:dyDescent="0.25">
      <c r="A9" s="41" t="s">
        <v>415</v>
      </c>
      <c r="B9" s="54">
        <f>SUM(B10:B11)/1</f>
        <v>1</v>
      </c>
      <c r="C9" s="55">
        <f>D9*B9</f>
        <v>0.2</v>
      </c>
      <c r="D9" s="56">
        <v>0.2</v>
      </c>
      <c r="E9" s="57"/>
      <c r="F9" s="57"/>
      <c r="G9" s="58"/>
      <c r="H9" s="58"/>
      <c r="I9" s="58"/>
    </row>
    <row r="10" spans="1:23" x14ac:dyDescent="0.25">
      <c r="A10" s="42" t="s">
        <v>681</v>
      </c>
      <c r="B10" s="59">
        <v>1</v>
      </c>
      <c r="C10" s="60"/>
      <c r="D10" s="60"/>
      <c r="E10" s="42" t="s">
        <v>682</v>
      </c>
      <c r="F10" s="42" t="s">
        <v>425</v>
      </c>
      <c r="G10" s="59">
        <v>1</v>
      </c>
      <c r="H10" s="59"/>
      <c r="I10" s="59"/>
    </row>
    <row r="11" spans="1:23" x14ac:dyDescent="0.25">
      <c r="A11" s="43"/>
      <c r="B11" s="62"/>
      <c r="C11" s="60"/>
      <c r="D11" s="60"/>
      <c r="E11" s="42"/>
      <c r="F11" s="61"/>
      <c r="G11" s="59"/>
      <c r="H11" s="59"/>
      <c r="I11" s="59"/>
    </row>
    <row r="12" spans="1:23" x14ac:dyDescent="0.25">
      <c r="A12" s="41" t="s">
        <v>385</v>
      </c>
      <c r="B12" s="54">
        <f>SUM(B13:B14)/2</f>
        <v>1</v>
      </c>
      <c r="C12" s="55">
        <f>D12*B12</f>
        <v>0.1</v>
      </c>
      <c r="D12" s="56">
        <v>0.1</v>
      </c>
      <c r="E12" s="57"/>
      <c r="F12" s="57"/>
      <c r="G12" s="58"/>
      <c r="H12" s="58"/>
      <c r="I12" s="58"/>
    </row>
    <row r="13" spans="1:23" x14ac:dyDescent="0.25">
      <c r="A13" s="42" t="s">
        <v>386</v>
      </c>
      <c r="B13" s="59">
        <v>1</v>
      </c>
      <c r="C13" s="60"/>
      <c r="D13" s="53"/>
      <c r="E13" s="42"/>
      <c r="F13" s="42" t="s">
        <v>418</v>
      </c>
      <c r="G13" s="59">
        <v>0.8</v>
      </c>
      <c r="H13" s="59">
        <v>0.8</v>
      </c>
      <c r="I13" s="59">
        <v>1</v>
      </c>
    </row>
    <row r="14" spans="1:23" x14ac:dyDescent="0.25">
      <c r="A14" s="42" t="s">
        <v>387</v>
      </c>
      <c r="B14" s="59">
        <v>1</v>
      </c>
      <c r="C14" s="60"/>
      <c r="D14" s="53"/>
      <c r="E14" s="42"/>
      <c r="F14" s="42" t="s">
        <v>419</v>
      </c>
      <c r="G14" s="59">
        <v>0.8</v>
      </c>
      <c r="H14" s="59">
        <v>0.8</v>
      </c>
      <c r="I14" s="59">
        <v>1</v>
      </c>
    </row>
    <row r="15" spans="1:23" x14ac:dyDescent="0.25">
      <c r="A15" s="42"/>
      <c r="B15" s="60"/>
      <c r="C15" s="64">
        <f t="shared" ref="C15:D15" si="0">SUM(C4+C9+C12)</f>
        <v>0.99999999999999989</v>
      </c>
      <c r="D15" s="64">
        <f t="shared" si="0"/>
        <v>0.99999999999999989</v>
      </c>
      <c r="E15" s="42"/>
      <c r="F15" s="42"/>
      <c r="G15" s="60"/>
      <c r="H15" s="60"/>
      <c r="I15" s="60"/>
    </row>
    <row r="16" spans="1:23" x14ac:dyDescent="0.25">
      <c r="A16" s="152" t="s">
        <v>683</v>
      </c>
      <c r="B16" s="142"/>
      <c r="C16" s="142"/>
      <c r="D16" s="142"/>
      <c r="E16" s="142"/>
      <c r="F16" s="142"/>
      <c r="G16" s="142"/>
      <c r="H16" s="142"/>
      <c r="I16" s="143"/>
    </row>
    <row r="17" spans="1:9" x14ac:dyDescent="0.25">
      <c r="A17" s="66" t="s">
        <v>684</v>
      </c>
      <c r="B17" s="67"/>
      <c r="C17" s="64"/>
      <c r="D17" s="64"/>
      <c r="E17" s="68"/>
      <c r="F17" s="42"/>
      <c r="G17" s="42"/>
      <c r="H17" s="60"/>
      <c r="I17" s="60"/>
    </row>
    <row r="18" spans="1:9" x14ac:dyDescent="0.25">
      <c r="A18" s="66" t="s">
        <v>685</v>
      </c>
      <c r="B18" s="67" t="s">
        <v>427</v>
      </c>
      <c r="C18" s="64"/>
      <c r="D18" s="64"/>
      <c r="E18" s="68" t="s">
        <v>113</v>
      </c>
      <c r="F18" s="42" t="s">
        <v>425</v>
      </c>
      <c r="G18" s="69"/>
      <c r="H18" s="60"/>
      <c r="I18" s="60"/>
    </row>
    <row r="19" spans="1:9" x14ac:dyDescent="0.25">
      <c r="A19" s="66" t="s">
        <v>686</v>
      </c>
      <c r="B19" s="67" t="s">
        <v>427</v>
      </c>
      <c r="C19" s="64"/>
      <c r="D19" s="64"/>
      <c r="E19" s="68" t="s">
        <v>129</v>
      </c>
      <c r="F19" s="42" t="s">
        <v>425</v>
      </c>
      <c r="G19" s="42"/>
      <c r="H19" s="60"/>
      <c r="I19" s="60"/>
    </row>
    <row r="20" spans="1:9" x14ac:dyDescent="0.25">
      <c r="A20" s="66" t="s">
        <v>687</v>
      </c>
      <c r="B20" s="67" t="s">
        <v>427</v>
      </c>
      <c r="C20" s="64"/>
      <c r="D20" s="64"/>
      <c r="E20" s="68" t="s">
        <v>242</v>
      </c>
      <c r="F20" s="42" t="s">
        <v>425</v>
      </c>
      <c r="G20" s="60"/>
      <c r="H20" s="60"/>
      <c r="I20" s="60"/>
    </row>
    <row r="21" spans="1:9" x14ac:dyDescent="0.25">
      <c r="A21" s="7"/>
      <c r="E21" s="7"/>
      <c r="F21" s="7"/>
    </row>
    <row r="22" spans="1:9" x14ac:dyDescent="0.25">
      <c r="A22" s="7"/>
      <c r="E22" s="7"/>
      <c r="F22" s="7"/>
    </row>
    <row r="23" spans="1:9" x14ac:dyDescent="0.25">
      <c r="A23" s="7"/>
      <c r="E23" s="7"/>
      <c r="F23" s="7"/>
    </row>
    <row r="24" spans="1:9" x14ac:dyDescent="0.25">
      <c r="A24" s="7"/>
      <c r="E24" s="7"/>
      <c r="F24" s="7"/>
    </row>
    <row r="25" spans="1:9" x14ac:dyDescent="0.25">
      <c r="A25" s="7"/>
      <c r="E25" s="7"/>
      <c r="F25" s="7"/>
    </row>
    <row r="26" spans="1:9" x14ac:dyDescent="0.25">
      <c r="A26" s="7"/>
      <c r="E26" s="7"/>
      <c r="F26" s="7"/>
    </row>
    <row r="27" spans="1:9" x14ac:dyDescent="0.25">
      <c r="A27" s="7"/>
      <c r="E27" s="7"/>
      <c r="F27" s="7"/>
    </row>
    <row r="28" spans="1:9" x14ac:dyDescent="0.25">
      <c r="A28" s="7"/>
      <c r="E28" s="7"/>
      <c r="F28" s="7"/>
    </row>
    <row r="29" spans="1:9" x14ac:dyDescent="0.25">
      <c r="A29" s="7"/>
      <c r="E29" s="7"/>
      <c r="F29" s="7"/>
    </row>
    <row r="30" spans="1:9" x14ac:dyDescent="0.25">
      <c r="A30" s="7"/>
      <c r="E30" s="7"/>
      <c r="F30" s="7"/>
    </row>
    <row r="31" spans="1:9" x14ac:dyDescent="0.25">
      <c r="A31" s="7"/>
      <c r="E31" s="7"/>
      <c r="F31" s="7"/>
    </row>
    <row r="32" spans="1:9" x14ac:dyDescent="0.25">
      <c r="A32" s="7"/>
      <c r="E32" s="7"/>
      <c r="F32" s="7"/>
    </row>
    <row r="33" spans="1:6" x14ac:dyDescent="0.25">
      <c r="A33" s="7"/>
      <c r="E33" s="7"/>
      <c r="F33" s="7"/>
    </row>
    <row r="34" spans="1:6" x14ac:dyDescent="0.25">
      <c r="A34" s="7"/>
      <c r="E34" s="7"/>
      <c r="F34" s="7"/>
    </row>
    <row r="35" spans="1:6" x14ac:dyDescent="0.25">
      <c r="A35" s="7"/>
      <c r="E35" s="7"/>
      <c r="F35" s="7"/>
    </row>
    <row r="36" spans="1:6" x14ac:dyDescent="0.25">
      <c r="A36" s="7"/>
      <c r="E36" s="7"/>
      <c r="F36" s="7"/>
    </row>
    <row r="37" spans="1:6" x14ac:dyDescent="0.25">
      <c r="A37" s="7"/>
      <c r="E37" s="7"/>
      <c r="F37" s="7"/>
    </row>
    <row r="38" spans="1:6" x14ac:dyDescent="0.25">
      <c r="A38" s="7"/>
      <c r="E38" s="7"/>
      <c r="F38" s="7"/>
    </row>
    <row r="39" spans="1:6" x14ac:dyDescent="0.25">
      <c r="A39" s="7"/>
      <c r="E39" s="7"/>
      <c r="F39" s="7"/>
    </row>
    <row r="40" spans="1:6" x14ac:dyDescent="0.25">
      <c r="A40" s="7"/>
      <c r="E40" s="7"/>
      <c r="F40" s="7"/>
    </row>
    <row r="41" spans="1:6" x14ac:dyDescent="0.25">
      <c r="A41" s="7"/>
      <c r="E41" s="7"/>
      <c r="F41" s="7"/>
    </row>
    <row r="42" spans="1:6" x14ac:dyDescent="0.25">
      <c r="A42" s="7"/>
      <c r="E42" s="7"/>
      <c r="F42" s="7"/>
    </row>
    <row r="43" spans="1:6" x14ac:dyDescent="0.25">
      <c r="A43" s="7"/>
      <c r="E43" s="7"/>
      <c r="F43" s="7"/>
    </row>
    <row r="44" spans="1:6" x14ac:dyDescent="0.25">
      <c r="A44" s="7"/>
      <c r="E44" s="7"/>
      <c r="F44" s="7"/>
    </row>
    <row r="45" spans="1:6" x14ac:dyDescent="0.25">
      <c r="A45" s="7"/>
      <c r="E45" s="7"/>
      <c r="F45" s="7"/>
    </row>
    <row r="46" spans="1:6" x14ac:dyDescent="0.25">
      <c r="A46" s="7"/>
      <c r="E46" s="7"/>
      <c r="F46" s="7"/>
    </row>
    <row r="47" spans="1:6" x14ac:dyDescent="0.25">
      <c r="A47" s="7"/>
      <c r="E47" s="7"/>
      <c r="F47" s="7"/>
    </row>
    <row r="48" spans="1:6" x14ac:dyDescent="0.25">
      <c r="A48" s="7"/>
      <c r="E48" s="7"/>
      <c r="F48" s="7"/>
    </row>
    <row r="49" spans="1:6" x14ac:dyDescent="0.25">
      <c r="A49" s="7"/>
      <c r="E49" s="7"/>
      <c r="F49" s="7"/>
    </row>
    <row r="50" spans="1:6" x14ac:dyDescent="0.25">
      <c r="A50" s="7"/>
      <c r="E50" s="7"/>
      <c r="F50" s="7"/>
    </row>
    <row r="51" spans="1:6" x14ac:dyDescent="0.25">
      <c r="A51" s="7"/>
      <c r="E51" s="7"/>
      <c r="F51" s="7"/>
    </row>
    <row r="52" spans="1:6" x14ac:dyDescent="0.25">
      <c r="A52" s="7"/>
      <c r="E52" s="7"/>
      <c r="F52" s="7"/>
    </row>
    <row r="53" spans="1:6" x14ac:dyDescent="0.25">
      <c r="A53" s="7"/>
      <c r="E53" s="7"/>
      <c r="F53" s="7"/>
    </row>
    <row r="54" spans="1:6" x14ac:dyDescent="0.25">
      <c r="A54" s="7"/>
      <c r="E54" s="7"/>
      <c r="F54" s="7"/>
    </row>
    <row r="55" spans="1:6" x14ac:dyDescent="0.25">
      <c r="A55" s="7"/>
      <c r="E55" s="7"/>
      <c r="F55" s="7"/>
    </row>
    <row r="56" spans="1:6" x14ac:dyDescent="0.25">
      <c r="A56" s="7"/>
      <c r="E56" s="7"/>
      <c r="F56" s="7"/>
    </row>
    <row r="57" spans="1:6" x14ac:dyDescent="0.25">
      <c r="A57" s="7"/>
      <c r="E57" s="7"/>
      <c r="F57" s="7"/>
    </row>
    <row r="58" spans="1:6" x14ac:dyDescent="0.25">
      <c r="A58" s="7"/>
      <c r="E58" s="7"/>
      <c r="F58" s="7"/>
    </row>
    <row r="59" spans="1:6" x14ac:dyDescent="0.25">
      <c r="A59" s="7"/>
      <c r="E59" s="7"/>
      <c r="F59" s="7"/>
    </row>
    <row r="60" spans="1:6" x14ac:dyDescent="0.25">
      <c r="A60" s="7"/>
      <c r="E60" s="7"/>
      <c r="F60" s="7"/>
    </row>
    <row r="61" spans="1:6" x14ac:dyDescent="0.25">
      <c r="A61" s="7"/>
      <c r="E61" s="7"/>
      <c r="F61" s="7"/>
    </row>
    <row r="62" spans="1:6" x14ac:dyDescent="0.25">
      <c r="A62" s="7"/>
      <c r="E62" s="7"/>
      <c r="F62" s="7"/>
    </row>
    <row r="63" spans="1:6" x14ac:dyDescent="0.25">
      <c r="A63" s="7"/>
      <c r="E63" s="7"/>
      <c r="F63" s="7"/>
    </row>
    <row r="64" spans="1:6" x14ac:dyDescent="0.25">
      <c r="A64" s="7"/>
      <c r="E64" s="7"/>
      <c r="F64" s="7"/>
    </row>
    <row r="65" spans="1:6" x14ac:dyDescent="0.25">
      <c r="A65" s="7"/>
      <c r="E65" s="7"/>
      <c r="F65" s="7"/>
    </row>
    <row r="66" spans="1:6" x14ac:dyDescent="0.25">
      <c r="A66" s="7"/>
      <c r="E66" s="7"/>
      <c r="F66" s="7"/>
    </row>
    <row r="67" spans="1:6" x14ac:dyDescent="0.25">
      <c r="A67" s="7"/>
      <c r="E67" s="7"/>
      <c r="F67" s="7"/>
    </row>
    <row r="68" spans="1:6" x14ac:dyDescent="0.25">
      <c r="A68" s="7"/>
      <c r="E68" s="7"/>
      <c r="F68" s="7"/>
    </row>
    <row r="69" spans="1:6" x14ac:dyDescent="0.25">
      <c r="A69" s="7"/>
      <c r="E69" s="7"/>
      <c r="F69" s="7"/>
    </row>
    <row r="70" spans="1:6" x14ac:dyDescent="0.25">
      <c r="A70" s="7"/>
      <c r="E70" s="7"/>
      <c r="F70" s="7"/>
    </row>
    <row r="71" spans="1:6" x14ac:dyDescent="0.25">
      <c r="A71" s="7"/>
      <c r="E71" s="7"/>
      <c r="F71" s="7"/>
    </row>
    <row r="72" spans="1:6" x14ac:dyDescent="0.25">
      <c r="A72" s="7"/>
      <c r="E72" s="7"/>
      <c r="F72" s="7"/>
    </row>
    <row r="73" spans="1:6" x14ac:dyDescent="0.25">
      <c r="A73" s="7"/>
      <c r="E73" s="7"/>
      <c r="F73" s="7"/>
    </row>
    <row r="74" spans="1:6" x14ac:dyDescent="0.25">
      <c r="A74" s="7"/>
      <c r="E74" s="7"/>
      <c r="F74" s="7"/>
    </row>
    <row r="75" spans="1:6" x14ac:dyDescent="0.25">
      <c r="A75" s="7"/>
      <c r="E75" s="7"/>
      <c r="F75" s="7"/>
    </row>
    <row r="76" spans="1:6" x14ac:dyDescent="0.25">
      <c r="A76" s="7"/>
      <c r="E76" s="7"/>
      <c r="F76" s="7"/>
    </row>
    <row r="77" spans="1:6" x14ac:dyDescent="0.25">
      <c r="A77" s="7"/>
      <c r="E77" s="7"/>
      <c r="F77" s="7"/>
    </row>
    <row r="78" spans="1:6" x14ac:dyDescent="0.25">
      <c r="A78" s="7"/>
      <c r="E78" s="7"/>
      <c r="F78" s="7"/>
    </row>
    <row r="79" spans="1:6" x14ac:dyDescent="0.25">
      <c r="A79" s="7"/>
      <c r="E79" s="7"/>
      <c r="F79" s="7"/>
    </row>
    <row r="80" spans="1:6" x14ac:dyDescent="0.25">
      <c r="A80" s="7"/>
      <c r="E80" s="7"/>
      <c r="F80" s="7"/>
    </row>
    <row r="81" spans="1:6" x14ac:dyDescent="0.25">
      <c r="A81" s="7"/>
      <c r="E81" s="7"/>
      <c r="F81" s="7"/>
    </row>
    <row r="82" spans="1:6" x14ac:dyDescent="0.25">
      <c r="A82" s="7"/>
      <c r="E82" s="7"/>
      <c r="F82" s="7"/>
    </row>
    <row r="83" spans="1:6" x14ac:dyDescent="0.25">
      <c r="A83" s="7"/>
      <c r="E83" s="7"/>
      <c r="F83" s="7"/>
    </row>
    <row r="84" spans="1:6" x14ac:dyDescent="0.25">
      <c r="A84" s="7"/>
      <c r="E84" s="7"/>
      <c r="F84" s="7"/>
    </row>
    <row r="85" spans="1:6" x14ac:dyDescent="0.25">
      <c r="A85" s="7"/>
      <c r="E85" s="7"/>
      <c r="F85" s="7"/>
    </row>
    <row r="86" spans="1:6" x14ac:dyDescent="0.25">
      <c r="A86" s="7"/>
      <c r="E86" s="7"/>
      <c r="F86" s="7"/>
    </row>
    <row r="87" spans="1:6" x14ac:dyDescent="0.25">
      <c r="A87" s="7"/>
      <c r="E87" s="7"/>
      <c r="F87" s="7"/>
    </row>
    <row r="88" spans="1:6" x14ac:dyDescent="0.25">
      <c r="A88" s="7"/>
      <c r="E88" s="7"/>
      <c r="F88" s="7"/>
    </row>
    <row r="89" spans="1:6" x14ac:dyDescent="0.25">
      <c r="A89" s="7"/>
      <c r="E89" s="7"/>
      <c r="F89" s="7"/>
    </row>
    <row r="90" spans="1:6" x14ac:dyDescent="0.25">
      <c r="A90" s="7"/>
      <c r="E90" s="7"/>
      <c r="F90" s="7"/>
    </row>
    <row r="91" spans="1:6" x14ac:dyDescent="0.25">
      <c r="A91" s="7"/>
      <c r="E91" s="7"/>
      <c r="F91" s="7"/>
    </row>
    <row r="92" spans="1:6" x14ac:dyDescent="0.25">
      <c r="A92" s="7"/>
      <c r="E92" s="7"/>
      <c r="F92" s="7"/>
    </row>
    <row r="93" spans="1:6" x14ac:dyDescent="0.25">
      <c r="A93" s="7"/>
      <c r="E93" s="7"/>
      <c r="F93" s="7"/>
    </row>
    <row r="94" spans="1:6" x14ac:dyDescent="0.25">
      <c r="A94" s="7"/>
      <c r="E94" s="7"/>
      <c r="F94" s="7"/>
    </row>
    <row r="95" spans="1:6" x14ac:dyDescent="0.25">
      <c r="A95" s="7"/>
      <c r="E95" s="7"/>
      <c r="F95" s="7"/>
    </row>
    <row r="96" spans="1:6" x14ac:dyDescent="0.25">
      <c r="A96" s="7"/>
      <c r="E96" s="7"/>
      <c r="F96" s="7"/>
    </row>
    <row r="97" spans="1:6" x14ac:dyDescent="0.25">
      <c r="A97" s="7"/>
      <c r="E97" s="7"/>
      <c r="F97" s="7"/>
    </row>
    <row r="98" spans="1:6" x14ac:dyDescent="0.25">
      <c r="A98" s="7"/>
      <c r="E98" s="7"/>
      <c r="F98" s="7"/>
    </row>
    <row r="99" spans="1:6" x14ac:dyDescent="0.25">
      <c r="A99" s="7"/>
      <c r="E99" s="7"/>
      <c r="F99" s="7"/>
    </row>
    <row r="100" spans="1:6" x14ac:dyDescent="0.25">
      <c r="A100" s="7"/>
      <c r="E100" s="7"/>
      <c r="F100" s="7"/>
    </row>
    <row r="101" spans="1:6" x14ac:dyDescent="0.25">
      <c r="A101" s="7"/>
      <c r="E101" s="7"/>
      <c r="F101" s="7"/>
    </row>
    <row r="102" spans="1:6" x14ac:dyDescent="0.25">
      <c r="A102" s="7"/>
      <c r="E102" s="7"/>
      <c r="F102" s="7"/>
    </row>
    <row r="103" spans="1:6" x14ac:dyDescent="0.25">
      <c r="A103" s="7"/>
      <c r="E103" s="7"/>
      <c r="F103" s="7"/>
    </row>
    <row r="104" spans="1:6" x14ac:dyDescent="0.25">
      <c r="A104" s="7"/>
      <c r="E104" s="7"/>
      <c r="F104" s="7"/>
    </row>
    <row r="105" spans="1:6" x14ac:dyDescent="0.25">
      <c r="A105" s="7"/>
      <c r="E105" s="7"/>
      <c r="F105" s="7"/>
    </row>
    <row r="106" spans="1:6" x14ac:dyDescent="0.25">
      <c r="A106" s="7"/>
      <c r="E106" s="7"/>
      <c r="F106" s="7"/>
    </row>
    <row r="107" spans="1:6" x14ac:dyDescent="0.25">
      <c r="A107" s="7"/>
      <c r="E107" s="7"/>
      <c r="F107" s="7"/>
    </row>
    <row r="108" spans="1:6" x14ac:dyDescent="0.25">
      <c r="A108" s="7"/>
      <c r="E108" s="7"/>
      <c r="F108" s="7"/>
    </row>
    <row r="109" spans="1:6" x14ac:dyDescent="0.25">
      <c r="A109" s="7"/>
      <c r="E109" s="7"/>
      <c r="F109" s="7"/>
    </row>
    <row r="110" spans="1:6" x14ac:dyDescent="0.25">
      <c r="A110" s="7"/>
      <c r="E110" s="7"/>
      <c r="F110" s="7"/>
    </row>
    <row r="111" spans="1:6" x14ac:dyDescent="0.25">
      <c r="A111" s="7"/>
      <c r="E111" s="7"/>
      <c r="F111" s="7"/>
    </row>
    <row r="112" spans="1:6" x14ac:dyDescent="0.25">
      <c r="A112" s="7"/>
      <c r="E112" s="7"/>
      <c r="F112" s="7"/>
    </row>
    <row r="113" spans="1:6" x14ac:dyDescent="0.25">
      <c r="A113" s="7"/>
      <c r="E113" s="7"/>
      <c r="F113" s="7"/>
    </row>
    <row r="114" spans="1:6" x14ac:dyDescent="0.25">
      <c r="A114" s="7"/>
      <c r="E114" s="7"/>
      <c r="F114" s="7"/>
    </row>
    <row r="115" spans="1:6" x14ac:dyDescent="0.25">
      <c r="A115" s="7"/>
      <c r="E115" s="7"/>
      <c r="F115" s="7"/>
    </row>
    <row r="116" spans="1:6" x14ac:dyDescent="0.25">
      <c r="A116" s="7"/>
      <c r="E116" s="7"/>
      <c r="F116" s="7"/>
    </row>
    <row r="117" spans="1:6" x14ac:dyDescent="0.25">
      <c r="A117" s="7"/>
      <c r="E117" s="7"/>
      <c r="F117" s="7"/>
    </row>
    <row r="118" spans="1:6" x14ac:dyDescent="0.25">
      <c r="A118" s="7"/>
      <c r="E118" s="7"/>
      <c r="F118" s="7"/>
    </row>
    <row r="119" spans="1:6" x14ac:dyDescent="0.25">
      <c r="A119" s="7"/>
      <c r="E119" s="7"/>
      <c r="F119" s="7"/>
    </row>
    <row r="120" spans="1:6" x14ac:dyDescent="0.25">
      <c r="A120" s="7"/>
      <c r="E120" s="7"/>
      <c r="F120" s="7"/>
    </row>
    <row r="121" spans="1:6" x14ac:dyDescent="0.25">
      <c r="A121" s="7"/>
      <c r="E121" s="7"/>
      <c r="F121" s="7"/>
    </row>
    <row r="122" spans="1:6" x14ac:dyDescent="0.25">
      <c r="A122" s="7"/>
      <c r="E122" s="7"/>
      <c r="F122" s="7"/>
    </row>
    <row r="123" spans="1:6" x14ac:dyDescent="0.25">
      <c r="A123" s="7"/>
      <c r="E123" s="7"/>
      <c r="F123" s="7"/>
    </row>
    <row r="124" spans="1:6" x14ac:dyDescent="0.25">
      <c r="A124" s="7"/>
      <c r="E124" s="7"/>
      <c r="F124" s="7"/>
    </row>
    <row r="125" spans="1:6" x14ac:dyDescent="0.25">
      <c r="A125" s="7"/>
      <c r="E125" s="7"/>
      <c r="F125" s="7"/>
    </row>
    <row r="126" spans="1:6" x14ac:dyDescent="0.25">
      <c r="A126" s="7"/>
      <c r="E126" s="7"/>
      <c r="F126" s="7"/>
    </row>
    <row r="127" spans="1:6" x14ac:dyDescent="0.25">
      <c r="A127" s="7"/>
      <c r="E127" s="7"/>
      <c r="F127" s="7"/>
    </row>
    <row r="128" spans="1:6" x14ac:dyDescent="0.25">
      <c r="A128" s="7"/>
      <c r="E128" s="7"/>
      <c r="F128" s="7"/>
    </row>
    <row r="129" spans="1:6" x14ac:dyDescent="0.25">
      <c r="A129" s="7"/>
      <c r="E129" s="7"/>
      <c r="F129" s="7"/>
    </row>
    <row r="130" spans="1:6" x14ac:dyDescent="0.25">
      <c r="A130" s="7"/>
      <c r="E130" s="7"/>
      <c r="F130" s="7"/>
    </row>
    <row r="131" spans="1:6" x14ac:dyDescent="0.25">
      <c r="A131" s="7"/>
      <c r="E131" s="7"/>
      <c r="F131" s="7"/>
    </row>
    <row r="132" spans="1:6" x14ac:dyDescent="0.25">
      <c r="A132" s="7"/>
      <c r="E132" s="7"/>
      <c r="F132" s="7"/>
    </row>
    <row r="133" spans="1:6" x14ac:dyDescent="0.25">
      <c r="A133" s="7"/>
      <c r="E133" s="7"/>
      <c r="F133" s="7"/>
    </row>
    <row r="134" spans="1:6" x14ac:dyDescent="0.25">
      <c r="A134" s="7"/>
      <c r="E134" s="7"/>
      <c r="F134" s="7"/>
    </row>
    <row r="135" spans="1:6" x14ac:dyDescent="0.25">
      <c r="A135" s="7"/>
      <c r="E135" s="7"/>
      <c r="F135" s="7"/>
    </row>
    <row r="136" spans="1:6" x14ac:dyDescent="0.25">
      <c r="A136" s="7"/>
      <c r="E136" s="7"/>
      <c r="F136" s="7"/>
    </row>
    <row r="137" spans="1:6" x14ac:dyDescent="0.25">
      <c r="A137" s="7"/>
      <c r="E137" s="7"/>
      <c r="F137" s="7"/>
    </row>
    <row r="138" spans="1:6" x14ac:dyDescent="0.25">
      <c r="A138" s="7"/>
      <c r="E138" s="7"/>
      <c r="F138" s="7"/>
    </row>
    <row r="139" spans="1:6" x14ac:dyDescent="0.25">
      <c r="A139" s="7"/>
      <c r="E139" s="7"/>
      <c r="F139" s="7"/>
    </row>
    <row r="140" spans="1:6" x14ac:dyDescent="0.25">
      <c r="A140" s="7"/>
      <c r="E140" s="7"/>
      <c r="F140" s="7"/>
    </row>
    <row r="141" spans="1:6" x14ac:dyDescent="0.25">
      <c r="A141" s="7"/>
      <c r="E141" s="7"/>
      <c r="F141" s="7"/>
    </row>
    <row r="142" spans="1:6" x14ac:dyDescent="0.25">
      <c r="A142" s="7"/>
      <c r="E142" s="7"/>
      <c r="F142" s="7"/>
    </row>
    <row r="143" spans="1:6" x14ac:dyDescent="0.25">
      <c r="A143" s="7"/>
      <c r="E143" s="7"/>
      <c r="F143" s="7"/>
    </row>
    <row r="144" spans="1:6" x14ac:dyDescent="0.25">
      <c r="A144" s="7"/>
      <c r="E144" s="7"/>
      <c r="F144" s="7"/>
    </row>
    <row r="145" spans="1:6" x14ac:dyDescent="0.25">
      <c r="A145" s="7"/>
      <c r="E145" s="7"/>
      <c r="F145" s="7"/>
    </row>
    <row r="146" spans="1:6" x14ac:dyDescent="0.25">
      <c r="A146" s="7"/>
      <c r="E146" s="7"/>
      <c r="F146" s="7"/>
    </row>
    <row r="147" spans="1:6" x14ac:dyDescent="0.25">
      <c r="A147" s="7"/>
      <c r="E147" s="7"/>
      <c r="F147" s="7"/>
    </row>
    <row r="148" spans="1:6" x14ac:dyDescent="0.25">
      <c r="A148" s="7"/>
      <c r="E148" s="7"/>
      <c r="F148" s="7"/>
    </row>
    <row r="149" spans="1:6" x14ac:dyDescent="0.25">
      <c r="A149" s="7"/>
      <c r="E149" s="7"/>
      <c r="F149" s="7"/>
    </row>
    <row r="150" spans="1:6" x14ac:dyDescent="0.25">
      <c r="A150" s="7"/>
      <c r="E150" s="7"/>
      <c r="F150" s="7"/>
    </row>
    <row r="151" spans="1:6" x14ac:dyDescent="0.25">
      <c r="A151" s="7"/>
      <c r="E151" s="7"/>
      <c r="F151" s="7"/>
    </row>
    <row r="152" spans="1:6" x14ac:dyDescent="0.25">
      <c r="A152" s="7"/>
      <c r="E152" s="7"/>
      <c r="F152" s="7"/>
    </row>
    <row r="153" spans="1:6" x14ac:dyDescent="0.25">
      <c r="A153" s="7"/>
      <c r="E153" s="7"/>
      <c r="F153" s="7"/>
    </row>
    <row r="154" spans="1:6" x14ac:dyDescent="0.25">
      <c r="A154" s="7"/>
      <c r="E154" s="7"/>
      <c r="F154" s="7"/>
    </row>
    <row r="155" spans="1:6" x14ac:dyDescent="0.25">
      <c r="A155" s="7"/>
      <c r="E155" s="7"/>
      <c r="F155" s="7"/>
    </row>
    <row r="156" spans="1:6" x14ac:dyDescent="0.25">
      <c r="A156" s="7"/>
      <c r="E156" s="7"/>
      <c r="F156" s="7"/>
    </row>
    <row r="157" spans="1:6" x14ac:dyDescent="0.25">
      <c r="A157" s="7"/>
      <c r="E157" s="7"/>
      <c r="F157" s="7"/>
    </row>
    <row r="158" spans="1:6" x14ac:dyDescent="0.25">
      <c r="A158" s="7"/>
      <c r="E158" s="7"/>
      <c r="F158" s="7"/>
    </row>
    <row r="159" spans="1:6" x14ac:dyDescent="0.25">
      <c r="A159" s="7"/>
      <c r="E159" s="7"/>
      <c r="F159" s="7"/>
    </row>
    <row r="160" spans="1:6" x14ac:dyDescent="0.25">
      <c r="A160" s="7"/>
      <c r="E160" s="7"/>
      <c r="F160" s="7"/>
    </row>
    <row r="161" spans="1:6" x14ac:dyDescent="0.25">
      <c r="A161" s="7"/>
      <c r="E161" s="7"/>
      <c r="F161" s="7"/>
    </row>
    <row r="162" spans="1:6" x14ac:dyDescent="0.25">
      <c r="A162" s="7"/>
      <c r="E162" s="7"/>
      <c r="F162" s="7"/>
    </row>
    <row r="163" spans="1:6" x14ac:dyDescent="0.25">
      <c r="A163" s="7"/>
      <c r="E163" s="7"/>
      <c r="F163" s="7"/>
    </row>
    <row r="164" spans="1:6" x14ac:dyDescent="0.25">
      <c r="A164" s="7"/>
      <c r="E164" s="7"/>
      <c r="F164" s="7"/>
    </row>
    <row r="165" spans="1:6" x14ac:dyDescent="0.25">
      <c r="A165" s="7"/>
      <c r="E165" s="7"/>
      <c r="F165" s="7"/>
    </row>
    <row r="166" spans="1:6" x14ac:dyDescent="0.25">
      <c r="A166" s="7"/>
      <c r="E166" s="7"/>
      <c r="F166" s="7"/>
    </row>
    <row r="167" spans="1:6" x14ac:dyDescent="0.25">
      <c r="A167" s="7"/>
      <c r="E167" s="7"/>
      <c r="F167" s="7"/>
    </row>
    <row r="168" spans="1:6" x14ac:dyDescent="0.25">
      <c r="A168" s="7"/>
      <c r="E168" s="7"/>
      <c r="F168" s="7"/>
    </row>
    <row r="169" spans="1:6" x14ac:dyDescent="0.25">
      <c r="A169" s="7"/>
      <c r="E169" s="7"/>
      <c r="F169" s="7"/>
    </row>
    <row r="170" spans="1:6" x14ac:dyDescent="0.25">
      <c r="A170" s="7"/>
      <c r="E170" s="7"/>
      <c r="F170" s="7"/>
    </row>
    <row r="171" spans="1:6" x14ac:dyDescent="0.25">
      <c r="A171" s="7"/>
      <c r="E171" s="7"/>
      <c r="F171" s="7"/>
    </row>
    <row r="172" spans="1:6" x14ac:dyDescent="0.25">
      <c r="A172" s="7"/>
      <c r="E172" s="7"/>
      <c r="F172" s="7"/>
    </row>
    <row r="173" spans="1:6" x14ac:dyDescent="0.25">
      <c r="A173" s="7"/>
      <c r="E173" s="7"/>
      <c r="F173" s="7"/>
    </row>
    <row r="174" spans="1:6" x14ac:dyDescent="0.25">
      <c r="A174" s="7"/>
      <c r="E174" s="7"/>
      <c r="F174" s="7"/>
    </row>
    <row r="175" spans="1:6" x14ac:dyDescent="0.25">
      <c r="A175" s="7"/>
      <c r="E175" s="7"/>
      <c r="F175" s="7"/>
    </row>
    <row r="176" spans="1:6" x14ac:dyDescent="0.25">
      <c r="A176" s="7"/>
      <c r="E176" s="7"/>
      <c r="F176" s="7"/>
    </row>
    <row r="177" spans="1:6" x14ac:dyDescent="0.25">
      <c r="A177" s="7"/>
      <c r="E177" s="7"/>
      <c r="F177" s="7"/>
    </row>
    <row r="178" spans="1:6" x14ac:dyDescent="0.25">
      <c r="A178" s="7"/>
      <c r="E178" s="7"/>
      <c r="F178" s="7"/>
    </row>
    <row r="179" spans="1:6" x14ac:dyDescent="0.25">
      <c r="A179" s="7"/>
      <c r="E179" s="7"/>
      <c r="F179" s="7"/>
    </row>
    <row r="180" spans="1:6" x14ac:dyDescent="0.25">
      <c r="A180" s="7"/>
      <c r="E180" s="7"/>
      <c r="F180" s="7"/>
    </row>
    <row r="181" spans="1:6" x14ac:dyDescent="0.25">
      <c r="A181" s="7"/>
      <c r="E181" s="7"/>
      <c r="F181" s="7"/>
    </row>
    <row r="182" spans="1:6" x14ac:dyDescent="0.25">
      <c r="A182" s="7"/>
      <c r="E182" s="7"/>
      <c r="F182" s="7"/>
    </row>
    <row r="183" spans="1:6" x14ac:dyDescent="0.25">
      <c r="A183" s="7"/>
      <c r="E183" s="7"/>
      <c r="F183" s="7"/>
    </row>
    <row r="184" spans="1:6" x14ac:dyDescent="0.25">
      <c r="A184" s="7"/>
      <c r="E184" s="7"/>
      <c r="F184" s="7"/>
    </row>
    <row r="185" spans="1:6" x14ac:dyDescent="0.25">
      <c r="A185" s="7"/>
      <c r="E185" s="7"/>
      <c r="F185" s="7"/>
    </row>
    <row r="186" spans="1:6" x14ac:dyDescent="0.25">
      <c r="A186" s="7"/>
      <c r="E186" s="7"/>
      <c r="F186" s="7"/>
    </row>
    <row r="187" spans="1:6" x14ac:dyDescent="0.25">
      <c r="A187" s="7"/>
      <c r="E187" s="7"/>
      <c r="F187" s="7"/>
    </row>
    <row r="188" spans="1:6" x14ac:dyDescent="0.25">
      <c r="A188" s="7"/>
      <c r="E188" s="7"/>
      <c r="F188" s="7"/>
    </row>
    <row r="189" spans="1:6" x14ac:dyDescent="0.25">
      <c r="A189" s="7"/>
      <c r="E189" s="7"/>
      <c r="F189" s="7"/>
    </row>
    <row r="190" spans="1:6" x14ac:dyDescent="0.25">
      <c r="A190" s="7"/>
      <c r="E190" s="7"/>
      <c r="F190" s="7"/>
    </row>
    <row r="191" spans="1:6" x14ac:dyDescent="0.25">
      <c r="A191" s="7"/>
      <c r="E191" s="7"/>
      <c r="F191" s="7"/>
    </row>
    <row r="192" spans="1:6" x14ac:dyDescent="0.25">
      <c r="A192" s="7"/>
      <c r="E192" s="7"/>
      <c r="F192" s="7"/>
    </row>
    <row r="193" spans="1:6" x14ac:dyDescent="0.25">
      <c r="A193" s="7"/>
      <c r="E193" s="7"/>
      <c r="F193" s="7"/>
    </row>
    <row r="194" spans="1:6" x14ac:dyDescent="0.25">
      <c r="A194" s="7"/>
      <c r="E194" s="7"/>
      <c r="F194" s="7"/>
    </row>
    <row r="195" spans="1:6" x14ac:dyDescent="0.25">
      <c r="A195" s="7"/>
      <c r="E195" s="7"/>
      <c r="F195" s="7"/>
    </row>
    <row r="196" spans="1:6" x14ac:dyDescent="0.25">
      <c r="A196" s="7"/>
      <c r="E196" s="7"/>
      <c r="F196" s="7"/>
    </row>
    <row r="197" spans="1:6" x14ac:dyDescent="0.25">
      <c r="A197" s="7"/>
      <c r="E197" s="7"/>
      <c r="F197" s="7"/>
    </row>
    <row r="198" spans="1:6" x14ac:dyDescent="0.25">
      <c r="A198" s="7"/>
      <c r="E198" s="7"/>
      <c r="F198" s="7"/>
    </row>
    <row r="199" spans="1:6" x14ac:dyDescent="0.25">
      <c r="A199" s="7"/>
      <c r="E199" s="7"/>
      <c r="F199" s="7"/>
    </row>
    <row r="200" spans="1:6" x14ac:dyDescent="0.25">
      <c r="A200" s="7"/>
      <c r="E200" s="7"/>
      <c r="F200" s="7"/>
    </row>
    <row r="201" spans="1:6" x14ac:dyDescent="0.25">
      <c r="A201" s="7"/>
      <c r="E201" s="7"/>
      <c r="F201" s="7"/>
    </row>
    <row r="202" spans="1:6" x14ac:dyDescent="0.25">
      <c r="A202" s="7"/>
      <c r="E202" s="7"/>
      <c r="F202" s="7"/>
    </row>
    <row r="203" spans="1:6" x14ac:dyDescent="0.25">
      <c r="A203" s="7"/>
      <c r="E203" s="7"/>
      <c r="F203" s="7"/>
    </row>
    <row r="204" spans="1:6" x14ac:dyDescent="0.25">
      <c r="A204" s="7"/>
      <c r="E204" s="7"/>
      <c r="F204" s="7"/>
    </row>
    <row r="205" spans="1:6" x14ac:dyDescent="0.25">
      <c r="A205" s="7"/>
      <c r="E205" s="7"/>
      <c r="F205" s="7"/>
    </row>
    <row r="206" spans="1:6" x14ac:dyDescent="0.25">
      <c r="A206" s="7"/>
      <c r="E206" s="7"/>
      <c r="F206" s="7"/>
    </row>
    <row r="207" spans="1:6" x14ac:dyDescent="0.25">
      <c r="A207" s="7"/>
      <c r="E207" s="7"/>
      <c r="F207" s="7"/>
    </row>
    <row r="208" spans="1:6" x14ac:dyDescent="0.25">
      <c r="A208" s="7"/>
      <c r="E208" s="7"/>
      <c r="F208" s="7"/>
    </row>
    <row r="209" spans="1:6" x14ac:dyDescent="0.25">
      <c r="A209" s="7"/>
      <c r="E209" s="7"/>
      <c r="F209" s="7"/>
    </row>
    <row r="210" spans="1:6" x14ac:dyDescent="0.25">
      <c r="A210" s="7"/>
      <c r="E210" s="7"/>
      <c r="F210" s="7"/>
    </row>
    <row r="211" spans="1:6" x14ac:dyDescent="0.25">
      <c r="A211" s="7"/>
      <c r="E211" s="7"/>
      <c r="F211" s="7"/>
    </row>
    <row r="212" spans="1:6" x14ac:dyDescent="0.25">
      <c r="A212" s="7"/>
      <c r="E212" s="7"/>
      <c r="F212" s="7"/>
    </row>
    <row r="213" spans="1:6" x14ac:dyDescent="0.25">
      <c r="A213" s="7"/>
      <c r="E213" s="7"/>
      <c r="F213" s="7"/>
    </row>
    <row r="214" spans="1:6" x14ac:dyDescent="0.25">
      <c r="A214" s="7"/>
      <c r="E214" s="7"/>
      <c r="F214" s="7"/>
    </row>
    <row r="215" spans="1:6" x14ac:dyDescent="0.25">
      <c r="A215" s="7"/>
      <c r="E215" s="7"/>
      <c r="F215" s="7"/>
    </row>
    <row r="216" spans="1:6" x14ac:dyDescent="0.25">
      <c r="A216" s="7"/>
      <c r="E216" s="7"/>
      <c r="F216" s="7"/>
    </row>
    <row r="217" spans="1:6" x14ac:dyDescent="0.25">
      <c r="A217" s="7"/>
      <c r="E217" s="7"/>
      <c r="F217" s="7"/>
    </row>
    <row r="218" spans="1:6" x14ac:dyDescent="0.25">
      <c r="A218" s="7"/>
      <c r="E218" s="7"/>
      <c r="F218" s="7"/>
    </row>
    <row r="219" spans="1:6" x14ac:dyDescent="0.25">
      <c r="A219" s="7"/>
      <c r="E219" s="7"/>
      <c r="F219" s="7"/>
    </row>
    <row r="220" spans="1:6" x14ac:dyDescent="0.25">
      <c r="A220" s="7"/>
      <c r="E220" s="7"/>
      <c r="F220" s="7"/>
    </row>
    <row r="221" spans="1:6" x14ac:dyDescent="0.25">
      <c r="A221" s="7"/>
      <c r="E221" s="7"/>
      <c r="F221" s="7"/>
    </row>
    <row r="222" spans="1:6" x14ac:dyDescent="0.25">
      <c r="A222" s="7"/>
      <c r="E222" s="7"/>
      <c r="F222" s="7"/>
    </row>
    <row r="223" spans="1:6" x14ac:dyDescent="0.25">
      <c r="A223" s="7"/>
      <c r="E223" s="7"/>
      <c r="F223" s="7"/>
    </row>
    <row r="224" spans="1:6" x14ac:dyDescent="0.25">
      <c r="A224" s="7"/>
      <c r="E224" s="7"/>
      <c r="F224" s="7"/>
    </row>
    <row r="225" spans="1:6" x14ac:dyDescent="0.25">
      <c r="A225" s="7"/>
      <c r="E225" s="7"/>
      <c r="F225" s="7"/>
    </row>
    <row r="226" spans="1:6" x14ac:dyDescent="0.25">
      <c r="A226" s="7"/>
      <c r="E226" s="7"/>
      <c r="F226" s="7"/>
    </row>
    <row r="227" spans="1:6" x14ac:dyDescent="0.25">
      <c r="A227" s="7"/>
      <c r="E227" s="7"/>
      <c r="F227" s="7"/>
    </row>
    <row r="228" spans="1:6" x14ac:dyDescent="0.25">
      <c r="A228" s="7"/>
      <c r="E228" s="7"/>
      <c r="F228" s="7"/>
    </row>
    <row r="229" spans="1:6" x14ac:dyDescent="0.25">
      <c r="A229" s="7"/>
      <c r="E229" s="7"/>
      <c r="F229" s="7"/>
    </row>
    <row r="230" spans="1:6" x14ac:dyDescent="0.25">
      <c r="A230" s="7"/>
      <c r="E230" s="7"/>
      <c r="F230" s="7"/>
    </row>
    <row r="231" spans="1:6" x14ac:dyDescent="0.25">
      <c r="A231" s="7"/>
      <c r="E231" s="7"/>
      <c r="F231" s="7"/>
    </row>
    <row r="232" spans="1:6" x14ac:dyDescent="0.25">
      <c r="A232" s="7"/>
      <c r="E232" s="7"/>
      <c r="F232" s="7"/>
    </row>
    <row r="233" spans="1:6" x14ac:dyDescent="0.25">
      <c r="A233" s="7"/>
      <c r="E233" s="7"/>
      <c r="F233" s="7"/>
    </row>
    <row r="234" spans="1:6" x14ac:dyDescent="0.25">
      <c r="A234" s="7"/>
      <c r="E234" s="7"/>
      <c r="F234" s="7"/>
    </row>
    <row r="235" spans="1:6" x14ac:dyDescent="0.25">
      <c r="A235" s="7"/>
      <c r="E235" s="7"/>
      <c r="F235" s="7"/>
    </row>
    <row r="236" spans="1:6" x14ac:dyDescent="0.25">
      <c r="A236" s="7"/>
      <c r="E236" s="7"/>
      <c r="F236" s="7"/>
    </row>
    <row r="237" spans="1:6" x14ac:dyDescent="0.25">
      <c r="A237" s="7"/>
      <c r="E237" s="7"/>
      <c r="F237" s="7"/>
    </row>
    <row r="238" spans="1:6" x14ac:dyDescent="0.25">
      <c r="A238" s="7"/>
      <c r="E238" s="7"/>
      <c r="F238" s="7"/>
    </row>
    <row r="239" spans="1:6" x14ac:dyDescent="0.25">
      <c r="A239" s="7"/>
      <c r="E239" s="7"/>
      <c r="F239" s="7"/>
    </row>
    <row r="240" spans="1:6" x14ac:dyDescent="0.25">
      <c r="A240" s="7"/>
      <c r="E240" s="7"/>
      <c r="F240" s="7"/>
    </row>
    <row r="241" spans="1:6" x14ac:dyDescent="0.25">
      <c r="A241" s="7"/>
      <c r="E241" s="7"/>
      <c r="F241" s="7"/>
    </row>
    <row r="242" spans="1:6" x14ac:dyDescent="0.25">
      <c r="A242" s="7"/>
      <c r="E242" s="7"/>
      <c r="F242" s="7"/>
    </row>
    <row r="243" spans="1:6" x14ac:dyDescent="0.25">
      <c r="A243" s="7"/>
      <c r="E243" s="7"/>
      <c r="F243" s="7"/>
    </row>
    <row r="244" spans="1:6" x14ac:dyDescent="0.25">
      <c r="A244" s="7"/>
      <c r="E244" s="7"/>
      <c r="F244" s="7"/>
    </row>
    <row r="245" spans="1:6" x14ac:dyDescent="0.25">
      <c r="A245" s="7"/>
      <c r="E245" s="7"/>
      <c r="F245" s="7"/>
    </row>
    <row r="246" spans="1:6" x14ac:dyDescent="0.25">
      <c r="A246" s="7"/>
      <c r="E246" s="7"/>
      <c r="F246" s="7"/>
    </row>
    <row r="247" spans="1:6" x14ac:dyDescent="0.25">
      <c r="A247" s="7"/>
      <c r="E247" s="7"/>
      <c r="F247" s="7"/>
    </row>
    <row r="248" spans="1:6" x14ac:dyDescent="0.25">
      <c r="A248" s="7"/>
      <c r="E248" s="7"/>
      <c r="F248" s="7"/>
    </row>
    <row r="249" spans="1:6" x14ac:dyDescent="0.25">
      <c r="A249" s="7"/>
      <c r="E249" s="7"/>
      <c r="F249" s="7"/>
    </row>
    <row r="250" spans="1:6" x14ac:dyDescent="0.25">
      <c r="A250" s="7"/>
      <c r="E250" s="7"/>
      <c r="F250" s="7"/>
    </row>
    <row r="251" spans="1:6" x14ac:dyDescent="0.25">
      <c r="A251" s="7"/>
      <c r="E251" s="7"/>
      <c r="F251" s="7"/>
    </row>
    <row r="252" spans="1:6" x14ac:dyDescent="0.25">
      <c r="A252" s="7"/>
      <c r="E252" s="7"/>
      <c r="F252" s="7"/>
    </row>
    <row r="253" spans="1:6" x14ac:dyDescent="0.25">
      <c r="A253" s="7"/>
      <c r="E253" s="7"/>
      <c r="F253" s="7"/>
    </row>
    <row r="254" spans="1:6" x14ac:dyDescent="0.25">
      <c r="A254" s="7"/>
      <c r="E254" s="7"/>
      <c r="F254" s="7"/>
    </row>
    <row r="255" spans="1:6" x14ac:dyDescent="0.25">
      <c r="A255" s="7"/>
      <c r="E255" s="7"/>
      <c r="F255" s="7"/>
    </row>
    <row r="256" spans="1:6" x14ac:dyDescent="0.25">
      <c r="A256" s="7"/>
      <c r="E256" s="7"/>
      <c r="F256" s="7"/>
    </row>
    <row r="257" spans="1:6" x14ac:dyDescent="0.25">
      <c r="A257" s="7"/>
      <c r="E257" s="7"/>
      <c r="F257" s="7"/>
    </row>
    <row r="258" spans="1:6" x14ac:dyDescent="0.25">
      <c r="A258" s="7"/>
      <c r="E258" s="7"/>
      <c r="F258" s="7"/>
    </row>
    <row r="259" spans="1:6" x14ac:dyDescent="0.25">
      <c r="A259" s="7"/>
      <c r="E259" s="7"/>
      <c r="F259" s="7"/>
    </row>
    <row r="260" spans="1:6" x14ac:dyDescent="0.25">
      <c r="A260" s="7"/>
      <c r="E260" s="7"/>
      <c r="F260" s="7"/>
    </row>
    <row r="261" spans="1:6" x14ac:dyDescent="0.25">
      <c r="A261" s="7"/>
      <c r="E261" s="7"/>
      <c r="F261" s="7"/>
    </row>
    <row r="262" spans="1:6" x14ac:dyDescent="0.25">
      <c r="A262" s="7"/>
      <c r="E262" s="7"/>
      <c r="F262" s="7"/>
    </row>
    <row r="263" spans="1:6" x14ac:dyDescent="0.25">
      <c r="A263" s="7"/>
      <c r="E263" s="7"/>
      <c r="F263" s="7"/>
    </row>
    <row r="264" spans="1:6" x14ac:dyDescent="0.25">
      <c r="A264" s="7"/>
      <c r="E264" s="7"/>
      <c r="F264" s="7"/>
    </row>
    <row r="265" spans="1:6" x14ac:dyDescent="0.25">
      <c r="A265" s="7"/>
      <c r="E265" s="7"/>
      <c r="F265" s="7"/>
    </row>
    <row r="266" spans="1:6" x14ac:dyDescent="0.25">
      <c r="A266" s="7"/>
      <c r="E266" s="7"/>
      <c r="F266" s="7"/>
    </row>
    <row r="267" spans="1:6" x14ac:dyDescent="0.25">
      <c r="A267" s="7"/>
      <c r="E267" s="7"/>
      <c r="F267" s="7"/>
    </row>
    <row r="268" spans="1:6" x14ac:dyDescent="0.25">
      <c r="A268" s="7"/>
      <c r="E268" s="7"/>
      <c r="F268" s="7"/>
    </row>
    <row r="269" spans="1:6" x14ac:dyDescent="0.25">
      <c r="A269" s="7"/>
      <c r="E269" s="7"/>
      <c r="F269" s="7"/>
    </row>
    <row r="270" spans="1:6" x14ac:dyDescent="0.25">
      <c r="A270" s="7"/>
      <c r="E270" s="7"/>
      <c r="F270" s="7"/>
    </row>
    <row r="271" spans="1:6" x14ac:dyDescent="0.25">
      <c r="A271" s="7"/>
      <c r="E271" s="7"/>
      <c r="F271" s="7"/>
    </row>
    <row r="272" spans="1:6" x14ac:dyDescent="0.25">
      <c r="A272" s="7"/>
      <c r="E272" s="7"/>
      <c r="F272" s="7"/>
    </row>
    <row r="273" spans="1:6" x14ac:dyDescent="0.25">
      <c r="A273" s="7"/>
      <c r="E273" s="7"/>
      <c r="F273" s="7"/>
    </row>
    <row r="274" spans="1:6" x14ac:dyDescent="0.25">
      <c r="A274" s="7"/>
      <c r="E274" s="7"/>
      <c r="F274" s="7"/>
    </row>
    <row r="275" spans="1:6" x14ac:dyDescent="0.25">
      <c r="A275" s="7"/>
      <c r="E275" s="7"/>
      <c r="F275" s="7"/>
    </row>
    <row r="276" spans="1:6" x14ac:dyDescent="0.25">
      <c r="A276" s="7"/>
      <c r="E276" s="7"/>
      <c r="F276" s="7"/>
    </row>
    <row r="277" spans="1:6" x14ac:dyDescent="0.25">
      <c r="A277" s="7"/>
      <c r="E277" s="7"/>
      <c r="F277" s="7"/>
    </row>
    <row r="278" spans="1:6" x14ac:dyDescent="0.25">
      <c r="A278" s="7"/>
      <c r="E278" s="7"/>
      <c r="F278" s="7"/>
    </row>
    <row r="279" spans="1:6" x14ac:dyDescent="0.25">
      <c r="A279" s="7"/>
      <c r="E279" s="7"/>
      <c r="F279" s="7"/>
    </row>
    <row r="280" spans="1:6" x14ac:dyDescent="0.25">
      <c r="A280" s="7"/>
      <c r="E280" s="7"/>
      <c r="F280" s="7"/>
    </row>
    <row r="281" spans="1:6" x14ac:dyDescent="0.25">
      <c r="A281" s="7"/>
      <c r="E281" s="7"/>
      <c r="F281" s="7"/>
    </row>
    <row r="282" spans="1:6" x14ac:dyDescent="0.25">
      <c r="A282" s="7"/>
      <c r="E282" s="7"/>
      <c r="F282" s="7"/>
    </row>
    <row r="283" spans="1:6" x14ac:dyDescent="0.25">
      <c r="A283" s="7"/>
      <c r="E283" s="7"/>
      <c r="F283" s="7"/>
    </row>
    <row r="284" spans="1:6" x14ac:dyDescent="0.25">
      <c r="A284" s="7"/>
      <c r="E284" s="7"/>
      <c r="F284" s="7"/>
    </row>
    <row r="285" spans="1:6" x14ac:dyDescent="0.25">
      <c r="A285" s="7"/>
      <c r="E285" s="7"/>
      <c r="F285" s="7"/>
    </row>
    <row r="286" spans="1:6" x14ac:dyDescent="0.25">
      <c r="A286" s="7"/>
      <c r="E286" s="7"/>
      <c r="F286" s="7"/>
    </row>
    <row r="287" spans="1:6" x14ac:dyDescent="0.25">
      <c r="A287" s="7"/>
      <c r="E287" s="7"/>
      <c r="F287" s="7"/>
    </row>
    <row r="288" spans="1:6" x14ac:dyDescent="0.25">
      <c r="A288" s="7"/>
      <c r="E288" s="7"/>
      <c r="F288" s="7"/>
    </row>
    <row r="289" spans="1:6" x14ac:dyDescent="0.25">
      <c r="A289" s="7"/>
      <c r="E289" s="7"/>
      <c r="F289" s="7"/>
    </row>
    <row r="290" spans="1:6" x14ac:dyDescent="0.25">
      <c r="A290" s="7"/>
      <c r="E290" s="7"/>
      <c r="F290" s="7"/>
    </row>
    <row r="291" spans="1:6" x14ac:dyDescent="0.25">
      <c r="A291" s="7"/>
      <c r="E291" s="7"/>
      <c r="F291" s="7"/>
    </row>
    <row r="292" spans="1:6" x14ac:dyDescent="0.25">
      <c r="A292" s="7"/>
      <c r="E292" s="7"/>
      <c r="F292" s="7"/>
    </row>
    <row r="293" spans="1:6" x14ac:dyDescent="0.25">
      <c r="A293" s="7"/>
      <c r="E293" s="7"/>
      <c r="F293" s="7"/>
    </row>
    <row r="294" spans="1:6" x14ac:dyDescent="0.25">
      <c r="A294" s="7"/>
      <c r="E294" s="7"/>
      <c r="F294" s="7"/>
    </row>
    <row r="295" spans="1:6" x14ac:dyDescent="0.25">
      <c r="A295" s="7"/>
      <c r="E295" s="7"/>
      <c r="F295" s="7"/>
    </row>
    <row r="296" spans="1:6" x14ac:dyDescent="0.25">
      <c r="A296" s="7"/>
      <c r="E296" s="7"/>
      <c r="F296" s="7"/>
    </row>
    <row r="297" spans="1:6" x14ac:dyDescent="0.25">
      <c r="A297" s="7"/>
      <c r="E297" s="7"/>
      <c r="F297" s="7"/>
    </row>
    <row r="298" spans="1:6" x14ac:dyDescent="0.25">
      <c r="A298" s="7"/>
      <c r="E298" s="7"/>
      <c r="F298" s="7"/>
    </row>
    <row r="299" spans="1:6" x14ac:dyDescent="0.25">
      <c r="A299" s="7"/>
      <c r="E299" s="7"/>
      <c r="F299" s="7"/>
    </row>
    <row r="300" spans="1:6" x14ac:dyDescent="0.25">
      <c r="A300" s="7"/>
      <c r="E300" s="7"/>
      <c r="F300" s="7"/>
    </row>
    <row r="301" spans="1:6" x14ac:dyDescent="0.25">
      <c r="A301" s="7"/>
      <c r="E301" s="7"/>
      <c r="F301" s="7"/>
    </row>
    <row r="302" spans="1:6" x14ac:dyDescent="0.25">
      <c r="A302" s="7"/>
      <c r="E302" s="7"/>
      <c r="F302" s="7"/>
    </row>
    <row r="303" spans="1:6" x14ac:dyDescent="0.25">
      <c r="A303" s="7"/>
      <c r="E303" s="7"/>
      <c r="F303" s="7"/>
    </row>
    <row r="304" spans="1:6" x14ac:dyDescent="0.25">
      <c r="A304" s="7"/>
      <c r="E304" s="7"/>
      <c r="F304" s="7"/>
    </row>
    <row r="305" spans="1:6" x14ac:dyDescent="0.25">
      <c r="A305" s="7"/>
      <c r="E305" s="7"/>
      <c r="F305" s="7"/>
    </row>
    <row r="306" spans="1:6" x14ac:dyDescent="0.25">
      <c r="A306" s="7"/>
      <c r="E306" s="7"/>
      <c r="F306" s="7"/>
    </row>
    <row r="307" spans="1:6" x14ac:dyDescent="0.25">
      <c r="A307" s="7"/>
      <c r="E307" s="7"/>
      <c r="F307" s="7"/>
    </row>
    <row r="308" spans="1:6" x14ac:dyDescent="0.25">
      <c r="A308" s="7"/>
      <c r="E308" s="7"/>
      <c r="F308" s="7"/>
    </row>
    <row r="309" spans="1:6" x14ac:dyDescent="0.25">
      <c r="A309" s="7"/>
      <c r="E309" s="7"/>
      <c r="F309" s="7"/>
    </row>
    <row r="310" spans="1:6" x14ac:dyDescent="0.25">
      <c r="A310" s="7"/>
      <c r="E310" s="7"/>
      <c r="F310" s="7"/>
    </row>
    <row r="311" spans="1:6" x14ac:dyDescent="0.25">
      <c r="A311" s="7"/>
      <c r="E311" s="7"/>
      <c r="F311" s="7"/>
    </row>
    <row r="312" spans="1:6" x14ac:dyDescent="0.25">
      <c r="A312" s="7"/>
      <c r="E312" s="7"/>
      <c r="F312" s="7"/>
    </row>
    <row r="313" spans="1:6" x14ac:dyDescent="0.25">
      <c r="A313" s="7"/>
      <c r="E313" s="7"/>
      <c r="F313" s="7"/>
    </row>
    <row r="314" spans="1:6" x14ac:dyDescent="0.25">
      <c r="A314" s="7"/>
      <c r="E314" s="7"/>
      <c r="F314" s="7"/>
    </row>
    <row r="315" spans="1:6" x14ac:dyDescent="0.25">
      <c r="A315" s="7"/>
      <c r="E315" s="7"/>
      <c r="F315" s="7"/>
    </row>
    <row r="316" spans="1:6" x14ac:dyDescent="0.25">
      <c r="A316" s="7"/>
      <c r="E316" s="7"/>
      <c r="F316" s="7"/>
    </row>
    <row r="317" spans="1:6" x14ac:dyDescent="0.25">
      <c r="A317" s="7"/>
      <c r="E317" s="7"/>
      <c r="F317" s="7"/>
    </row>
    <row r="318" spans="1:6" x14ac:dyDescent="0.25">
      <c r="A318" s="7"/>
      <c r="E318" s="7"/>
      <c r="F318" s="7"/>
    </row>
    <row r="319" spans="1:6" x14ac:dyDescent="0.25">
      <c r="A319" s="7"/>
      <c r="E319" s="7"/>
      <c r="F319" s="7"/>
    </row>
    <row r="320" spans="1:6" x14ac:dyDescent="0.25">
      <c r="A320" s="7"/>
      <c r="E320" s="7"/>
      <c r="F320" s="7"/>
    </row>
    <row r="321" spans="1:6" x14ac:dyDescent="0.25">
      <c r="A321" s="7"/>
      <c r="E321" s="7"/>
      <c r="F321" s="7"/>
    </row>
    <row r="322" spans="1:6" x14ac:dyDescent="0.25">
      <c r="A322" s="7"/>
      <c r="E322" s="7"/>
      <c r="F322" s="7"/>
    </row>
    <row r="323" spans="1:6" x14ac:dyDescent="0.25">
      <c r="A323" s="7"/>
      <c r="E323" s="7"/>
      <c r="F323" s="7"/>
    </row>
    <row r="324" spans="1:6" x14ac:dyDescent="0.25">
      <c r="A324" s="7"/>
      <c r="E324" s="7"/>
      <c r="F324" s="7"/>
    </row>
    <row r="325" spans="1:6" x14ac:dyDescent="0.25">
      <c r="A325" s="7"/>
      <c r="E325" s="7"/>
      <c r="F325" s="7"/>
    </row>
    <row r="326" spans="1:6" x14ac:dyDescent="0.25">
      <c r="A326" s="7"/>
      <c r="E326" s="7"/>
      <c r="F326" s="7"/>
    </row>
    <row r="327" spans="1:6" x14ac:dyDescent="0.25">
      <c r="A327" s="7"/>
      <c r="E327" s="7"/>
      <c r="F327" s="7"/>
    </row>
    <row r="328" spans="1:6" x14ac:dyDescent="0.25">
      <c r="A328" s="7"/>
      <c r="E328" s="7"/>
      <c r="F328" s="7"/>
    </row>
    <row r="329" spans="1:6" x14ac:dyDescent="0.25">
      <c r="A329" s="7"/>
      <c r="E329" s="7"/>
      <c r="F329" s="7"/>
    </row>
    <row r="330" spans="1:6" x14ac:dyDescent="0.25">
      <c r="A330" s="7"/>
      <c r="E330" s="7"/>
      <c r="F330" s="7"/>
    </row>
    <row r="331" spans="1:6" x14ac:dyDescent="0.25">
      <c r="A331" s="7"/>
      <c r="E331" s="7"/>
      <c r="F331" s="7"/>
    </row>
    <row r="332" spans="1:6" x14ac:dyDescent="0.25">
      <c r="A332" s="7"/>
      <c r="E332" s="7"/>
      <c r="F332" s="7"/>
    </row>
    <row r="333" spans="1:6" x14ac:dyDescent="0.25">
      <c r="A333" s="7"/>
      <c r="E333" s="7"/>
      <c r="F333" s="7"/>
    </row>
    <row r="334" spans="1:6" x14ac:dyDescent="0.25">
      <c r="A334" s="7"/>
      <c r="E334" s="7"/>
      <c r="F334" s="7"/>
    </row>
    <row r="335" spans="1:6" x14ac:dyDescent="0.25">
      <c r="A335" s="7"/>
      <c r="E335" s="7"/>
      <c r="F335" s="7"/>
    </row>
    <row r="336" spans="1:6" x14ac:dyDescent="0.25">
      <c r="A336" s="7"/>
      <c r="E336" s="7"/>
      <c r="F336" s="7"/>
    </row>
    <row r="337" spans="1:6" x14ac:dyDescent="0.25">
      <c r="A337" s="7"/>
      <c r="E337" s="7"/>
      <c r="F337" s="7"/>
    </row>
    <row r="338" spans="1:6" x14ac:dyDescent="0.25">
      <c r="A338" s="7"/>
      <c r="E338" s="7"/>
      <c r="F338" s="7"/>
    </row>
    <row r="339" spans="1:6" x14ac:dyDescent="0.25">
      <c r="A339" s="7"/>
      <c r="E339" s="7"/>
      <c r="F339" s="7"/>
    </row>
    <row r="340" spans="1:6" x14ac:dyDescent="0.25">
      <c r="A340" s="7"/>
      <c r="E340" s="7"/>
      <c r="F340" s="7"/>
    </row>
    <row r="341" spans="1:6" x14ac:dyDescent="0.25">
      <c r="A341" s="7"/>
      <c r="E341" s="7"/>
      <c r="F341" s="7"/>
    </row>
    <row r="342" spans="1:6" x14ac:dyDescent="0.25">
      <c r="A342" s="7"/>
      <c r="E342" s="7"/>
      <c r="F342" s="7"/>
    </row>
    <row r="343" spans="1:6" x14ac:dyDescent="0.25">
      <c r="A343" s="7"/>
      <c r="E343" s="7"/>
      <c r="F343" s="7"/>
    </row>
    <row r="344" spans="1:6" x14ac:dyDescent="0.25">
      <c r="A344" s="7"/>
      <c r="E344" s="7"/>
      <c r="F344" s="7"/>
    </row>
    <row r="345" spans="1:6" x14ac:dyDescent="0.25">
      <c r="A345" s="7"/>
      <c r="E345" s="7"/>
      <c r="F345" s="7"/>
    </row>
    <row r="346" spans="1:6" x14ac:dyDescent="0.25">
      <c r="A346" s="7"/>
      <c r="E346" s="7"/>
      <c r="F346" s="7"/>
    </row>
    <row r="347" spans="1:6" x14ac:dyDescent="0.25">
      <c r="A347" s="7"/>
      <c r="E347" s="7"/>
      <c r="F347" s="7"/>
    </row>
    <row r="348" spans="1:6" x14ac:dyDescent="0.25">
      <c r="A348" s="7"/>
      <c r="E348" s="7"/>
      <c r="F348" s="7"/>
    </row>
    <row r="349" spans="1:6" x14ac:dyDescent="0.25">
      <c r="A349" s="7"/>
      <c r="E349" s="7"/>
      <c r="F349" s="7"/>
    </row>
    <row r="350" spans="1:6" x14ac:dyDescent="0.25">
      <c r="A350" s="7"/>
      <c r="E350" s="7"/>
      <c r="F350" s="7"/>
    </row>
    <row r="351" spans="1:6" x14ac:dyDescent="0.25">
      <c r="A351" s="7"/>
      <c r="E351" s="7"/>
      <c r="F351" s="7"/>
    </row>
    <row r="352" spans="1:6" x14ac:dyDescent="0.25">
      <c r="A352" s="7"/>
      <c r="E352" s="7"/>
      <c r="F352" s="7"/>
    </row>
    <row r="353" spans="1:6" x14ac:dyDescent="0.25">
      <c r="A353" s="7"/>
      <c r="E353" s="7"/>
      <c r="F353" s="7"/>
    </row>
    <row r="354" spans="1:6" x14ac:dyDescent="0.25">
      <c r="A354" s="7"/>
      <c r="E354" s="7"/>
      <c r="F354" s="7"/>
    </row>
    <row r="355" spans="1:6" x14ac:dyDescent="0.25">
      <c r="A355" s="7"/>
      <c r="E355" s="7"/>
      <c r="F355" s="7"/>
    </row>
    <row r="356" spans="1:6" x14ac:dyDescent="0.25">
      <c r="A356" s="7"/>
      <c r="E356" s="7"/>
      <c r="F356" s="7"/>
    </row>
    <row r="357" spans="1:6" x14ac:dyDescent="0.25">
      <c r="A357" s="7"/>
      <c r="E357" s="7"/>
      <c r="F357" s="7"/>
    </row>
    <row r="358" spans="1:6" x14ac:dyDescent="0.25">
      <c r="A358" s="7"/>
      <c r="E358" s="7"/>
      <c r="F358" s="7"/>
    </row>
    <row r="359" spans="1:6" x14ac:dyDescent="0.25">
      <c r="A359" s="7"/>
      <c r="E359" s="7"/>
      <c r="F359" s="7"/>
    </row>
    <row r="360" spans="1:6" x14ac:dyDescent="0.25">
      <c r="A360" s="7"/>
      <c r="E360" s="7"/>
      <c r="F360" s="7"/>
    </row>
    <row r="361" spans="1:6" x14ac:dyDescent="0.25">
      <c r="A361" s="7"/>
      <c r="E361" s="7"/>
      <c r="F361" s="7"/>
    </row>
    <row r="362" spans="1:6" x14ac:dyDescent="0.25">
      <c r="A362" s="7"/>
      <c r="E362" s="7"/>
      <c r="F362" s="7"/>
    </row>
    <row r="363" spans="1:6" x14ac:dyDescent="0.25">
      <c r="A363" s="7"/>
      <c r="E363" s="7"/>
      <c r="F363" s="7"/>
    </row>
    <row r="364" spans="1:6" x14ac:dyDescent="0.25">
      <c r="A364" s="7"/>
      <c r="E364" s="7"/>
      <c r="F364" s="7"/>
    </row>
    <row r="365" spans="1:6" x14ac:dyDescent="0.25">
      <c r="A365" s="7"/>
      <c r="E365" s="7"/>
      <c r="F365" s="7"/>
    </row>
    <row r="366" spans="1:6" x14ac:dyDescent="0.25">
      <c r="A366" s="7"/>
      <c r="E366" s="7"/>
      <c r="F366" s="7"/>
    </row>
    <row r="367" spans="1:6" x14ac:dyDescent="0.25">
      <c r="A367" s="7"/>
      <c r="E367" s="7"/>
      <c r="F367" s="7"/>
    </row>
    <row r="368" spans="1:6" x14ac:dyDescent="0.25">
      <c r="A368" s="7"/>
      <c r="E368" s="7"/>
      <c r="F368" s="7"/>
    </row>
    <row r="369" spans="1:6" x14ac:dyDescent="0.25">
      <c r="A369" s="7"/>
      <c r="E369" s="7"/>
      <c r="F369" s="7"/>
    </row>
    <row r="370" spans="1:6" x14ac:dyDescent="0.25">
      <c r="A370" s="7"/>
      <c r="E370" s="7"/>
      <c r="F370" s="7"/>
    </row>
    <row r="371" spans="1:6" x14ac:dyDescent="0.25">
      <c r="A371" s="7"/>
      <c r="E371" s="7"/>
      <c r="F371" s="7"/>
    </row>
    <row r="372" spans="1:6" x14ac:dyDescent="0.25">
      <c r="A372" s="7"/>
      <c r="E372" s="7"/>
      <c r="F372" s="7"/>
    </row>
    <row r="373" spans="1:6" x14ac:dyDescent="0.25">
      <c r="A373" s="7"/>
      <c r="E373" s="7"/>
      <c r="F373" s="7"/>
    </row>
    <row r="374" spans="1:6" x14ac:dyDescent="0.25">
      <c r="A374" s="7"/>
      <c r="E374" s="7"/>
      <c r="F374" s="7"/>
    </row>
    <row r="375" spans="1:6" x14ac:dyDescent="0.25">
      <c r="A375" s="7"/>
      <c r="E375" s="7"/>
      <c r="F375" s="7"/>
    </row>
    <row r="376" spans="1:6" x14ac:dyDescent="0.25">
      <c r="A376" s="7"/>
      <c r="E376" s="7"/>
      <c r="F376" s="7"/>
    </row>
    <row r="377" spans="1:6" x14ac:dyDescent="0.25">
      <c r="A377" s="7"/>
      <c r="E377" s="7"/>
      <c r="F377" s="7"/>
    </row>
    <row r="378" spans="1:6" x14ac:dyDescent="0.25">
      <c r="A378" s="7"/>
      <c r="E378" s="7"/>
      <c r="F378" s="7"/>
    </row>
    <row r="379" spans="1:6" x14ac:dyDescent="0.25">
      <c r="A379" s="7"/>
      <c r="E379" s="7"/>
      <c r="F379" s="7"/>
    </row>
    <row r="380" spans="1:6" x14ac:dyDescent="0.25">
      <c r="A380" s="7"/>
      <c r="E380" s="7"/>
      <c r="F380" s="7"/>
    </row>
    <row r="381" spans="1:6" x14ac:dyDescent="0.25">
      <c r="A381" s="7"/>
      <c r="E381" s="7"/>
      <c r="F381" s="7"/>
    </row>
    <row r="382" spans="1:6" x14ac:dyDescent="0.25">
      <c r="A382" s="7"/>
      <c r="E382" s="7"/>
      <c r="F382" s="7"/>
    </row>
    <row r="383" spans="1:6" x14ac:dyDescent="0.25">
      <c r="A383" s="7"/>
      <c r="E383" s="7"/>
      <c r="F383" s="7"/>
    </row>
    <row r="384" spans="1:6" x14ac:dyDescent="0.25">
      <c r="A384" s="7"/>
      <c r="E384" s="7"/>
      <c r="F384" s="7"/>
    </row>
    <row r="385" spans="1:6" x14ac:dyDescent="0.25">
      <c r="A385" s="7"/>
      <c r="E385" s="7"/>
      <c r="F385" s="7"/>
    </row>
    <row r="386" spans="1:6" x14ac:dyDescent="0.25">
      <c r="A386" s="7"/>
      <c r="E386" s="7"/>
      <c r="F386" s="7"/>
    </row>
    <row r="387" spans="1:6" x14ac:dyDescent="0.25">
      <c r="A387" s="7"/>
      <c r="E387" s="7"/>
      <c r="F387" s="7"/>
    </row>
    <row r="388" spans="1:6" x14ac:dyDescent="0.25">
      <c r="A388" s="7"/>
      <c r="E388" s="7"/>
      <c r="F388" s="7"/>
    </row>
    <row r="389" spans="1:6" x14ac:dyDescent="0.25">
      <c r="A389" s="7"/>
      <c r="E389" s="7"/>
      <c r="F389" s="7"/>
    </row>
    <row r="390" spans="1:6" x14ac:dyDescent="0.25">
      <c r="A390" s="7"/>
      <c r="E390" s="7"/>
      <c r="F390" s="7"/>
    </row>
    <row r="391" spans="1:6" x14ac:dyDescent="0.25">
      <c r="A391" s="7"/>
      <c r="E391" s="7"/>
      <c r="F391" s="7"/>
    </row>
    <row r="392" spans="1:6" x14ac:dyDescent="0.25">
      <c r="A392" s="7"/>
      <c r="E392" s="7"/>
      <c r="F392" s="7"/>
    </row>
    <row r="393" spans="1:6" x14ac:dyDescent="0.25">
      <c r="A393" s="7"/>
      <c r="E393" s="7"/>
      <c r="F393" s="7"/>
    </row>
    <row r="394" spans="1:6" x14ac:dyDescent="0.25">
      <c r="A394" s="7"/>
      <c r="E394" s="7"/>
      <c r="F394" s="7"/>
    </row>
    <row r="395" spans="1:6" x14ac:dyDescent="0.25">
      <c r="A395" s="7"/>
      <c r="E395" s="7"/>
      <c r="F395" s="7"/>
    </row>
    <row r="396" spans="1:6" x14ac:dyDescent="0.25">
      <c r="A396" s="7"/>
      <c r="E396" s="7"/>
      <c r="F396" s="7"/>
    </row>
    <row r="397" spans="1:6" x14ac:dyDescent="0.25">
      <c r="A397" s="7"/>
      <c r="E397" s="7"/>
      <c r="F397" s="7"/>
    </row>
    <row r="398" spans="1:6" x14ac:dyDescent="0.25">
      <c r="A398" s="7"/>
      <c r="E398" s="7"/>
      <c r="F398" s="7"/>
    </row>
    <row r="399" spans="1:6" x14ac:dyDescent="0.25">
      <c r="A399" s="7"/>
      <c r="E399" s="7"/>
      <c r="F399" s="7"/>
    </row>
    <row r="400" spans="1:6" x14ac:dyDescent="0.25">
      <c r="A400" s="7"/>
      <c r="E400" s="7"/>
      <c r="F400" s="7"/>
    </row>
    <row r="401" spans="1:6" x14ac:dyDescent="0.25">
      <c r="A401" s="7"/>
      <c r="E401" s="7"/>
      <c r="F401" s="7"/>
    </row>
    <row r="402" spans="1:6" x14ac:dyDescent="0.25">
      <c r="A402" s="7"/>
      <c r="E402" s="7"/>
      <c r="F402" s="7"/>
    </row>
    <row r="403" spans="1:6" x14ac:dyDescent="0.25">
      <c r="A403" s="7"/>
      <c r="E403" s="7"/>
      <c r="F403" s="7"/>
    </row>
    <row r="404" spans="1:6" x14ac:dyDescent="0.25">
      <c r="A404" s="7"/>
      <c r="E404" s="7"/>
      <c r="F404" s="7"/>
    </row>
    <row r="405" spans="1:6" x14ac:dyDescent="0.25">
      <c r="A405" s="7"/>
      <c r="E405" s="7"/>
      <c r="F405" s="7"/>
    </row>
    <row r="406" spans="1:6" x14ac:dyDescent="0.25">
      <c r="A406" s="7"/>
      <c r="E406" s="7"/>
      <c r="F406" s="7"/>
    </row>
    <row r="407" spans="1:6" x14ac:dyDescent="0.25">
      <c r="A407" s="7"/>
      <c r="E407" s="7"/>
      <c r="F407" s="7"/>
    </row>
    <row r="408" spans="1:6" x14ac:dyDescent="0.25">
      <c r="A408" s="7"/>
      <c r="E408" s="7"/>
      <c r="F408" s="7"/>
    </row>
    <row r="409" spans="1:6" x14ac:dyDescent="0.25">
      <c r="A409" s="7"/>
      <c r="E409" s="7"/>
      <c r="F409" s="7"/>
    </row>
    <row r="410" spans="1:6" x14ac:dyDescent="0.25">
      <c r="A410" s="7"/>
      <c r="E410" s="7"/>
      <c r="F410" s="7"/>
    </row>
    <row r="411" spans="1:6" x14ac:dyDescent="0.25">
      <c r="A411" s="7"/>
      <c r="E411" s="7"/>
      <c r="F411" s="7"/>
    </row>
    <row r="412" spans="1:6" x14ac:dyDescent="0.25">
      <c r="A412" s="7"/>
      <c r="E412" s="7"/>
      <c r="F412" s="7"/>
    </row>
    <row r="413" spans="1:6" x14ac:dyDescent="0.25">
      <c r="A413" s="7"/>
      <c r="E413" s="7"/>
      <c r="F413" s="7"/>
    </row>
    <row r="414" spans="1:6" x14ac:dyDescent="0.25">
      <c r="A414" s="7"/>
      <c r="E414" s="7"/>
      <c r="F414" s="7"/>
    </row>
    <row r="415" spans="1:6" x14ac:dyDescent="0.25">
      <c r="A415" s="7"/>
      <c r="E415" s="7"/>
      <c r="F415" s="7"/>
    </row>
    <row r="416" spans="1:6" x14ac:dyDescent="0.25">
      <c r="A416" s="7"/>
      <c r="E416" s="7"/>
      <c r="F416" s="7"/>
    </row>
    <row r="417" spans="1:6" x14ac:dyDescent="0.25">
      <c r="A417" s="7"/>
      <c r="E417" s="7"/>
      <c r="F417" s="7"/>
    </row>
    <row r="418" spans="1:6" x14ac:dyDescent="0.25">
      <c r="A418" s="7"/>
      <c r="E418" s="7"/>
      <c r="F418" s="7"/>
    </row>
    <row r="419" spans="1:6" x14ac:dyDescent="0.25">
      <c r="A419" s="7"/>
      <c r="E419" s="7"/>
      <c r="F419" s="7"/>
    </row>
    <row r="420" spans="1:6" x14ac:dyDescent="0.25">
      <c r="A420" s="7"/>
      <c r="E420" s="7"/>
      <c r="F420" s="7"/>
    </row>
    <row r="421" spans="1:6" x14ac:dyDescent="0.25">
      <c r="A421" s="7"/>
      <c r="E421" s="7"/>
      <c r="F421" s="7"/>
    </row>
    <row r="422" spans="1:6" x14ac:dyDescent="0.25">
      <c r="A422" s="7"/>
      <c r="E422" s="7"/>
      <c r="F422" s="7"/>
    </row>
    <row r="423" spans="1:6" x14ac:dyDescent="0.25">
      <c r="A423" s="7"/>
      <c r="E423" s="7"/>
      <c r="F423" s="7"/>
    </row>
    <row r="424" spans="1:6" x14ac:dyDescent="0.25">
      <c r="A424" s="7"/>
      <c r="E424" s="7"/>
      <c r="F424" s="7"/>
    </row>
    <row r="425" spans="1:6" x14ac:dyDescent="0.25">
      <c r="A425" s="7"/>
      <c r="E425" s="7"/>
      <c r="F425" s="7"/>
    </row>
    <row r="426" spans="1:6" x14ac:dyDescent="0.25">
      <c r="A426" s="7"/>
      <c r="E426" s="7"/>
      <c r="F426" s="7"/>
    </row>
    <row r="427" spans="1:6" x14ac:dyDescent="0.25">
      <c r="A427" s="7"/>
      <c r="E427" s="7"/>
      <c r="F427" s="7"/>
    </row>
    <row r="428" spans="1:6" x14ac:dyDescent="0.25">
      <c r="A428" s="7"/>
      <c r="E428" s="7"/>
      <c r="F428" s="7"/>
    </row>
    <row r="429" spans="1:6" x14ac:dyDescent="0.25">
      <c r="A429" s="7"/>
      <c r="E429" s="7"/>
      <c r="F429" s="7"/>
    </row>
    <row r="430" spans="1:6" x14ac:dyDescent="0.25">
      <c r="A430" s="7"/>
      <c r="E430" s="7"/>
      <c r="F430" s="7"/>
    </row>
    <row r="431" spans="1:6" x14ac:dyDescent="0.25">
      <c r="A431" s="7"/>
      <c r="E431" s="7"/>
      <c r="F431" s="7"/>
    </row>
    <row r="432" spans="1:6" x14ac:dyDescent="0.25">
      <c r="A432" s="7"/>
      <c r="E432" s="7"/>
      <c r="F432" s="7"/>
    </row>
    <row r="433" spans="1:6" x14ac:dyDescent="0.25">
      <c r="A433" s="7"/>
      <c r="E433" s="7"/>
      <c r="F433" s="7"/>
    </row>
    <row r="434" spans="1:6" x14ac:dyDescent="0.25">
      <c r="A434" s="7"/>
      <c r="E434" s="7"/>
      <c r="F434" s="7"/>
    </row>
    <row r="435" spans="1:6" x14ac:dyDescent="0.25">
      <c r="A435" s="7"/>
      <c r="E435" s="7"/>
      <c r="F435" s="7"/>
    </row>
    <row r="436" spans="1:6" x14ac:dyDescent="0.25">
      <c r="A436" s="7"/>
      <c r="E436" s="7"/>
      <c r="F436" s="7"/>
    </row>
    <row r="437" spans="1:6" x14ac:dyDescent="0.25">
      <c r="A437" s="7"/>
      <c r="E437" s="7"/>
      <c r="F437" s="7"/>
    </row>
    <row r="438" spans="1:6" x14ac:dyDescent="0.25">
      <c r="A438" s="7"/>
      <c r="E438" s="7"/>
      <c r="F438" s="7"/>
    </row>
    <row r="439" spans="1:6" x14ac:dyDescent="0.25">
      <c r="A439" s="7"/>
      <c r="E439" s="7"/>
      <c r="F439" s="7"/>
    </row>
    <row r="440" spans="1:6" x14ac:dyDescent="0.25">
      <c r="A440" s="7"/>
      <c r="E440" s="7"/>
      <c r="F440" s="7"/>
    </row>
    <row r="441" spans="1:6" x14ac:dyDescent="0.25">
      <c r="A441" s="7"/>
      <c r="E441" s="7"/>
      <c r="F441" s="7"/>
    </row>
    <row r="442" spans="1:6" x14ac:dyDescent="0.25">
      <c r="A442" s="7"/>
      <c r="E442" s="7"/>
      <c r="F442" s="7"/>
    </row>
    <row r="443" spans="1:6" x14ac:dyDescent="0.25">
      <c r="A443" s="7"/>
      <c r="E443" s="7"/>
      <c r="F443" s="7"/>
    </row>
    <row r="444" spans="1:6" x14ac:dyDescent="0.25">
      <c r="A444" s="7"/>
      <c r="E444" s="7"/>
      <c r="F444" s="7"/>
    </row>
    <row r="445" spans="1:6" x14ac:dyDescent="0.25">
      <c r="A445" s="7"/>
      <c r="E445" s="7"/>
      <c r="F445" s="7"/>
    </row>
    <row r="446" spans="1:6" x14ac:dyDescent="0.25">
      <c r="A446" s="7"/>
      <c r="E446" s="7"/>
      <c r="F446" s="7"/>
    </row>
    <row r="447" spans="1:6" x14ac:dyDescent="0.25">
      <c r="A447" s="7"/>
      <c r="E447" s="7"/>
      <c r="F447" s="7"/>
    </row>
    <row r="448" spans="1:6" x14ac:dyDescent="0.25">
      <c r="A448" s="7"/>
      <c r="E448" s="7"/>
      <c r="F448" s="7"/>
    </row>
    <row r="449" spans="1:6" x14ac:dyDescent="0.25">
      <c r="A449" s="7"/>
      <c r="E449" s="7"/>
      <c r="F449" s="7"/>
    </row>
    <row r="450" spans="1:6" x14ac:dyDescent="0.25">
      <c r="A450" s="7"/>
      <c r="E450" s="7"/>
      <c r="F450" s="7"/>
    </row>
    <row r="451" spans="1:6" x14ac:dyDescent="0.25">
      <c r="A451" s="7"/>
      <c r="E451" s="7"/>
      <c r="F451" s="7"/>
    </row>
    <row r="452" spans="1:6" x14ac:dyDescent="0.25">
      <c r="A452" s="7"/>
      <c r="E452" s="7"/>
      <c r="F452" s="7"/>
    </row>
    <row r="453" spans="1:6" x14ac:dyDescent="0.25">
      <c r="A453" s="7"/>
      <c r="E453" s="7"/>
      <c r="F453" s="7"/>
    </row>
    <row r="454" spans="1:6" x14ac:dyDescent="0.25">
      <c r="A454" s="7"/>
      <c r="E454" s="7"/>
      <c r="F454" s="7"/>
    </row>
    <row r="455" spans="1:6" x14ac:dyDescent="0.25">
      <c r="A455" s="7"/>
      <c r="E455" s="7"/>
      <c r="F455" s="7"/>
    </row>
    <row r="456" spans="1:6" x14ac:dyDescent="0.25">
      <c r="A456" s="7"/>
      <c r="E456" s="7"/>
      <c r="F456" s="7"/>
    </row>
    <row r="457" spans="1:6" x14ac:dyDescent="0.25">
      <c r="A457" s="7"/>
      <c r="E457" s="7"/>
      <c r="F457" s="7"/>
    </row>
    <row r="458" spans="1:6" x14ac:dyDescent="0.25">
      <c r="A458" s="7"/>
      <c r="E458" s="7"/>
      <c r="F458" s="7"/>
    </row>
    <row r="459" spans="1:6" x14ac:dyDescent="0.25">
      <c r="A459" s="7"/>
      <c r="E459" s="7"/>
      <c r="F459" s="7"/>
    </row>
    <row r="460" spans="1:6" x14ac:dyDescent="0.25">
      <c r="A460" s="7"/>
      <c r="E460" s="7"/>
      <c r="F460" s="7"/>
    </row>
    <row r="461" spans="1:6" x14ac:dyDescent="0.25">
      <c r="A461" s="7"/>
      <c r="E461" s="7"/>
      <c r="F461" s="7"/>
    </row>
    <row r="462" spans="1:6" x14ac:dyDescent="0.25">
      <c r="A462" s="7"/>
      <c r="E462" s="7"/>
      <c r="F462" s="7"/>
    </row>
    <row r="463" spans="1:6" x14ac:dyDescent="0.25">
      <c r="A463" s="7"/>
      <c r="E463" s="7"/>
      <c r="F463" s="7"/>
    </row>
    <row r="464" spans="1:6" x14ac:dyDescent="0.25">
      <c r="A464" s="7"/>
      <c r="E464" s="7"/>
      <c r="F464" s="7"/>
    </row>
    <row r="465" spans="1:6" x14ac:dyDescent="0.25">
      <c r="A465" s="7"/>
      <c r="E465" s="7"/>
      <c r="F465" s="7"/>
    </row>
    <row r="466" spans="1:6" x14ac:dyDescent="0.25">
      <c r="A466" s="7"/>
      <c r="E466" s="7"/>
      <c r="F466" s="7"/>
    </row>
    <row r="467" spans="1:6" x14ac:dyDescent="0.25">
      <c r="A467" s="7"/>
      <c r="E467" s="7"/>
      <c r="F467" s="7"/>
    </row>
    <row r="468" spans="1:6" x14ac:dyDescent="0.25">
      <c r="A468" s="7"/>
      <c r="E468" s="7"/>
      <c r="F468" s="7"/>
    </row>
    <row r="469" spans="1:6" x14ac:dyDescent="0.25">
      <c r="A469" s="7"/>
      <c r="E469" s="7"/>
      <c r="F469" s="7"/>
    </row>
    <row r="470" spans="1:6" x14ac:dyDescent="0.25">
      <c r="A470" s="7"/>
      <c r="E470" s="7"/>
      <c r="F470" s="7"/>
    </row>
    <row r="471" spans="1:6" x14ac:dyDescent="0.25">
      <c r="A471" s="7"/>
      <c r="E471" s="7"/>
      <c r="F471" s="7"/>
    </row>
    <row r="472" spans="1:6" x14ac:dyDescent="0.25">
      <c r="A472" s="7"/>
      <c r="E472" s="7"/>
      <c r="F472" s="7"/>
    </row>
    <row r="473" spans="1:6" x14ac:dyDescent="0.25">
      <c r="A473" s="7"/>
      <c r="E473" s="7"/>
      <c r="F473" s="7"/>
    </row>
    <row r="474" spans="1:6" x14ac:dyDescent="0.25">
      <c r="A474" s="7"/>
      <c r="E474" s="7"/>
      <c r="F474" s="7"/>
    </row>
    <row r="475" spans="1:6" x14ac:dyDescent="0.25">
      <c r="A475" s="7"/>
      <c r="E475" s="7"/>
      <c r="F475" s="7"/>
    </row>
    <row r="476" spans="1:6" x14ac:dyDescent="0.25">
      <c r="A476" s="7"/>
      <c r="E476" s="7"/>
      <c r="F476" s="7"/>
    </row>
    <row r="477" spans="1:6" x14ac:dyDescent="0.25">
      <c r="A477" s="7"/>
      <c r="E477" s="7"/>
      <c r="F477" s="7"/>
    </row>
    <row r="478" spans="1:6" x14ac:dyDescent="0.25">
      <c r="A478" s="7"/>
      <c r="E478" s="7"/>
      <c r="F478" s="7"/>
    </row>
    <row r="479" spans="1:6" x14ac:dyDescent="0.25">
      <c r="A479" s="7"/>
      <c r="E479" s="7"/>
      <c r="F479" s="7"/>
    </row>
    <row r="480" spans="1:6" x14ac:dyDescent="0.25">
      <c r="A480" s="7"/>
      <c r="E480" s="7"/>
      <c r="F480" s="7"/>
    </row>
    <row r="481" spans="1:6" x14ac:dyDescent="0.25">
      <c r="A481" s="7"/>
      <c r="E481" s="7"/>
      <c r="F481" s="7"/>
    </row>
    <row r="482" spans="1:6" x14ac:dyDescent="0.25">
      <c r="A482" s="7"/>
      <c r="E482" s="7"/>
      <c r="F482" s="7"/>
    </row>
    <row r="483" spans="1:6" x14ac:dyDescent="0.25">
      <c r="A483" s="7"/>
      <c r="E483" s="7"/>
      <c r="F483" s="7"/>
    </row>
    <row r="484" spans="1:6" x14ac:dyDescent="0.25">
      <c r="A484" s="7"/>
      <c r="E484" s="7"/>
      <c r="F484" s="7"/>
    </row>
    <row r="485" spans="1:6" x14ac:dyDescent="0.25">
      <c r="A485" s="7"/>
      <c r="E485" s="7"/>
      <c r="F485" s="7"/>
    </row>
    <row r="486" spans="1:6" x14ac:dyDescent="0.25">
      <c r="A486" s="7"/>
      <c r="E486" s="7"/>
      <c r="F486" s="7"/>
    </row>
    <row r="487" spans="1:6" x14ac:dyDescent="0.25">
      <c r="A487" s="7"/>
      <c r="E487" s="7"/>
      <c r="F487" s="7"/>
    </row>
    <row r="488" spans="1:6" x14ac:dyDescent="0.25">
      <c r="A488" s="7"/>
      <c r="E488" s="7"/>
      <c r="F488" s="7"/>
    </row>
    <row r="489" spans="1:6" x14ac:dyDescent="0.25">
      <c r="A489" s="7"/>
      <c r="E489" s="7"/>
      <c r="F489" s="7"/>
    </row>
    <row r="490" spans="1:6" x14ac:dyDescent="0.25">
      <c r="A490" s="7"/>
      <c r="E490" s="7"/>
      <c r="F490" s="7"/>
    </row>
    <row r="491" spans="1:6" x14ac:dyDescent="0.25">
      <c r="A491" s="7"/>
      <c r="E491" s="7"/>
      <c r="F491" s="7"/>
    </row>
    <row r="492" spans="1:6" x14ac:dyDescent="0.25">
      <c r="A492" s="7"/>
      <c r="E492" s="7"/>
      <c r="F492" s="7"/>
    </row>
    <row r="493" spans="1:6" x14ac:dyDescent="0.25">
      <c r="A493" s="7"/>
      <c r="E493" s="7"/>
      <c r="F493" s="7"/>
    </row>
    <row r="494" spans="1:6" x14ac:dyDescent="0.25">
      <c r="A494" s="7"/>
      <c r="E494" s="7"/>
      <c r="F494" s="7"/>
    </row>
    <row r="495" spans="1:6" x14ac:dyDescent="0.25">
      <c r="A495" s="7"/>
      <c r="E495" s="7"/>
      <c r="F495" s="7"/>
    </row>
    <row r="496" spans="1:6" x14ac:dyDescent="0.25">
      <c r="A496" s="7"/>
      <c r="E496" s="7"/>
      <c r="F496" s="7"/>
    </row>
    <row r="497" spans="1:6" x14ac:dyDescent="0.25">
      <c r="A497" s="7"/>
      <c r="E497" s="7"/>
      <c r="F497" s="7"/>
    </row>
    <row r="498" spans="1:6" x14ac:dyDescent="0.25">
      <c r="A498" s="7"/>
      <c r="E498" s="7"/>
      <c r="F498" s="7"/>
    </row>
    <row r="499" spans="1:6" x14ac:dyDescent="0.25">
      <c r="A499" s="7"/>
      <c r="E499" s="7"/>
      <c r="F499" s="7"/>
    </row>
    <row r="500" spans="1:6" x14ac:dyDescent="0.25">
      <c r="A500" s="7"/>
      <c r="E500" s="7"/>
      <c r="F500" s="7"/>
    </row>
    <row r="501" spans="1:6" x14ac:dyDescent="0.25">
      <c r="A501" s="7"/>
      <c r="E501" s="7"/>
      <c r="F501" s="7"/>
    </row>
    <row r="502" spans="1:6" x14ac:dyDescent="0.25">
      <c r="A502" s="7"/>
      <c r="E502" s="7"/>
      <c r="F502" s="7"/>
    </row>
    <row r="503" spans="1:6" x14ac:dyDescent="0.25">
      <c r="A503" s="7"/>
      <c r="E503" s="7"/>
      <c r="F503" s="7"/>
    </row>
    <row r="504" spans="1:6" x14ac:dyDescent="0.25">
      <c r="A504" s="7"/>
      <c r="E504" s="7"/>
      <c r="F504" s="7"/>
    </row>
    <row r="505" spans="1:6" x14ac:dyDescent="0.25">
      <c r="A505" s="7"/>
      <c r="E505" s="7"/>
      <c r="F505" s="7"/>
    </row>
    <row r="506" spans="1:6" x14ac:dyDescent="0.25">
      <c r="A506" s="7"/>
      <c r="E506" s="7"/>
      <c r="F506" s="7"/>
    </row>
    <row r="507" spans="1:6" x14ac:dyDescent="0.25">
      <c r="A507" s="7"/>
      <c r="E507" s="7"/>
      <c r="F507" s="7"/>
    </row>
    <row r="508" spans="1:6" x14ac:dyDescent="0.25">
      <c r="A508" s="7"/>
      <c r="E508" s="7"/>
      <c r="F508" s="7"/>
    </row>
    <row r="509" spans="1:6" x14ac:dyDescent="0.25">
      <c r="A509" s="7"/>
      <c r="E509" s="7"/>
      <c r="F509" s="7"/>
    </row>
    <row r="510" spans="1:6" x14ac:dyDescent="0.25">
      <c r="A510" s="7"/>
      <c r="E510" s="7"/>
      <c r="F510" s="7"/>
    </row>
    <row r="511" spans="1:6" x14ac:dyDescent="0.25">
      <c r="A511" s="7"/>
      <c r="E511" s="7"/>
      <c r="F511" s="7"/>
    </row>
    <row r="512" spans="1:6" x14ac:dyDescent="0.25">
      <c r="A512" s="7"/>
      <c r="E512" s="7"/>
      <c r="F512" s="7"/>
    </row>
    <row r="513" spans="1:6" x14ac:dyDescent="0.25">
      <c r="A513" s="7"/>
      <c r="E513" s="7"/>
      <c r="F513" s="7"/>
    </row>
    <row r="514" spans="1:6" x14ac:dyDescent="0.25">
      <c r="A514" s="7"/>
      <c r="E514" s="7"/>
      <c r="F514" s="7"/>
    </row>
    <row r="515" spans="1:6" x14ac:dyDescent="0.25">
      <c r="A515" s="7"/>
      <c r="E515" s="7"/>
      <c r="F515" s="7"/>
    </row>
    <row r="516" spans="1:6" x14ac:dyDescent="0.25">
      <c r="A516" s="7"/>
      <c r="E516" s="7"/>
      <c r="F516" s="7"/>
    </row>
    <row r="517" spans="1:6" x14ac:dyDescent="0.25">
      <c r="A517" s="7"/>
      <c r="E517" s="7"/>
      <c r="F517" s="7"/>
    </row>
    <row r="518" spans="1:6" x14ac:dyDescent="0.25">
      <c r="A518" s="7"/>
      <c r="E518" s="7"/>
      <c r="F518" s="7"/>
    </row>
    <row r="519" spans="1:6" x14ac:dyDescent="0.25">
      <c r="A519" s="7"/>
      <c r="E519" s="7"/>
      <c r="F519" s="7"/>
    </row>
    <row r="520" spans="1:6" x14ac:dyDescent="0.25">
      <c r="A520" s="7"/>
      <c r="E520" s="7"/>
      <c r="F520" s="7"/>
    </row>
    <row r="521" spans="1:6" x14ac:dyDescent="0.25">
      <c r="A521" s="7"/>
      <c r="E521" s="7"/>
      <c r="F521" s="7"/>
    </row>
    <row r="522" spans="1:6" x14ac:dyDescent="0.25">
      <c r="A522" s="7"/>
      <c r="E522" s="7"/>
      <c r="F522" s="7"/>
    </row>
    <row r="523" spans="1:6" x14ac:dyDescent="0.25">
      <c r="A523" s="7"/>
      <c r="E523" s="7"/>
      <c r="F523" s="7"/>
    </row>
    <row r="524" spans="1:6" x14ac:dyDescent="0.25">
      <c r="A524" s="7"/>
      <c r="E524" s="7"/>
      <c r="F524" s="7"/>
    </row>
    <row r="525" spans="1:6" x14ac:dyDescent="0.25">
      <c r="A525" s="7"/>
      <c r="E525" s="7"/>
      <c r="F525" s="7"/>
    </row>
    <row r="526" spans="1:6" x14ac:dyDescent="0.25">
      <c r="A526" s="7"/>
      <c r="E526" s="7"/>
      <c r="F526" s="7"/>
    </row>
    <row r="527" spans="1:6" x14ac:dyDescent="0.25">
      <c r="A527" s="7"/>
      <c r="E527" s="7"/>
      <c r="F527" s="7"/>
    </row>
    <row r="528" spans="1:6" x14ac:dyDescent="0.25">
      <c r="A528" s="7"/>
      <c r="E528" s="7"/>
      <c r="F528" s="7"/>
    </row>
    <row r="529" spans="1:6" x14ac:dyDescent="0.25">
      <c r="A529" s="7"/>
      <c r="E529" s="7"/>
      <c r="F529" s="7"/>
    </row>
    <row r="530" spans="1:6" x14ac:dyDescent="0.25">
      <c r="A530" s="7"/>
      <c r="E530" s="7"/>
      <c r="F530" s="7"/>
    </row>
    <row r="531" spans="1:6" x14ac:dyDescent="0.25">
      <c r="A531" s="7"/>
      <c r="E531" s="7"/>
      <c r="F531" s="7"/>
    </row>
    <row r="532" spans="1:6" x14ac:dyDescent="0.25">
      <c r="A532" s="7"/>
      <c r="E532" s="7"/>
      <c r="F532" s="7"/>
    </row>
    <row r="533" spans="1:6" x14ac:dyDescent="0.25">
      <c r="A533" s="7"/>
      <c r="E533" s="7"/>
      <c r="F533" s="7"/>
    </row>
    <row r="534" spans="1:6" x14ac:dyDescent="0.25">
      <c r="A534" s="7"/>
      <c r="E534" s="7"/>
      <c r="F534" s="7"/>
    </row>
    <row r="535" spans="1:6" x14ac:dyDescent="0.25">
      <c r="A535" s="7"/>
      <c r="E535" s="7"/>
      <c r="F535" s="7"/>
    </row>
    <row r="536" spans="1:6" x14ac:dyDescent="0.25">
      <c r="A536" s="7"/>
      <c r="E536" s="7"/>
      <c r="F536" s="7"/>
    </row>
    <row r="537" spans="1:6" x14ac:dyDescent="0.25">
      <c r="A537" s="7"/>
      <c r="E537" s="7"/>
      <c r="F537" s="7"/>
    </row>
    <row r="538" spans="1:6" x14ac:dyDescent="0.25">
      <c r="A538" s="7"/>
      <c r="E538" s="7"/>
      <c r="F538" s="7"/>
    </row>
    <row r="539" spans="1:6" x14ac:dyDescent="0.25">
      <c r="A539" s="7"/>
      <c r="E539" s="7"/>
      <c r="F539" s="7"/>
    </row>
    <row r="540" spans="1:6" x14ac:dyDescent="0.25">
      <c r="A540" s="7"/>
      <c r="E540" s="7"/>
      <c r="F540" s="7"/>
    </row>
    <row r="541" spans="1:6" x14ac:dyDescent="0.25">
      <c r="A541" s="7"/>
      <c r="E541" s="7"/>
      <c r="F541" s="7"/>
    </row>
    <row r="542" spans="1:6" x14ac:dyDescent="0.25">
      <c r="A542" s="7"/>
      <c r="E542" s="7"/>
      <c r="F542" s="7"/>
    </row>
    <row r="543" spans="1:6" x14ac:dyDescent="0.25">
      <c r="A543" s="7"/>
      <c r="E543" s="7"/>
      <c r="F543" s="7"/>
    </row>
    <row r="544" spans="1:6" x14ac:dyDescent="0.25">
      <c r="A544" s="7"/>
      <c r="E544" s="7"/>
      <c r="F544" s="7"/>
    </row>
    <row r="545" spans="1:6" x14ac:dyDescent="0.25">
      <c r="A545" s="7"/>
      <c r="E545" s="7"/>
      <c r="F545" s="7"/>
    </row>
    <row r="546" spans="1:6" x14ac:dyDescent="0.25">
      <c r="A546" s="7"/>
      <c r="E546" s="7"/>
      <c r="F546" s="7"/>
    </row>
    <row r="547" spans="1:6" x14ac:dyDescent="0.25">
      <c r="A547" s="7"/>
      <c r="E547" s="7"/>
      <c r="F547" s="7"/>
    </row>
    <row r="548" spans="1:6" x14ac:dyDescent="0.25">
      <c r="A548" s="7"/>
      <c r="E548" s="7"/>
      <c r="F548" s="7"/>
    </row>
    <row r="549" spans="1:6" x14ac:dyDescent="0.25">
      <c r="A549" s="7"/>
      <c r="E549" s="7"/>
      <c r="F549" s="7"/>
    </row>
    <row r="550" spans="1:6" x14ac:dyDescent="0.25">
      <c r="A550" s="7"/>
      <c r="E550" s="7"/>
      <c r="F550" s="7"/>
    </row>
    <row r="551" spans="1:6" x14ac:dyDescent="0.25">
      <c r="A551" s="7"/>
      <c r="E551" s="7"/>
      <c r="F551" s="7"/>
    </row>
    <row r="552" spans="1:6" x14ac:dyDescent="0.25">
      <c r="A552" s="7"/>
      <c r="E552" s="7"/>
      <c r="F552" s="7"/>
    </row>
    <row r="553" spans="1:6" x14ac:dyDescent="0.25">
      <c r="A553" s="7"/>
      <c r="E553" s="7"/>
      <c r="F553" s="7"/>
    </row>
    <row r="554" spans="1:6" x14ac:dyDescent="0.25">
      <c r="A554" s="7"/>
      <c r="E554" s="7"/>
      <c r="F554" s="7"/>
    </row>
    <row r="555" spans="1:6" x14ac:dyDescent="0.25">
      <c r="A555" s="7"/>
      <c r="E555" s="7"/>
      <c r="F555" s="7"/>
    </row>
    <row r="556" spans="1:6" x14ac:dyDescent="0.25">
      <c r="A556" s="7"/>
      <c r="E556" s="7"/>
      <c r="F556" s="7"/>
    </row>
    <row r="557" spans="1:6" x14ac:dyDescent="0.25">
      <c r="A557" s="7"/>
      <c r="E557" s="7"/>
      <c r="F557" s="7"/>
    </row>
    <row r="558" spans="1:6" x14ac:dyDescent="0.25">
      <c r="A558" s="7"/>
      <c r="E558" s="7"/>
      <c r="F558" s="7"/>
    </row>
    <row r="559" spans="1:6" x14ac:dyDescent="0.25">
      <c r="A559" s="7"/>
      <c r="E559" s="7"/>
      <c r="F559" s="7"/>
    </row>
    <row r="560" spans="1:6" x14ac:dyDescent="0.25">
      <c r="A560" s="7"/>
      <c r="E560" s="7"/>
      <c r="F560" s="7"/>
    </row>
    <row r="561" spans="1:6" x14ac:dyDescent="0.25">
      <c r="A561" s="7"/>
      <c r="E561" s="7"/>
      <c r="F561" s="7"/>
    </row>
    <row r="562" spans="1:6" x14ac:dyDescent="0.25">
      <c r="A562" s="7"/>
      <c r="E562" s="7"/>
      <c r="F562" s="7"/>
    </row>
    <row r="563" spans="1:6" x14ac:dyDescent="0.25">
      <c r="A563" s="7"/>
      <c r="E563" s="7"/>
      <c r="F563" s="7"/>
    </row>
    <row r="564" spans="1:6" x14ac:dyDescent="0.25">
      <c r="A564" s="7"/>
      <c r="E564" s="7"/>
      <c r="F564" s="7"/>
    </row>
    <row r="565" spans="1:6" x14ac:dyDescent="0.25">
      <c r="A565" s="7"/>
      <c r="E565" s="7"/>
      <c r="F565" s="7"/>
    </row>
    <row r="566" spans="1:6" x14ac:dyDescent="0.25">
      <c r="A566" s="7"/>
      <c r="E566" s="7"/>
      <c r="F566" s="7"/>
    </row>
    <row r="567" spans="1:6" x14ac:dyDescent="0.25">
      <c r="A567" s="7"/>
      <c r="E567" s="7"/>
      <c r="F567" s="7"/>
    </row>
    <row r="568" spans="1:6" x14ac:dyDescent="0.25">
      <c r="A568" s="7"/>
      <c r="E568" s="7"/>
      <c r="F568" s="7"/>
    </row>
    <row r="569" spans="1:6" x14ac:dyDescent="0.25">
      <c r="A569" s="7"/>
      <c r="E569" s="7"/>
      <c r="F569" s="7"/>
    </row>
    <row r="570" spans="1:6" x14ac:dyDescent="0.25">
      <c r="A570" s="7"/>
      <c r="E570" s="7"/>
      <c r="F570" s="7"/>
    </row>
    <row r="571" spans="1:6" x14ac:dyDescent="0.25">
      <c r="A571" s="7"/>
      <c r="E571" s="7"/>
      <c r="F571" s="7"/>
    </row>
    <row r="572" spans="1:6" x14ac:dyDescent="0.25">
      <c r="A572" s="7"/>
      <c r="E572" s="7"/>
      <c r="F572" s="7"/>
    </row>
    <row r="573" spans="1:6" x14ac:dyDescent="0.25">
      <c r="A573" s="7"/>
      <c r="E573" s="7"/>
      <c r="F573" s="7"/>
    </row>
    <row r="574" spans="1:6" x14ac:dyDescent="0.25">
      <c r="A574" s="7"/>
      <c r="E574" s="7"/>
      <c r="F574" s="7"/>
    </row>
    <row r="575" spans="1:6" x14ac:dyDescent="0.25">
      <c r="A575" s="7"/>
      <c r="E575" s="7"/>
      <c r="F575" s="7"/>
    </row>
    <row r="576" spans="1:6" x14ac:dyDescent="0.25">
      <c r="A576" s="7"/>
      <c r="E576" s="7"/>
      <c r="F576" s="7"/>
    </row>
    <row r="577" spans="1:6" x14ac:dyDescent="0.25">
      <c r="A577" s="7"/>
      <c r="E577" s="7"/>
      <c r="F577" s="7"/>
    </row>
    <row r="578" spans="1:6" x14ac:dyDescent="0.25">
      <c r="A578" s="7"/>
      <c r="E578" s="7"/>
      <c r="F578" s="7"/>
    </row>
    <row r="579" spans="1:6" x14ac:dyDescent="0.25">
      <c r="A579" s="7"/>
      <c r="E579" s="7"/>
      <c r="F579" s="7"/>
    </row>
    <row r="580" spans="1:6" x14ac:dyDescent="0.25">
      <c r="A580" s="7"/>
      <c r="E580" s="7"/>
      <c r="F580" s="7"/>
    </row>
    <row r="581" spans="1:6" x14ac:dyDescent="0.25">
      <c r="A581" s="7"/>
      <c r="E581" s="7"/>
      <c r="F581" s="7"/>
    </row>
    <row r="582" spans="1:6" x14ac:dyDescent="0.25">
      <c r="A582" s="7"/>
      <c r="E582" s="7"/>
      <c r="F582" s="7"/>
    </row>
    <row r="583" spans="1:6" x14ac:dyDescent="0.25">
      <c r="A583" s="7"/>
      <c r="E583" s="7"/>
      <c r="F583" s="7"/>
    </row>
    <row r="584" spans="1:6" x14ac:dyDescent="0.25">
      <c r="A584" s="7"/>
      <c r="E584" s="7"/>
      <c r="F584" s="7"/>
    </row>
    <row r="585" spans="1:6" x14ac:dyDescent="0.25">
      <c r="A585" s="7"/>
      <c r="E585" s="7"/>
      <c r="F585" s="7"/>
    </row>
    <row r="586" spans="1:6" x14ac:dyDescent="0.25">
      <c r="A586" s="7"/>
      <c r="E586" s="7"/>
      <c r="F586" s="7"/>
    </row>
    <row r="587" spans="1:6" x14ac:dyDescent="0.25">
      <c r="A587" s="7"/>
      <c r="E587" s="7"/>
      <c r="F587" s="7"/>
    </row>
    <row r="588" spans="1:6" x14ac:dyDescent="0.25">
      <c r="A588" s="7"/>
      <c r="E588" s="7"/>
      <c r="F588" s="7"/>
    </row>
    <row r="589" spans="1:6" x14ac:dyDescent="0.25">
      <c r="A589" s="7"/>
      <c r="E589" s="7"/>
      <c r="F589" s="7"/>
    </row>
    <row r="590" spans="1:6" x14ac:dyDescent="0.25">
      <c r="A590" s="7"/>
      <c r="E590" s="7"/>
      <c r="F590" s="7"/>
    </row>
    <row r="591" spans="1:6" x14ac:dyDescent="0.25">
      <c r="A591" s="7"/>
      <c r="E591" s="7"/>
      <c r="F591" s="7"/>
    </row>
    <row r="592" spans="1:6" x14ac:dyDescent="0.25">
      <c r="A592" s="7"/>
      <c r="E592" s="7"/>
      <c r="F592" s="7"/>
    </row>
    <row r="593" spans="1:6" x14ac:dyDescent="0.25">
      <c r="A593" s="7"/>
      <c r="E593" s="7"/>
      <c r="F593" s="7"/>
    </row>
    <row r="594" spans="1:6" x14ac:dyDescent="0.25">
      <c r="A594" s="7"/>
      <c r="E594" s="7"/>
      <c r="F594" s="7"/>
    </row>
    <row r="595" spans="1:6" x14ac:dyDescent="0.25">
      <c r="A595" s="7"/>
      <c r="E595" s="7"/>
      <c r="F595" s="7"/>
    </row>
    <row r="596" spans="1:6" x14ac:dyDescent="0.25">
      <c r="A596" s="7"/>
      <c r="E596" s="7"/>
      <c r="F596" s="7"/>
    </row>
    <row r="597" spans="1:6" x14ac:dyDescent="0.25">
      <c r="A597" s="7"/>
      <c r="E597" s="7"/>
      <c r="F597" s="7"/>
    </row>
    <row r="598" spans="1:6" x14ac:dyDescent="0.25">
      <c r="A598" s="7"/>
      <c r="E598" s="7"/>
      <c r="F598" s="7"/>
    </row>
    <row r="599" spans="1:6" x14ac:dyDescent="0.25">
      <c r="A599" s="7"/>
      <c r="E599" s="7"/>
      <c r="F599" s="7"/>
    </row>
    <row r="600" spans="1:6" x14ac:dyDescent="0.25">
      <c r="A600" s="7"/>
      <c r="E600" s="7"/>
      <c r="F600" s="7"/>
    </row>
    <row r="601" spans="1:6" x14ac:dyDescent="0.25">
      <c r="A601" s="7"/>
      <c r="E601" s="7"/>
      <c r="F601" s="7"/>
    </row>
    <row r="602" spans="1:6" x14ac:dyDescent="0.25">
      <c r="A602" s="7"/>
      <c r="E602" s="7"/>
      <c r="F602" s="7"/>
    </row>
    <row r="603" spans="1:6" x14ac:dyDescent="0.25">
      <c r="A603" s="7"/>
      <c r="E603" s="7"/>
      <c r="F603" s="7"/>
    </row>
    <row r="604" spans="1:6" x14ac:dyDescent="0.25">
      <c r="A604" s="7"/>
      <c r="E604" s="7"/>
      <c r="F604" s="7"/>
    </row>
    <row r="605" spans="1:6" x14ac:dyDescent="0.25">
      <c r="A605" s="7"/>
      <c r="E605" s="7"/>
      <c r="F605" s="7"/>
    </row>
    <row r="606" spans="1:6" x14ac:dyDescent="0.25">
      <c r="A606" s="7"/>
      <c r="E606" s="7"/>
      <c r="F606" s="7"/>
    </row>
    <row r="607" spans="1:6" x14ac:dyDescent="0.25">
      <c r="A607" s="7"/>
      <c r="E607" s="7"/>
      <c r="F607" s="7"/>
    </row>
    <row r="608" spans="1:6" x14ac:dyDescent="0.25">
      <c r="A608" s="7"/>
      <c r="E608" s="7"/>
      <c r="F608" s="7"/>
    </row>
    <row r="609" spans="1:6" x14ac:dyDescent="0.25">
      <c r="A609" s="7"/>
      <c r="E609" s="7"/>
      <c r="F609" s="7"/>
    </row>
    <row r="610" spans="1:6" x14ac:dyDescent="0.25">
      <c r="A610" s="7"/>
      <c r="E610" s="7"/>
      <c r="F610" s="7"/>
    </row>
    <row r="611" spans="1:6" x14ac:dyDescent="0.25">
      <c r="A611" s="7"/>
      <c r="E611" s="7"/>
      <c r="F611" s="7"/>
    </row>
    <row r="612" spans="1:6" x14ac:dyDescent="0.25">
      <c r="A612" s="7"/>
      <c r="E612" s="7"/>
      <c r="F612" s="7"/>
    </row>
    <row r="613" spans="1:6" x14ac:dyDescent="0.25">
      <c r="A613" s="7"/>
      <c r="E613" s="7"/>
      <c r="F613" s="7"/>
    </row>
    <row r="614" spans="1:6" x14ac:dyDescent="0.25">
      <c r="A614" s="7"/>
      <c r="E614" s="7"/>
      <c r="F614" s="7"/>
    </row>
    <row r="615" spans="1:6" x14ac:dyDescent="0.25">
      <c r="A615" s="7"/>
      <c r="E615" s="7"/>
      <c r="F615" s="7"/>
    </row>
    <row r="616" spans="1:6" x14ac:dyDescent="0.25">
      <c r="A616" s="7"/>
      <c r="E616" s="7"/>
      <c r="F616" s="7"/>
    </row>
    <row r="617" spans="1:6" x14ac:dyDescent="0.25">
      <c r="A617" s="7"/>
      <c r="E617" s="7"/>
      <c r="F617" s="7"/>
    </row>
    <row r="618" spans="1:6" x14ac:dyDescent="0.25">
      <c r="A618" s="7"/>
      <c r="E618" s="7"/>
      <c r="F618" s="7"/>
    </row>
    <row r="619" spans="1:6" x14ac:dyDescent="0.25">
      <c r="A619" s="7"/>
      <c r="E619" s="7"/>
      <c r="F619" s="7"/>
    </row>
    <row r="620" spans="1:6" x14ac:dyDescent="0.25">
      <c r="A620" s="7"/>
      <c r="E620" s="7"/>
      <c r="F620" s="7"/>
    </row>
    <row r="621" spans="1:6" x14ac:dyDescent="0.25">
      <c r="A621" s="7"/>
      <c r="E621" s="7"/>
      <c r="F621" s="7"/>
    </row>
    <row r="622" spans="1:6" x14ac:dyDescent="0.25">
      <c r="A622" s="7"/>
      <c r="E622" s="7"/>
      <c r="F622" s="7"/>
    </row>
    <row r="623" spans="1:6" x14ac:dyDescent="0.25">
      <c r="A623" s="7"/>
      <c r="E623" s="7"/>
      <c r="F623" s="7"/>
    </row>
    <row r="624" spans="1:6" x14ac:dyDescent="0.25">
      <c r="A624" s="7"/>
      <c r="E624" s="7"/>
      <c r="F624" s="7"/>
    </row>
    <row r="625" spans="1:6" x14ac:dyDescent="0.25">
      <c r="A625" s="7"/>
      <c r="E625" s="7"/>
      <c r="F625" s="7"/>
    </row>
    <row r="626" spans="1:6" x14ac:dyDescent="0.25">
      <c r="A626" s="7"/>
      <c r="E626" s="7"/>
      <c r="F626" s="7"/>
    </row>
    <row r="627" spans="1:6" x14ac:dyDescent="0.25">
      <c r="A627" s="7"/>
      <c r="E627" s="7"/>
      <c r="F627" s="7"/>
    </row>
    <row r="628" spans="1:6" x14ac:dyDescent="0.25">
      <c r="A628" s="7"/>
      <c r="E628" s="7"/>
      <c r="F628" s="7"/>
    </row>
    <row r="629" spans="1:6" x14ac:dyDescent="0.25">
      <c r="A629" s="7"/>
      <c r="E629" s="7"/>
      <c r="F629" s="7"/>
    </row>
    <row r="630" spans="1:6" x14ac:dyDescent="0.25">
      <c r="A630" s="7"/>
      <c r="E630" s="7"/>
      <c r="F630" s="7"/>
    </row>
    <row r="631" spans="1:6" x14ac:dyDescent="0.25">
      <c r="A631" s="7"/>
      <c r="E631" s="7"/>
      <c r="F631" s="7"/>
    </row>
    <row r="632" spans="1:6" x14ac:dyDescent="0.25">
      <c r="A632" s="7"/>
      <c r="E632" s="7"/>
      <c r="F632" s="7"/>
    </row>
    <row r="633" spans="1:6" x14ac:dyDescent="0.25">
      <c r="A633" s="7"/>
      <c r="E633" s="7"/>
      <c r="F633" s="7"/>
    </row>
    <row r="634" spans="1:6" x14ac:dyDescent="0.25">
      <c r="A634" s="7"/>
      <c r="E634" s="7"/>
      <c r="F634" s="7"/>
    </row>
    <row r="635" spans="1:6" x14ac:dyDescent="0.25">
      <c r="A635" s="7"/>
      <c r="E635" s="7"/>
      <c r="F635" s="7"/>
    </row>
    <row r="636" spans="1:6" x14ac:dyDescent="0.25">
      <c r="A636" s="7"/>
      <c r="E636" s="7"/>
      <c r="F636" s="7"/>
    </row>
    <row r="637" spans="1:6" x14ac:dyDescent="0.25">
      <c r="A637" s="7"/>
      <c r="E637" s="7"/>
      <c r="F637" s="7"/>
    </row>
    <row r="638" spans="1:6" x14ac:dyDescent="0.25">
      <c r="A638" s="7"/>
      <c r="E638" s="7"/>
      <c r="F638" s="7"/>
    </row>
    <row r="639" spans="1:6" x14ac:dyDescent="0.25">
      <c r="A639" s="7"/>
      <c r="E639" s="7"/>
      <c r="F639" s="7"/>
    </row>
    <row r="640" spans="1:6" x14ac:dyDescent="0.25">
      <c r="A640" s="7"/>
      <c r="E640" s="7"/>
      <c r="F640" s="7"/>
    </row>
    <row r="641" spans="1:6" x14ac:dyDescent="0.25">
      <c r="A641" s="7"/>
      <c r="E641" s="7"/>
      <c r="F641" s="7"/>
    </row>
    <row r="642" spans="1:6" x14ac:dyDescent="0.25">
      <c r="A642" s="7"/>
      <c r="E642" s="7"/>
      <c r="F642" s="7"/>
    </row>
    <row r="643" spans="1:6" x14ac:dyDescent="0.25">
      <c r="A643" s="7"/>
      <c r="E643" s="7"/>
      <c r="F643" s="7"/>
    </row>
    <row r="644" spans="1:6" x14ac:dyDescent="0.25">
      <c r="A644" s="7"/>
      <c r="E644" s="7"/>
      <c r="F644" s="7"/>
    </row>
    <row r="645" spans="1:6" x14ac:dyDescent="0.25">
      <c r="A645" s="7"/>
      <c r="E645" s="7"/>
      <c r="F645" s="7"/>
    </row>
    <row r="646" spans="1:6" x14ac:dyDescent="0.25">
      <c r="A646" s="7"/>
      <c r="E646" s="7"/>
      <c r="F646" s="7"/>
    </row>
    <row r="647" spans="1:6" x14ac:dyDescent="0.25">
      <c r="A647" s="7"/>
      <c r="E647" s="7"/>
      <c r="F647" s="7"/>
    </row>
    <row r="648" spans="1:6" x14ac:dyDescent="0.25">
      <c r="A648" s="7"/>
      <c r="E648" s="7"/>
      <c r="F648" s="7"/>
    </row>
    <row r="649" spans="1:6" x14ac:dyDescent="0.25">
      <c r="A649" s="7"/>
      <c r="E649" s="7"/>
      <c r="F649" s="7"/>
    </row>
    <row r="650" spans="1:6" x14ac:dyDescent="0.25">
      <c r="A650" s="7"/>
      <c r="E650" s="7"/>
      <c r="F650" s="7"/>
    </row>
    <row r="651" spans="1:6" x14ac:dyDescent="0.25">
      <c r="A651" s="7"/>
      <c r="E651" s="7"/>
      <c r="F651" s="7"/>
    </row>
    <row r="652" spans="1:6" x14ac:dyDescent="0.25">
      <c r="A652" s="7"/>
      <c r="E652" s="7"/>
      <c r="F652" s="7"/>
    </row>
    <row r="653" spans="1:6" x14ac:dyDescent="0.25">
      <c r="A653" s="7"/>
      <c r="E653" s="7"/>
      <c r="F653" s="7"/>
    </row>
    <row r="654" spans="1:6" x14ac:dyDescent="0.25">
      <c r="A654" s="7"/>
      <c r="E654" s="7"/>
      <c r="F654" s="7"/>
    </row>
    <row r="655" spans="1:6" x14ac:dyDescent="0.25">
      <c r="A655" s="7"/>
      <c r="E655" s="7"/>
      <c r="F655" s="7"/>
    </row>
    <row r="656" spans="1:6" x14ac:dyDescent="0.25">
      <c r="A656" s="7"/>
      <c r="E656" s="7"/>
      <c r="F656" s="7"/>
    </row>
    <row r="657" spans="1:6" x14ac:dyDescent="0.25">
      <c r="A657" s="7"/>
      <c r="E657" s="7"/>
      <c r="F657" s="7"/>
    </row>
    <row r="658" spans="1:6" x14ac:dyDescent="0.25">
      <c r="A658" s="7"/>
      <c r="E658" s="7"/>
      <c r="F658" s="7"/>
    </row>
    <row r="659" spans="1:6" x14ac:dyDescent="0.25">
      <c r="A659" s="7"/>
      <c r="E659" s="7"/>
      <c r="F659" s="7"/>
    </row>
    <row r="660" spans="1:6" x14ac:dyDescent="0.25">
      <c r="A660" s="7"/>
      <c r="E660" s="7"/>
      <c r="F660" s="7"/>
    </row>
    <row r="661" spans="1:6" x14ac:dyDescent="0.25">
      <c r="A661" s="7"/>
      <c r="E661" s="7"/>
      <c r="F661" s="7"/>
    </row>
    <row r="662" spans="1:6" x14ac:dyDescent="0.25">
      <c r="A662" s="7"/>
      <c r="E662" s="7"/>
      <c r="F662" s="7"/>
    </row>
    <row r="663" spans="1:6" x14ac:dyDescent="0.25">
      <c r="A663" s="7"/>
      <c r="E663" s="7"/>
      <c r="F663" s="7"/>
    </row>
    <row r="664" spans="1:6" x14ac:dyDescent="0.25">
      <c r="A664" s="7"/>
      <c r="E664" s="7"/>
      <c r="F664" s="7"/>
    </row>
    <row r="665" spans="1:6" x14ac:dyDescent="0.25">
      <c r="A665" s="7"/>
      <c r="E665" s="7"/>
      <c r="F665" s="7"/>
    </row>
    <row r="666" spans="1:6" x14ac:dyDescent="0.25">
      <c r="A666" s="7"/>
      <c r="E666" s="7"/>
      <c r="F666" s="7"/>
    </row>
    <row r="667" spans="1:6" x14ac:dyDescent="0.25">
      <c r="A667" s="7"/>
      <c r="E667" s="7"/>
      <c r="F667" s="7"/>
    </row>
    <row r="668" spans="1:6" x14ac:dyDescent="0.25">
      <c r="A668" s="7"/>
      <c r="E668" s="7"/>
      <c r="F668" s="7"/>
    </row>
    <row r="669" spans="1:6" x14ac:dyDescent="0.25">
      <c r="A669" s="7"/>
      <c r="E669" s="7"/>
      <c r="F669" s="7"/>
    </row>
    <row r="670" spans="1:6" x14ac:dyDescent="0.25">
      <c r="A670" s="7"/>
      <c r="E670" s="7"/>
      <c r="F670" s="7"/>
    </row>
    <row r="671" spans="1:6" x14ac:dyDescent="0.25">
      <c r="A671" s="7"/>
      <c r="E671" s="7"/>
      <c r="F671" s="7"/>
    </row>
    <row r="672" spans="1:6" x14ac:dyDescent="0.25">
      <c r="A672" s="7"/>
      <c r="E672" s="7"/>
      <c r="F672" s="7"/>
    </row>
    <row r="673" spans="1:6" x14ac:dyDescent="0.25">
      <c r="A673" s="7"/>
      <c r="E673" s="7"/>
      <c r="F673" s="7"/>
    </row>
    <row r="674" spans="1:6" x14ac:dyDescent="0.25">
      <c r="A674" s="7"/>
      <c r="E674" s="7"/>
      <c r="F674" s="7"/>
    </row>
    <row r="675" spans="1:6" x14ac:dyDescent="0.25">
      <c r="A675" s="7"/>
      <c r="E675" s="7"/>
      <c r="F675" s="7"/>
    </row>
    <row r="676" spans="1:6" x14ac:dyDescent="0.25">
      <c r="A676" s="7"/>
      <c r="E676" s="7"/>
      <c r="F676" s="7"/>
    </row>
    <row r="677" spans="1:6" x14ac:dyDescent="0.25">
      <c r="A677" s="7"/>
      <c r="E677" s="7"/>
      <c r="F677" s="7"/>
    </row>
    <row r="678" spans="1:6" x14ac:dyDescent="0.25">
      <c r="A678" s="7"/>
      <c r="E678" s="7"/>
      <c r="F678" s="7"/>
    </row>
    <row r="679" spans="1:6" x14ac:dyDescent="0.25">
      <c r="A679" s="7"/>
      <c r="E679" s="7"/>
      <c r="F679" s="7"/>
    </row>
    <row r="680" spans="1:6" x14ac:dyDescent="0.25">
      <c r="A680" s="7"/>
      <c r="E680" s="7"/>
      <c r="F680" s="7"/>
    </row>
    <row r="681" spans="1:6" x14ac:dyDescent="0.25">
      <c r="A681" s="7"/>
      <c r="E681" s="7"/>
      <c r="F681" s="7"/>
    </row>
    <row r="682" spans="1:6" x14ac:dyDescent="0.25">
      <c r="A682" s="7"/>
      <c r="E682" s="7"/>
      <c r="F682" s="7"/>
    </row>
    <row r="683" spans="1:6" x14ac:dyDescent="0.25">
      <c r="A683" s="7"/>
      <c r="E683" s="7"/>
      <c r="F683" s="7"/>
    </row>
    <row r="684" spans="1:6" x14ac:dyDescent="0.25">
      <c r="A684" s="7"/>
      <c r="E684" s="7"/>
      <c r="F684" s="7"/>
    </row>
    <row r="685" spans="1:6" x14ac:dyDescent="0.25">
      <c r="A685" s="7"/>
      <c r="E685" s="7"/>
      <c r="F685" s="7"/>
    </row>
    <row r="686" spans="1:6" x14ac:dyDescent="0.25">
      <c r="A686" s="7"/>
      <c r="E686" s="7"/>
      <c r="F686" s="7"/>
    </row>
    <row r="687" spans="1:6" x14ac:dyDescent="0.25">
      <c r="A687" s="7"/>
      <c r="E687" s="7"/>
      <c r="F687" s="7"/>
    </row>
    <row r="688" spans="1:6" x14ac:dyDescent="0.25">
      <c r="A688" s="7"/>
      <c r="E688" s="7"/>
      <c r="F688" s="7"/>
    </row>
    <row r="689" spans="1:6" x14ac:dyDescent="0.25">
      <c r="A689" s="7"/>
      <c r="E689" s="7"/>
      <c r="F689" s="7"/>
    </row>
    <row r="690" spans="1:6" x14ac:dyDescent="0.25">
      <c r="A690" s="7"/>
      <c r="E690" s="7"/>
      <c r="F690" s="7"/>
    </row>
    <row r="691" spans="1:6" x14ac:dyDescent="0.25">
      <c r="A691" s="7"/>
      <c r="E691" s="7"/>
      <c r="F691" s="7"/>
    </row>
    <row r="692" spans="1:6" x14ac:dyDescent="0.25">
      <c r="A692" s="7"/>
      <c r="E692" s="7"/>
      <c r="F692" s="7"/>
    </row>
    <row r="693" spans="1:6" x14ac:dyDescent="0.25">
      <c r="A693" s="7"/>
      <c r="E693" s="7"/>
      <c r="F693" s="7"/>
    </row>
    <row r="694" spans="1:6" x14ac:dyDescent="0.25">
      <c r="A694" s="7"/>
      <c r="E694" s="7"/>
      <c r="F694" s="7"/>
    </row>
    <row r="695" spans="1:6" x14ac:dyDescent="0.25">
      <c r="A695" s="7"/>
      <c r="E695" s="7"/>
      <c r="F695" s="7"/>
    </row>
    <row r="696" spans="1:6" x14ac:dyDescent="0.25">
      <c r="A696" s="7"/>
      <c r="E696" s="7"/>
      <c r="F696" s="7"/>
    </row>
    <row r="697" spans="1:6" x14ac:dyDescent="0.25">
      <c r="A697" s="7"/>
      <c r="E697" s="7"/>
      <c r="F697" s="7"/>
    </row>
    <row r="698" spans="1:6" x14ac:dyDescent="0.25">
      <c r="A698" s="7"/>
      <c r="E698" s="7"/>
      <c r="F698" s="7"/>
    </row>
    <row r="699" spans="1:6" x14ac:dyDescent="0.25">
      <c r="A699" s="7"/>
      <c r="E699" s="7"/>
      <c r="F699" s="7"/>
    </row>
    <row r="700" spans="1:6" x14ac:dyDescent="0.25">
      <c r="A700" s="7"/>
      <c r="E700" s="7"/>
      <c r="F700" s="7"/>
    </row>
    <row r="701" spans="1:6" x14ac:dyDescent="0.25">
      <c r="A701" s="7"/>
      <c r="E701" s="7"/>
      <c r="F701" s="7"/>
    </row>
    <row r="702" spans="1:6" x14ac:dyDescent="0.25">
      <c r="A702" s="7"/>
      <c r="E702" s="7"/>
      <c r="F702" s="7"/>
    </row>
    <row r="703" spans="1:6" x14ac:dyDescent="0.25">
      <c r="A703" s="7"/>
      <c r="E703" s="7"/>
      <c r="F703" s="7"/>
    </row>
    <row r="704" spans="1:6" x14ac:dyDescent="0.25">
      <c r="A704" s="7"/>
      <c r="E704" s="7"/>
      <c r="F704" s="7"/>
    </row>
    <row r="705" spans="1:6" x14ac:dyDescent="0.25">
      <c r="A705" s="7"/>
      <c r="E705" s="7"/>
      <c r="F705" s="7"/>
    </row>
    <row r="706" spans="1:6" x14ac:dyDescent="0.25">
      <c r="A706" s="7"/>
      <c r="E706" s="7"/>
      <c r="F706" s="7"/>
    </row>
    <row r="707" spans="1:6" x14ac:dyDescent="0.25">
      <c r="A707" s="7"/>
      <c r="E707" s="7"/>
      <c r="F707" s="7"/>
    </row>
    <row r="708" spans="1:6" x14ac:dyDescent="0.25">
      <c r="A708" s="7"/>
      <c r="E708" s="7"/>
      <c r="F708" s="7"/>
    </row>
    <row r="709" spans="1:6" x14ac:dyDescent="0.25">
      <c r="A709" s="7"/>
      <c r="E709" s="7"/>
      <c r="F709" s="7"/>
    </row>
    <row r="710" spans="1:6" x14ac:dyDescent="0.25">
      <c r="A710" s="7"/>
      <c r="E710" s="7"/>
      <c r="F710" s="7"/>
    </row>
    <row r="711" spans="1:6" x14ac:dyDescent="0.25">
      <c r="A711" s="7"/>
      <c r="E711" s="7"/>
      <c r="F711" s="7"/>
    </row>
    <row r="712" spans="1:6" x14ac:dyDescent="0.25">
      <c r="A712" s="7"/>
      <c r="E712" s="7"/>
      <c r="F712" s="7"/>
    </row>
    <row r="713" spans="1:6" x14ac:dyDescent="0.25">
      <c r="A713" s="7"/>
      <c r="E713" s="7"/>
      <c r="F713" s="7"/>
    </row>
    <row r="714" spans="1:6" x14ac:dyDescent="0.25">
      <c r="A714" s="7"/>
      <c r="E714" s="7"/>
      <c r="F714" s="7"/>
    </row>
    <row r="715" spans="1:6" x14ac:dyDescent="0.25">
      <c r="A715" s="7"/>
      <c r="E715" s="7"/>
      <c r="F715" s="7"/>
    </row>
    <row r="716" spans="1:6" x14ac:dyDescent="0.25">
      <c r="A716" s="7"/>
      <c r="E716" s="7"/>
      <c r="F716" s="7"/>
    </row>
    <row r="717" spans="1:6" x14ac:dyDescent="0.25">
      <c r="A717" s="7"/>
      <c r="E717" s="7"/>
      <c r="F717" s="7"/>
    </row>
    <row r="718" spans="1:6" x14ac:dyDescent="0.25">
      <c r="A718" s="7"/>
      <c r="E718" s="7"/>
      <c r="F718" s="7"/>
    </row>
    <row r="719" spans="1:6" x14ac:dyDescent="0.25">
      <c r="A719" s="7"/>
      <c r="E719" s="7"/>
      <c r="F719" s="7"/>
    </row>
    <row r="720" spans="1:6" x14ac:dyDescent="0.25">
      <c r="A720" s="7"/>
      <c r="E720" s="7"/>
      <c r="F720" s="7"/>
    </row>
    <row r="721" spans="1:6" x14ac:dyDescent="0.25">
      <c r="A721" s="7"/>
      <c r="E721" s="7"/>
      <c r="F721" s="7"/>
    </row>
    <row r="722" spans="1:6" x14ac:dyDescent="0.25">
      <c r="A722" s="7"/>
      <c r="E722" s="7"/>
      <c r="F722" s="7"/>
    </row>
    <row r="723" spans="1:6" x14ac:dyDescent="0.25">
      <c r="A723" s="7"/>
      <c r="E723" s="7"/>
      <c r="F723" s="7"/>
    </row>
    <row r="724" spans="1:6" x14ac:dyDescent="0.25">
      <c r="A724" s="7"/>
      <c r="E724" s="7"/>
      <c r="F724" s="7"/>
    </row>
    <row r="725" spans="1:6" x14ac:dyDescent="0.25">
      <c r="A725" s="7"/>
      <c r="E725" s="7"/>
      <c r="F725" s="7"/>
    </row>
    <row r="726" spans="1:6" x14ac:dyDescent="0.25">
      <c r="A726" s="7"/>
      <c r="E726" s="7"/>
      <c r="F726" s="7"/>
    </row>
    <row r="727" spans="1:6" x14ac:dyDescent="0.25">
      <c r="A727" s="7"/>
      <c r="E727" s="7"/>
      <c r="F727" s="7"/>
    </row>
    <row r="728" spans="1:6" x14ac:dyDescent="0.25">
      <c r="A728" s="7"/>
      <c r="E728" s="7"/>
      <c r="F728" s="7"/>
    </row>
    <row r="729" spans="1:6" x14ac:dyDescent="0.25">
      <c r="A729" s="7"/>
      <c r="E729" s="7"/>
      <c r="F729" s="7"/>
    </row>
    <row r="730" spans="1:6" x14ac:dyDescent="0.25">
      <c r="A730" s="7"/>
      <c r="E730" s="7"/>
      <c r="F730" s="7"/>
    </row>
    <row r="731" spans="1:6" x14ac:dyDescent="0.25">
      <c r="A731" s="7"/>
      <c r="E731" s="7"/>
      <c r="F731" s="7"/>
    </row>
    <row r="732" spans="1:6" x14ac:dyDescent="0.25">
      <c r="A732" s="7"/>
      <c r="E732" s="7"/>
      <c r="F732" s="7"/>
    </row>
    <row r="733" spans="1:6" x14ac:dyDescent="0.25">
      <c r="A733" s="7"/>
      <c r="E733" s="7"/>
      <c r="F733" s="7"/>
    </row>
    <row r="734" spans="1:6" x14ac:dyDescent="0.25">
      <c r="A734" s="7"/>
      <c r="E734" s="7"/>
      <c r="F734" s="7"/>
    </row>
    <row r="735" spans="1:6" x14ac:dyDescent="0.25">
      <c r="A735" s="7"/>
      <c r="E735" s="7"/>
      <c r="F735" s="7"/>
    </row>
    <row r="736" spans="1:6" x14ac:dyDescent="0.25">
      <c r="A736" s="7"/>
      <c r="E736" s="7"/>
      <c r="F736" s="7"/>
    </row>
    <row r="737" spans="1:6" x14ac:dyDescent="0.25">
      <c r="A737" s="7"/>
      <c r="E737" s="7"/>
      <c r="F737" s="7"/>
    </row>
    <row r="738" spans="1:6" x14ac:dyDescent="0.25">
      <c r="A738" s="7"/>
      <c r="E738" s="7"/>
      <c r="F738" s="7"/>
    </row>
    <row r="739" spans="1:6" x14ac:dyDescent="0.25">
      <c r="A739" s="7"/>
      <c r="E739" s="7"/>
      <c r="F739" s="7"/>
    </row>
    <row r="740" spans="1:6" x14ac:dyDescent="0.25">
      <c r="A740" s="7"/>
      <c r="E740" s="7"/>
      <c r="F740" s="7"/>
    </row>
    <row r="741" spans="1:6" x14ac:dyDescent="0.25">
      <c r="A741" s="7"/>
      <c r="E741" s="7"/>
      <c r="F741" s="7"/>
    </row>
    <row r="742" spans="1:6" x14ac:dyDescent="0.25">
      <c r="A742" s="7"/>
      <c r="E742" s="7"/>
      <c r="F742" s="7"/>
    </row>
    <row r="743" spans="1:6" x14ac:dyDescent="0.25">
      <c r="A743" s="7"/>
      <c r="E743" s="7"/>
      <c r="F743" s="7"/>
    </row>
    <row r="744" spans="1:6" x14ac:dyDescent="0.25">
      <c r="A744" s="7"/>
      <c r="E744" s="7"/>
      <c r="F744" s="7"/>
    </row>
    <row r="745" spans="1:6" x14ac:dyDescent="0.25">
      <c r="A745" s="7"/>
      <c r="E745" s="7"/>
      <c r="F745" s="7"/>
    </row>
    <row r="746" spans="1:6" x14ac:dyDescent="0.25">
      <c r="A746" s="7"/>
      <c r="E746" s="7"/>
      <c r="F746" s="7"/>
    </row>
    <row r="747" spans="1:6" x14ac:dyDescent="0.25">
      <c r="A747" s="7"/>
      <c r="E747" s="7"/>
      <c r="F747" s="7"/>
    </row>
    <row r="748" spans="1:6" x14ac:dyDescent="0.25">
      <c r="A748" s="7"/>
      <c r="E748" s="7"/>
      <c r="F748" s="7"/>
    </row>
    <row r="749" spans="1:6" x14ac:dyDescent="0.25">
      <c r="A749" s="7"/>
      <c r="E749" s="7"/>
      <c r="F749" s="7"/>
    </row>
    <row r="750" spans="1:6" x14ac:dyDescent="0.25">
      <c r="A750" s="7"/>
      <c r="E750" s="7"/>
      <c r="F750" s="7"/>
    </row>
    <row r="751" spans="1:6" x14ac:dyDescent="0.25">
      <c r="A751" s="7"/>
      <c r="E751" s="7"/>
      <c r="F751" s="7"/>
    </row>
    <row r="752" spans="1:6" x14ac:dyDescent="0.25">
      <c r="A752" s="7"/>
      <c r="E752" s="7"/>
      <c r="F752" s="7"/>
    </row>
    <row r="753" spans="1:6" x14ac:dyDescent="0.25">
      <c r="A753" s="7"/>
      <c r="E753" s="7"/>
      <c r="F753" s="7"/>
    </row>
    <row r="754" spans="1:6" x14ac:dyDescent="0.25">
      <c r="A754" s="7"/>
      <c r="E754" s="7"/>
      <c r="F754" s="7"/>
    </row>
    <row r="755" spans="1:6" x14ac:dyDescent="0.25">
      <c r="A755" s="7"/>
      <c r="E755" s="7"/>
      <c r="F755" s="7"/>
    </row>
    <row r="756" spans="1:6" x14ac:dyDescent="0.25">
      <c r="A756" s="7"/>
      <c r="E756" s="7"/>
      <c r="F756" s="7"/>
    </row>
    <row r="757" spans="1:6" x14ac:dyDescent="0.25">
      <c r="A757" s="7"/>
      <c r="E757" s="7"/>
      <c r="F757" s="7"/>
    </row>
    <row r="758" spans="1:6" x14ac:dyDescent="0.25">
      <c r="A758" s="7"/>
      <c r="E758" s="7"/>
      <c r="F758" s="7"/>
    </row>
    <row r="759" spans="1:6" x14ac:dyDescent="0.25">
      <c r="A759" s="7"/>
      <c r="E759" s="7"/>
      <c r="F759" s="7"/>
    </row>
    <row r="760" spans="1:6" x14ac:dyDescent="0.25">
      <c r="A760" s="7"/>
      <c r="E760" s="7"/>
      <c r="F760" s="7"/>
    </row>
    <row r="761" spans="1:6" x14ac:dyDescent="0.25">
      <c r="A761" s="7"/>
      <c r="E761" s="7"/>
      <c r="F761" s="7"/>
    </row>
    <row r="762" spans="1:6" x14ac:dyDescent="0.25">
      <c r="A762" s="7"/>
      <c r="E762" s="7"/>
      <c r="F762" s="7"/>
    </row>
    <row r="763" spans="1:6" x14ac:dyDescent="0.25">
      <c r="A763" s="7"/>
      <c r="E763" s="7"/>
      <c r="F763" s="7"/>
    </row>
    <row r="764" spans="1:6" x14ac:dyDescent="0.25">
      <c r="A764" s="7"/>
      <c r="E764" s="7"/>
      <c r="F764" s="7"/>
    </row>
    <row r="765" spans="1:6" x14ac:dyDescent="0.25">
      <c r="A765" s="7"/>
      <c r="E765" s="7"/>
      <c r="F765" s="7"/>
    </row>
    <row r="766" spans="1:6" x14ac:dyDescent="0.25">
      <c r="A766" s="7"/>
      <c r="E766" s="7"/>
      <c r="F766" s="7"/>
    </row>
    <row r="767" spans="1:6" x14ac:dyDescent="0.25">
      <c r="A767" s="7"/>
      <c r="E767" s="7"/>
      <c r="F767" s="7"/>
    </row>
    <row r="768" spans="1:6" x14ac:dyDescent="0.25">
      <c r="A768" s="7"/>
      <c r="E768" s="7"/>
      <c r="F768" s="7"/>
    </row>
    <row r="769" spans="1:6" x14ac:dyDescent="0.25">
      <c r="A769" s="7"/>
      <c r="E769" s="7"/>
      <c r="F769" s="7"/>
    </row>
    <row r="770" spans="1:6" x14ac:dyDescent="0.25">
      <c r="A770" s="7"/>
      <c r="E770" s="7"/>
      <c r="F770" s="7"/>
    </row>
    <row r="771" spans="1:6" x14ac:dyDescent="0.25">
      <c r="A771" s="7"/>
      <c r="E771" s="7"/>
      <c r="F771" s="7"/>
    </row>
    <row r="772" spans="1:6" x14ac:dyDescent="0.25">
      <c r="A772" s="7"/>
      <c r="E772" s="7"/>
      <c r="F772" s="7"/>
    </row>
    <row r="773" spans="1:6" x14ac:dyDescent="0.25">
      <c r="A773" s="7"/>
      <c r="E773" s="7"/>
      <c r="F773" s="7"/>
    </row>
    <row r="774" spans="1:6" x14ac:dyDescent="0.25">
      <c r="A774" s="7"/>
      <c r="E774" s="7"/>
      <c r="F774" s="7"/>
    </row>
    <row r="775" spans="1:6" x14ac:dyDescent="0.25">
      <c r="A775" s="7"/>
      <c r="E775" s="7"/>
      <c r="F775" s="7"/>
    </row>
    <row r="776" spans="1:6" x14ac:dyDescent="0.25">
      <c r="A776" s="7"/>
      <c r="E776" s="7"/>
      <c r="F776" s="7"/>
    </row>
    <row r="777" spans="1:6" x14ac:dyDescent="0.25">
      <c r="A777" s="7"/>
      <c r="E777" s="7"/>
      <c r="F777" s="7"/>
    </row>
    <row r="778" spans="1:6" x14ac:dyDescent="0.25">
      <c r="A778" s="7"/>
      <c r="E778" s="7"/>
      <c r="F778" s="7"/>
    </row>
    <row r="779" spans="1:6" x14ac:dyDescent="0.25">
      <c r="A779" s="7"/>
      <c r="E779" s="7"/>
      <c r="F779" s="7"/>
    </row>
    <row r="780" spans="1:6" x14ac:dyDescent="0.25">
      <c r="A780" s="7"/>
      <c r="E780" s="7"/>
      <c r="F780" s="7"/>
    </row>
    <row r="781" spans="1:6" x14ac:dyDescent="0.25">
      <c r="A781" s="7"/>
      <c r="E781" s="7"/>
      <c r="F781" s="7"/>
    </row>
    <row r="782" spans="1:6" x14ac:dyDescent="0.25">
      <c r="A782" s="7"/>
      <c r="E782" s="7"/>
      <c r="F782" s="7"/>
    </row>
    <row r="783" spans="1:6" x14ac:dyDescent="0.25">
      <c r="A783" s="7"/>
      <c r="E783" s="7"/>
      <c r="F783" s="7"/>
    </row>
    <row r="784" spans="1:6" x14ac:dyDescent="0.25">
      <c r="A784" s="7"/>
      <c r="E784" s="7"/>
      <c r="F784" s="7"/>
    </row>
    <row r="785" spans="1:6" x14ac:dyDescent="0.25">
      <c r="A785" s="7"/>
      <c r="E785" s="7"/>
      <c r="F785" s="7"/>
    </row>
    <row r="786" spans="1:6" x14ac:dyDescent="0.25">
      <c r="A786" s="7"/>
      <c r="E786" s="7"/>
      <c r="F786" s="7"/>
    </row>
    <row r="787" spans="1:6" x14ac:dyDescent="0.25">
      <c r="A787" s="7"/>
      <c r="E787" s="7"/>
      <c r="F787" s="7"/>
    </row>
    <row r="788" spans="1:6" x14ac:dyDescent="0.25">
      <c r="A788" s="7"/>
      <c r="E788" s="7"/>
      <c r="F788" s="7"/>
    </row>
    <row r="789" spans="1:6" x14ac:dyDescent="0.25">
      <c r="A789" s="7"/>
      <c r="E789" s="7"/>
      <c r="F789" s="7"/>
    </row>
    <row r="790" spans="1:6" x14ac:dyDescent="0.25">
      <c r="A790" s="7"/>
      <c r="E790" s="7"/>
      <c r="F790" s="7"/>
    </row>
    <row r="791" spans="1:6" x14ac:dyDescent="0.25">
      <c r="A791" s="7"/>
      <c r="E791" s="7"/>
      <c r="F791" s="7"/>
    </row>
    <row r="792" spans="1:6" x14ac:dyDescent="0.25">
      <c r="A792" s="7"/>
      <c r="E792" s="7"/>
      <c r="F792" s="7"/>
    </row>
    <row r="793" spans="1:6" x14ac:dyDescent="0.25">
      <c r="A793" s="7"/>
      <c r="E793" s="7"/>
      <c r="F793" s="7"/>
    </row>
    <row r="794" spans="1:6" x14ac:dyDescent="0.25">
      <c r="A794" s="7"/>
      <c r="E794" s="7"/>
      <c r="F794" s="7"/>
    </row>
    <row r="795" spans="1:6" x14ac:dyDescent="0.25">
      <c r="A795" s="7"/>
      <c r="E795" s="7"/>
      <c r="F795" s="7"/>
    </row>
    <row r="796" spans="1:6" x14ac:dyDescent="0.25">
      <c r="A796" s="7"/>
      <c r="E796" s="7"/>
      <c r="F796" s="7"/>
    </row>
    <row r="797" spans="1:6" x14ac:dyDescent="0.25">
      <c r="A797" s="7"/>
      <c r="E797" s="7"/>
      <c r="F797" s="7"/>
    </row>
    <row r="798" spans="1:6" x14ac:dyDescent="0.25">
      <c r="A798" s="7"/>
      <c r="E798" s="7"/>
      <c r="F798" s="7"/>
    </row>
    <row r="799" spans="1:6" x14ac:dyDescent="0.25">
      <c r="A799" s="7"/>
      <c r="E799" s="7"/>
      <c r="F799" s="7"/>
    </row>
    <row r="800" spans="1:6" x14ac:dyDescent="0.25">
      <c r="A800" s="7"/>
      <c r="E800" s="7"/>
      <c r="F800" s="7"/>
    </row>
    <row r="801" spans="1:6" x14ac:dyDescent="0.25">
      <c r="A801" s="7"/>
      <c r="E801" s="7"/>
      <c r="F801" s="7"/>
    </row>
    <row r="802" spans="1:6" x14ac:dyDescent="0.25">
      <c r="A802" s="7"/>
      <c r="E802" s="7"/>
      <c r="F802" s="7"/>
    </row>
    <row r="803" spans="1:6" x14ac:dyDescent="0.25">
      <c r="A803" s="7"/>
      <c r="E803" s="7"/>
      <c r="F803" s="7"/>
    </row>
    <row r="804" spans="1:6" x14ac:dyDescent="0.25">
      <c r="A804" s="7"/>
      <c r="E804" s="7"/>
      <c r="F804" s="7"/>
    </row>
    <row r="805" spans="1:6" x14ac:dyDescent="0.25">
      <c r="A805" s="7"/>
      <c r="E805" s="7"/>
      <c r="F805" s="7"/>
    </row>
    <row r="806" spans="1:6" x14ac:dyDescent="0.25">
      <c r="A806" s="7"/>
      <c r="E806" s="7"/>
      <c r="F806" s="7"/>
    </row>
    <row r="807" spans="1:6" x14ac:dyDescent="0.25">
      <c r="A807" s="7"/>
      <c r="E807" s="7"/>
      <c r="F807" s="7"/>
    </row>
    <row r="808" spans="1:6" x14ac:dyDescent="0.25">
      <c r="A808" s="7"/>
      <c r="E808" s="7"/>
      <c r="F808" s="7"/>
    </row>
    <row r="809" spans="1:6" x14ac:dyDescent="0.25">
      <c r="A809" s="7"/>
      <c r="E809" s="7"/>
      <c r="F809" s="7"/>
    </row>
    <row r="810" spans="1:6" x14ac:dyDescent="0.25">
      <c r="A810" s="7"/>
      <c r="E810" s="7"/>
      <c r="F810" s="7"/>
    </row>
    <row r="811" spans="1:6" x14ac:dyDescent="0.25">
      <c r="A811" s="7"/>
      <c r="E811" s="7"/>
      <c r="F811" s="7"/>
    </row>
    <row r="812" spans="1:6" x14ac:dyDescent="0.25">
      <c r="A812" s="7"/>
      <c r="E812" s="7"/>
      <c r="F812" s="7"/>
    </row>
    <row r="813" spans="1:6" x14ac:dyDescent="0.25">
      <c r="A813" s="7"/>
      <c r="E813" s="7"/>
      <c r="F813" s="7"/>
    </row>
    <row r="814" spans="1:6" x14ac:dyDescent="0.25">
      <c r="A814" s="7"/>
      <c r="E814" s="7"/>
      <c r="F814" s="7"/>
    </row>
    <row r="815" spans="1:6" x14ac:dyDescent="0.25">
      <c r="A815" s="7"/>
      <c r="E815" s="7"/>
      <c r="F815" s="7"/>
    </row>
    <row r="816" spans="1:6" x14ac:dyDescent="0.25">
      <c r="A816" s="7"/>
      <c r="E816" s="7"/>
      <c r="F816" s="7"/>
    </row>
    <row r="817" spans="1:6" x14ac:dyDescent="0.25">
      <c r="A817" s="7"/>
      <c r="E817" s="7"/>
      <c r="F817" s="7"/>
    </row>
    <row r="818" spans="1:6" x14ac:dyDescent="0.25">
      <c r="A818" s="7"/>
      <c r="E818" s="7"/>
      <c r="F818" s="7"/>
    </row>
    <row r="819" spans="1:6" x14ac:dyDescent="0.25">
      <c r="A819" s="7"/>
      <c r="E819" s="7"/>
      <c r="F819" s="7"/>
    </row>
    <row r="820" spans="1:6" x14ac:dyDescent="0.25">
      <c r="A820" s="7"/>
      <c r="E820" s="7"/>
      <c r="F820" s="7"/>
    </row>
    <row r="821" spans="1:6" x14ac:dyDescent="0.25">
      <c r="A821" s="7"/>
      <c r="E821" s="7"/>
      <c r="F821" s="7"/>
    </row>
    <row r="822" spans="1:6" x14ac:dyDescent="0.25">
      <c r="A822" s="7"/>
      <c r="E822" s="7"/>
      <c r="F822" s="7"/>
    </row>
    <row r="823" spans="1:6" x14ac:dyDescent="0.25">
      <c r="A823" s="7"/>
      <c r="E823" s="7"/>
      <c r="F823" s="7"/>
    </row>
    <row r="824" spans="1:6" x14ac:dyDescent="0.25">
      <c r="A824" s="7"/>
      <c r="E824" s="7"/>
      <c r="F824" s="7"/>
    </row>
    <row r="825" spans="1:6" x14ac:dyDescent="0.25">
      <c r="A825" s="7"/>
      <c r="E825" s="7"/>
      <c r="F825" s="7"/>
    </row>
    <row r="826" spans="1:6" x14ac:dyDescent="0.25">
      <c r="A826" s="7"/>
      <c r="E826" s="7"/>
      <c r="F826" s="7"/>
    </row>
    <row r="827" spans="1:6" x14ac:dyDescent="0.25">
      <c r="A827" s="7"/>
      <c r="E827" s="7"/>
      <c r="F827" s="7"/>
    </row>
    <row r="828" spans="1:6" x14ac:dyDescent="0.25">
      <c r="A828" s="7"/>
      <c r="E828" s="7"/>
      <c r="F828" s="7"/>
    </row>
    <row r="829" spans="1:6" x14ac:dyDescent="0.25">
      <c r="A829" s="7"/>
      <c r="E829" s="7"/>
      <c r="F829" s="7"/>
    </row>
    <row r="830" spans="1:6" x14ac:dyDescent="0.25">
      <c r="A830" s="7"/>
      <c r="E830" s="7"/>
      <c r="F830" s="7"/>
    </row>
    <row r="831" spans="1:6" x14ac:dyDescent="0.25">
      <c r="A831" s="7"/>
      <c r="E831" s="7"/>
      <c r="F831" s="7"/>
    </row>
    <row r="832" spans="1:6" x14ac:dyDescent="0.25">
      <c r="A832" s="7"/>
      <c r="E832" s="7"/>
      <c r="F832" s="7"/>
    </row>
    <row r="833" spans="1:6" x14ac:dyDescent="0.25">
      <c r="A833" s="7"/>
      <c r="E833" s="7"/>
      <c r="F833" s="7"/>
    </row>
    <row r="834" spans="1:6" x14ac:dyDescent="0.25">
      <c r="A834" s="7"/>
      <c r="E834" s="7"/>
      <c r="F834" s="7"/>
    </row>
    <row r="835" spans="1:6" x14ac:dyDescent="0.25">
      <c r="A835" s="7"/>
      <c r="E835" s="7"/>
      <c r="F835" s="7"/>
    </row>
    <row r="836" spans="1:6" x14ac:dyDescent="0.25">
      <c r="A836" s="7"/>
      <c r="E836" s="7"/>
      <c r="F836" s="7"/>
    </row>
    <row r="837" spans="1:6" x14ac:dyDescent="0.25">
      <c r="A837" s="7"/>
      <c r="E837" s="7"/>
      <c r="F837" s="7"/>
    </row>
    <row r="838" spans="1:6" x14ac:dyDescent="0.25">
      <c r="A838" s="7"/>
      <c r="E838" s="7"/>
      <c r="F838" s="7"/>
    </row>
    <row r="839" spans="1:6" x14ac:dyDescent="0.25">
      <c r="A839" s="7"/>
      <c r="E839" s="7"/>
      <c r="F839" s="7"/>
    </row>
    <row r="840" spans="1:6" x14ac:dyDescent="0.25">
      <c r="A840" s="7"/>
      <c r="E840" s="7"/>
      <c r="F840" s="7"/>
    </row>
    <row r="841" spans="1:6" x14ac:dyDescent="0.25">
      <c r="A841" s="7"/>
      <c r="E841" s="7"/>
      <c r="F841" s="7"/>
    </row>
    <row r="842" spans="1:6" x14ac:dyDescent="0.25">
      <c r="A842" s="7"/>
      <c r="E842" s="7"/>
      <c r="F842" s="7"/>
    </row>
    <row r="843" spans="1:6" x14ac:dyDescent="0.25">
      <c r="A843" s="7"/>
      <c r="E843" s="7"/>
      <c r="F843" s="7"/>
    </row>
    <row r="844" spans="1:6" x14ac:dyDescent="0.25">
      <c r="A844" s="7"/>
      <c r="E844" s="7"/>
      <c r="F844" s="7"/>
    </row>
    <row r="845" spans="1:6" x14ac:dyDescent="0.25">
      <c r="A845" s="7"/>
      <c r="E845" s="7"/>
      <c r="F845" s="7"/>
    </row>
    <row r="846" spans="1:6" x14ac:dyDescent="0.25">
      <c r="A846" s="7"/>
      <c r="E846" s="7"/>
      <c r="F846" s="7"/>
    </row>
    <row r="847" spans="1:6" x14ac:dyDescent="0.25">
      <c r="A847" s="7"/>
      <c r="E847" s="7"/>
      <c r="F847" s="7"/>
    </row>
    <row r="848" spans="1:6" x14ac:dyDescent="0.25">
      <c r="A848" s="7"/>
      <c r="E848" s="7"/>
      <c r="F848" s="7"/>
    </row>
    <row r="849" spans="1:6" x14ac:dyDescent="0.25">
      <c r="A849" s="7"/>
      <c r="E849" s="7"/>
      <c r="F849" s="7"/>
    </row>
    <row r="850" spans="1:6" x14ac:dyDescent="0.25">
      <c r="A850" s="7"/>
      <c r="E850" s="7"/>
      <c r="F850" s="7"/>
    </row>
    <row r="851" spans="1:6" x14ac:dyDescent="0.25">
      <c r="A851" s="7"/>
      <c r="E851" s="7"/>
      <c r="F851" s="7"/>
    </row>
    <row r="852" spans="1:6" x14ac:dyDescent="0.25">
      <c r="A852" s="7"/>
      <c r="E852" s="7"/>
      <c r="F852" s="7"/>
    </row>
    <row r="853" spans="1:6" x14ac:dyDescent="0.25">
      <c r="A853" s="7"/>
      <c r="E853" s="7"/>
      <c r="F853" s="7"/>
    </row>
    <row r="854" spans="1:6" x14ac:dyDescent="0.25">
      <c r="A854" s="7"/>
      <c r="E854" s="7"/>
      <c r="F854" s="7"/>
    </row>
    <row r="855" spans="1:6" x14ac:dyDescent="0.25">
      <c r="A855" s="7"/>
      <c r="E855" s="7"/>
      <c r="F855" s="7"/>
    </row>
    <row r="856" spans="1:6" x14ac:dyDescent="0.25">
      <c r="A856" s="7"/>
      <c r="E856" s="7"/>
      <c r="F856" s="7"/>
    </row>
    <row r="857" spans="1:6" x14ac:dyDescent="0.25">
      <c r="A857" s="7"/>
      <c r="E857" s="7"/>
      <c r="F857" s="7"/>
    </row>
    <row r="858" spans="1:6" x14ac:dyDescent="0.25">
      <c r="A858" s="7"/>
      <c r="E858" s="7"/>
      <c r="F858" s="7"/>
    </row>
    <row r="859" spans="1:6" x14ac:dyDescent="0.25">
      <c r="A859" s="7"/>
      <c r="E859" s="7"/>
      <c r="F859" s="7"/>
    </row>
    <row r="860" spans="1:6" x14ac:dyDescent="0.25">
      <c r="A860" s="7"/>
      <c r="E860" s="7"/>
      <c r="F860" s="7"/>
    </row>
    <row r="861" spans="1:6" x14ac:dyDescent="0.25">
      <c r="A861" s="7"/>
      <c r="E861" s="7"/>
      <c r="F861" s="7"/>
    </row>
    <row r="862" spans="1:6" x14ac:dyDescent="0.25">
      <c r="A862" s="7"/>
      <c r="E862" s="7"/>
      <c r="F862" s="7"/>
    </row>
    <row r="863" spans="1:6" x14ac:dyDescent="0.25">
      <c r="A863" s="7"/>
      <c r="E863" s="7"/>
      <c r="F863" s="7"/>
    </row>
    <row r="864" spans="1:6" x14ac:dyDescent="0.25">
      <c r="A864" s="7"/>
      <c r="E864" s="7"/>
      <c r="F864" s="7"/>
    </row>
    <row r="865" spans="1:6" x14ac:dyDescent="0.25">
      <c r="A865" s="7"/>
      <c r="E865" s="7"/>
      <c r="F865" s="7"/>
    </row>
    <row r="866" spans="1:6" x14ac:dyDescent="0.25">
      <c r="A866" s="7"/>
      <c r="E866" s="7"/>
      <c r="F866" s="7"/>
    </row>
    <row r="867" spans="1:6" x14ac:dyDescent="0.25">
      <c r="A867" s="7"/>
      <c r="E867" s="7"/>
      <c r="F867" s="7"/>
    </row>
    <row r="868" spans="1:6" x14ac:dyDescent="0.25">
      <c r="A868" s="7"/>
      <c r="E868" s="7"/>
      <c r="F868" s="7"/>
    </row>
    <row r="869" spans="1:6" x14ac:dyDescent="0.25">
      <c r="A869" s="7"/>
      <c r="E869" s="7"/>
      <c r="F869" s="7"/>
    </row>
    <row r="870" spans="1:6" x14ac:dyDescent="0.25">
      <c r="A870" s="7"/>
      <c r="E870" s="7"/>
      <c r="F870" s="7"/>
    </row>
    <row r="871" spans="1:6" x14ac:dyDescent="0.25">
      <c r="A871" s="7"/>
      <c r="E871" s="7"/>
      <c r="F871" s="7"/>
    </row>
    <row r="872" spans="1:6" x14ac:dyDescent="0.25">
      <c r="A872" s="7"/>
      <c r="E872" s="7"/>
      <c r="F872" s="7"/>
    </row>
    <row r="873" spans="1:6" x14ac:dyDescent="0.25">
      <c r="A873" s="7"/>
      <c r="E873" s="7"/>
      <c r="F873" s="7"/>
    </row>
    <row r="874" spans="1:6" x14ac:dyDescent="0.25">
      <c r="A874" s="7"/>
      <c r="E874" s="7"/>
      <c r="F874" s="7"/>
    </row>
    <row r="875" spans="1:6" x14ac:dyDescent="0.25">
      <c r="A875" s="7"/>
      <c r="E875" s="7"/>
      <c r="F875" s="7"/>
    </row>
    <row r="876" spans="1:6" x14ac:dyDescent="0.25">
      <c r="A876" s="7"/>
      <c r="E876" s="7"/>
      <c r="F876" s="7"/>
    </row>
    <row r="877" spans="1:6" x14ac:dyDescent="0.25">
      <c r="A877" s="7"/>
      <c r="E877" s="7"/>
      <c r="F877" s="7"/>
    </row>
    <row r="878" spans="1:6" x14ac:dyDescent="0.25">
      <c r="A878" s="7"/>
      <c r="E878" s="7"/>
      <c r="F878" s="7"/>
    </row>
    <row r="879" spans="1:6" x14ac:dyDescent="0.25">
      <c r="A879" s="7"/>
      <c r="E879" s="7"/>
      <c r="F879" s="7"/>
    </row>
    <row r="880" spans="1:6" x14ac:dyDescent="0.25">
      <c r="A880" s="7"/>
      <c r="E880" s="7"/>
      <c r="F880" s="7"/>
    </row>
    <row r="881" spans="1:6" x14ac:dyDescent="0.25">
      <c r="A881" s="7"/>
      <c r="E881" s="7"/>
      <c r="F881" s="7"/>
    </row>
    <row r="882" spans="1:6" x14ac:dyDescent="0.25">
      <c r="A882" s="7"/>
      <c r="E882" s="7"/>
      <c r="F882" s="7"/>
    </row>
    <row r="883" spans="1:6" x14ac:dyDescent="0.25">
      <c r="A883" s="7"/>
      <c r="E883" s="7"/>
      <c r="F883" s="7"/>
    </row>
    <row r="884" spans="1:6" x14ac:dyDescent="0.25">
      <c r="A884" s="7"/>
      <c r="E884" s="7"/>
      <c r="F884" s="7"/>
    </row>
    <row r="885" spans="1:6" x14ac:dyDescent="0.25">
      <c r="A885" s="7"/>
      <c r="E885" s="7"/>
      <c r="F885" s="7"/>
    </row>
    <row r="886" spans="1:6" x14ac:dyDescent="0.25">
      <c r="A886" s="7"/>
      <c r="E886" s="7"/>
      <c r="F886" s="7"/>
    </row>
    <row r="887" spans="1:6" x14ac:dyDescent="0.25">
      <c r="A887" s="7"/>
      <c r="E887" s="7"/>
      <c r="F887" s="7"/>
    </row>
    <row r="888" spans="1:6" x14ac:dyDescent="0.25">
      <c r="A888" s="7"/>
      <c r="E888" s="7"/>
      <c r="F888" s="7"/>
    </row>
    <row r="889" spans="1:6" x14ac:dyDescent="0.25">
      <c r="A889" s="7"/>
      <c r="E889" s="7"/>
      <c r="F889" s="7"/>
    </row>
    <row r="890" spans="1:6" x14ac:dyDescent="0.25">
      <c r="A890" s="7"/>
      <c r="E890" s="7"/>
      <c r="F890" s="7"/>
    </row>
    <row r="891" spans="1:6" x14ac:dyDescent="0.25">
      <c r="A891" s="7"/>
      <c r="E891" s="7"/>
      <c r="F891" s="7"/>
    </row>
    <row r="892" spans="1:6" x14ac:dyDescent="0.25">
      <c r="A892" s="7"/>
      <c r="E892" s="7"/>
      <c r="F892" s="7"/>
    </row>
    <row r="893" spans="1:6" x14ac:dyDescent="0.25">
      <c r="A893" s="7"/>
      <c r="E893" s="7"/>
      <c r="F893" s="7"/>
    </row>
    <row r="894" spans="1:6" x14ac:dyDescent="0.25">
      <c r="A894" s="7"/>
      <c r="E894" s="7"/>
      <c r="F894" s="7"/>
    </row>
    <row r="895" spans="1:6" x14ac:dyDescent="0.25">
      <c r="A895" s="7"/>
      <c r="E895" s="7"/>
      <c r="F895" s="7"/>
    </row>
    <row r="896" spans="1:6" x14ac:dyDescent="0.25">
      <c r="A896" s="7"/>
      <c r="E896" s="7"/>
      <c r="F896" s="7"/>
    </row>
    <row r="897" spans="1:6" x14ac:dyDescent="0.25">
      <c r="A897" s="7"/>
      <c r="E897" s="7"/>
      <c r="F897" s="7"/>
    </row>
    <row r="898" spans="1:6" x14ac:dyDescent="0.25">
      <c r="A898" s="7"/>
      <c r="E898" s="7"/>
      <c r="F898" s="7"/>
    </row>
    <row r="899" spans="1:6" x14ac:dyDescent="0.25">
      <c r="A899" s="7"/>
      <c r="E899" s="7"/>
      <c r="F899" s="7"/>
    </row>
    <row r="900" spans="1:6" x14ac:dyDescent="0.25">
      <c r="A900" s="7"/>
      <c r="E900" s="7"/>
      <c r="F900" s="7"/>
    </row>
    <row r="901" spans="1:6" x14ac:dyDescent="0.25">
      <c r="A901" s="7"/>
      <c r="E901" s="7"/>
      <c r="F901" s="7"/>
    </row>
    <row r="902" spans="1:6" x14ac:dyDescent="0.25">
      <c r="A902" s="7"/>
      <c r="E902" s="7"/>
      <c r="F902" s="7"/>
    </row>
    <row r="903" spans="1:6" x14ac:dyDescent="0.25">
      <c r="A903" s="7"/>
      <c r="E903" s="7"/>
      <c r="F903" s="7"/>
    </row>
    <row r="904" spans="1:6" x14ac:dyDescent="0.25">
      <c r="A904" s="7"/>
      <c r="E904" s="7"/>
      <c r="F904" s="7"/>
    </row>
    <row r="905" spans="1:6" x14ac:dyDescent="0.25">
      <c r="A905" s="7"/>
      <c r="E905" s="7"/>
      <c r="F905" s="7"/>
    </row>
    <row r="906" spans="1:6" x14ac:dyDescent="0.25">
      <c r="A906" s="7"/>
      <c r="E906" s="7"/>
      <c r="F906" s="7"/>
    </row>
    <row r="907" spans="1:6" x14ac:dyDescent="0.25">
      <c r="A907" s="7"/>
      <c r="E907" s="7"/>
      <c r="F907" s="7"/>
    </row>
    <row r="908" spans="1:6" x14ac:dyDescent="0.25">
      <c r="A908" s="7"/>
      <c r="E908" s="7"/>
      <c r="F908" s="7"/>
    </row>
    <row r="909" spans="1:6" x14ac:dyDescent="0.25">
      <c r="A909" s="7"/>
      <c r="E909" s="7"/>
      <c r="F909" s="7"/>
    </row>
    <row r="910" spans="1:6" x14ac:dyDescent="0.25">
      <c r="A910" s="7"/>
      <c r="E910" s="7"/>
      <c r="F910" s="7"/>
    </row>
    <row r="911" spans="1:6" x14ac:dyDescent="0.25">
      <c r="A911" s="7"/>
      <c r="E911" s="7"/>
      <c r="F911" s="7"/>
    </row>
    <row r="912" spans="1:6" x14ac:dyDescent="0.25">
      <c r="A912" s="7"/>
      <c r="E912" s="7"/>
      <c r="F912" s="7"/>
    </row>
    <row r="913" spans="1:6" x14ac:dyDescent="0.25">
      <c r="A913" s="7"/>
      <c r="E913" s="7"/>
      <c r="F913" s="7"/>
    </row>
    <row r="914" spans="1:6" x14ac:dyDescent="0.25">
      <c r="A914" s="7"/>
      <c r="E914" s="7"/>
      <c r="F914" s="7"/>
    </row>
    <row r="915" spans="1:6" x14ac:dyDescent="0.25">
      <c r="A915" s="7"/>
      <c r="E915" s="7"/>
      <c r="F915" s="7"/>
    </row>
    <row r="916" spans="1:6" x14ac:dyDescent="0.25">
      <c r="A916" s="7"/>
      <c r="E916" s="7"/>
      <c r="F916" s="7"/>
    </row>
    <row r="917" spans="1:6" x14ac:dyDescent="0.25">
      <c r="A917" s="7"/>
      <c r="E917" s="7"/>
      <c r="F917" s="7"/>
    </row>
    <row r="918" spans="1:6" x14ac:dyDescent="0.25">
      <c r="A918" s="7"/>
      <c r="E918" s="7"/>
      <c r="F918" s="7"/>
    </row>
    <row r="919" spans="1:6" x14ac:dyDescent="0.25">
      <c r="A919" s="7"/>
      <c r="E919" s="7"/>
      <c r="F919" s="7"/>
    </row>
    <row r="920" spans="1:6" x14ac:dyDescent="0.25">
      <c r="A920" s="7"/>
      <c r="E920" s="7"/>
      <c r="F920" s="7"/>
    </row>
    <row r="921" spans="1:6" x14ac:dyDescent="0.25">
      <c r="A921" s="7"/>
      <c r="E921" s="7"/>
      <c r="F921" s="7"/>
    </row>
    <row r="922" spans="1:6" x14ac:dyDescent="0.25">
      <c r="A922" s="7"/>
      <c r="E922" s="7"/>
      <c r="F922" s="7"/>
    </row>
    <row r="923" spans="1:6" x14ac:dyDescent="0.25">
      <c r="A923" s="7"/>
      <c r="E923" s="7"/>
      <c r="F923" s="7"/>
    </row>
    <row r="924" spans="1:6" x14ac:dyDescent="0.25">
      <c r="A924" s="7"/>
      <c r="E924" s="7"/>
      <c r="F924" s="7"/>
    </row>
    <row r="925" spans="1:6" x14ac:dyDescent="0.25">
      <c r="A925" s="7"/>
      <c r="E925" s="7"/>
      <c r="F925" s="7"/>
    </row>
    <row r="926" spans="1:6" x14ac:dyDescent="0.25">
      <c r="A926" s="7"/>
      <c r="E926" s="7"/>
      <c r="F926" s="7"/>
    </row>
    <row r="927" spans="1:6" x14ac:dyDescent="0.25">
      <c r="A927" s="7"/>
      <c r="E927" s="7"/>
      <c r="F927" s="7"/>
    </row>
    <row r="928" spans="1:6" x14ac:dyDescent="0.25">
      <c r="A928" s="7"/>
      <c r="E928" s="7"/>
      <c r="F928" s="7"/>
    </row>
    <row r="929" spans="1:6" x14ac:dyDescent="0.25">
      <c r="A929" s="7"/>
      <c r="E929" s="7"/>
      <c r="F929" s="7"/>
    </row>
    <row r="930" spans="1:6" x14ac:dyDescent="0.25">
      <c r="A930" s="7"/>
      <c r="E930" s="7"/>
      <c r="F930" s="7"/>
    </row>
    <row r="931" spans="1:6" x14ac:dyDescent="0.25">
      <c r="A931" s="7"/>
      <c r="E931" s="7"/>
      <c r="F931" s="7"/>
    </row>
    <row r="932" spans="1:6" x14ac:dyDescent="0.25">
      <c r="A932" s="7"/>
      <c r="E932" s="7"/>
      <c r="F932" s="7"/>
    </row>
    <row r="933" spans="1:6" x14ac:dyDescent="0.25">
      <c r="A933" s="7"/>
      <c r="E933" s="7"/>
      <c r="F933" s="7"/>
    </row>
    <row r="934" spans="1:6" x14ac:dyDescent="0.25">
      <c r="A934" s="7"/>
      <c r="E934" s="7"/>
      <c r="F934" s="7"/>
    </row>
    <row r="935" spans="1:6" x14ac:dyDescent="0.25">
      <c r="A935" s="7"/>
      <c r="E935" s="7"/>
      <c r="F935" s="7"/>
    </row>
    <row r="936" spans="1:6" x14ac:dyDescent="0.25">
      <c r="A936" s="7"/>
      <c r="E936" s="7"/>
      <c r="F936" s="7"/>
    </row>
    <row r="937" spans="1:6" x14ac:dyDescent="0.25">
      <c r="A937" s="7"/>
      <c r="E937" s="7"/>
      <c r="F937" s="7"/>
    </row>
    <row r="938" spans="1:6" x14ac:dyDescent="0.25">
      <c r="A938" s="7"/>
      <c r="E938" s="7"/>
      <c r="F938" s="7"/>
    </row>
    <row r="939" spans="1:6" x14ac:dyDescent="0.25">
      <c r="A939" s="7"/>
      <c r="E939" s="7"/>
      <c r="F939" s="7"/>
    </row>
    <row r="940" spans="1:6" x14ac:dyDescent="0.25">
      <c r="A940" s="7"/>
      <c r="E940" s="7"/>
      <c r="F940" s="7"/>
    </row>
    <row r="941" spans="1:6" x14ac:dyDescent="0.25">
      <c r="A941" s="7"/>
      <c r="E941" s="7"/>
      <c r="F941" s="7"/>
    </row>
    <row r="942" spans="1:6" x14ac:dyDescent="0.25">
      <c r="A942" s="7"/>
      <c r="E942" s="7"/>
      <c r="F942" s="7"/>
    </row>
    <row r="943" spans="1:6" x14ac:dyDescent="0.25">
      <c r="A943" s="7"/>
      <c r="E943" s="7"/>
      <c r="F943" s="7"/>
    </row>
    <row r="944" spans="1:6" x14ac:dyDescent="0.25">
      <c r="A944" s="7"/>
      <c r="E944" s="7"/>
      <c r="F944" s="7"/>
    </row>
    <row r="945" spans="1:6" x14ac:dyDescent="0.25">
      <c r="A945" s="7"/>
      <c r="E945" s="7"/>
      <c r="F945" s="7"/>
    </row>
    <row r="946" spans="1:6" x14ac:dyDescent="0.25">
      <c r="A946" s="7"/>
      <c r="E946" s="7"/>
      <c r="F946" s="7"/>
    </row>
    <row r="947" spans="1:6" x14ac:dyDescent="0.25">
      <c r="A947" s="7"/>
      <c r="E947" s="7"/>
      <c r="F947" s="7"/>
    </row>
    <row r="948" spans="1:6" x14ac:dyDescent="0.25">
      <c r="A948" s="7"/>
      <c r="E948" s="7"/>
      <c r="F948" s="7"/>
    </row>
    <row r="949" spans="1:6" x14ac:dyDescent="0.25">
      <c r="A949" s="7"/>
      <c r="E949" s="7"/>
      <c r="F949" s="7"/>
    </row>
    <row r="950" spans="1:6" x14ac:dyDescent="0.25">
      <c r="A950" s="7"/>
      <c r="E950" s="7"/>
      <c r="F950" s="7"/>
    </row>
    <row r="951" spans="1:6" x14ac:dyDescent="0.25">
      <c r="A951" s="7"/>
      <c r="E951" s="7"/>
      <c r="F951" s="7"/>
    </row>
    <row r="952" spans="1:6" x14ac:dyDescent="0.25">
      <c r="A952" s="7"/>
      <c r="E952" s="7"/>
      <c r="F952" s="7"/>
    </row>
    <row r="953" spans="1:6" x14ac:dyDescent="0.25">
      <c r="A953" s="7"/>
      <c r="E953" s="7"/>
      <c r="F953" s="7"/>
    </row>
    <row r="954" spans="1:6" x14ac:dyDescent="0.25">
      <c r="A954" s="7"/>
      <c r="E954" s="7"/>
      <c r="F954" s="7"/>
    </row>
    <row r="955" spans="1:6" x14ac:dyDescent="0.25">
      <c r="A955" s="7"/>
      <c r="E955" s="7"/>
      <c r="F955" s="7"/>
    </row>
    <row r="956" spans="1:6" x14ac:dyDescent="0.25">
      <c r="A956" s="7"/>
      <c r="E956" s="7"/>
      <c r="F956" s="7"/>
    </row>
    <row r="957" spans="1:6" x14ac:dyDescent="0.25">
      <c r="A957" s="7"/>
      <c r="E957" s="7"/>
      <c r="F957" s="7"/>
    </row>
    <row r="958" spans="1:6" x14ac:dyDescent="0.25">
      <c r="A958" s="7"/>
      <c r="E958" s="7"/>
      <c r="F958" s="7"/>
    </row>
    <row r="959" spans="1:6" x14ac:dyDescent="0.25">
      <c r="A959" s="7"/>
      <c r="E959" s="7"/>
      <c r="F959" s="7"/>
    </row>
    <row r="960" spans="1:6" x14ac:dyDescent="0.25">
      <c r="A960" s="7"/>
      <c r="E960" s="7"/>
      <c r="F960" s="7"/>
    </row>
    <row r="961" spans="1:6" x14ac:dyDescent="0.25">
      <c r="A961" s="7"/>
      <c r="E961" s="7"/>
      <c r="F961" s="7"/>
    </row>
    <row r="962" spans="1:6" x14ac:dyDescent="0.25">
      <c r="A962" s="7"/>
      <c r="E962" s="7"/>
      <c r="F962" s="7"/>
    </row>
    <row r="963" spans="1:6" x14ac:dyDescent="0.25">
      <c r="A963" s="7"/>
      <c r="E963" s="7"/>
      <c r="F963" s="7"/>
    </row>
    <row r="964" spans="1:6" x14ac:dyDescent="0.25">
      <c r="A964" s="7"/>
      <c r="E964" s="7"/>
      <c r="F964" s="7"/>
    </row>
    <row r="965" spans="1:6" x14ac:dyDescent="0.25">
      <c r="A965" s="7"/>
      <c r="E965" s="7"/>
      <c r="F965" s="7"/>
    </row>
    <row r="966" spans="1:6" x14ac:dyDescent="0.25">
      <c r="A966" s="7"/>
      <c r="E966" s="7"/>
      <c r="F966" s="7"/>
    </row>
    <row r="967" spans="1:6" x14ac:dyDescent="0.25">
      <c r="A967" s="7"/>
      <c r="E967" s="7"/>
      <c r="F967" s="7"/>
    </row>
    <row r="968" spans="1:6" x14ac:dyDescent="0.25">
      <c r="A968" s="7"/>
      <c r="E968" s="7"/>
      <c r="F968" s="7"/>
    </row>
    <row r="969" spans="1:6" x14ac:dyDescent="0.25">
      <c r="A969" s="7"/>
      <c r="E969" s="7"/>
      <c r="F969" s="7"/>
    </row>
    <row r="970" spans="1:6" x14ac:dyDescent="0.25">
      <c r="A970" s="7"/>
      <c r="E970" s="7"/>
      <c r="F970" s="7"/>
    </row>
    <row r="971" spans="1:6" x14ac:dyDescent="0.25">
      <c r="A971" s="7"/>
      <c r="E971" s="7"/>
      <c r="F971" s="7"/>
    </row>
    <row r="972" spans="1:6" x14ac:dyDescent="0.25">
      <c r="A972" s="7"/>
      <c r="E972" s="7"/>
      <c r="F972" s="7"/>
    </row>
    <row r="973" spans="1:6" x14ac:dyDescent="0.25">
      <c r="A973" s="7"/>
      <c r="E973" s="7"/>
      <c r="F973" s="7"/>
    </row>
    <row r="974" spans="1:6" x14ac:dyDescent="0.25">
      <c r="A974" s="7"/>
      <c r="E974" s="7"/>
      <c r="F974" s="7"/>
    </row>
    <row r="975" spans="1:6" x14ac:dyDescent="0.25">
      <c r="A975" s="7"/>
      <c r="E975" s="7"/>
      <c r="F975" s="7"/>
    </row>
    <row r="976" spans="1:6" x14ac:dyDescent="0.25">
      <c r="A976" s="7"/>
      <c r="E976" s="7"/>
      <c r="F976" s="7"/>
    </row>
    <row r="977" spans="1:6" x14ac:dyDescent="0.25">
      <c r="A977" s="7"/>
      <c r="E977" s="7"/>
      <c r="F977" s="7"/>
    </row>
    <row r="978" spans="1:6" x14ac:dyDescent="0.25">
      <c r="A978" s="7"/>
      <c r="E978" s="7"/>
      <c r="F978" s="7"/>
    </row>
    <row r="979" spans="1:6" x14ac:dyDescent="0.25">
      <c r="A979" s="7"/>
      <c r="E979" s="7"/>
      <c r="F979" s="7"/>
    </row>
    <row r="980" spans="1:6" x14ac:dyDescent="0.25">
      <c r="A980" s="7"/>
      <c r="E980" s="7"/>
      <c r="F980" s="7"/>
    </row>
    <row r="981" spans="1:6" x14ac:dyDescent="0.25">
      <c r="A981" s="7"/>
      <c r="E981" s="7"/>
      <c r="F981" s="7"/>
    </row>
    <row r="982" spans="1:6" x14ac:dyDescent="0.25">
      <c r="A982" s="7"/>
      <c r="E982" s="7"/>
      <c r="F982" s="7"/>
    </row>
    <row r="983" spans="1:6" x14ac:dyDescent="0.25">
      <c r="A983" s="7"/>
      <c r="E983" s="7"/>
      <c r="F983" s="7"/>
    </row>
    <row r="984" spans="1:6" x14ac:dyDescent="0.25">
      <c r="A984" s="7"/>
      <c r="E984" s="7"/>
      <c r="F984" s="7"/>
    </row>
    <row r="985" spans="1:6" x14ac:dyDescent="0.25">
      <c r="A985" s="7"/>
      <c r="E985" s="7"/>
      <c r="F985" s="7"/>
    </row>
    <row r="986" spans="1:6" x14ac:dyDescent="0.25">
      <c r="A986" s="7"/>
      <c r="E986" s="7"/>
      <c r="F986" s="7"/>
    </row>
    <row r="987" spans="1:6" x14ac:dyDescent="0.25">
      <c r="A987" s="7"/>
      <c r="E987" s="7"/>
      <c r="F987" s="7"/>
    </row>
    <row r="988" spans="1:6" x14ac:dyDescent="0.25">
      <c r="A988" s="7"/>
      <c r="E988" s="7"/>
      <c r="F988" s="7"/>
    </row>
    <row r="989" spans="1:6" x14ac:dyDescent="0.25">
      <c r="A989" s="7"/>
      <c r="E989" s="7"/>
      <c r="F989" s="7"/>
    </row>
    <row r="990" spans="1:6" x14ac:dyDescent="0.25">
      <c r="A990" s="7"/>
      <c r="E990" s="7"/>
      <c r="F990" s="7"/>
    </row>
    <row r="991" spans="1:6" x14ac:dyDescent="0.25">
      <c r="A991" s="7"/>
      <c r="E991" s="7"/>
      <c r="F991" s="7"/>
    </row>
    <row r="992" spans="1:6" x14ac:dyDescent="0.25">
      <c r="A992" s="7"/>
      <c r="E992" s="7"/>
      <c r="F992" s="7"/>
    </row>
    <row r="993" spans="1:6" x14ac:dyDescent="0.25">
      <c r="A993" s="7"/>
      <c r="E993" s="7"/>
      <c r="F993" s="7"/>
    </row>
    <row r="994" spans="1:6" x14ac:dyDescent="0.25">
      <c r="A994" s="7"/>
      <c r="E994" s="7"/>
      <c r="F994" s="7"/>
    </row>
    <row r="995" spans="1:6" x14ac:dyDescent="0.25">
      <c r="A995" s="7"/>
      <c r="E995" s="7"/>
      <c r="F995" s="7"/>
    </row>
    <row r="996" spans="1:6" x14ac:dyDescent="0.25">
      <c r="A996" s="7"/>
      <c r="E996" s="7"/>
      <c r="F996" s="7"/>
    </row>
    <row r="997" spans="1:6" x14ac:dyDescent="0.25">
      <c r="A997" s="7"/>
      <c r="E997" s="7"/>
      <c r="F997" s="7"/>
    </row>
    <row r="998" spans="1:6" x14ac:dyDescent="0.25">
      <c r="A998" s="7"/>
      <c r="E998" s="7"/>
      <c r="F998" s="7"/>
    </row>
    <row r="999" spans="1:6" x14ac:dyDescent="0.25">
      <c r="A999" s="7"/>
      <c r="E999" s="7"/>
      <c r="F999" s="7"/>
    </row>
    <row r="1000" spans="1:6" x14ac:dyDescent="0.25">
      <c r="A1000" s="7"/>
      <c r="E1000" s="7"/>
      <c r="F1000" s="7"/>
    </row>
    <row r="1001" spans="1:6" x14ac:dyDescent="0.25">
      <c r="A1001" s="7"/>
      <c r="E1001" s="7"/>
      <c r="F1001" s="7"/>
    </row>
    <row r="1002" spans="1:6" x14ac:dyDescent="0.25">
      <c r="A1002" s="7"/>
      <c r="E1002" s="7"/>
      <c r="F1002" s="7"/>
    </row>
  </sheetData>
  <mergeCells count="4">
    <mergeCell ref="A1:I1"/>
    <mergeCell ref="A2:I2"/>
    <mergeCell ref="B3:C3"/>
    <mergeCell ref="A16:I16"/>
  </mergeCells>
  <printOptions horizontalCentered="1" verticalCentered="1" gridLines="1"/>
  <pageMargins left="0.25" right="0.25" top="0.75" bottom="0.75" header="0" footer="0"/>
  <pageSetup fitToHeight="0" pageOrder="overThenDown" orientation="landscape" cellComments="atEnd"/>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outlinePr summaryBelow="0" summaryRight="0"/>
    <pageSetUpPr fitToPage="1"/>
  </sheetPr>
  <dimension ref="A1:W1007"/>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46.33203125" customWidth="1"/>
    <col min="2" max="2" width="7.33203125" customWidth="1"/>
    <col min="3" max="4" width="7.88671875" customWidth="1"/>
    <col min="5" max="5" width="22.21875" customWidth="1"/>
    <col min="6" max="6" width="14.6640625" customWidth="1"/>
  </cols>
  <sheetData>
    <row r="1" spans="1:23" x14ac:dyDescent="0.25">
      <c r="A1" s="141" t="s">
        <v>688</v>
      </c>
      <c r="B1" s="142"/>
      <c r="C1" s="142"/>
      <c r="D1" s="142"/>
      <c r="E1" s="142"/>
      <c r="F1" s="142"/>
      <c r="G1" s="142"/>
      <c r="H1" s="142"/>
      <c r="I1" s="143"/>
    </row>
    <row r="2" spans="1:23" x14ac:dyDescent="0.25">
      <c r="A2" s="144" t="s">
        <v>689</v>
      </c>
      <c r="B2" s="142"/>
      <c r="C2" s="142"/>
      <c r="D2" s="142"/>
      <c r="E2" s="142"/>
      <c r="F2" s="142"/>
      <c r="G2" s="142"/>
      <c r="H2" s="142"/>
      <c r="I2" s="143"/>
    </row>
    <row r="3" spans="1:23" x14ac:dyDescent="0.25">
      <c r="A3" s="43" t="s">
        <v>374</v>
      </c>
      <c r="B3" s="145" t="s">
        <v>408</v>
      </c>
      <c r="C3" s="143"/>
      <c r="D3" s="49" t="s">
        <v>370</v>
      </c>
      <c r="E3" s="50" t="s">
        <v>371</v>
      </c>
      <c r="F3" s="51" t="s">
        <v>372</v>
      </c>
      <c r="G3" s="52" t="s">
        <v>373</v>
      </c>
      <c r="H3" s="53" t="s">
        <v>409</v>
      </c>
      <c r="I3" s="53" t="s">
        <v>410</v>
      </c>
      <c r="J3" s="7"/>
      <c r="K3" s="7"/>
      <c r="L3" s="7"/>
      <c r="M3" s="7"/>
      <c r="N3" s="7"/>
      <c r="O3" s="7"/>
      <c r="P3" s="7"/>
      <c r="Q3" s="7"/>
      <c r="R3" s="7"/>
      <c r="S3" s="7"/>
      <c r="T3" s="7"/>
      <c r="U3" s="7"/>
      <c r="V3" s="7"/>
      <c r="W3" s="7"/>
    </row>
    <row r="4" spans="1:23" x14ac:dyDescent="0.25">
      <c r="A4" s="41" t="s">
        <v>411</v>
      </c>
      <c r="B4" s="54">
        <f>SUM(B5:B9)/3</f>
        <v>1</v>
      </c>
      <c r="C4" s="55">
        <f>D4*B4</f>
        <v>0.7</v>
      </c>
      <c r="D4" s="56">
        <v>0.7</v>
      </c>
      <c r="E4" s="57"/>
      <c r="F4" s="57"/>
      <c r="G4" s="58"/>
      <c r="H4" s="58"/>
      <c r="I4" s="58"/>
    </row>
    <row r="5" spans="1:23" x14ac:dyDescent="0.25">
      <c r="A5" s="42" t="s">
        <v>690</v>
      </c>
      <c r="B5" s="59">
        <v>1</v>
      </c>
      <c r="C5" s="60"/>
      <c r="D5" s="60"/>
      <c r="E5" s="42"/>
      <c r="F5" s="61"/>
      <c r="G5" s="59">
        <v>0.8</v>
      </c>
      <c r="H5" s="59">
        <v>0.8</v>
      </c>
      <c r="I5" s="59">
        <v>1</v>
      </c>
    </row>
    <row r="6" spans="1:23" x14ac:dyDescent="0.25">
      <c r="A6" s="42" t="s">
        <v>691</v>
      </c>
      <c r="B6" s="59">
        <v>1</v>
      </c>
      <c r="C6" s="60"/>
      <c r="D6" s="60"/>
      <c r="E6" s="42"/>
      <c r="F6" s="61"/>
      <c r="G6" s="59">
        <v>0.8</v>
      </c>
      <c r="H6" s="59">
        <v>0.8</v>
      </c>
      <c r="I6" s="59">
        <v>1</v>
      </c>
    </row>
    <row r="7" spans="1:23" x14ac:dyDescent="0.25">
      <c r="A7" s="42" t="s">
        <v>692</v>
      </c>
      <c r="B7" s="59">
        <v>1</v>
      </c>
      <c r="C7" s="60"/>
      <c r="D7" s="60"/>
      <c r="E7" s="42"/>
      <c r="F7" s="61"/>
      <c r="G7" s="59">
        <v>0.8</v>
      </c>
      <c r="H7" s="59">
        <v>0.8</v>
      </c>
      <c r="I7" s="59">
        <v>1</v>
      </c>
    </row>
    <row r="8" spans="1:23" x14ac:dyDescent="0.25">
      <c r="A8" s="42" t="s">
        <v>693</v>
      </c>
      <c r="B8" s="62"/>
      <c r="C8" s="60"/>
      <c r="D8" s="60"/>
      <c r="E8" s="42"/>
      <c r="F8" s="42"/>
      <c r="G8" s="60"/>
      <c r="H8" s="60"/>
      <c r="I8" s="60"/>
    </row>
    <row r="9" spans="1:23" x14ac:dyDescent="0.25">
      <c r="A9" s="42"/>
      <c r="B9" s="62"/>
      <c r="C9" s="60"/>
      <c r="D9" s="60"/>
      <c r="E9" s="42"/>
      <c r="F9" s="42"/>
      <c r="G9" s="60"/>
      <c r="H9" s="60"/>
      <c r="I9" s="60"/>
    </row>
    <row r="10" spans="1:23" x14ac:dyDescent="0.25">
      <c r="A10" s="41" t="s">
        <v>415</v>
      </c>
      <c r="B10" s="54">
        <f>SUM(B11:B16)/1</f>
        <v>1</v>
      </c>
      <c r="C10" s="55">
        <f>D10*B10</f>
        <v>0.2</v>
      </c>
      <c r="D10" s="56">
        <v>0.2</v>
      </c>
      <c r="E10" s="57"/>
      <c r="F10" s="57"/>
      <c r="G10" s="58"/>
      <c r="H10" s="58"/>
      <c r="I10" s="58"/>
    </row>
    <row r="11" spans="1:23" x14ac:dyDescent="0.25">
      <c r="A11" s="42" t="s">
        <v>694</v>
      </c>
      <c r="B11" s="59">
        <v>1</v>
      </c>
      <c r="C11" s="60"/>
      <c r="D11" s="60"/>
      <c r="E11" s="42" t="s">
        <v>695</v>
      </c>
      <c r="F11" s="42" t="s">
        <v>425</v>
      </c>
      <c r="G11" s="59">
        <v>1</v>
      </c>
      <c r="H11" s="59"/>
      <c r="I11" s="59"/>
    </row>
    <row r="12" spans="1:23" x14ac:dyDescent="0.25">
      <c r="A12" s="43" t="s">
        <v>696</v>
      </c>
      <c r="B12" s="62"/>
      <c r="C12" s="60"/>
      <c r="D12" s="60"/>
      <c r="E12" s="42"/>
      <c r="F12" s="61"/>
      <c r="G12" s="59"/>
      <c r="H12" s="59"/>
      <c r="I12" s="59"/>
    </row>
    <row r="13" spans="1:23" x14ac:dyDescent="0.25">
      <c r="A13" s="43"/>
      <c r="B13" s="62"/>
      <c r="C13" s="60"/>
      <c r="D13" s="60"/>
      <c r="E13" s="42"/>
      <c r="F13" s="61"/>
      <c r="G13" s="59"/>
      <c r="H13" s="59"/>
      <c r="I13" s="59"/>
    </row>
    <row r="14" spans="1:23" x14ac:dyDescent="0.25">
      <c r="A14" s="43"/>
      <c r="B14" s="62"/>
      <c r="C14" s="60"/>
      <c r="D14" s="60"/>
      <c r="E14" s="42"/>
      <c r="F14" s="61"/>
      <c r="G14" s="59"/>
      <c r="H14" s="59"/>
      <c r="I14" s="59"/>
    </row>
    <row r="15" spans="1:23" x14ac:dyDescent="0.25">
      <c r="A15" s="43"/>
      <c r="B15" s="62"/>
      <c r="C15" s="60"/>
      <c r="D15" s="60"/>
      <c r="E15" s="42"/>
      <c r="F15" s="61"/>
      <c r="G15" s="59"/>
      <c r="H15" s="59"/>
      <c r="I15" s="59"/>
    </row>
    <row r="16" spans="1:23" x14ac:dyDescent="0.25">
      <c r="A16" s="43"/>
      <c r="B16" s="62"/>
      <c r="C16" s="60"/>
      <c r="D16" s="60"/>
      <c r="E16" s="42"/>
      <c r="F16" s="61"/>
      <c r="G16" s="59"/>
      <c r="H16" s="59"/>
      <c r="I16" s="59"/>
    </row>
    <row r="17" spans="1:9" x14ac:dyDescent="0.25">
      <c r="A17" s="41" t="s">
        <v>385</v>
      </c>
      <c r="B17" s="54">
        <f>SUM(B18:B19)/2</f>
        <v>1</v>
      </c>
      <c r="C17" s="55">
        <f>D17*B17</f>
        <v>0.1</v>
      </c>
      <c r="D17" s="56">
        <v>0.1</v>
      </c>
      <c r="E17" s="57"/>
      <c r="F17" s="57"/>
      <c r="G17" s="58"/>
      <c r="H17" s="58"/>
      <c r="I17" s="58"/>
    </row>
    <row r="18" spans="1:9" x14ac:dyDescent="0.25">
      <c r="A18" s="42" t="s">
        <v>386</v>
      </c>
      <c r="B18" s="59">
        <v>1</v>
      </c>
      <c r="C18" s="60"/>
      <c r="D18" s="53"/>
      <c r="E18" s="42"/>
      <c r="F18" s="42" t="s">
        <v>418</v>
      </c>
      <c r="G18" s="59">
        <v>0.8</v>
      </c>
      <c r="H18" s="59">
        <v>0.8</v>
      </c>
      <c r="I18" s="59">
        <v>1</v>
      </c>
    </row>
    <row r="19" spans="1:9" x14ac:dyDescent="0.25">
      <c r="A19" s="42" t="s">
        <v>387</v>
      </c>
      <c r="B19" s="59">
        <v>1</v>
      </c>
      <c r="C19" s="60"/>
      <c r="D19" s="53"/>
      <c r="E19" s="42"/>
      <c r="F19" s="42" t="s">
        <v>419</v>
      </c>
      <c r="G19" s="59">
        <v>0.8</v>
      </c>
      <c r="H19" s="59">
        <v>0.8</v>
      </c>
      <c r="I19" s="59">
        <v>1</v>
      </c>
    </row>
    <row r="20" spans="1:9" x14ac:dyDescent="0.25">
      <c r="A20" s="42"/>
      <c r="B20" s="60"/>
      <c r="C20" s="64">
        <f t="shared" ref="C20:D20" si="0">SUM(C4+C10+C17)</f>
        <v>0.99999999999999989</v>
      </c>
      <c r="D20" s="64">
        <f t="shared" si="0"/>
        <v>0.99999999999999989</v>
      </c>
      <c r="E20" s="42"/>
      <c r="F20" s="42"/>
      <c r="G20" s="60"/>
      <c r="H20" s="60"/>
      <c r="I20" s="60"/>
    </row>
    <row r="21" spans="1:9" x14ac:dyDescent="0.25">
      <c r="A21" s="152" t="s">
        <v>697</v>
      </c>
      <c r="B21" s="142"/>
      <c r="C21" s="142"/>
      <c r="D21" s="142"/>
      <c r="E21" s="142"/>
      <c r="F21" s="142"/>
      <c r="G21" s="142"/>
      <c r="H21" s="142"/>
      <c r="I21" s="143"/>
    </row>
    <row r="22" spans="1:9" x14ac:dyDescent="0.25">
      <c r="A22" s="66" t="s">
        <v>684</v>
      </c>
      <c r="B22" s="67"/>
      <c r="C22" s="64"/>
      <c r="D22" s="64"/>
      <c r="E22" s="68"/>
      <c r="F22" s="42"/>
      <c r="G22" s="42"/>
      <c r="H22" s="60"/>
      <c r="I22" s="60"/>
    </row>
    <row r="23" spans="1:9" x14ac:dyDescent="0.25">
      <c r="A23" s="66"/>
      <c r="B23" s="67"/>
      <c r="C23" s="64"/>
      <c r="D23" s="64"/>
      <c r="E23" s="68"/>
      <c r="F23" s="42"/>
      <c r="G23" s="69"/>
      <c r="H23" s="60"/>
      <c r="I23" s="60"/>
    </row>
    <row r="24" spans="1:9" x14ac:dyDescent="0.25">
      <c r="A24" s="66"/>
      <c r="B24" s="67"/>
      <c r="C24" s="64"/>
      <c r="D24" s="64"/>
      <c r="E24" s="68"/>
      <c r="F24" s="42"/>
      <c r="G24" s="42"/>
      <c r="H24" s="60"/>
      <c r="I24" s="60"/>
    </row>
    <row r="25" spans="1:9" x14ac:dyDescent="0.25">
      <c r="A25" s="7"/>
      <c r="E25" s="7"/>
      <c r="F25" s="7"/>
    </row>
    <row r="26" spans="1:9" x14ac:dyDescent="0.25">
      <c r="A26" s="7"/>
      <c r="E26" s="7"/>
      <c r="F26" s="7"/>
    </row>
    <row r="27" spans="1:9" x14ac:dyDescent="0.25">
      <c r="A27" s="7"/>
      <c r="E27" s="7"/>
      <c r="F27" s="7"/>
    </row>
    <row r="28" spans="1:9" x14ac:dyDescent="0.25">
      <c r="A28" s="7"/>
      <c r="E28" s="7"/>
      <c r="F28" s="7"/>
    </row>
    <row r="29" spans="1:9" x14ac:dyDescent="0.25">
      <c r="A29" s="7"/>
      <c r="E29" s="7"/>
      <c r="F29" s="7"/>
    </row>
    <row r="30" spans="1:9" x14ac:dyDescent="0.25">
      <c r="A30" s="7"/>
      <c r="E30" s="7"/>
      <c r="F30" s="7"/>
    </row>
    <row r="31" spans="1:9" x14ac:dyDescent="0.25">
      <c r="A31" s="7"/>
      <c r="E31" s="7"/>
      <c r="F31" s="7"/>
    </row>
    <row r="32" spans="1:9" x14ac:dyDescent="0.25">
      <c r="A32" s="7"/>
      <c r="E32" s="7"/>
      <c r="F32" s="7"/>
    </row>
    <row r="33" spans="1:6" x14ac:dyDescent="0.25">
      <c r="A33" s="7"/>
      <c r="E33" s="7"/>
      <c r="F33" s="7"/>
    </row>
    <row r="34" spans="1:6" x14ac:dyDescent="0.25">
      <c r="A34" s="7"/>
      <c r="E34" s="7"/>
      <c r="F34" s="7"/>
    </row>
    <row r="35" spans="1:6" x14ac:dyDescent="0.25">
      <c r="A35" s="7"/>
      <c r="E35" s="7"/>
      <c r="F35" s="7"/>
    </row>
    <row r="36" spans="1:6" x14ac:dyDescent="0.25">
      <c r="A36" s="7"/>
      <c r="E36" s="7"/>
      <c r="F36" s="7"/>
    </row>
    <row r="37" spans="1:6" x14ac:dyDescent="0.25">
      <c r="A37" s="7"/>
      <c r="E37" s="7"/>
      <c r="F37" s="7"/>
    </row>
    <row r="38" spans="1:6" x14ac:dyDescent="0.25">
      <c r="A38" s="7"/>
      <c r="E38" s="7"/>
      <c r="F38" s="7"/>
    </row>
    <row r="39" spans="1:6" x14ac:dyDescent="0.25">
      <c r="A39" s="7"/>
      <c r="E39" s="7"/>
      <c r="F39" s="7"/>
    </row>
    <row r="40" spans="1:6" x14ac:dyDescent="0.25">
      <c r="A40" s="7"/>
      <c r="E40" s="7"/>
      <c r="F40" s="7"/>
    </row>
    <row r="41" spans="1:6" x14ac:dyDescent="0.25">
      <c r="A41" s="7"/>
      <c r="E41" s="7"/>
      <c r="F41" s="7"/>
    </row>
    <row r="42" spans="1:6" x14ac:dyDescent="0.25">
      <c r="A42" s="7"/>
      <c r="E42" s="7"/>
      <c r="F42" s="7"/>
    </row>
    <row r="43" spans="1:6" x14ac:dyDescent="0.25">
      <c r="A43" s="7"/>
      <c r="E43" s="7"/>
      <c r="F43" s="7"/>
    </row>
    <row r="44" spans="1:6" x14ac:dyDescent="0.25">
      <c r="A44" s="7"/>
      <c r="E44" s="7"/>
      <c r="F44" s="7"/>
    </row>
    <row r="45" spans="1:6" x14ac:dyDescent="0.25">
      <c r="A45" s="7"/>
      <c r="E45" s="7"/>
      <c r="F45" s="7"/>
    </row>
    <row r="46" spans="1:6" x14ac:dyDescent="0.25">
      <c r="A46" s="7"/>
      <c r="E46" s="7"/>
      <c r="F46" s="7"/>
    </row>
    <row r="47" spans="1:6" x14ac:dyDescent="0.25">
      <c r="A47" s="7"/>
      <c r="E47" s="7"/>
      <c r="F47" s="7"/>
    </row>
    <row r="48" spans="1:6" x14ac:dyDescent="0.25">
      <c r="A48" s="7"/>
      <c r="E48" s="7"/>
      <c r="F48" s="7"/>
    </row>
    <row r="49" spans="1:6" x14ac:dyDescent="0.25">
      <c r="A49" s="7"/>
      <c r="E49" s="7"/>
      <c r="F49" s="7"/>
    </row>
    <row r="50" spans="1:6" x14ac:dyDescent="0.25">
      <c r="A50" s="7"/>
      <c r="E50" s="7"/>
      <c r="F50" s="7"/>
    </row>
    <row r="51" spans="1:6" x14ac:dyDescent="0.25">
      <c r="A51" s="7"/>
      <c r="E51" s="7"/>
      <c r="F51" s="7"/>
    </row>
    <row r="52" spans="1:6" x14ac:dyDescent="0.25">
      <c r="A52" s="7"/>
      <c r="E52" s="7"/>
      <c r="F52" s="7"/>
    </row>
    <row r="53" spans="1:6" x14ac:dyDescent="0.25">
      <c r="A53" s="7"/>
      <c r="E53" s="7"/>
      <c r="F53" s="7"/>
    </row>
    <row r="54" spans="1:6" x14ac:dyDescent="0.25">
      <c r="A54" s="7"/>
      <c r="E54" s="7"/>
      <c r="F54" s="7"/>
    </row>
    <row r="55" spans="1:6" x14ac:dyDescent="0.25">
      <c r="A55" s="7"/>
      <c r="E55" s="7"/>
      <c r="F55" s="7"/>
    </row>
    <row r="56" spans="1:6" x14ac:dyDescent="0.25">
      <c r="A56" s="7"/>
      <c r="E56" s="7"/>
      <c r="F56" s="7"/>
    </row>
    <row r="57" spans="1:6" x14ac:dyDescent="0.25">
      <c r="A57" s="7"/>
      <c r="E57" s="7"/>
      <c r="F57" s="7"/>
    </row>
    <row r="58" spans="1:6" x14ac:dyDescent="0.25">
      <c r="A58" s="7"/>
      <c r="E58" s="7"/>
      <c r="F58" s="7"/>
    </row>
    <row r="59" spans="1:6" x14ac:dyDescent="0.25">
      <c r="A59" s="7"/>
      <c r="E59" s="7"/>
      <c r="F59" s="7"/>
    </row>
    <row r="60" spans="1:6" x14ac:dyDescent="0.25">
      <c r="A60" s="7"/>
      <c r="E60" s="7"/>
      <c r="F60" s="7"/>
    </row>
    <row r="61" spans="1:6" x14ac:dyDescent="0.25">
      <c r="A61" s="7"/>
      <c r="E61" s="7"/>
      <c r="F61" s="7"/>
    </row>
    <row r="62" spans="1:6" x14ac:dyDescent="0.25">
      <c r="A62" s="7"/>
      <c r="E62" s="7"/>
      <c r="F62" s="7"/>
    </row>
    <row r="63" spans="1:6" x14ac:dyDescent="0.25">
      <c r="A63" s="7"/>
      <c r="E63" s="7"/>
      <c r="F63" s="7"/>
    </row>
    <row r="64" spans="1:6" x14ac:dyDescent="0.25">
      <c r="A64" s="7"/>
      <c r="E64" s="7"/>
      <c r="F64" s="7"/>
    </row>
    <row r="65" spans="1:6" x14ac:dyDescent="0.25">
      <c r="A65" s="7"/>
      <c r="E65" s="7"/>
      <c r="F65" s="7"/>
    </row>
    <row r="66" spans="1:6" x14ac:dyDescent="0.25">
      <c r="A66" s="7"/>
      <c r="E66" s="7"/>
      <c r="F66" s="7"/>
    </row>
    <row r="67" spans="1:6" x14ac:dyDescent="0.25">
      <c r="A67" s="7"/>
      <c r="E67" s="7"/>
      <c r="F67" s="7"/>
    </row>
    <row r="68" spans="1:6" x14ac:dyDescent="0.25">
      <c r="A68" s="7"/>
      <c r="E68" s="7"/>
      <c r="F68" s="7"/>
    </row>
    <row r="69" spans="1:6" x14ac:dyDescent="0.25">
      <c r="A69" s="7"/>
      <c r="E69" s="7"/>
      <c r="F69" s="7"/>
    </row>
    <row r="70" spans="1:6" x14ac:dyDescent="0.25">
      <c r="A70" s="7"/>
      <c r="E70" s="7"/>
      <c r="F70" s="7"/>
    </row>
    <row r="71" spans="1:6" x14ac:dyDescent="0.25">
      <c r="A71" s="7"/>
      <c r="E71" s="7"/>
      <c r="F71" s="7"/>
    </row>
    <row r="72" spans="1:6" x14ac:dyDescent="0.25">
      <c r="A72" s="7"/>
      <c r="E72" s="7"/>
      <c r="F72" s="7"/>
    </row>
    <row r="73" spans="1:6" x14ac:dyDescent="0.25">
      <c r="A73" s="7"/>
      <c r="E73" s="7"/>
      <c r="F73" s="7"/>
    </row>
    <row r="74" spans="1:6" x14ac:dyDescent="0.25">
      <c r="A74" s="7"/>
      <c r="E74" s="7"/>
      <c r="F74" s="7"/>
    </row>
    <row r="75" spans="1:6" x14ac:dyDescent="0.25">
      <c r="A75" s="7"/>
      <c r="E75" s="7"/>
      <c r="F75" s="7"/>
    </row>
    <row r="76" spans="1:6" x14ac:dyDescent="0.25">
      <c r="A76" s="7"/>
      <c r="E76" s="7"/>
      <c r="F76" s="7"/>
    </row>
    <row r="77" spans="1:6" x14ac:dyDescent="0.25">
      <c r="A77" s="7"/>
      <c r="E77" s="7"/>
      <c r="F77" s="7"/>
    </row>
    <row r="78" spans="1:6" x14ac:dyDescent="0.25">
      <c r="A78" s="7"/>
      <c r="E78" s="7"/>
      <c r="F78" s="7"/>
    </row>
    <row r="79" spans="1:6" x14ac:dyDescent="0.25">
      <c r="A79" s="7"/>
      <c r="E79" s="7"/>
      <c r="F79" s="7"/>
    </row>
    <row r="80" spans="1:6" x14ac:dyDescent="0.25">
      <c r="A80" s="7"/>
      <c r="E80" s="7"/>
      <c r="F80" s="7"/>
    </row>
    <row r="81" spans="1:6" x14ac:dyDescent="0.25">
      <c r="A81" s="7"/>
      <c r="E81" s="7"/>
      <c r="F81" s="7"/>
    </row>
    <row r="82" spans="1:6" x14ac:dyDescent="0.25">
      <c r="A82" s="7"/>
      <c r="E82" s="7"/>
      <c r="F82" s="7"/>
    </row>
    <row r="83" spans="1:6" x14ac:dyDescent="0.25">
      <c r="A83" s="7"/>
      <c r="E83" s="7"/>
      <c r="F83" s="7"/>
    </row>
    <row r="84" spans="1:6" x14ac:dyDescent="0.25">
      <c r="A84" s="7"/>
      <c r="E84" s="7"/>
      <c r="F84" s="7"/>
    </row>
    <row r="85" spans="1:6" x14ac:dyDescent="0.25">
      <c r="A85" s="7"/>
      <c r="E85" s="7"/>
      <c r="F85" s="7"/>
    </row>
    <row r="86" spans="1:6" x14ac:dyDescent="0.25">
      <c r="A86" s="7"/>
      <c r="E86" s="7"/>
      <c r="F86" s="7"/>
    </row>
    <row r="87" spans="1:6" x14ac:dyDescent="0.25">
      <c r="A87" s="7"/>
      <c r="E87" s="7"/>
      <c r="F87" s="7"/>
    </row>
    <row r="88" spans="1:6" x14ac:dyDescent="0.25">
      <c r="A88" s="7"/>
      <c r="E88" s="7"/>
      <c r="F88" s="7"/>
    </row>
    <row r="89" spans="1:6" x14ac:dyDescent="0.25">
      <c r="A89" s="7"/>
      <c r="E89" s="7"/>
      <c r="F89" s="7"/>
    </row>
    <row r="90" spans="1:6" x14ac:dyDescent="0.25">
      <c r="A90" s="7"/>
      <c r="E90" s="7"/>
      <c r="F90" s="7"/>
    </row>
    <row r="91" spans="1:6" x14ac:dyDescent="0.25">
      <c r="A91" s="7"/>
      <c r="E91" s="7"/>
      <c r="F91" s="7"/>
    </row>
    <row r="92" spans="1:6" x14ac:dyDescent="0.25">
      <c r="A92" s="7"/>
      <c r="E92" s="7"/>
      <c r="F92" s="7"/>
    </row>
    <row r="93" spans="1:6" x14ac:dyDescent="0.25">
      <c r="A93" s="7"/>
      <c r="E93" s="7"/>
      <c r="F93" s="7"/>
    </row>
    <row r="94" spans="1:6" x14ac:dyDescent="0.25">
      <c r="A94" s="7"/>
      <c r="E94" s="7"/>
      <c r="F94" s="7"/>
    </row>
    <row r="95" spans="1:6" x14ac:dyDescent="0.25">
      <c r="A95" s="7"/>
      <c r="E95" s="7"/>
      <c r="F95" s="7"/>
    </row>
    <row r="96" spans="1:6" x14ac:dyDescent="0.25">
      <c r="A96" s="7"/>
      <c r="E96" s="7"/>
      <c r="F96" s="7"/>
    </row>
    <row r="97" spans="1:6" x14ac:dyDescent="0.25">
      <c r="A97" s="7"/>
      <c r="E97" s="7"/>
      <c r="F97" s="7"/>
    </row>
    <row r="98" spans="1:6" x14ac:dyDescent="0.25">
      <c r="A98" s="7"/>
      <c r="E98" s="7"/>
      <c r="F98" s="7"/>
    </row>
    <row r="99" spans="1:6" x14ac:dyDescent="0.25">
      <c r="A99" s="7"/>
      <c r="E99" s="7"/>
      <c r="F99" s="7"/>
    </row>
    <row r="100" spans="1:6" x14ac:dyDescent="0.25">
      <c r="A100" s="7"/>
      <c r="E100" s="7"/>
      <c r="F100" s="7"/>
    </row>
    <row r="101" spans="1:6" x14ac:dyDescent="0.25">
      <c r="A101" s="7"/>
      <c r="E101" s="7"/>
      <c r="F101" s="7"/>
    </row>
    <row r="102" spans="1:6" x14ac:dyDescent="0.25">
      <c r="A102" s="7"/>
      <c r="E102" s="7"/>
      <c r="F102" s="7"/>
    </row>
    <row r="103" spans="1:6" x14ac:dyDescent="0.25">
      <c r="A103" s="7"/>
      <c r="E103" s="7"/>
      <c r="F103" s="7"/>
    </row>
    <row r="104" spans="1:6" x14ac:dyDescent="0.25">
      <c r="A104" s="7"/>
      <c r="E104" s="7"/>
      <c r="F104" s="7"/>
    </row>
    <row r="105" spans="1:6" x14ac:dyDescent="0.25">
      <c r="A105" s="7"/>
      <c r="E105" s="7"/>
      <c r="F105" s="7"/>
    </row>
    <row r="106" spans="1:6" x14ac:dyDescent="0.25">
      <c r="A106" s="7"/>
      <c r="E106" s="7"/>
      <c r="F106" s="7"/>
    </row>
    <row r="107" spans="1:6" x14ac:dyDescent="0.25">
      <c r="A107" s="7"/>
      <c r="E107" s="7"/>
      <c r="F107" s="7"/>
    </row>
    <row r="108" spans="1:6" x14ac:dyDescent="0.25">
      <c r="A108" s="7"/>
      <c r="E108" s="7"/>
      <c r="F108" s="7"/>
    </row>
    <row r="109" spans="1:6" x14ac:dyDescent="0.25">
      <c r="A109" s="7"/>
      <c r="E109" s="7"/>
      <c r="F109" s="7"/>
    </row>
    <row r="110" spans="1:6" x14ac:dyDescent="0.25">
      <c r="A110" s="7"/>
      <c r="E110" s="7"/>
      <c r="F110" s="7"/>
    </row>
    <row r="111" spans="1:6" x14ac:dyDescent="0.25">
      <c r="A111" s="7"/>
      <c r="E111" s="7"/>
      <c r="F111" s="7"/>
    </row>
    <row r="112" spans="1:6" x14ac:dyDescent="0.25">
      <c r="A112" s="7"/>
      <c r="E112" s="7"/>
      <c r="F112" s="7"/>
    </row>
    <row r="113" spans="1:6" x14ac:dyDescent="0.25">
      <c r="A113" s="7"/>
      <c r="E113" s="7"/>
      <c r="F113" s="7"/>
    </row>
    <row r="114" spans="1:6" x14ac:dyDescent="0.25">
      <c r="A114" s="7"/>
      <c r="E114" s="7"/>
      <c r="F114" s="7"/>
    </row>
    <row r="115" spans="1:6" x14ac:dyDescent="0.25">
      <c r="A115" s="7"/>
      <c r="E115" s="7"/>
      <c r="F115" s="7"/>
    </row>
    <row r="116" spans="1:6" x14ac:dyDescent="0.25">
      <c r="A116" s="7"/>
      <c r="E116" s="7"/>
      <c r="F116" s="7"/>
    </row>
    <row r="117" spans="1:6" x14ac:dyDescent="0.25">
      <c r="A117" s="7"/>
      <c r="E117" s="7"/>
      <c r="F117" s="7"/>
    </row>
    <row r="118" spans="1:6" x14ac:dyDescent="0.25">
      <c r="A118" s="7"/>
      <c r="E118" s="7"/>
      <c r="F118" s="7"/>
    </row>
    <row r="119" spans="1:6" x14ac:dyDescent="0.25">
      <c r="A119" s="7"/>
      <c r="E119" s="7"/>
      <c r="F119" s="7"/>
    </row>
    <row r="120" spans="1:6" x14ac:dyDescent="0.25">
      <c r="A120" s="7"/>
      <c r="E120" s="7"/>
      <c r="F120" s="7"/>
    </row>
    <row r="121" spans="1:6" x14ac:dyDescent="0.25">
      <c r="A121" s="7"/>
      <c r="E121" s="7"/>
      <c r="F121" s="7"/>
    </row>
    <row r="122" spans="1:6" x14ac:dyDescent="0.25">
      <c r="A122" s="7"/>
      <c r="E122" s="7"/>
      <c r="F122" s="7"/>
    </row>
    <row r="123" spans="1:6" x14ac:dyDescent="0.25">
      <c r="A123" s="7"/>
      <c r="E123" s="7"/>
      <c r="F123" s="7"/>
    </row>
    <row r="124" spans="1:6" x14ac:dyDescent="0.25">
      <c r="A124" s="7"/>
      <c r="E124" s="7"/>
      <c r="F124" s="7"/>
    </row>
    <row r="125" spans="1:6" x14ac:dyDescent="0.25">
      <c r="A125" s="7"/>
      <c r="E125" s="7"/>
      <c r="F125" s="7"/>
    </row>
    <row r="126" spans="1:6" x14ac:dyDescent="0.25">
      <c r="A126" s="7"/>
      <c r="E126" s="7"/>
      <c r="F126" s="7"/>
    </row>
    <row r="127" spans="1:6" x14ac:dyDescent="0.25">
      <c r="A127" s="7"/>
      <c r="E127" s="7"/>
      <c r="F127" s="7"/>
    </row>
    <row r="128" spans="1:6" x14ac:dyDescent="0.25">
      <c r="A128" s="7"/>
      <c r="E128" s="7"/>
      <c r="F128" s="7"/>
    </row>
    <row r="129" spans="1:6" x14ac:dyDescent="0.25">
      <c r="A129" s="7"/>
      <c r="E129" s="7"/>
      <c r="F129" s="7"/>
    </row>
    <row r="130" spans="1:6" x14ac:dyDescent="0.25">
      <c r="A130" s="7"/>
      <c r="E130" s="7"/>
      <c r="F130" s="7"/>
    </row>
    <row r="131" spans="1:6" x14ac:dyDescent="0.25">
      <c r="A131" s="7"/>
      <c r="E131" s="7"/>
      <c r="F131" s="7"/>
    </row>
    <row r="132" spans="1:6" x14ac:dyDescent="0.25">
      <c r="A132" s="7"/>
      <c r="E132" s="7"/>
      <c r="F132" s="7"/>
    </row>
    <row r="133" spans="1:6" x14ac:dyDescent="0.25">
      <c r="A133" s="7"/>
      <c r="E133" s="7"/>
      <c r="F133" s="7"/>
    </row>
    <row r="134" spans="1:6" x14ac:dyDescent="0.25">
      <c r="A134" s="7"/>
      <c r="E134" s="7"/>
      <c r="F134" s="7"/>
    </row>
    <row r="135" spans="1:6" x14ac:dyDescent="0.25">
      <c r="A135" s="7"/>
      <c r="E135" s="7"/>
      <c r="F135" s="7"/>
    </row>
    <row r="136" spans="1:6" x14ac:dyDescent="0.25">
      <c r="A136" s="7"/>
      <c r="E136" s="7"/>
      <c r="F136" s="7"/>
    </row>
    <row r="137" spans="1:6" x14ac:dyDescent="0.25">
      <c r="A137" s="7"/>
      <c r="E137" s="7"/>
      <c r="F137" s="7"/>
    </row>
    <row r="138" spans="1:6" x14ac:dyDescent="0.25">
      <c r="A138" s="7"/>
      <c r="E138" s="7"/>
      <c r="F138" s="7"/>
    </row>
    <row r="139" spans="1:6" x14ac:dyDescent="0.25">
      <c r="A139" s="7"/>
      <c r="E139" s="7"/>
      <c r="F139" s="7"/>
    </row>
    <row r="140" spans="1:6" x14ac:dyDescent="0.25">
      <c r="A140" s="7"/>
      <c r="E140" s="7"/>
      <c r="F140" s="7"/>
    </row>
    <row r="141" spans="1:6" x14ac:dyDescent="0.25">
      <c r="A141" s="7"/>
      <c r="E141" s="7"/>
      <c r="F141" s="7"/>
    </row>
    <row r="142" spans="1:6" x14ac:dyDescent="0.25">
      <c r="A142" s="7"/>
      <c r="E142" s="7"/>
      <c r="F142" s="7"/>
    </row>
    <row r="143" spans="1:6" x14ac:dyDescent="0.25">
      <c r="A143" s="7"/>
      <c r="E143" s="7"/>
      <c r="F143" s="7"/>
    </row>
    <row r="144" spans="1:6" x14ac:dyDescent="0.25">
      <c r="A144" s="7"/>
      <c r="E144" s="7"/>
      <c r="F144" s="7"/>
    </row>
    <row r="145" spans="1:6" x14ac:dyDescent="0.25">
      <c r="A145" s="7"/>
      <c r="E145" s="7"/>
      <c r="F145" s="7"/>
    </row>
    <row r="146" spans="1:6" x14ac:dyDescent="0.25">
      <c r="A146" s="7"/>
      <c r="E146" s="7"/>
      <c r="F146" s="7"/>
    </row>
    <row r="147" spans="1:6" x14ac:dyDescent="0.25">
      <c r="A147" s="7"/>
      <c r="E147" s="7"/>
      <c r="F147" s="7"/>
    </row>
    <row r="148" spans="1:6" x14ac:dyDescent="0.25">
      <c r="A148" s="7"/>
      <c r="E148" s="7"/>
      <c r="F148" s="7"/>
    </row>
    <row r="149" spans="1:6" x14ac:dyDescent="0.25">
      <c r="A149" s="7"/>
      <c r="E149" s="7"/>
      <c r="F149" s="7"/>
    </row>
    <row r="150" spans="1:6" x14ac:dyDescent="0.25">
      <c r="A150" s="7"/>
      <c r="E150" s="7"/>
      <c r="F150" s="7"/>
    </row>
    <row r="151" spans="1:6" x14ac:dyDescent="0.25">
      <c r="A151" s="7"/>
      <c r="E151" s="7"/>
      <c r="F151" s="7"/>
    </row>
    <row r="152" spans="1:6" x14ac:dyDescent="0.25">
      <c r="A152" s="7"/>
      <c r="E152" s="7"/>
      <c r="F152" s="7"/>
    </row>
    <row r="153" spans="1:6" x14ac:dyDescent="0.25">
      <c r="A153" s="7"/>
      <c r="E153" s="7"/>
      <c r="F153" s="7"/>
    </row>
    <row r="154" spans="1:6" x14ac:dyDescent="0.25">
      <c r="A154" s="7"/>
      <c r="E154" s="7"/>
      <c r="F154" s="7"/>
    </row>
    <row r="155" spans="1:6" x14ac:dyDescent="0.25">
      <c r="A155" s="7"/>
      <c r="E155" s="7"/>
      <c r="F155" s="7"/>
    </row>
    <row r="156" spans="1:6" x14ac:dyDescent="0.25">
      <c r="A156" s="7"/>
      <c r="E156" s="7"/>
      <c r="F156" s="7"/>
    </row>
    <row r="157" spans="1:6" x14ac:dyDescent="0.25">
      <c r="A157" s="7"/>
      <c r="E157" s="7"/>
      <c r="F157" s="7"/>
    </row>
    <row r="158" spans="1:6" x14ac:dyDescent="0.25">
      <c r="A158" s="7"/>
      <c r="E158" s="7"/>
      <c r="F158" s="7"/>
    </row>
    <row r="159" spans="1:6" x14ac:dyDescent="0.25">
      <c r="A159" s="7"/>
      <c r="E159" s="7"/>
      <c r="F159" s="7"/>
    </row>
    <row r="160" spans="1:6" x14ac:dyDescent="0.25">
      <c r="A160" s="7"/>
      <c r="E160" s="7"/>
      <c r="F160" s="7"/>
    </row>
    <row r="161" spans="1:6" x14ac:dyDescent="0.25">
      <c r="A161" s="7"/>
      <c r="E161" s="7"/>
      <c r="F161" s="7"/>
    </row>
    <row r="162" spans="1:6" x14ac:dyDescent="0.25">
      <c r="A162" s="7"/>
      <c r="E162" s="7"/>
      <c r="F162" s="7"/>
    </row>
    <row r="163" spans="1:6" x14ac:dyDescent="0.25">
      <c r="A163" s="7"/>
      <c r="E163" s="7"/>
      <c r="F163" s="7"/>
    </row>
    <row r="164" spans="1:6" x14ac:dyDescent="0.25">
      <c r="A164" s="7"/>
      <c r="E164" s="7"/>
      <c r="F164" s="7"/>
    </row>
    <row r="165" spans="1:6" x14ac:dyDescent="0.25">
      <c r="A165" s="7"/>
      <c r="E165" s="7"/>
      <c r="F165" s="7"/>
    </row>
    <row r="166" spans="1:6" x14ac:dyDescent="0.25">
      <c r="A166" s="7"/>
      <c r="E166" s="7"/>
      <c r="F166" s="7"/>
    </row>
    <row r="167" spans="1:6" x14ac:dyDescent="0.25">
      <c r="A167" s="7"/>
      <c r="E167" s="7"/>
      <c r="F167" s="7"/>
    </row>
    <row r="168" spans="1:6" x14ac:dyDescent="0.25">
      <c r="A168" s="7"/>
      <c r="E168" s="7"/>
      <c r="F168" s="7"/>
    </row>
    <row r="169" spans="1:6" x14ac:dyDescent="0.25">
      <c r="A169" s="7"/>
      <c r="E169" s="7"/>
      <c r="F169" s="7"/>
    </row>
    <row r="170" spans="1:6" x14ac:dyDescent="0.25">
      <c r="A170" s="7"/>
      <c r="E170" s="7"/>
      <c r="F170" s="7"/>
    </row>
    <row r="171" spans="1:6" x14ac:dyDescent="0.25">
      <c r="A171" s="7"/>
      <c r="E171" s="7"/>
      <c r="F171" s="7"/>
    </row>
    <row r="172" spans="1:6" x14ac:dyDescent="0.25">
      <c r="A172" s="7"/>
      <c r="E172" s="7"/>
      <c r="F172" s="7"/>
    </row>
    <row r="173" spans="1:6" x14ac:dyDescent="0.25">
      <c r="A173" s="7"/>
      <c r="E173" s="7"/>
      <c r="F173" s="7"/>
    </row>
    <row r="174" spans="1:6" x14ac:dyDescent="0.25">
      <c r="A174" s="7"/>
      <c r="E174" s="7"/>
      <c r="F174" s="7"/>
    </row>
    <row r="175" spans="1:6" x14ac:dyDescent="0.25">
      <c r="A175" s="7"/>
      <c r="E175" s="7"/>
      <c r="F175" s="7"/>
    </row>
    <row r="176" spans="1:6" x14ac:dyDescent="0.25">
      <c r="A176" s="7"/>
      <c r="E176" s="7"/>
      <c r="F176" s="7"/>
    </row>
    <row r="177" spans="1:6" x14ac:dyDescent="0.25">
      <c r="A177" s="7"/>
      <c r="E177" s="7"/>
      <c r="F177" s="7"/>
    </row>
    <row r="178" spans="1:6" x14ac:dyDescent="0.25">
      <c r="A178" s="7"/>
      <c r="E178" s="7"/>
      <c r="F178" s="7"/>
    </row>
    <row r="179" spans="1:6" x14ac:dyDescent="0.25">
      <c r="A179" s="7"/>
      <c r="E179" s="7"/>
      <c r="F179" s="7"/>
    </row>
    <row r="180" spans="1:6" x14ac:dyDescent="0.25">
      <c r="A180" s="7"/>
      <c r="E180" s="7"/>
      <c r="F180" s="7"/>
    </row>
    <row r="181" spans="1:6" x14ac:dyDescent="0.25">
      <c r="A181" s="7"/>
      <c r="E181" s="7"/>
      <c r="F181" s="7"/>
    </row>
    <row r="182" spans="1:6" x14ac:dyDescent="0.25">
      <c r="A182" s="7"/>
      <c r="E182" s="7"/>
      <c r="F182" s="7"/>
    </row>
    <row r="183" spans="1:6" x14ac:dyDescent="0.25">
      <c r="A183" s="7"/>
      <c r="E183" s="7"/>
      <c r="F183" s="7"/>
    </row>
    <row r="184" spans="1:6" x14ac:dyDescent="0.25">
      <c r="A184" s="7"/>
      <c r="E184" s="7"/>
      <c r="F184" s="7"/>
    </row>
    <row r="185" spans="1:6" x14ac:dyDescent="0.25">
      <c r="A185" s="7"/>
      <c r="E185" s="7"/>
      <c r="F185" s="7"/>
    </row>
    <row r="186" spans="1:6" x14ac:dyDescent="0.25">
      <c r="A186" s="7"/>
      <c r="E186" s="7"/>
      <c r="F186" s="7"/>
    </row>
    <row r="187" spans="1:6" x14ac:dyDescent="0.25">
      <c r="A187" s="7"/>
      <c r="E187" s="7"/>
      <c r="F187" s="7"/>
    </row>
    <row r="188" spans="1:6" x14ac:dyDescent="0.25">
      <c r="A188" s="7"/>
      <c r="E188" s="7"/>
      <c r="F188" s="7"/>
    </row>
    <row r="189" spans="1:6" x14ac:dyDescent="0.25">
      <c r="A189" s="7"/>
      <c r="E189" s="7"/>
      <c r="F189" s="7"/>
    </row>
    <row r="190" spans="1:6" x14ac:dyDescent="0.25">
      <c r="A190" s="7"/>
      <c r="E190" s="7"/>
      <c r="F190" s="7"/>
    </row>
    <row r="191" spans="1:6" x14ac:dyDescent="0.25">
      <c r="A191" s="7"/>
      <c r="E191" s="7"/>
      <c r="F191" s="7"/>
    </row>
    <row r="192" spans="1:6" x14ac:dyDescent="0.25">
      <c r="A192" s="7"/>
      <c r="E192" s="7"/>
      <c r="F192" s="7"/>
    </row>
    <row r="193" spans="1:6" x14ac:dyDescent="0.25">
      <c r="A193" s="7"/>
      <c r="E193" s="7"/>
      <c r="F193" s="7"/>
    </row>
    <row r="194" spans="1:6" x14ac:dyDescent="0.25">
      <c r="A194" s="7"/>
      <c r="E194" s="7"/>
      <c r="F194" s="7"/>
    </row>
    <row r="195" spans="1:6" x14ac:dyDescent="0.25">
      <c r="A195" s="7"/>
      <c r="E195" s="7"/>
      <c r="F195" s="7"/>
    </row>
    <row r="196" spans="1:6" x14ac:dyDescent="0.25">
      <c r="A196" s="7"/>
      <c r="E196" s="7"/>
      <c r="F196" s="7"/>
    </row>
    <row r="197" spans="1:6" x14ac:dyDescent="0.25">
      <c r="A197" s="7"/>
      <c r="E197" s="7"/>
      <c r="F197" s="7"/>
    </row>
    <row r="198" spans="1:6" x14ac:dyDescent="0.25">
      <c r="A198" s="7"/>
      <c r="E198" s="7"/>
      <c r="F198" s="7"/>
    </row>
    <row r="199" spans="1:6" x14ac:dyDescent="0.25">
      <c r="A199" s="7"/>
      <c r="E199" s="7"/>
      <c r="F199" s="7"/>
    </row>
    <row r="200" spans="1:6" x14ac:dyDescent="0.25">
      <c r="A200" s="7"/>
      <c r="E200" s="7"/>
      <c r="F200" s="7"/>
    </row>
    <row r="201" spans="1:6" x14ac:dyDescent="0.25">
      <c r="A201" s="7"/>
      <c r="E201" s="7"/>
      <c r="F201" s="7"/>
    </row>
    <row r="202" spans="1:6" x14ac:dyDescent="0.25">
      <c r="A202" s="7"/>
      <c r="E202" s="7"/>
      <c r="F202" s="7"/>
    </row>
    <row r="203" spans="1:6" x14ac:dyDescent="0.25">
      <c r="A203" s="7"/>
      <c r="E203" s="7"/>
      <c r="F203" s="7"/>
    </row>
    <row r="204" spans="1:6" x14ac:dyDescent="0.25">
      <c r="A204" s="7"/>
      <c r="E204" s="7"/>
      <c r="F204" s="7"/>
    </row>
    <row r="205" spans="1:6" x14ac:dyDescent="0.25">
      <c r="A205" s="7"/>
      <c r="E205" s="7"/>
      <c r="F205" s="7"/>
    </row>
    <row r="206" spans="1:6" x14ac:dyDescent="0.25">
      <c r="A206" s="7"/>
      <c r="E206" s="7"/>
      <c r="F206" s="7"/>
    </row>
    <row r="207" spans="1:6" x14ac:dyDescent="0.25">
      <c r="A207" s="7"/>
      <c r="E207" s="7"/>
      <c r="F207" s="7"/>
    </row>
    <row r="208" spans="1:6" x14ac:dyDescent="0.25">
      <c r="A208" s="7"/>
      <c r="E208" s="7"/>
      <c r="F208" s="7"/>
    </row>
    <row r="209" spans="1:6" x14ac:dyDescent="0.25">
      <c r="A209" s="7"/>
      <c r="E209" s="7"/>
      <c r="F209" s="7"/>
    </row>
    <row r="210" spans="1:6" x14ac:dyDescent="0.25">
      <c r="A210" s="7"/>
      <c r="E210" s="7"/>
      <c r="F210" s="7"/>
    </row>
    <row r="211" spans="1:6" x14ac:dyDescent="0.25">
      <c r="A211" s="7"/>
      <c r="E211" s="7"/>
      <c r="F211" s="7"/>
    </row>
    <row r="212" spans="1:6" x14ac:dyDescent="0.25">
      <c r="A212" s="7"/>
      <c r="E212" s="7"/>
      <c r="F212" s="7"/>
    </row>
    <row r="213" spans="1:6" x14ac:dyDescent="0.25">
      <c r="A213" s="7"/>
      <c r="E213" s="7"/>
      <c r="F213" s="7"/>
    </row>
    <row r="214" spans="1:6" x14ac:dyDescent="0.25">
      <c r="A214" s="7"/>
      <c r="E214" s="7"/>
      <c r="F214" s="7"/>
    </row>
    <row r="215" spans="1:6" x14ac:dyDescent="0.25">
      <c r="A215" s="7"/>
      <c r="E215" s="7"/>
      <c r="F215" s="7"/>
    </row>
    <row r="216" spans="1:6" x14ac:dyDescent="0.25">
      <c r="A216" s="7"/>
      <c r="E216" s="7"/>
      <c r="F216" s="7"/>
    </row>
    <row r="217" spans="1:6" x14ac:dyDescent="0.25">
      <c r="A217" s="7"/>
      <c r="E217" s="7"/>
      <c r="F217" s="7"/>
    </row>
    <row r="218" spans="1:6" x14ac:dyDescent="0.25">
      <c r="A218" s="7"/>
      <c r="E218" s="7"/>
      <c r="F218" s="7"/>
    </row>
    <row r="219" spans="1:6" x14ac:dyDescent="0.25">
      <c r="A219" s="7"/>
      <c r="E219" s="7"/>
      <c r="F219" s="7"/>
    </row>
    <row r="220" spans="1:6" x14ac:dyDescent="0.25">
      <c r="A220" s="7"/>
      <c r="E220" s="7"/>
      <c r="F220" s="7"/>
    </row>
    <row r="221" spans="1:6" x14ac:dyDescent="0.25">
      <c r="A221" s="7"/>
      <c r="E221" s="7"/>
      <c r="F221" s="7"/>
    </row>
    <row r="222" spans="1:6" x14ac:dyDescent="0.25">
      <c r="A222" s="7"/>
      <c r="E222" s="7"/>
      <c r="F222" s="7"/>
    </row>
    <row r="223" spans="1:6" x14ac:dyDescent="0.25">
      <c r="A223" s="7"/>
      <c r="E223" s="7"/>
      <c r="F223" s="7"/>
    </row>
    <row r="224" spans="1:6" x14ac:dyDescent="0.25">
      <c r="A224" s="7"/>
      <c r="E224" s="7"/>
      <c r="F224" s="7"/>
    </row>
    <row r="225" spans="1:6" x14ac:dyDescent="0.25">
      <c r="A225" s="7"/>
      <c r="E225" s="7"/>
      <c r="F225" s="7"/>
    </row>
    <row r="226" spans="1:6" x14ac:dyDescent="0.25">
      <c r="A226" s="7"/>
      <c r="E226" s="7"/>
      <c r="F226" s="7"/>
    </row>
    <row r="227" spans="1:6" x14ac:dyDescent="0.25">
      <c r="A227" s="7"/>
      <c r="E227" s="7"/>
      <c r="F227" s="7"/>
    </row>
    <row r="228" spans="1:6" x14ac:dyDescent="0.25">
      <c r="A228" s="7"/>
      <c r="E228" s="7"/>
      <c r="F228" s="7"/>
    </row>
    <row r="229" spans="1:6" x14ac:dyDescent="0.25">
      <c r="A229" s="7"/>
      <c r="E229" s="7"/>
      <c r="F229" s="7"/>
    </row>
    <row r="230" spans="1:6" x14ac:dyDescent="0.25">
      <c r="A230" s="7"/>
      <c r="E230" s="7"/>
      <c r="F230" s="7"/>
    </row>
    <row r="231" spans="1:6" x14ac:dyDescent="0.25">
      <c r="A231" s="7"/>
      <c r="E231" s="7"/>
      <c r="F231" s="7"/>
    </row>
    <row r="232" spans="1:6" x14ac:dyDescent="0.25">
      <c r="A232" s="7"/>
      <c r="E232" s="7"/>
      <c r="F232" s="7"/>
    </row>
    <row r="233" spans="1:6" x14ac:dyDescent="0.25">
      <c r="A233" s="7"/>
      <c r="E233" s="7"/>
      <c r="F233" s="7"/>
    </row>
    <row r="234" spans="1:6" x14ac:dyDescent="0.25">
      <c r="A234" s="7"/>
      <c r="E234" s="7"/>
      <c r="F234" s="7"/>
    </row>
    <row r="235" spans="1:6" x14ac:dyDescent="0.25">
      <c r="A235" s="7"/>
      <c r="E235" s="7"/>
      <c r="F235" s="7"/>
    </row>
    <row r="236" spans="1:6" x14ac:dyDescent="0.25">
      <c r="A236" s="7"/>
      <c r="E236" s="7"/>
      <c r="F236" s="7"/>
    </row>
    <row r="237" spans="1:6" x14ac:dyDescent="0.25">
      <c r="A237" s="7"/>
      <c r="E237" s="7"/>
      <c r="F237" s="7"/>
    </row>
    <row r="238" spans="1:6" x14ac:dyDescent="0.25">
      <c r="A238" s="7"/>
      <c r="E238" s="7"/>
      <c r="F238" s="7"/>
    </row>
    <row r="239" spans="1:6" x14ac:dyDescent="0.25">
      <c r="A239" s="7"/>
      <c r="E239" s="7"/>
      <c r="F239" s="7"/>
    </row>
    <row r="240" spans="1:6" x14ac:dyDescent="0.25">
      <c r="A240" s="7"/>
      <c r="E240" s="7"/>
      <c r="F240" s="7"/>
    </row>
    <row r="241" spans="1:6" x14ac:dyDescent="0.25">
      <c r="A241" s="7"/>
      <c r="E241" s="7"/>
      <c r="F241" s="7"/>
    </row>
    <row r="242" spans="1:6" x14ac:dyDescent="0.25">
      <c r="A242" s="7"/>
      <c r="E242" s="7"/>
      <c r="F242" s="7"/>
    </row>
    <row r="243" spans="1:6" x14ac:dyDescent="0.25">
      <c r="A243" s="7"/>
      <c r="E243" s="7"/>
      <c r="F243" s="7"/>
    </row>
    <row r="244" spans="1:6" x14ac:dyDescent="0.25">
      <c r="A244" s="7"/>
      <c r="E244" s="7"/>
      <c r="F244" s="7"/>
    </row>
    <row r="245" spans="1:6" x14ac:dyDescent="0.25">
      <c r="A245" s="7"/>
      <c r="E245" s="7"/>
      <c r="F245" s="7"/>
    </row>
    <row r="246" spans="1:6" x14ac:dyDescent="0.25">
      <c r="A246" s="7"/>
      <c r="E246" s="7"/>
      <c r="F246" s="7"/>
    </row>
    <row r="247" spans="1:6" x14ac:dyDescent="0.25">
      <c r="A247" s="7"/>
      <c r="E247" s="7"/>
      <c r="F247" s="7"/>
    </row>
    <row r="248" spans="1:6" x14ac:dyDescent="0.25">
      <c r="A248" s="7"/>
      <c r="E248" s="7"/>
      <c r="F248" s="7"/>
    </row>
    <row r="249" spans="1:6" x14ac:dyDescent="0.25">
      <c r="A249" s="7"/>
      <c r="E249" s="7"/>
      <c r="F249" s="7"/>
    </row>
    <row r="250" spans="1:6" x14ac:dyDescent="0.25">
      <c r="A250" s="7"/>
      <c r="E250" s="7"/>
      <c r="F250" s="7"/>
    </row>
    <row r="251" spans="1:6" x14ac:dyDescent="0.25">
      <c r="A251" s="7"/>
      <c r="E251" s="7"/>
      <c r="F251" s="7"/>
    </row>
    <row r="252" spans="1:6" x14ac:dyDescent="0.25">
      <c r="A252" s="7"/>
      <c r="E252" s="7"/>
      <c r="F252" s="7"/>
    </row>
    <row r="253" spans="1:6" x14ac:dyDescent="0.25">
      <c r="A253" s="7"/>
      <c r="E253" s="7"/>
      <c r="F253" s="7"/>
    </row>
    <row r="254" spans="1:6" x14ac:dyDescent="0.25">
      <c r="A254" s="7"/>
      <c r="E254" s="7"/>
      <c r="F254" s="7"/>
    </row>
    <row r="255" spans="1:6" x14ac:dyDescent="0.25">
      <c r="A255" s="7"/>
      <c r="E255" s="7"/>
      <c r="F255" s="7"/>
    </row>
    <row r="256" spans="1:6" x14ac:dyDescent="0.25">
      <c r="A256" s="7"/>
      <c r="E256" s="7"/>
      <c r="F256" s="7"/>
    </row>
    <row r="257" spans="1:6" x14ac:dyDescent="0.25">
      <c r="A257" s="7"/>
      <c r="E257" s="7"/>
      <c r="F257" s="7"/>
    </row>
    <row r="258" spans="1:6" x14ac:dyDescent="0.25">
      <c r="A258" s="7"/>
      <c r="E258" s="7"/>
      <c r="F258" s="7"/>
    </row>
    <row r="259" spans="1:6" x14ac:dyDescent="0.25">
      <c r="A259" s="7"/>
      <c r="E259" s="7"/>
      <c r="F259" s="7"/>
    </row>
    <row r="260" spans="1:6" x14ac:dyDescent="0.25">
      <c r="A260" s="7"/>
      <c r="E260" s="7"/>
      <c r="F260" s="7"/>
    </row>
    <row r="261" spans="1:6" x14ac:dyDescent="0.25">
      <c r="A261" s="7"/>
      <c r="E261" s="7"/>
      <c r="F261" s="7"/>
    </row>
    <row r="262" spans="1:6" x14ac:dyDescent="0.25">
      <c r="A262" s="7"/>
      <c r="E262" s="7"/>
      <c r="F262" s="7"/>
    </row>
    <row r="263" spans="1:6" x14ac:dyDescent="0.25">
      <c r="A263" s="7"/>
      <c r="E263" s="7"/>
      <c r="F263" s="7"/>
    </row>
    <row r="264" spans="1:6" x14ac:dyDescent="0.25">
      <c r="A264" s="7"/>
      <c r="E264" s="7"/>
      <c r="F264" s="7"/>
    </row>
    <row r="265" spans="1:6" x14ac:dyDescent="0.25">
      <c r="A265" s="7"/>
      <c r="E265" s="7"/>
      <c r="F265" s="7"/>
    </row>
    <row r="266" spans="1:6" x14ac:dyDescent="0.25">
      <c r="A266" s="7"/>
      <c r="E266" s="7"/>
      <c r="F266" s="7"/>
    </row>
    <row r="267" spans="1:6" x14ac:dyDescent="0.25">
      <c r="A267" s="7"/>
      <c r="E267" s="7"/>
      <c r="F267" s="7"/>
    </row>
    <row r="268" spans="1:6" x14ac:dyDescent="0.25">
      <c r="A268" s="7"/>
      <c r="E268" s="7"/>
      <c r="F268" s="7"/>
    </row>
    <row r="269" spans="1:6" x14ac:dyDescent="0.25">
      <c r="A269" s="7"/>
      <c r="E269" s="7"/>
      <c r="F269" s="7"/>
    </row>
    <row r="270" spans="1:6" x14ac:dyDescent="0.25">
      <c r="A270" s="7"/>
      <c r="E270" s="7"/>
      <c r="F270" s="7"/>
    </row>
    <row r="271" spans="1:6" x14ac:dyDescent="0.25">
      <c r="A271" s="7"/>
      <c r="E271" s="7"/>
      <c r="F271" s="7"/>
    </row>
    <row r="272" spans="1:6" x14ac:dyDescent="0.25">
      <c r="A272" s="7"/>
      <c r="E272" s="7"/>
      <c r="F272" s="7"/>
    </row>
    <row r="273" spans="1:6" x14ac:dyDescent="0.25">
      <c r="A273" s="7"/>
      <c r="E273" s="7"/>
      <c r="F273" s="7"/>
    </row>
    <row r="274" spans="1:6" x14ac:dyDescent="0.25">
      <c r="A274" s="7"/>
      <c r="E274" s="7"/>
      <c r="F274" s="7"/>
    </row>
    <row r="275" spans="1:6" x14ac:dyDescent="0.25">
      <c r="A275" s="7"/>
      <c r="E275" s="7"/>
      <c r="F275" s="7"/>
    </row>
    <row r="276" spans="1:6" x14ac:dyDescent="0.25">
      <c r="A276" s="7"/>
      <c r="E276" s="7"/>
      <c r="F276" s="7"/>
    </row>
    <row r="277" spans="1:6" x14ac:dyDescent="0.25">
      <c r="A277" s="7"/>
      <c r="E277" s="7"/>
      <c r="F277" s="7"/>
    </row>
    <row r="278" spans="1:6" x14ac:dyDescent="0.25">
      <c r="A278" s="7"/>
      <c r="E278" s="7"/>
      <c r="F278" s="7"/>
    </row>
    <row r="279" spans="1:6" x14ac:dyDescent="0.25">
      <c r="A279" s="7"/>
      <c r="E279" s="7"/>
      <c r="F279" s="7"/>
    </row>
    <row r="280" spans="1:6" x14ac:dyDescent="0.25">
      <c r="A280" s="7"/>
      <c r="E280" s="7"/>
      <c r="F280" s="7"/>
    </row>
    <row r="281" spans="1:6" x14ac:dyDescent="0.25">
      <c r="A281" s="7"/>
      <c r="E281" s="7"/>
      <c r="F281" s="7"/>
    </row>
    <row r="282" spans="1:6" x14ac:dyDescent="0.25">
      <c r="A282" s="7"/>
      <c r="E282" s="7"/>
      <c r="F282" s="7"/>
    </row>
    <row r="283" spans="1:6" x14ac:dyDescent="0.25">
      <c r="A283" s="7"/>
      <c r="E283" s="7"/>
      <c r="F283" s="7"/>
    </row>
    <row r="284" spans="1:6" x14ac:dyDescent="0.25">
      <c r="A284" s="7"/>
      <c r="E284" s="7"/>
      <c r="F284" s="7"/>
    </row>
    <row r="285" spans="1:6" x14ac:dyDescent="0.25">
      <c r="A285" s="7"/>
      <c r="E285" s="7"/>
      <c r="F285" s="7"/>
    </row>
    <row r="286" spans="1:6" x14ac:dyDescent="0.25">
      <c r="A286" s="7"/>
      <c r="E286" s="7"/>
      <c r="F286" s="7"/>
    </row>
    <row r="287" spans="1:6" x14ac:dyDescent="0.25">
      <c r="A287" s="7"/>
      <c r="E287" s="7"/>
      <c r="F287" s="7"/>
    </row>
    <row r="288" spans="1:6" x14ac:dyDescent="0.25">
      <c r="A288" s="7"/>
      <c r="E288" s="7"/>
      <c r="F288" s="7"/>
    </row>
    <row r="289" spans="1:6" x14ac:dyDescent="0.25">
      <c r="A289" s="7"/>
      <c r="E289" s="7"/>
      <c r="F289" s="7"/>
    </row>
    <row r="290" spans="1:6" x14ac:dyDescent="0.25">
      <c r="A290" s="7"/>
      <c r="E290" s="7"/>
      <c r="F290" s="7"/>
    </row>
    <row r="291" spans="1:6" x14ac:dyDescent="0.25">
      <c r="A291" s="7"/>
      <c r="E291" s="7"/>
      <c r="F291" s="7"/>
    </row>
    <row r="292" spans="1:6" x14ac:dyDescent="0.25">
      <c r="A292" s="7"/>
      <c r="E292" s="7"/>
      <c r="F292" s="7"/>
    </row>
    <row r="293" spans="1:6" x14ac:dyDescent="0.25">
      <c r="A293" s="7"/>
      <c r="E293" s="7"/>
      <c r="F293" s="7"/>
    </row>
    <row r="294" spans="1:6" x14ac:dyDescent="0.25">
      <c r="A294" s="7"/>
      <c r="E294" s="7"/>
      <c r="F294" s="7"/>
    </row>
    <row r="295" spans="1:6" x14ac:dyDescent="0.25">
      <c r="A295" s="7"/>
      <c r="E295" s="7"/>
      <c r="F295" s="7"/>
    </row>
    <row r="296" spans="1:6" x14ac:dyDescent="0.25">
      <c r="A296" s="7"/>
      <c r="E296" s="7"/>
      <c r="F296" s="7"/>
    </row>
    <row r="297" spans="1:6" x14ac:dyDescent="0.25">
      <c r="A297" s="7"/>
      <c r="E297" s="7"/>
      <c r="F297" s="7"/>
    </row>
    <row r="298" spans="1:6" x14ac:dyDescent="0.25">
      <c r="A298" s="7"/>
      <c r="E298" s="7"/>
      <c r="F298" s="7"/>
    </row>
    <row r="299" spans="1:6" x14ac:dyDescent="0.25">
      <c r="A299" s="7"/>
      <c r="E299" s="7"/>
      <c r="F299" s="7"/>
    </row>
    <row r="300" spans="1:6" x14ac:dyDescent="0.25">
      <c r="A300" s="7"/>
      <c r="E300" s="7"/>
      <c r="F300" s="7"/>
    </row>
    <row r="301" spans="1:6" x14ac:dyDescent="0.25">
      <c r="A301" s="7"/>
      <c r="E301" s="7"/>
      <c r="F301" s="7"/>
    </row>
    <row r="302" spans="1:6" x14ac:dyDescent="0.25">
      <c r="A302" s="7"/>
      <c r="E302" s="7"/>
      <c r="F302" s="7"/>
    </row>
    <row r="303" spans="1:6" x14ac:dyDescent="0.25">
      <c r="A303" s="7"/>
      <c r="E303" s="7"/>
      <c r="F303" s="7"/>
    </row>
    <row r="304" spans="1:6" x14ac:dyDescent="0.25">
      <c r="A304" s="7"/>
      <c r="E304" s="7"/>
      <c r="F304" s="7"/>
    </row>
    <row r="305" spans="1:6" x14ac:dyDescent="0.25">
      <c r="A305" s="7"/>
      <c r="E305" s="7"/>
      <c r="F305" s="7"/>
    </row>
    <row r="306" spans="1:6" x14ac:dyDescent="0.25">
      <c r="A306" s="7"/>
      <c r="E306" s="7"/>
      <c r="F306" s="7"/>
    </row>
    <row r="307" spans="1:6" x14ac:dyDescent="0.25">
      <c r="A307" s="7"/>
      <c r="E307" s="7"/>
      <c r="F307" s="7"/>
    </row>
    <row r="308" spans="1:6" x14ac:dyDescent="0.25">
      <c r="A308" s="7"/>
      <c r="E308" s="7"/>
      <c r="F308" s="7"/>
    </row>
    <row r="309" spans="1:6" x14ac:dyDescent="0.25">
      <c r="A309" s="7"/>
      <c r="E309" s="7"/>
      <c r="F309" s="7"/>
    </row>
    <row r="310" spans="1:6" x14ac:dyDescent="0.25">
      <c r="A310" s="7"/>
      <c r="E310" s="7"/>
      <c r="F310" s="7"/>
    </row>
    <row r="311" spans="1:6" x14ac:dyDescent="0.25">
      <c r="A311" s="7"/>
      <c r="E311" s="7"/>
      <c r="F311" s="7"/>
    </row>
    <row r="312" spans="1:6" x14ac:dyDescent="0.25">
      <c r="A312" s="7"/>
      <c r="E312" s="7"/>
      <c r="F312" s="7"/>
    </row>
    <row r="313" spans="1:6" x14ac:dyDescent="0.25">
      <c r="A313" s="7"/>
      <c r="E313" s="7"/>
      <c r="F313" s="7"/>
    </row>
    <row r="314" spans="1:6" x14ac:dyDescent="0.25">
      <c r="A314" s="7"/>
      <c r="E314" s="7"/>
      <c r="F314" s="7"/>
    </row>
    <row r="315" spans="1:6" x14ac:dyDescent="0.25">
      <c r="A315" s="7"/>
      <c r="E315" s="7"/>
      <c r="F315" s="7"/>
    </row>
    <row r="316" spans="1:6" x14ac:dyDescent="0.25">
      <c r="A316" s="7"/>
      <c r="E316" s="7"/>
      <c r="F316" s="7"/>
    </row>
    <row r="317" spans="1:6" x14ac:dyDescent="0.25">
      <c r="A317" s="7"/>
      <c r="E317" s="7"/>
      <c r="F317" s="7"/>
    </row>
    <row r="318" spans="1:6" x14ac:dyDescent="0.25">
      <c r="A318" s="7"/>
      <c r="E318" s="7"/>
      <c r="F318" s="7"/>
    </row>
    <row r="319" spans="1:6" x14ac:dyDescent="0.25">
      <c r="A319" s="7"/>
      <c r="E319" s="7"/>
      <c r="F319" s="7"/>
    </row>
    <row r="320" spans="1:6" x14ac:dyDescent="0.25">
      <c r="A320" s="7"/>
      <c r="E320" s="7"/>
      <c r="F320" s="7"/>
    </row>
    <row r="321" spans="1:6" x14ac:dyDescent="0.25">
      <c r="A321" s="7"/>
      <c r="E321" s="7"/>
      <c r="F321" s="7"/>
    </row>
    <row r="322" spans="1:6" x14ac:dyDescent="0.25">
      <c r="A322" s="7"/>
      <c r="E322" s="7"/>
      <c r="F322" s="7"/>
    </row>
    <row r="323" spans="1:6" x14ac:dyDescent="0.25">
      <c r="A323" s="7"/>
      <c r="E323" s="7"/>
      <c r="F323" s="7"/>
    </row>
    <row r="324" spans="1:6" x14ac:dyDescent="0.25">
      <c r="A324" s="7"/>
      <c r="E324" s="7"/>
      <c r="F324" s="7"/>
    </row>
    <row r="325" spans="1:6" x14ac:dyDescent="0.25">
      <c r="A325" s="7"/>
      <c r="E325" s="7"/>
      <c r="F325" s="7"/>
    </row>
    <row r="326" spans="1:6" x14ac:dyDescent="0.25">
      <c r="A326" s="7"/>
      <c r="E326" s="7"/>
      <c r="F326" s="7"/>
    </row>
    <row r="327" spans="1:6" x14ac:dyDescent="0.25">
      <c r="A327" s="7"/>
      <c r="E327" s="7"/>
      <c r="F327" s="7"/>
    </row>
    <row r="328" spans="1:6" x14ac:dyDescent="0.25">
      <c r="A328" s="7"/>
      <c r="E328" s="7"/>
      <c r="F328" s="7"/>
    </row>
    <row r="329" spans="1:6" x14ac:dyDescent="0.25">
      <c r="A329" s="7"/>
      <c r="E329" s="7"/>
      <c r="F329" s="7"/>
    </row>
    <row r="330" spans="1:6" x14ac:dyDescent="0.25">
      <c r="A330" s="7"/>
      <c r="E330" s="7"/>
      <c r="F330" s="7"/>
    </row>
    <row r="331" spans="1:6" x14ac:dyDescent="0.25">
      <c r="A331" s="7"/>
      <c r="E331" s="7"/>
      <c r="F331" s="7"/>
    </row>
    <row r="332" spans="1:6" x14ac:dyDescent="0.25">
      <c r="A332" s="7"/>
      <c r="E332" s="7"/>
      <c r="F332" s="7"/>
    </row>
    <row r="333" spans="1:6" x14ac:dyDescent="0.25">
      <c r="A333" s="7"/>
      <c r="E333" s="7"/>
      <c r="F333" s="7"/>
    </row>
    <row r="334" spans="1:6" x14ac:dyDescent="0.25">
      <c r="A334" s="7"/>
      <c r="E334" s="7"/>
      <c r="F334" s="7"/>
    </row>
    <row r="335" spans="1:6" x14ac:dyDescent="0.25">
      <c r="A335" s="7"/>
      <c r="E335" s="7"/>
      <c r="F335" s="7"/>
    </row>
    <row r="336" spans="1:6" x14ac:dyDescent="0.25">
      <c r="A336" s="7"/>
      <c r="E336" s="7"/>
      <c r="F336" s="7"/>
    </row>
    <row r="337" spans="1:6" x14ac:dyDescent="0.25">
      <c r="A337" s="7"/>
      <c r="E337" s="7"/>
      <c r="F337" s="7"/>
    </row>
    <row r="338" spans="1:6" x14ac:dyDescent="0.25">
      <c r="A338" s="7"/>
      <c r="E338" s="7"/>
      <c r="F338" s="7"/>
    </row>
    <row r="339" spans="1:6" x14ac:dyDescent="0.25">
      <c r="A339" s="7"/>
      <c r="E339" s="7"/>
      <c r="F339" s="7"/>
    </row>
    <row r="340" spans="1:6" x14ac:dyDescent="0.25">
      <c r="A340" s="7"/>
      <c r="E340" s="7"/>
      <c r="F340" s="7"/>
    </row>
    <row r="341" spans="1:6" x14ac:dyDescent="0.25">
      <c r="A341" s="7"/>
      <c r="E341" s="7"/>
      <c r="F341" s="7"/>
    </row>
    <row r="342" spans="1:6" x14ac:dyDescent="0.25">
      <c r="A342" s="7"/>
      <c r="E342" s="7"/>
      <c r="F342" s="7"/>
    </row>
    <row r="343" spans="1:6" x14ac:dyDescent="0.25">
      <c r="A343" s="7"/>
      <c r="E343" s="7"/>
      <c r="F343" s="7"/>
    </row>
    <row r="344" spans="1:6" x14ac:dyDescent="0.25">
      <c r="A344" s="7"/>
      <c r="E344" s="7"/>
      <c r="F344" s="7"/>
    </row>
    <row r="345" spans="1:6" x14ac:dyDescent="0.25">
      <c r="A345" s="7"/>
      <c r="E345" s="7"/>
      <c r="F345" s="7"/>
    </row>
    <row r="346" spans="1:6" x14ac:dyDescent="0.25">
      <c r="A346" s="7"/>
      <c r="E346" s="7"/>
      <c r="F346" s="7"/>
    </row>
    <row r="347" spans="1:6" x14ac:dyDescent="0.25">
      <c r="A347" s="7"/>
      <c r="E347" s="7"/>
      <c r="F347" s="7"/>
    </row>
    <row r="348" spans="1:6" x14ac:dyDescent="0.25">
      <c r="A348" s="7"/>
      <c r="E348" s="7"/>
      <c r="F348" s="7"/>
    </row>
    <row r="349" spans="1:6" x14ac:dyDescent="0.25">
      <c r="A349" s="7"/>
      <c r="E349" s="7"/>
      <c r="F349" s="7"/>
    </row>
    <row r="350" spans="1:6" x14ac:dyDescent="0.25">
      <c r="A350" s="7"/>
      <c r="E350" s="7"/>
      <c r="F350" s="7"/>
    </row>
    <row r="351" spans="1:6" x14ac:dyDescent="0.25">
      <c r="A351" s="7"/>
      <c r="E351" s="7"/>
      <c r="F351" s="7"/>
    </row>
    <row r="352" spans="1:6" x14ac:dyDescent="0.25">
      <c r="A352" s="7"/>
      <c r="E352" s="7"/>
      <c r="F352" s="7"/>
    </row>
    <row r="353" spans="1:6" x14ac:dyDescent="0.25">
      <c r="A353" s="7"/>
      <c r="E353" s="7"/>
      <c r="F353" s="7"/>
    </row>
    <row r="354" spans="1:6" x14ac:dyDescent="0.25">
      <c r="A354" s="7"/>
      <c r="E354" s="7"/>
      <c r="F354" s="7"/>
    </row>
    <row r="355" spans="1:6" x14ac:dyDescent="0.25">
      <c r="A355" s="7"/>
      <c r="E355" s="7"/>
      <c r="F355" s="7"/>
    </row>
    <row r="356" spans="1:6" x14ac:dyDescent="0.25">
      <c r="A356" s="7"/>
      <c r="E356" s="7"/>
      <c r="F356" s="7"/>
    </row>
    <row r="357" spans="1:6" x14ac:dyDescent="0.25">
      <c r="A357" s="7"/>
      <c r="E357" s="7"/>
      <c r="F357" s="7"/>
    </row>
    <row r="358" spans="1:6" x14ac:dyDescent="0.25">
      <c r="A358" s="7"/>
      <c r="E358" s="7"/>
      <c r="F358" s="7"/>
    </row>
    <row r="359" spans="1:6" x14ac:dyDescent="0.25">
      <c r="A359" s="7"/>
      <c r="E359" s="7"/>
      <c r="F359" s="7"/>
    </row>
    <row r="360" spans="1:6" x14ac:dyDescent="0.25">
      <c r="A360" s="7"/>
      <c r="E360" s="7"/>
      <c r="F360" s="7"/>
    </row>
    <row r="361" spans="1:6" x14ac:dyDescent="0.25">
      <c r="A361" s="7"/>
      <c r="E361" s="7"/>
      <c r="F361" s="7"/>
    </row>
    <row r="362" spans="1:6" x14ac:dyDescent="0.25">
      <c r="A362" s="7"/>
      <c r="E362" s="7"/>
      <c r="F362" s="7"/>
    </row>
    <row r="363" spans="1:6" x14ac:dyDescent="0.25">
      <c r="A363" s="7"/>
      <c r="E363" s="7"/>
      <c r="F363" s="7"/>
    </row>
    <row r="364" spans="1:6" x14ac:dyDescent="0.25">
      <c r="A364" s="7"/>
      <c r="E364" s="7"/>
      <c r="F364" s="7"/>
    </row>
    <row r="365" spans="1:6" x14ac:dyDescent="0.25">
      <c r="A365" s="7"/>
      <c r="E365" s="7"/>
      <c r="F365" s="7"/>
    </row>
    <row r="366" spans="1:6" x14ac:dyDescent="0.25">
      <c r="A366" s="7"/>
      <c r="E366" s="7"/>
      <c r="F366" s="7"/>
    </row>
    <row r="367" spans="1:6" x14ac:dyDescent="0.25">
      <c r="A367" s="7"/>
      <c r="E367" s="7"/>
      <c r="F367" s="7"/>
    </row>
    <row r="368" spans="1:6" x14ac:dyDescent="0.25">
      <c r="A368" s="7"/>
      <c r="E368" s="7"/>
      <c r="F368" s="7"/>
    </row>
    <row r="369" spans="1:6" x14ac:dyDescent="0.25">
      <c r="A369" s="7"/>
      <c r="E369" s="7"/>
      <c r="F369" s="7"/>
    </row>
    <row r="370" spans="1:6" x14ac:dyDescent="0.25">
      <c r="A370" s="7"/>
      <c r="E370" s="7"/>
      <c r="F370" s="7"/>
    </row>
    <row r="371" spans="1:6" x14ac:dyDescent="0.25">
      <c r="A371" s="7"/>
      <c r="E371" s="7"/>
      <c r="F371" s="7"/>
    </row>
    <row r="372" spans="1:6" x14ac:dyDescent="0.25">
      <c r="A372" s="7"/>
      <c r="E372" s="7"/>
      <c r="F372" s="7"/>
    </row>
    <row r="373" spans="1:6" x14ac:dyDescent="0.25">
      <c r="A373" s="7"/>
      <c r="E373" s="7"/>
      <c r="F373" s="7"/>
    </row>
    <row r="374" spans="1:6" x14ac:dyDescent="0.25">
      <c r="A374" s="7"/>
      <c r="E374" s="7"/>
      <c r="F374" s="7"/>
    </row>
    <row r="375" spans="1:6" x14ac:dyDescent="0.25">
      <c r="A375" s="7"/>
      <c r="E375" s="7"/>
      <c r="F375" s="7"/>
    </row>
    <row r="376" spans="1:6" x14ac:dyDescent="0.25">
      <c r="A376" s="7"/>
      <c r="E376" s="7"/>
      <c r="F376" s="7"/>
    </row>
    <row r="377" spans="1:6" x14ac:dyDescent="0.25">
      <c r="A377" s="7"/>
      <c r="E377" s="7"/>
      <c r="F377" s="7"/>
    </row>
    <row r="378" spans="1:6" x14ac:dyDescent="0.25">
      <c r="A378" s="7"/>
      <c r="E378" s="7"/>
      <c r="F378" s="7"/>
    </row>
    <row r="379" spans="1:6" x14ac:dyDescent="0.25">
      <c r="A379" s="7"/>
      <c r="E379" s="7"/>
      <c r="F379" s="7"/>
    </row>
    <row r="380" spans="1:6" x14ac:dyDescent="0.25">
      <c r="A380" s="7"/>
      <c r="E380" s="7"/>
      <c r="F380" s="7"/>
    </row>
    <row r="381" spans="1:6" x14ac:dyDescent="0.25">
      <c r="A381" s="7"/>
      <c r="E381" s="7"/>
      <c r="F381" s="7"/>
    </row>
    <row r="382" spans="1:6" x14ac:dyDescent="0.25">
      <c r="A382" s="7"/>
      <c r="E382" s="7"/>
      <c r="F382" s="7"/>
    </row>
    <row r="383" spans="1:6" x14ac:dyDescent="0.25">
      <c r="A383" s="7"/>
      <c r="E383" s="7"/>
      <c r="F383" s="7"/>
    </row>
    <row r="384" spans="1:6" x14ac:dyDescent="0.25">
      <c r="A384" s="7"/>
      <c r="E384" s="7"/>
      <c r="F384" s="7"/>
    </row>
    <row r="385" spans="1:6" x14ac:dyDescent="0.25">
      <c r="A385" s="7"/>
      <c r="E385" s="7"/>
      <c r="F385" s="7"/>
    </row>
    <row r="386" spans="1:6" x14ac:dyDescent="0.25">
      <c r="A386" s="7"/>
      <c r="E386" s="7"/>
      <c r="F386" s="7"/>
    </row>
    <row r="387" spans="1:6" x14ac:dyDescent="0.25">
      <c r="A387" s="7"/>
      <c r="E387" s="7"/>
      <c r="F387" s="7"/>
    </row>
    <row r="388" spans="1:6" x14ac:dyDescent="0.25">
      <c r="A388" s="7"/>
      <c r="E388" s="7"/>
      <c r="F388" s="7"/>
    </row>
    <row r="389" spans="1:6" x14ac:dyDescent="0.25">
      <c r="A389" s="7"/>
      <c r="E389" s="7"/>
      <c r="F389" s="7"/>
    </row>
    <row r="390" spans="1:6" x14ac:dyDescent="0.25">
      <c r="A390" s="7"/>
      <c r="E390" s="7"/>
      <c r="F390" s="7"/>
    </row>
    <row r="391" spans="1:6" x14ac:dyDescent="0.25">
      <c r="A391" s="7"/>
      <c r="E391" s="7"/>
      <c r="F391" s="7"/>
    </row>
    <row r="392" spans="1:6" x14ac:dyDescent="0.25">
      <c r="A392" s="7"/>
      <c r="E392" s="7"/>
      <c r="F392" s="7"/>
    </row>
    <row r="393" spans="1:6" x14ac:dyDescent="0.25">
      <c r="A393" s="7"/>
      <c r="E393" s="7"/>
      <c r="F393" s="7"/>
    </row>
    <row r="394" spans="1:6" x14ac:dyDescent="0.25">
      <c r="A394" s="7"/>
      <c r="E394" s="7"/>
      <c r="F394" s="7"/>
    </row>
    <row r="395" spans="1:6" x14ac:dyDescent="0.25">
      <c r="A395" s="7"/>
      <c r="E395" s="7"/>
      <c r="F395" s="7"/>
    </row>
    <row r="396" spans="1:6" x14ac:dyDescent="0.25">
      <c r="A396" s="7"/>
      <c r="E396" s="7"/>
      <c r="F396" s="7"/>
    </row>
    <row r="397" spans="1:6" x14ac:dyDescent="0.25">
      <c r="A397" s="7"/>
      <c r="E397" s="7"/>
      <c r="F397" s="7"/>
    </row>
    <row r="398" spans="1:6" x14ac:dyDescent="0.25">
      <c r="A398" s="7"/>
      <c r="E398" s="7"/>
      <c r="F398" s="7"/>
    </row>
    <row r="399" spans="1:6" x14ac:dyDescent="0.25">
      <c r="A399" s="7"/>
      <c r="E399" s="7"/>
      <c r="F399" s="7"/>
    </row>
    <row r="400" spans="1:6" x14ac:dyDescent="0.25">
      <c r="A400" s="7"/>
      <c r="E400" s="7"/>
      <c r="F400" s="7"/>
    </row>
    <row r="401" spans="1:6" x14ac:dyDescent="0.25">
      <c r="A401" s="7"/>
      <c r="E401" s="7"/>
      <c r="F401" s="7"/>
    </row>
    <row r="402" spans="1:6" x14ac:dyDescent="0.25">
      <c r="A402" s="7"/>
      <c r="E402" s="7"/>
      <c r="F402" s="7"/>
    </row>
    <row r="403" spans="1:6" x14ac:dyDescent="0.25">
      <c r="A403" s="7"/>
      <c r="E403" s="7"/>
      <c r="F403" s="7"/>
    </row>
    <row r="404" spans="1:6" x14ac:dyDescent="0.25">
      <c r="A404" s="7"/>
      <c r="E404" s="7"/>
      <c r="F404" s="7"/>
    </row>
    <row r="405" spans="1:6" x14ac:dyDescent="0.25">
      <c r="A405" s="7"/>
      <c r="E405" s="7"/>
      <c r="F405" s="7"/>
    </row>
    <row r="406" spans="1:6" x14ac:dyDescent="0.25">
      <c r="A406" s="7"/>
      <c r="E406" s="7"/>
      <c r="F406" s="7"/>
    </row>
    <row r="407" spans="1:6" x14ac:dyDescent="0.25">
      <c r="A407" s="7"/>
      <c r="E407" s="7"/>
      <c r="F407" s="7"/>
    </row>
    <row r="408" spans="1:6" x14ac:dyDescent="0.25">
      <c r="A408" s="7"/>
      <c r="E408" s="7"/>
      <c r="F408" s="7"/>
    </row>
    <row r="409" spans="1:6" x14ac:dyDescent="0.25">
      <c r="A409" s="7"/>
      <c r="E409" s="7"/>
      <c r="F409" s="7"/>
    </row>
    <row r="410" spans="1:6" x14ac:dyDescent="0.25">
      <c r="A410" s="7"/>
      <c r="E410" s="7"/>
      <c r="F410" s="7"/>
    </row>
    <row r="411" spans="1:6" x14ac:dyDescent="0.25">
      <c r="A411" s="7"/>
      <c r="E411" s="7"/>
      <c r="F411" s="7"/>
    </row>
    <row r="412" spans="1:6" x14ac:dyDescent="0.25">
      <c r="A412" s="7"/>
      <c r="E412" s="7"/>
      <c r="F412" s="7"/>
    </row>
    <row r="413" spans="1:6" x14ac:dyDescent="0.25">
      <c r="A413" s="7"/>
      <c r="E413" s="7"/>
      <c r="F413" s="7"/>
    </row>
    <row r="414" spans="1:6" x14ac:dyDescent="0.25">
      <c r="A414" s="7"/>
      <c r="E414" s="7"/>
      <c r="F414" s="7"/>
    </row>
    <row r="415" spans="1:6" x14ac:dyDescent="0.25">
      <c r="A415" s="7"/>
      <c r="E415" s="7"/>
      <c r="F415" s="7"/>
    </row>
    <row r="416" spans="1:6" x14ac:dyDescent="0.25">
      <c r="A416" s="7"/>
      <c r="E416" s="7"/>
      <c r="F416" s="7"/>
    </row>
    <row r="417" spans="1:6" x14ac:dyDescent="0.25">
      <c r="A417" s="7"/>
      <c r="E417" s="7"/>
      <c r="F417" s="7"/>
    </row>
    <row r="418" spans="1:6" x14ac:dyDescent="0.25">
      <c r="A418" s="7"/>
      <c r="E418" s="7"/>
      <c r="F418" s="7"/>
    </row>
    <row r="419" spans="1:6" x14ac:dyDescent="0.25">
      <c r="A419" s="7"/>
      <c r="E419" s="7"/>
      <c r="F419" s="7"/>
    </row>
    <row r="420" spans="1:6" x14ac:dyDescent="0.25">
      <c r="A420" s="7"/>
      <c r="E420" s="7"/>
      <c r="F420" s="7"/>
    </row>
    <row r="421" spans="1:6" x14ac:dyDescent="0.25">
      <c r="A421" s="7"/>
      <c r="E421" s="7"/>
      <c r="F421" s="7"/>
    </row>
    <row r="422" spans="1:6" x14ac:dyDescent="0.25">
      <c r="A422" s="7"/>
      <c r="E422" s="7"/>
      <c r="F422" s="7"/>
    </row>
    <row r="423" spans="1:6" x14ac:dyDescent="0.25">
      <c r="A423" s="7"/>
      <c r="E423" s="7"/>
      <c r="F423" s="7"/>
    </row>
    <row r="424" spans="1:6" x14ac:dyDescent="0.25">
      <c r="A424" s="7"/>
      <c r="E424" s="7"/>
      <c r="F424" s="7"/>
    </row>
    <row r="425" spans="1:6" x14ac:dyDescent="0.25">
      <c r="A425" s="7"/>
      <c r="E425" s="7"/>
      <c r="F425" s="7"/>
    </row>
    <row r="426" spans="1:6" x14ac:dyDescent="0.25">
      <c r="A426" s="7"/>
      <c r="E426" s="7"/>
      <c r="F426" s="7"/>
    </row>
    <row r="427" spans="1:6" x14ac:dyDescent="0.25">
      <c r="A427" s="7"/>
      <c r="E427" s="7"/>
      <c r="F427" s="7"/>
    </row>
    <row r="428" spans="1:6" x14ac:dyDescent="0.25">
      <c r="A428" s="7"/>
      <c r="E428" s="7"/>
      <c r="F428" s="7"/>
    </row>
    <row r="429" spans="1:6" x14ac:dyDescent="0.25">
      <c r="A429" s="7"/>
      <c r="E429" s="7"/>
      <c r="F429" s="7"/>
    </row>
    <row r="430" spans="1:6" x14ac:dyDescent="0.25">
      <c r="A430" s="7"/>
      <c r="E430" s="7"/>
      <c r="F430" s="7"/>
    </row>
    <row r="431" spans="1:6" x14ac:dyDescent="0.25">
      <c r="A431" s="7"/>
      <c r="E431" s="7"/>
      <c r="F431" s="7"/>
    </row>
    <row r="432" spans="1:6" x14ac:dyDescent="0.25">
      <c r="A432" s="7"/>
      <c r="E432" s="7"/>
      <c r="F432" s="7"/>
    </row>
    <row r="433" spans="1:6" x14ac:dyDescent="0.25">
      <c r="A433" s="7"/>
      <c r="E433" s="7"/>
      <c r="F433" s="7"/>
    </row>
    <row r="434" spans="1:6" x14ac:dyDescent="0.25">
      <c r="A434" s="7"/>
      <c r="E434" s="7"/>
      <c r="F434" s="7"/>
    </row>
    <row r="435" spans="1:6" x14ac:dyDescent="0.25">
      <c r="A435" s="7"/>
      <c r="E435" s="7"/>
      <c r="F435" s="7"/>
    </row>
    <row r="436" spans="1:6" x14ac:dyDescent="0.25">
      <c r="A436" s="7"/>
      <c r="E436" s="7"/>
      <c r="F436" s="7"/>
    </row>
    <row r="437" spans="1:6" x14ac:dyDescent="0.25">
      <c r="A437" s="7"/>
      <c r="E437" s="7"/>
      <c r="F437" s="7"/>
    </row>
    <row r="438" spans="1:6" x14ac:dyDescent="0.25">
      <c r="A438" s="7"/>
      <c r="E438" s="7"/>
      <c r="F438" s="7"/>
    </row>
    <row r="439" spans="1:6" x14ac:dyDescent="0.25">
      <c r="A439" s="7"/>
      <c r="E439" s="7"/>
      <c r="F439" s="7"/>
    </row>
    <row r="440" spans="1:6" x14ac:dyDescent="0.25">
      <c r="A440" s="7"/>
      <c r="E440" s="7"/>
      <c r="F440" s="7"/>
    </row>
    <row r="441" spans="1:6" x14ac:dyDescent="0.25">
      <c r="A441" s="7"/>
      <c r="E441" s="7"/>
      <c r="F441" s="7"/>
    </row>
    <row r="442" spans="1:6" x14ac:dyDescent="0.25">
      <c r="A442" s="7"/>
      <c r="E442" s="7"/>
      <c r="F442" s="7"/>
    </row>
    <row r="443" spans="1:6" x14ac:dyDescent="0.25">
      <c r="A443" s="7"/>
      <c r="E443" s="7"/>
      <c r="F443" s="7"/>
    </row>
    <row r="444" spans="1:6" x14ac:dyDescent="0.25">
      <c r="A444" s="7"/>
      <c r="E444" s="7"/>
      <c r="F444" s="7"/>
    </row>
    <row r="445" spans="1:6" x14ac:dyDescent="0.25">
      <c r="A445" s="7"/>
      <c r="E445" s="7"/>
      <c r="F445" s="7"/>
    </row>
    <row r="446" spans="1:6" x14ac:dyDescent="0.25">
      <c r="A446" s="7"/>
      <c r="E446" s="7"/>
      <c r="F446" s="7"/>
    </row>
    <row r="447" spans="1:6" x14ac:dyDescent="0.25">
      <c r="A447" s="7"/>
      <c r="E447" s="7"/>
      <c r="F447" s="7"/>
    </row>
    <row r="448" spans="1:6" x14ac:dyDescent="0.25">
      <c r="A448" s="7"/>
      <c r="E448" s="7"/>
      <c r="F448" s="7"/>
    </row>
    <row r="449" spans="1:6" x14ac:dyDescent="0.25">
      <c r="A449" s="7"/>
      <c r="E449" s="7"/>
      <c r="F449" s="7"/>
    </row>
    <row r="450" spans="1:6" x14ac:dyDescent="0.25">
      <c r="A450" s="7"/>
      <c r="E450" s="7"/>
      <c r="F450" s="7"/>
    </row>
    <row r="451" spans="1:6" x14ac:dyDescent="0.25">
      <c r="A451" s="7"/>
      <c r="E451" s="7"/>
      <c r="F451" s="7"/>
    </row>
    <row r="452" spans="1:6" x14ac:dyDescent="0.25">
      <c r="A452" s="7"/>
      <c r="E452" s="7"/>
      <c r="F452" s="7"/>
    </row>
    <row r="453" spans="1:6" x14ac:dyDescent="0.25">
      <c r="A453" s="7"/>
      <c r="E453" s="7"/>
      <c r="F453" s="7"/>
    </row>
    <row r="454" spans="1:6" x14ac:dyDescent="0.25">
      <c r="A454" s="7"/>
      <c r="E454" s="7"/>
      <c r="F454" s="7"/>
    </row>
    <row r="455" spans="1:6" x14ac:dyDescent="0.25">
      <c r="A455" s="7"/>
      <c r="E455" s="7"/>
      <c r="F455" s="7"/>
    </row>
    <row r="456" spans="1:6" x14ac:dyDescent="0.25">
      <c r="A456" s="7"/>
      <c r="E456" s="7"/>
      <c r="F456" s="7"/>
    </row>
    <row r="457" spans="1:6" x14ac:dyDescent="0.25">
      <c r="A457" s="7"/>
      <c r="E457" s="7"/>
      <c r="F457" s="7"/>
    </row>
    <row r="458" spans="1:6" x14ac:dyDescent="0.25">
      <c r="A458" s="7"/>
      <c r="E458" s="7"/>
      <c r="F458" s="7"/>
    </row>
    <row r="459" spans="1:6" x14ac:dyDescent="0.25">
      <c r="A459" s="7"/>
      <c r="E459" s="7"/>
      <c r="F459" s="7"/>
    </row>
    <row r="460" spans="1:6" x14ac:dyDescent="0.25">
      <c r="A460" s="7"/>
      <c r="E460" s="7"/>
      <c r="F460" s="7"/>
    </row>
    <row r="461" spans="1:6" x14ac:dyDescent="0.25">
      <c r="A461" s="7"/>
      <c r="E461" s="7"/>
      <c r="F461" s="7"/>
    </row>
    <row r="462" spans="1:6" x14ac:dyDescent="0.25">
      <c r="A462" s="7"/>
      <c r="E462" s="7"/>
      <c r="F462" s="7"/>
    </row>
    <row r="463" spans="1:6" x14ac:dyDescent="0.25">
      <c r="A463" s="7"/>
      <c r="E463" s="7"/>
      <c r="F463" s="7"/>
    </row>
    <row r="464" spans="1:6" x14ac:dyDescent="0.25">
      <c r="A464" s="7"/>
      <c r="E464" s="7"/>
      <c r="F464" s="7"/>
    </row>
    <row r="465" spans="1:6" x14ac:dyDescent="0.25">
      <c r="A465" s="7"/>
      <c r="E465" s="7"/>
      <c r="F465" s="7"/>
    </row>
    <row r="466" spans="1:6" x14ac:dyDescent="0.25">
      <c r="A466" s="7"/>
      <c r="E466" s="7"/>
      <c r="F466" s="7"/>
    </row>
    <row r="467" spans="1:6" x14ac:dyDescent="0.25">
      <c r="A467" s="7"/>
      <c r="E467" s="7"/>
      <c r="F467" s="7"/>
    </row>
    <row r="468" spans="1:6" x14ac:dyDescent="0.25">
      <c r="A468" s="7"/>
      <c r="E468" s="7"/>
      <c r="F468" s="7"/>
    </row>
    <row r="469" spans="1:6" x14ac:dyDescent="0.25">
      <c r="A469" s="7"/>
      <c r="E469" s="7"/>
      <c r="F469" s="7"/>
    </row>
    <row r="470" spans="1:6" x14ac:dyDescent="0.25">
      <c r="A470" s="7"/>
      <c r="E470" s="7"/>
      <c r="F470" s="7"/>
    </row>
    <row r="471" spans="1:6" x14ac:dyDescent="0.25">
      <c r="A471" s="7"/>
      <c r="E471" s="7"/>
      <c r="F471" s="7"/>
    </row>
    <row r="472" spans="1:6" x14ac:dyDescent="0.25">
      <c r="A472" s="7"/>
      <c r="E472" s="7"/>
      <c r="F472" s="7"/>
    </row>
    <row r="473" spans="1:6" x14ac:dyDescent="0.25">
      <c r="A473" s="7"/>
      <c r="E473" s="7"/>
      <c r="F473" s="7"/>
    </row>
    <row r="474" spans="1:6" x14ac:dyDescent="0.25">
      <c r="A474" s="7"/>
      <c r="E474" s="7"/>
      <c r="F474" s="7"/>
    </row>
    <row r="475" spans="1:6" x14ac:dyDescent="0.25">
      <c r="A475" s="7"/>
      <c r="E475" s="7"/>
      <c r="F475" s="7"/>
    </row>
    <row r="476" spans="1:6" x14ac:dyDescent="0.25">
      <c r="A476" s="7"/>
      <c r="E476" s="7"/>
      <c r="F476" s="7"/>
    </row>
    <row r="477" spans="1:6" x14ac:dyDescent="0.25">
      <c r="A477" s="7"/>
      <c r="E477" s="7"/>
      <c r="F477" s="7"/>
    </row>
    <row r="478" spans="1:6" x14ac:dyDescent="0.25">
      <c r="A478" s="7"/>
      <c r="E478" s="7"/>
      <c r="F478" s="7"/>
    </row>
    <row r="479" spans="1:6" x14ac:dyDescent="0.25">
      <c r="A479" s="7"/>
      <c r="E479" s="7"/>
      <c r="F479" s="7"/>
    </row>
    <row r="480" spans="1:6" x14ac:dyDescent="0.25">
      <c r="A480" s="7"/>
      <c r="E480" s="7"/>
      <c r="F480" s="7"/>
    </row>
    <row r="481" spans="1:6" x14ac:dyDescent="0.25">
      <c r="A481" s="7"/>
      <c r="E481" s="7"/>
      <c r="F481" s="7"/>
    </row>
    <row r="482" spans="1:6" x14ac:dyDescent="0.25">
      <c r="A482" s="7"/>
      <c r="E482" s="7"/>
      <c r="F482" s="7"/>
    </row>
    <row r="483" spans="1:6" x14ac:dyDescent="0.25">
      <c r="A483" s="7"/>
      <c r="E483" s="7"/>
      <c r="F483" s="7"/>
    </row>
    <row r="484" spans="1:6" x14ac:dyDescent="0.25">
      <c r="A484" s="7"/>
      <c r="E484" s="7"/>
      <c r="F484" s="7"/>
    </row>
    <row r="485" spans="1:6" x14ac:dyDescent="0.25">
      <c r="A485" s="7"/>
      <c r="E485" s="7"/>
      <c r="F485" s="7"/>
    </row>
    <row r="486" spans="1:6" x14ac:dyDescent="0.25">
      <c r="A486" s="7"/>
      <c r="E486" s="7"/>
      <c r="F486" s="7"/>
    </row>
    <row r="487" spans="1:6" x14ac:dyDescent="0.25">
      <c r="A487" s="7"/>
      <c r="E487" s="7"/>
      <c r="F487" s="7"/>
    </row>
    <row r="488" spans="1:6" x14ac:dyDescent="0.25">
      <c r="A488" s="7"/>
      <c r="E488" s="7"/>
      <c r="F488" s="7"/>
    </row>
    <row r="489" spans="1:6" x14ac:dyDescent="0.25">
      <c r="A489" s="7"/>
      <c r="E489" s="7"/>
      <c r="F489" s="7"/>
    </row>
    <row r="490" spans="1:6" x14ac:dyDescent="0.25">
      <c r="A490" s="7"/>
      <c r="E490" s="7"/>
      <c r="F490" s="7"/>
    </row>
    <row r="491" spans="1:6" x14ac:dyDescent="0.25">
      <c r="A491" s="7"/>
      <c r="E491" s="7"/>
      <c r="F491" s="7"/>
    </row>
    <row r="492" spans="1:6" x14ac:dyDescent="0.25">
      <c r="A492" s="7"/>
      <c r="E492" s="7"/>
      <c r="F492" s="7"/>
    </row>
    <row r="493" spans="1:6" x14ac:dyDescent="0.25">
      <c r="A493" s="7"/>
      <c r="E493" s="7"/>
      <c r="F493" s="7"/>
    </row>
    <row r="494" spans="1:6" x14ac:dyDescent="0.25">
      <c r="A494" s="7"/>
      <c r="E494" s="7"/>
      <c r="F494" s="7"/>
    </row>
    <row r="495" spans="1:6" x14ac:dyDescent="0.25">
      <c r="A495" s="7"/>
      <c r="E495" s="7"/>
      <c r="F495" s="7"/>
    </row>
    <row r="496" spans="1:6" x14ac:dyDescent="0.25">
      <c r="A496" s="7"/>
      <c r="E496" s="7"/>
      <c r="F496" s="7"/>
    </row>
    <row r="497" spans="1:6" x14ac:dyDescent="0.25">
      <c r="A497" s="7"/>
      <c r="E497" s="7"/>
      <c r="F497" s="7"/>
    </row>
    <row r="498" spans="1:6" x14ac:dyDescent="0.25">
      <c r="A498" s="7"/>
      <c r="E498" s="7"/>
      <c r="F498" s="7"/>
    </row>
    <row r="499" spans="1:6" x14ac:dyDescent="0.25">
      <c r="A499" s="7"/>
      <c r="E499" s="7"/>
      <c r="F499" s="7"/>
    </row>
    <row r="500" spans="1:6" x14ac:dyDescent="0.25">
      <c r="A500" s="7"/>
      <c r="E500" s="7"/>
      <c r="F500" s="7"/>
    </row>
    <row r="501" spans="1:6" x14ac:dyDescent="0.25">
      <c r="A501" s="7"/>
      <c r="E501" s="7"/>
      <c r="F501" s="7"/>
    </row>
    <row r="502" spans="1:6" x14ac:dyDescent="0.25">
      <c r="A502" s="7"/>
      <c r="E502" s="7"/>
      <c r="F502" s="7"/>
    </row>
    <row r="503" spans="1:6" x14ac:dyDescent="0.25">
      <c r="A503" s="7"/>
      <c r="E503" s="7"/>
      <c r="F503" s="7"/>
    </row>
    <row r="504" spans="1:6" x14ac:dyDescent="0.25">
      <c r="A504" s="7"/>
      <c r="E504" s="7"/>
      <c r="F504" s="7"/>
    </row>
    <row r="505" spans="1:6" x14ac:dyDescent="0.25">
      <c r="A505" s="7"/>
      <c r="E505" s="7"/>
      <c r="F505" s="7"/>
    </row>
    <row r="506" spans="1:6" x14ac:dyDescent="0.25">
      <c r="A506" s="7"/>
      <c r="E506" s="7"/>
      <c r="F506" s="7"/>
    </row>
    <row r="507" spans="1:6" x14ac:dyDescent="0.25">
      <c r="A507" s="7"/>
      <c r="E507" s="7"/>
      <c r="F507" s="7"/>
    </row>
    <row r="508" spans="1:6" x14ac:dyDescent="0.25">
      <c r="A508" s="7"/>
      <c r="E508" s="7"/>
      <c r="F508" s="7"/>
    </row>
    <row r="509" spans="1:6" x14ac:dyDescent="0.25">
      <c r="A509" s="7"/>
      <c r="E509" s="7"/>
      <c r="F509" s="7"/>
    </row>
    <row r="510" spans="1:6" x14ac:dyDescent="0.25">
      <c r="A510" s="7"/>
      <c r="E510" s="7"/>
      <c r="F510" s="7"/>
    </row>
    <row r="511" spans="1:6" x14ac:dyDescent="0.25">
      <c r="A511" s="7"/>
      <c r="E511" s="7"/>
      <c r="F511" s="7"/>
    </row>
    <row r="512" spans="1:6" x14ac:dyDescent="0.25">
      <c r="A512" s="7"/>
      <c r="E512" s="7"/>
      <c r="F512" s="7"/>
    </row>
    <row r="513" spans="1:6" x14ac:dyDescent="0.25">
      <c r="A513" s="7"/>
      <c r="E513" s="7"/>
      <c r="F513" s="7"/>
    </row>
    <row r="514" spans="1:6" x14ac:dyDescent="0.25">
      <c r="A514" s="7"/>
      <c r="E514" s="7"/>
      <c r="F514" s="7"/>
    </row>
    <row r="515" spans="1:6" x14ac:dyDescent="0.25">
      <c r="A515" s="7"/>
      <c r="E515" s="7"/>
      <c r="F515" s="7"/>
    </row>
    <row r="516" spans="1:6" x14ac:dyDescent="0.25">
      <c r="A516" s="7"/>
      <c r="E516" s="7"/>
      <c r="F516" s="7"/>
    </row>
    <row r="517" spans="1:6" x14ac:dyDescent="0.25">
      <c r="A517" s="7"/>
      <c r="E517" s="7"/>
      <c r="F517" s="7"/>
    </row>
    <row r="518" spans="1:6" x14ac:dyDescent="0.25">
      <c r="A518" s="7"/>
      <c r="E518" s="7"/>
      <c r="F518" s="7"/>
    </row>
    <row r="519" spans="1:6" x14ac:dyDescent="0.25">
      <c r="A519" s="7"/>
      <c r="E519" s="7"/>
      <c r="F519" s="7"/>
    </row>
    <row r="520" spans="1:6" x14ac:dyDescent="0.25">
      <c r="A520" s="7"/>
      <c r="E520" s="7"/>
      <c r="F520" s="7"/>
    </row>
    <row r="521" spans="1:6" x14ac:dyDescent="0.25">
      <c r="A521" s="7"/>
      <c r="E521" s="7"/>
      <c r="F521" s="7"/>
    </row>
    <row r="522" spans="1:6" x14ac:dyDescent="0.25">
      <c r="A522" s="7"/>
      <c r="E522" s="7"/>
      <c r="F522" s="7"/>
    </row>
    <row r="523" spans="1:6" x14ac:dyDescent="0.25">
      <c r="A523" s="7"/>
      <c r="E523" s="7"/>
      <c r="F523" s="7"/>
    </row>
    <row r="524" spans="1:6" x14ac:dyDescent="0.25">
      <c r="A524" s="7"/>
      <c r="E524" s="7"/>
      <c r="F524" s="7"/>
    </row>
    <row r="525" spans="1:6" x14ac:dyDescent="0.25">
      <c r="A525" s="7"/>
      <c r="E525" s="7"/>
      <c r="F525" s="7"/>
    </row>
    <row r="526" spans="1:6" x14ac:dyDescent="0.25">
      <c r="A526" s="7"/>
      <c r="E526" s="7"/>
      <c r="F526" s="7"/>
    </row>
    <row r="527" spans="1:6" x14ac:dyDescent="0.25">
      <c r="A527" s="7"/>
      <c r="E527" s="7"/>
      <c r="F527" s="7"/>
    </row>
    <row r="528" spans="1:6" x14ac:dyDescent="0.25">
      <c r="A528" s="7"/>
      <c r="E528" s="7"/>
      <c r="F528" s="7"/>
    </row>
    <row r="529" spans="1:6" x14ac:dyDescent="0.25">
      <c r="A529" s="7"/>
      <c r="E529" s="7"/>
      <c r="F529" s="7"/>
    </row>
    <row r="530" spans="1:6" x14ac:dyDescent="0.25">
      <c r="A530" s="7"/>
      <c r="E530" s="7"/>
      <c r="F530" s="7"/>
    </row>
    <row r="531" spans="1:6" x14ac:dyDescent="0.25">
      <c r="A531" s="7"/>
      <c r="E531" s="7"/>
      <c r="F531" s="7"/>
    </row>
    <row r="532" spans="1:6" x14ac:dyDescent="0.25">
      <c r="A532" s="7"/>
      <c r="E532" s="7"/>
      <c r="F532" s="7"/>
    </row>
    <row r="533" spans="1:6" x14ac:dyDescent="0.25">
      <c r="A533" s="7"/>
      <c r="E533" s="7"/>
      <c r="F533" s="7"/>
    </row>
    <row r="534" spans="1:6" x14ac:dyDescent="0.25">
      <c r="A534" s="7"/>
      <c r="E534" s="7"/>
      <c r="F534" s="7"/>
    </row>
    <row r="535" spans="1:6" x14ac:dyDescent="0.25">
      <c r="A535" s="7"/>
      <c r="E535" s="7"/>
      <c r="F535" s="7"/>
    </row>
    <row r="536" spans="1:6" x14ac:dyDescent="0.25">
      <c r="A536" s="7"/>
      <c r="E536" s="7"/>
      <c r="F536" s="7"/>
    </row>
    <row r="537" spans="1:6" x14ac:dyDescent="0.25">
      <c r="A537" s="7"/>
      <c r="E537" s="7"/>
      <c r="F537" s="7"/>
    </row>
    <row r="538" spans="1:6" x14ac:dyDescent="0.25">
      <c r="A538" s="7"/>
      <c r="E538" s="7"/>
      <c r="F538" s="7"/>
    </row>
    <row r="539" spans="1:6" x14ac:dyDescent="0.25">
      <c r="A539" s="7"/>
      <c r="E539" s="7"/>
      <c r="F539" s="7"/>
    </row>
    <row r="540" spans="1:6" x14ac:dyDescent="0.25">
      <c r="A540" s="7"/>
      <c r="E540" s="7"/>
      <c r="F540" s="7"/>
    </row>
    <row r="541" spans="1:6" x14ac:dyDescent="0.25">
      <c r="A541" s="7"/>
      <c r="E541" s="7"/>
      <c r="F541" s="7"/>
    </row>
    <row r="542" spans="1:6" x14ac:dyDescent="0.25">
      <c r="A542" s="7"/>
      <c r="E542" s="7"/>
      <c r="F542" s="7"/>
    </row>
    <row r="543" spans="1:6" x14ac:dyDescent="0.25">
      <c r="A543" s="7"/>
      <c r="E543" s="7"/>
      <c r="F543" s="7"/>
    </row>
    <row r="544" spans="1:6" x14ac:dyDescent="0.25">
      <c r="A544" s="7"/>
      <c r="E544" s="7"/>
      <c r="F544" s="7"/>
    </row>
    <row r="545" spans="1:6" x14ac:dyDescent="0.25">
      <c r="A545" s="7"/>
      <c r="E545" s="7"/>
      <c r="F545" s="7"/>
    </row>
    <row r="546" spans="1:6" x14ac:dyDescent="0.25">
      <c r="A546" s="7"/>
      <c r="E546" s="7"/>
      <c r="F546" s="7"/>
    </row>
    <row r="547" spans="1:6" x14ac:dyDescent="0.25">
      <c r="A547" s="7"/>
      <c r="E547" s="7"/>
      <c r="F547" s="7"/>
    </row>
    <row r="548" spans="1:6" x14ac:dyDescent="0.25">
      <c r="A548" s="7"/>
      <c r="E548" s="7"/>
      <c r="F548" s="7"/>
    </row>
    <row r="549" spans="1:6" x14ac:dyDescent="0.25">
      <c r="A549" s="7"/>
      <c r="E549" s="7"/>
      <c r="F549" s="7"/>
    </row>
    <row r="550" spans="1:6" x14ac:dyDescent="0.25">
      <c r="A550" s="7"/>
      <c r="E550" s="7"/>
      <c r="F550" s="7"/>
    </row>
    <row r="551" spans="1:6" x14ac:dyDescent="0.25">
      <c r="A551" s="7"/>
      <c r="E551" s="7"/>
      <c r="F551" s="7"/>
    </row>
    <row r="552" spans="1:6" x14ac:dyDescent="0.25">
      <c r="A552" s="7"/>
      <c r="E552" s="7"/>
      <c r="F552" s="7"/>
    </row>
    <row r="553" spans="1:6" x14ac:dyDescent="0.25">
      <c r="A553" s="7"/>
      <c r="E553" s="7"/>
      <c r="F553" s="7"/>
    </row>
    <row r="554" spans="1:6" x14ac:dyDescent="0.25">
      <c r="A554" s="7"/>
      <c r="E554" s="7"/>
      <c r="F554" s="7"/>
    </row>
    <row r="555" spans="1:6" x14ac:dyDescent="0.25">
      <c r="A555" s="7"/>
      <c r="E555" s="7"/>
      <c r="F555" s="7"/>
    </row>
    <row r="556" spans="1:6" x14ac:dyDescent="0.25">
      <c r="A556" s="7"/>
      <c r="E556" s="7"/>
      <c r="F556" s="7"/>
    </row>
    <row r="557" spans="1:6" x14ac:dyDescent="0.25">
      <c r="A557" s="7"/>
      <c r="E557" s="7"/>
      <c r="F557" s="7"/>
    </row>
    <row r="558" spans="1:6" x14ac:dyDescent="0.25">
      <c r="A558" s="7"/>
      <c r="E558" s="7"/>
      <c r="F558" s="7"/>
    </row>
    <row r="559" spans="1:6" x14ac:dyDescent="0.25">
      <c r="A559" s="7"/>
      <c r="E559" s="7"/>
      <c r="F559" s="7"/>
    </row>
    <row r="560" spans="1:6" x14ac:dyDescent="0.25">
      <c r="A560" s="7"/>
      <c r="E560" s="7"/>
      <c r="F560" s="7"/>
    </row>
    <row r="561" spans="1:6" x14ac:dyDescent="0.25">
      <c r="A561" s="7"/>
      <c r="E561" s="7"/>
      <c r="F561" s="7"/>
    </row>
    <row r="562" spans="1:6" x14ac:dyDescent="0.25">
      <c r="A562" s="7"/>
      <c r="E562" s="7"/>
      <c r="F562" s="7"/>
    </row>
    <row r="563" spans="1:6" x14ac:dyDescent="0.25">
      <c r="A563" s="7"/>
      <c r="E563" s="7"/>
      <c r="F563" s="7"/>
    </row>
    <row r="564" spans="1:6" x14ac:dyDescent="0.25">
      <c r="A564" s="7"/>
      <c r="E564" s="7"/>
      <c r="F564" s="7"/>
    </row>
    <row r="565" spans="1:6" x14ac:dyDescent="0.25">
      <c r="A565" s="7"/>
      <c r="E565" s="7"/>
      <c r="F565" s="7"/>
    </row>
    <row r="566" spans="1:6" x14ac:dyDescent="0.25">
      <c r="A566" s="7"/>
      <c r="E566" s="7"/>
      <c r="F566" s="7"/>
    </row>
    <row r="567" spans="1:6" x14ac:dyDescent="0.25">
      <c r="A567" s="7"/>
      <c r="E567" s="7"/>
      <c r="F567" s="7"/>
    </row>
    <row r="568" spans="1:6" x14ac:dyDescent="0.25">
      <c r="A568" s="7"/>
      <c r="E568" s="7"/>
      <c r="F568" s="7"/>
    </row>
    <row r="569" spans="1:6" x14ac:dyDescent="0.25">
      <c r="A569" s="7"/>
      <c r="E569" s="7"/>
      <c r="F569" s="7"/>
    </row>
    <row r="570" spans="1:6" x14ac:dyDescent="0.25">
      <c r="A570" s="7"/>
      <c r="E570" s="7"/>
      <c r="F570" s="7"/>
    </row>
    <row r="571" spans="1:6" x14ac:dyDescent="0.25">
      <c r="A571" s="7"/>
      <c r="E571" s="7"/>
      <c r="F571" s="7"/>
    </row>
    <row r="572" spans="1:6" x14ac:dyDescent="0.25">
      <c r="A572" s="7"/>
      <c r="E572" s="7"/>
      <c r="F572" s="7"/>
    </row>
    <row r="573" spans="1:6" x14ac:dyDescent="0.25">
      <c r="A573" s="7"/>
      <c r="E573" s="7"/>
      <c r="F573" s="7"/>
    </row>
    <row r="574" spans="1:6" x14ac:dyDescent="0.25">
      <c r="A574" s="7"/>
      <c r="E574" s="7"/>
      <c r="F574" s="7"/>
    </row>
    <row r="575" spans="1:6" x14ac:dyDescent="0.25">
      <c r="A575" s="7"/>
      <c r="E575" s="7"/>
      <c r="F575" s="7"/>
    </row>
    <row r="576" spans="1:6" x14ac:dyDescent="0.25">
      <c r="A576" s="7"/>
      <c r="E576" s="7"/>
      <c r="F576" s="7"/>
    </row>
    <row r="577" spans="1:6" x14ac:dyDescent="0.25">
      <c r="A577" s="7"/>
      <c r="E577" s="7"/>
      <c r="F577" s="7"/>
    </row>
    <row r="578" spans="1:6" x14ac:dyDescent="0.25">
      <c r="A578" s="7"/>
      <c r="E578" s="7"/>
      <c r="F578" s="7"/>
    </row>
    <row r="579" spans="1:6" x14ac:dyDescent="0.25">
      <c r="A579" s="7"/>
      <c r="E579" s="7"/>
      <c r="F579" s="7"/>
    </row>
    <row r="580" spans="1:6" x14ac:dyDescent="0.25">
      <c r="A580" s="7"/>
      <c r="E580" s="7"/>
      <c r="F580" s="7"/>
    </row>
    <row r="581" spans="1:6" x14ac:dyDescent="0.25">
      <c r="A581" s="7"/>
      <c r="E581" s="7"/>
      <c r="F581" s="7"/>
    </row>
    <row r="582" spans="1:6" x14ac:dyDescent="0.25">
      <c r="A582" s="7"/>
      <c r="E582" s="7"/>
      <c r="F582" s="7"/>
    </row>
    <row r="583" spans="1:6" x14ac:dyDescent="0.25">
      <c r="A583" s="7"/>
      <c r="E583" s="7"/>
      <c r="F583" s="7"/>
    </row>
    <row r="584" spans="1:6" x14ac:dyDescent="0.25">
      <c r="A584" s="7"/>
      <c r="E584" s="7"/>
      <c r="F584" s="7"/>
    </row>
    <row r="585" spans="1:6" x14ac:dyDescent="0.25">
      <c r="A585" s="7"/>
      <c r="E585" s="7"/>
      <c r="F585" s="7"/>
    </row>
    <row r="586" spans="1:6" x14ac:dyDescent="0.25">
      <c r="A586" s="7"/>
      <c r="E586" s="7"/>
      <c r="F586" s="7"/>
    </row>
    <row r="587" spans="1:6" x14ac:dyDescent="0.25">
      <c r="A587" s="7"/>
      <c r="E587" s="7"/>
      <c r="F587" s="7"/>
    </row>
    <row r="588" spans="1:6" x14ac:dyDescent="0.25">
      <c r="A588" s="7"/>
      <c r="E588" s="7"/>
      <c r="F588" s="7"/>
    </row>
    <row r="589" spans="1:6" x14ac:dyDescent="0.25">
      <c r="A589" s="7"/>
      <c r="E589" s="7"/>
      <c r="F589" s="7"/>
    </row>
    <row r="590" spans="1:6" x14ac:dyDescent="0.25">
      <c r="A590" s="7"/>
      <c r="E590" s="7"/>
      <c r="F590" s="7"/>
    </row>
    <row r="591" spans="1:6" x14ac:dyDescent="0.25">
      <c r="A591" s="7"/>
      <c r="E591" s="7"/>
      <c r="F591" s="7"/>
    </row>
    <row r="592" spans="1:6" x14ac:dyDescent="0.25">
      <c r="A592" s="7"/>
      <c r="E592" s="7"/>
      <c r="F592" s="7"/>
    </row>
    <row r="593" spans="1:6" x14ac:dyDescent="0.25">
      <c r="A593" s="7"/>
      <c r="E593" s="7"/>
      <c r="F593" s="7"/>
    </row>
    <row r="594" spans="1:6" x14ac:dyDescent="0.25">
      <c r="A594" s="7"/>
      <c r="E594" s="7"/>
      <c r="F594" s="7"/>
    </row>
    <row r="595" spans="1:6" x14ac:dyDescent="0.25">
      <c r="A595" s="7"/>
      <c r="E595" s="7"/>
      <c r="F595" s="7"/>
    </row>
    <row r="596" spans="1:6" x14ac:dyDescent="0.25">
      <c r="A596" s="7"/>
      <c r="E596" s="7"/>
      <c r="F596" s="7"/>
    </row>
    <row r="597" spans="1:6" x14ac:dyDescent="0.25">
      <c r="A597" s="7"/>
      <c r="E597" s="7"/>
      <c r="F597" s="7"/>
    </row>
    <row r="598" spans="1:6" x14ac:dyDescent="0.25">
      <c r="A598" s="7"/>
      <c r="E598" s="7"/>
      <c r="F598" s="7"/>
    </row>
    <row r="599" spans="1:6" x14ac:dyDescent="0.25">
      <c r="A599" s="7"/>
      <c r="E599" s="7"/>
      <c r="F599" s="7"/>
    </row>
    <row r="600" spans="1:6" x14ac:dyDescent="0.25">
      <c r="A600" s="7"/>
      <c r="E600" s="7"/>
      <c r="F600" s="7"/>
    </row>
    <row r="601" spans="1:6" x14ac:dyDescent="0.25">
      <c r="A601" s="7"/>
      <c r="E601" s="7"/>
      <c r="F601" s="7"/>
    </row>
    <row r="602" spans="1:6" x14ac:dyDescent="0.25">
      <c r="A602" s="7"/>
      <c r="E602" s="7"/>
      <c r="F602" s="7"/>
    </row>
    <row r="603" spans="1:6" x14ac:dyDescent="0.25">
      <c r="A603" s="7"/>
      <c r="E603" s="7"/>
      <c r="F603" s="7"/>
    </row>
    <row r="604" spans="1:6" x14ac:dyDescent="0.25">
      <c r="A604" s="7"/>
      <c r="E604" s="7"/>
      <c r="F604" s="7"/>
    </row>
    <row r="605" spans="1:6" x14ac:dyDescent="0.25">
      <c r="A605" s="7"/>
      <c r="E605" s="7"/>
      <c r="F605" s="7"/>
    </row>
    <row r="606" spans="1:6" x14ac:dyDescent="0.25">
      <c r="A606" s="7"/>
      <c r="E606" s="7"/>
      <c r="F606" s="7"/>
    </row>
    <row r="607" spans="1:6" x14ac:dyDescent="0.25">
      <c r="A607" s="7"/>
      <c r="E607" s="7"/>
      <c r="F607" s="7"/>
    </row>
    <row r="608" spans="1:6" x14ac:dyDescent="0.25">
      <c r="A608" s="7"/>
      <c r="E608" s="7"/>
      <c r="F608" s="7"/>
    </row>
    <row r="609" spans="1:6" x14ac:dyDescent="0.25">
      <c r="A609" s="7"/>
      <c r="E609" s="7"/>
      <c r="F609" s="7"/>
    </row>
    <row r="610" spans="1:6" x14ac:dyDescent="0.25">
      <c r="A610" s="7"/>
      <c r="E610" s="7"/>
      <c r="F610" s="7"/>
    </row>
    <row r="611" spans="1:6" x14ac:dyDescent="0.25">
      <c r="A611" s="7"/>
      <c r="E611" s="7"/>
      <c r="F611" s="7"/>
    </row>
    <row r="612" spans="1:6" x14ac:dyDescent="0.25">
      <c r="A612" s="7"/>
      <c r="E612" s="7"/>
      <c r="F612" s="7"/>
    </row>
    <row r="613" spans="1:6" x14ac:dyDescent="0.25">
      <c r="A613" s="7"/>
      <c r="E613" s="7"/>
      <c r="F613" s="7"/>
    </row>
    <row r="614" spans="1:6" x14ac:dyDescent="0.25">
      <c r="A614" s="7"/>
      <c r="E614" s="7"/>
      <c r="F614" s="7"/>
    </row>
    <row r="615" spans="1:6" x14ac:dyDescent="0.25">
      <c r="A615" s="7"/>
      <c r="E615" s="7"/>
      <c r="F615" s="7"/>
    </row>
    <row r="616" spans="1:6" x14ac:dyDescent="0.25">
      <c r="A616" s="7"/>
      <c r="E616" s="7"/>
      <c r="F616" s="7"/>
    </row>
    <row r="617" spans="1:6" x14ac:dyDescent="0.25">
      <c r="A617" s="7"/>
      <c r="E617" s="7"/>
      <c r="F617" s="7"/>
    </row>
    <row r="618" spans="1:6" x14ac:dyDescent="0.25">
      <c r="A618" s="7"/>
      <c r="E618" s="7"/>
      <c r="F618" s="7"/>
    </row>
    <row r="619" spans="1:6" x14ac:dyDescent="0.25">
      <c r="A619" s="7"/>
      <c r="E619" s="7"/>
      <c r="F619" s="7"/>
    </row>
    <row r="620" spans="1:6" x14ac:dyDescent="0.25">
      <c r="A620" s="7"/>
      <c r="E620" s="7"/>
      <c r="F620" s="7"/>
    </row>
    <row r="621" spans="1:6" x14ac:dyDescent="0.25">
      <c r="A621" s="7"/>
      <c r="E621" s="7"/>
      <c r="F621" s="7"/>
    </row>
    <row r="622" spans="1:6" x14ac:dyDescent="0.25">
      <c r="A622" s="7"/>
      <c r="E622" s="7"/>
      <c r="F622" s="7"/>
    </row>
    <row r="623" spans="1:6" x14ac:dyDescent="0.25">
      <c r="A623" s="7"/>
      <c r="E623" s="7"/>
      <c r="F623" s="7"/>
    </row>
    <row r="624" spans="1:6" x14ac:dyDescent="0.25">
      <c r="A624" s="7"/>
      <c r="E624" s="7"/>
      <c r="F624" s="7"/>
    </row>
    <row r="625" spans="1:6" x14ac:dyDescent="0.25">
      <c r="A625" s="7"/>
      <c r="E625" s="7"/>
      <c r="F625" s="7"/>
    </row>
    <row r="626" spans="1:6" x14ac:dyDescent="0.25">
      <c r="A626" s="7"/>
      <c r="E626" s="7"/>
      <c r="F626" s="7"/>
    </row>
    <row r="627" spans="1:6" x14ac:dyDescent="0.25">
      <c r="A627" s="7"/>
      <c r="E627" s="7"/>
      <c r="F627" s="7"/>
    </row>
    <row r="628" spans="1:6" x14ac:dyDescent="0.25">
      <c r="A628" s="7"/>
      <c r="E628" s="7"/>
      <c r="F628" s="7"/>
    </row>
    <row r="629" spans="1:6" x14ac:dyDescent="0.25">
      <c r="A629" s="7"/>
      <c r="E629" s="7"/>
      <c r="F629" s="7"/>
    </row>
    <row r="630" spans="1:6" x14ac:dyDescent="0.25">
      <c r="A630" s="7"/>
      <c r="E630" s="7"/>
      <c r="F630" s="7"/>
    </row>
    <row r="631" spans="1:6" x14ac:dyDescent="0.25">
      <c r="A631" s="7"/>
      <c r="E631" s="7"/>
      <c r="F631" s="7"/>
    </row>
    <row r="632" spans="1:6" x14ac:dyDescent="0.25">
      <c r="A632" s="7"/>
      <c r="E632" s="7"/>
      <c r="F632" s="7"/>
    </row>
    <row r="633" spans="1:6" x14ac:dyDescent="0.25">
      <c r="A633" s="7"/>
      <c r="E633" s="7"/>
      <c r="F633" s="7"/>
    </row>
    <row r="634" spans="1:6" x14ac:dyDescent="0.25">
      <c r="A634" s="7"/>
      <c r="E634" s="7"/>
      <c r="F634" s="7"/>
    </row>
    <row r="635" spans="1:6" x14ac:dyDescent="0.25">
      <c r="A635" s="7"/>
      <c r="E635" s="7"/>
      <c r="F635" s="7"/>
    </row>
    <row r="636" spans="1:6" x14ac:dyDescent="0.25">
      <c r="A636" s="7"/>
      <c r="E636" s="7"/>
      <c r="F636" s="7"/>
    </row>
    <row r="637" spans="1:6" x14ac:dyDescent="0.25">
      <c r="A637" s="7"/>
      <c r="E637" s="7"/>
      <c r="F637" s="7"/>
    </row>
    <row r="638" spans="1:6" x14ac:dyDescent="0.25">
      <c r="A638" s="7"/>
      <c r="E638" s="7"/>
      <c r="F638" s="7"/>
    </row>
    <row r="639" spans="1:6" x14ac:dyDescent="0.25">
      <c r="A639" s="7"/>
      <c r="E639" s="7"/>
      <c r="F639" s="7"/>
    </row>
    <row r="640" spans="1:6" x14ac:dyDescent="0.25">
      <c r="A640" s="7"/>
      <c r="E640" s="7"/>
      <c r="F640" s="7"/>
    </row>
    <row r="641" spans="1:6" x14ac:dyDescent="0.25">
      <c r="A641" s="7"/>
      <c r="E641" s="7"/>
      <c r="F641" s="7"/>
    </row>
    <row r="642" spans="1:6" x14ac:dyDescent="0.25">
      <c r="A642" s="7"/>
      <c r="E642" s="7"/>
      <c r="F642" s="7"/>
    </row>
    <row r="643" spans="1:6" x14ac:dyDescent="0.25">
      <c r="A643" s="7"/>
      <c r="E643" s="7"/>
      <c r="F643" s="7"/>
    </row>
    <row r="644" spans="1:6" x14ac:dyDescent="0.25">
      <c r="A644" s="7"/>
      <c r="E644" s="7"/>
      <c r="F644" s="7"/>
    </row>
    <row r="645" spans="1:6" x14ac:dyDescent="0.25">
      <c r="A645" s="7"/>
      <c r="E645" s="7"/>
      <c r="F645" s="7"/>
    </row>
    <row r="646" spans="1:6" x14ac:dyDescent="0.25">
      <c r="A646" s="7"/>
      <c r="E646" s="7"/>
      <c r="F646" s="7"/>
    </row>
    <row r="647" spans="1:6" x14ac:dyDescent="0.25">
      <c r="A647" s="7"/>
      <c r="E647" s="7"/>
      <c r="F647" s="7"/>
    </row>
    <row r="648" spans="1:6" x14ac:dyDescent="0.25">
      <c r="A648" s="7"/>
      <c r="E648" s="7"/>
      <c r="F648" s="7"/>
    </row>
    <row r="649" spans="1:6" x14ac:dyDescent="0.25">
      <c r="A649" s="7"/>
      <c r="E649" s="7"/>
      <c r="F649" s="7"/>
    </row>
    <row r="650" spans="1:6" x14ac:dyDescent="0.25">
      <c r="A650" s="7"/>
      <c r="E650" s="7"/>
      <c r="F650" s="7"/>
    </row>
    <row r="651" spans="1:6" x14ac:dyDescent="0.25">
      <c r="A651" s="7"/>
      <c r="E651" s="7"/>
      <c r="F651" s="7"/>
    </row>
    <row r="652" spans="1:6" x14ac:dyDescent="0.25">
      <c r="A652" s="7"/>
      <c r="E652" s="7"/>
      <c r="F652" s="7"/>
    </row>
    <row r="653" spans="1:6" x14ac:dyDescent="0.25">
      <c r="A653" s="7"/>
      <c r="E653" s="7"/>
      <c r="F653" s="7"/>
    </row>
    <row r="654" spans="1:6" x14ac:dyDescent="0.25">
      <c r="A654" s="7"/>
      <c r="E654" s="7"/>
      <c r="F654" s="7"/>
    </row>
    <row r="655" spans="1:6" x14ac:dyDescent="0.25">
      <c r="A655" s="7"/>
      <c r="E655" s="7"/>
      <c r="F655" s="7"/>
    </row>
    <row r="656" spans="1:6" x14ac:dyDescent="0.25">
      <c r="A656" s="7"/>
      <c r="E656" s="7"/>
      <c r="F656" s="7"/>
    </row>
    <row r="657" spans="1:6" x14ac:dyDescent="0.25">
      <c r="A657" s="7"/>
      <c r="E657" s="7"/>
      <c r="F657" s="7"/>
    </row>
    <row r="658" spans="1:6" x14ac:dyDescent="0.25">
      <c r="A658" s="7"/>
      <c r="E658" s="7"/>
      <c r="F658" s="7"/>
    </row>
    <row r="659" spans="1:6" x14ac:dyDescent="0.25">
      <c r="A659" s="7"/>
      <c r="E659" s="7"/>
      <c r="F659" s="7"/>
    </row>
    <row r="660" spans="1:6" x14ac:dyDescent="0.25">
      <c r="A660" s="7"/>
      <c r="E660" s="7"/>
      <c r="F660" s="7"/>
    </row>
    <row r="661" spans="1:6" x14ac:dyDescent="0.25">
      <c r="A661" s="7"/>
      <c r="E661" s="7"/>
      <c r="F661" s="7"/>
    </row>
    <row r="662" spans="1:6" x14ac:dyDescent="0.25">
      <c r="A662" s="7"/>
      <c r="E662" s="7"/>
      <c r="F662" s="7"/>
    </row>
    <row r="663" spans="1:6" x14ac:dyDescent="0.25">
      <c r="A663" s="7"/>
      <c r="E663" s="7"/>
      <c r="F663" s="7"/>
    </row>
    <row r="664" spans="1:6" x14ac:dyDescent="0.25">
      <c r="A664" s="7"/>
      <c r="E664" s="7"/>
      <c r="F664" s="7"/>
    </row>
    <row r="665" spans="1:6" x14ac:dyDescent="0.25">
      <c r="A665" s="7"/>
      <c r="E665" s="7"/>
      <c r="F665" s="7"/>
    </row>
    <row r="666" spans="1:6" x14ac:dyDescent="0.25">
      <c r="A666" s="7"/>
      <c r="E666" s="7"/>
      <c r="F666" s="7"/>
    </row>
    <row r="667" spans="1:6" x14ac:dyDescent="0.25">
      <c r="A667" s="7"/>
      <c r="E667" s="7"/>
      <c r="F667" s="7"/>
    </row>
    <row r="668" spans="1:6" x14ac:dyDescent="0.25">
      <c r="A668" s="7"/>
      <c r="E668" s="7"/>
      <c r="F668" s="7"/>
    </row>
    <row r="669" spans="1:6" x14ac:dyDescent="0.25">
      <c r="A669" s="7"/>
      <c r="E669" s="7"/>
      <c r="F669" s="7"/>
    </row>
    <row r="670" spans="1:6" x14ac:dyDescent="0.25">
      <c r="A670" s="7"/>
      <c r="E670" s="7"/>
      <c r="F670" s="7"/>
    </row>
    <row r="671" spans="1:6" x14ac:dyDescent="0.25">
      <c r="A671" s="7"/>
      <c r="E671" s="7"/>
      <c r="F671" s="7"/>
    </row>
    <row r="672" spans="1:6" x14ac:dyDescent="0.25">
      <c r="A672" s="7"/>
      <c r="E672" s="7"/>
      <c r="F672" s="7"/>
    </row>
    <row r="673" spans="1:6" x14ac:dyDescent="0.25">
      <c r="A673" s="7"/>
      <c r="E673" s="7"/>
      <c r="F673" s="7"/>
    </row>
    <row r="674" spans="1:6" x14ac:dyDescent="0.25">
      <c r="A674" s="7"/>
      <c r="E674" s="7"/>
      <c r="F674" s="7"/>
    </row>
    <row r="675" spans="1:6" x14ac:dyDescent="0.25">
      <c r="A675" s="7"/>
      <c r="E675" s="7"/>
      <c r="F675" s="7"/>
    </row>
    <row r="676" spans="1:6" x14ac:dyDescent="0.25">
      <c r="A676" s="7"/>
      <c r="E676" s="7"/>
      <c r="F676" s="7"/>
    </row>
    <row r="677" spans="1:6" x14ac:dyDescent="0.25">
      <c r="A677" s="7"/>
      <c r="E677" s="7"/>
      <c r="F677" s="7"/>
    </row>
    <row r="678" spans="1:6" x14ac:dyDescent="0.25">
      <c r="A678" s="7"/>
      <c r="E678" s="7"/>
      <c r="F678" s="7"/>
    </row>
    <row r="679" spans="1:6" x14ac:dyDescent="0.25">
      <c r="A679" s="7"/>
      <c r="E679" s="7"/>
      <c r="F679" s="7"/>
    </row>
    <row r="680" spans="1:6" x14ac:dyDescent="0.25">
      <c r="A680" s="7"/>
      <c r="E680" s="7"/>
      <c r="F680" s="7"/>
    </row>
    <row r="681" spans="1:6" x14ac:dyDescent="0.25">
      <c r="A681" s="7"/>
      <c r="E681" s="7"/>
      <c r="F681" s="7"/>
    </row>
    <row r="682" spans="1:6" x14ac:dyDescent="0.25">
      <c r="A682" s="7"/>
      <c r="E682" s="7"/>
      <c r="F682" s="7"/>
    </row>
    <row r="683" spans="1:6" x14ac:dyDescent="0.25">
      <c r="A683" s="7"/>
      <c r="E683" s="7"/>
      <c r="F683" s="7"/>
    </row>
    <row r="684" spans="1:6" x14ac:dyDescent="0.25">
      <c r="A684" s="7"/>
      <c r="E684" s="7"/>
      <c r="F684" s="7"/>
    </row>
    <row r="685" spans="1:6" x14ac:dyDescent="0.25">
      <c r="A685" s="7"/>
      <c r="E685" s="7"/>
      <c r="F685" s="7"/>
    </row>
    <row r="686" spans="1:6" x14ac:dyDescent="0.25">
      <c r="A686" s="7"/>
      <c r="E686" s="7"/>
      <c r="F686" s="7"/>
    </row>
    <row r="687" spans="1:6" x14ac:dyDescent="0.25">
      <c r="A687" s="7"/>
      <c r="E687" s="7"/>
      <c r="F687" s="7"/>
    </row>
    <row r="688" spans="1:6" x14ac:dyDescent="0.25">
      <c r="A688" s="7"/>
      <c r="E688" s="7"/>
      <c r="F688" s="7"/>
    </row>
    <row r="689" spans="1:6" x14ac:dyDescent="0.25">
      <c r="A689" s="7"/>
      <c r="E689" s="7"/>
      <c r="F689" s="7"/>
    </row>
    <row r="690" spans="1:6" x14ac:dyDescent="0.25">
      <c r="A690" s="7"/>
      <c r="E690" s="7"/>
      <c r="F690" s="7"/>
    </row>
    <row r="691" spans="1:6" x14ac:dyDescent="0.25">
      <c r="A691" s="7"/>
      <c r="E691" s="7"/>
      <c r="F691" s="7"/>
    </row>
    <row r="692" spans="1:6" x14ac:dyDescent="0.25">
      <c r="A692" s="7"/>
      <c r="E692" s="7"/>
      <c r="F692" s="7"/>
    </row>
    <row r="693" spans="1:6" x14ac:dyDescent="0.25">
      <c r="A693" s="7"/>
      <c r="E693" s="7"/>
      <c r="F693" s="7"/>
    </row>
    <row r="694" spans="1:6" x14ac:dyDescent="0.25">
      <c r="A694" s="7"/>
      <c r="E694" s="7"/>
      <c r="F694" s="7"/>
    </row>
    <row r="695" spans="1:6" x14ac:dyDescent="0.25">
      <c r="A695" s="7"/>
      <c r="E695" s="7"/>
      <c r="F695" s="7"/>
    </row>
    <row r="696" spans="1:6" x14ac:dyDescent="0.25">
      <c r="A696" s="7"/>
      <c r="E696" s="7"/>
      <c r="F696" s="7"/>
    </row>
    <row r="697" spans="1:6" x14ac:dyDescent="0.25">
      <c r="A697" s="7"/>
      <c r="E697" s="7"/>
      <c r="F697" s="7"/>
    </row>
    <row r="698" spans="1:6" x14ac:dyDescent="0.25">
      <c r="A698" s="7"/>
      <c r="E698" s="7"/>
      <c r="F698" s="7"/>
    </row>
    <row r="699" spans="1:6" x14ac:dyDescent="0.25">
      <c r="A699" s="7"/>
      <c r="E699" s="7"/>
      <c r="F699" s="7"/>
    </row>
    <row r="700" spans="1:6" x14ac:dyDescent="0.25">
      <c r="A700" s="7"/>
      <c r="E700" s="7"/>
      <c r="F700" s="7"/>
    </row>
    <row r="701" spans="1:6" x14ac:dyDescent="0.25">
      <c r="A701" s="7"/>
      <c r="E701" s="7"/>
      <c r="F701" s="7"/>
    </row>
    <row r="702" spans="1:6" x14ac:dyDescent="0.25">
      <c r="A702" s="7"/>
      <c r="E702" s="7"/>
      <c r="F702" s="7"/>
    </row>
    <row r="703" spans="1:6" x14ac:dyDescent="0.25">
      <c r="A703" s="7"/>
      <c r="E703" s="7"/>
      <c r="F703" s="7"/>
    </row>
    <row r="704" spans="1:6" x14ac:dyDescent="0.25">
      <c r="A704" s="7"/>
      <c r="E704" s="7"/>
      <c r="F704" s="7"/>
    </row>
    <row r="705" spans="1:6" x14ac:dyDescent="0.25">
      <c r="A705" s="7"/>
      <c r="E705" s="7"/>
      <c r="F705" s="7"/>
    </row>
    <row r="706" spans="1:6" x14ac:dyDescent="0.25">
      <c r="A706" s="7"/>
      <c r="E706" s="7"/>
      <c r="F706" s="7"/>
    </row>
    <row r="707" spans="1:6" x14ac:dyDescent="0.25">
      <c r="A707" s="7"/>
      <c r="E707" s="7"/>
      <c r="F707" s="7"/>
    </row>
    <row r="708" spans="1:6" x14ac:dyDescent="0.25">
      <c r="A708" s="7"/>
      <c r="E708" s="7"/>
      <c r="F708" s="7"/>
    </row>
    <row r="709" spans="1:6" x14ac:dyDescent="0.25">
      <c r="A709" s="7"/>
      <c r="E709" s="7"/>
      <c r="F709" s="7"/>
    </row>
    <row r="710" spans="1:6" x14ac:dyDescent="0.25">
      <c r="A710" s="7"/>
      <c r="E710" s="7"/>
      <c r="F710" s="7"/>
    </row>
    <row r="711" spans="1:6" x14ac:dyDescent="0.25">
      <c r="A711" s="7"/>
      <c r="E711" s="7"/>
      <c r="F711" s="7"/>
    </row>
    <row r="712" spans="1:6" x14ac:dyDescent="0.25">
      <c r="A712" s="7"/>
      <c r="E712" s="7"/>
      <c r="F712" s="7"/>
    </row>
    <row r="713" spans="1:6" x14ac:dyDescent="0.25">
      <c r="A713" s="7"/>
      <c r="E713" s="7"/>
      <c r="F713" s="7"/>
    </row>
    <row r="714" spans="1:6" x14ac:dyDescent="0.25">
      <c r="A714" s="7"/>
      <c r="E714" s="7"/>
      <c r="F714" s="7"/>
    </row>
    <row r="715" spans="1:6" x14ac:dyDescent="0.25">
      <c r="A715" s="7"/>
      <c r="E715" s="7"/>
      <c r="F715" s="7"/>
    </row>
    <row r="716" spans="1:6" x14ac:dyDescent="0.25">
      <c r="A716" s="7"/>
      <c r="E716" s="7"/>
      <c r="F716" s="7"/>
    </row>
    <row r="717" spans="1:6" x14ac:dyDescent="0.25">
      <c r="A717" s="7"/>
      <c r="E717" s="7"/>
      <c r="F717" s="7"/>
    </row>
    <row r="718" spans="1:6" x14ac:dyDescent="0.25">
      <c r="A718" s="7"/>
      <c r="E718" s="7"/>
      <c r="F718" s="7"/>
    </row>
    <row r="719" spans="1:6" x14ac:dyDescent="0.25">
      <c r="A719" s="7"/>
      <c r="E719" s="7"/>
      <c r="F719" s="7"/>
    </row>
    <row r="720" spans="1:6" x14ac:dyDescent="0.25">
      <c r="A720" s="7"/>
      <c r="E720" s="7"/>
      <c r="F720" s="7"/>
    </row>
    <row r="721" spans="1:6" x14ac:dyDescent="0.25">
      <c r="A721" s="7"/>
      <c r="E721" s="7"/>
      <c r="F721" s="7"/>
    </row>
    <row r="722" spans="1:6" x14ac:dyDescent="0.25">
      <c r="A722" s="7"/>
      <c r="E722" s="7"/>
      <c r="F722" s="7"/>
    </row>
    <row r="723" spans="1:6" x14ac:dyDescent="0.25">
      <c r="A723" s="7"/>
      <c r="E723" s="7"/>
      <c r="F723" s="7"/>
    </row>
    <row r="724" spans="1:6" x14ac:dyDescent="0.25">
      <c r="A724" s="7"/>
      <c r="E724" s="7"/>
      <c r="F724" s="7"/>
    </row>
    <row r="725" spans="1:6" x14ac:dyDescent="0.25">
      <c r="A725" s="7"/>
      <c r="E725" s="7"/>
      <c r="F725" s="7"/>
    </row>
    <row r="726" spans="1:6" x14ac:dyDescent="0.25">
      <c r="A726" s="7"/>
      <c r="E726" s="7"/>
      <c r="F726" s="7"/>
    </row>
    <row r="727" spans="1:6" x14ac:dyDescent="0.25">
      <c r="A727" s="7"/>
      <c r="E727" s="7"/>
      <c r="F727" s="7"/>
    </row>
    <row r="728" spans="1:6" x14ac:dyDescent="0.25">
      <c r="A728" s="7"/>
      <c r="E728" s="7"/>
      <c r="F728" s="7"/>
    </row>
    <row r="729" spans="1:6" x14ac:dyDescent="0.25">
      <c r="A729" s="7"/>
      <c r="E729" s="7"/>
      <c r="F729" s="7"/>
    </row>
    <row r="730" spans="1:6" x14ac:dyDescent="0.25">
      <c r="A730" s="7"/>
      <c r="E730" s="7"/>
      <c r="F730" s="7"/>
    </row>
    <row r="731" spans="1:6" x14ac:dyDescent="0.25">
      <c r="A731" s="7"/>
      <c r="E731" s="7"/>
      <c r="F731" s="7"/>
    </row>
    <row r="732" spans="1:6" x14ac:dyDescent="0.25">
      <c r="A732" s="7"/>
      <c r="E732" s="7"/>
      <c r="F732" s="7"/>
    </row>
    <row r="733" spans="1:6" x14ac:dyDescent="0.25">
      <c r="A733" s="7"/>
      <c r="E733" s="7"/>
      <c r="F733" s="7"/>
    </row>
    <row r="734" spans="1:6" x14ac:dyDescent="0.25">
      <c r="A734" s="7"/>
      <c r="E734" s="7"/>
      <c r="F734" s="7"/>
    </row>
    <row r="735" spans="1:6" x14ac:dyDescent="0.25">
      <c r="A735" s="7"/>
      <c r="E735" s="7"/>
      <c r="F735" s="7"/>
    </row>
    <row r="736" spans="1:6" x14ac:dyDescent="0.25">
      <c r="A736" s="7"/>
      <c r="E736" s="7"/>
      <c r="F736" s="7"/>
    </row>
    <row r="737" spans="1:6" x14ac:dyDescent="0.25">
      <c r="A737" s="7"/>
      <c r="E737" s="7"/>
      <c r="F737" s="7"/>
    </row>
    <row r="738" spans="1:6" x14ac:dyDescent="0.25">
      <c r="A738" s="7"/>
      <c r="E738" s="7"/>
      <c r="F738" s="7"/>
    </row>
    <row r="739" spans="1:6" x14ac:dyDescent="0.25">
      <c r="A739" s="7"/>
      <c r="E739" s="7"/>
      <c r="F739" s="7"/>
    </row>
    <row r="740" spans="1:6" x14ac:dyDescent="0.25">
      <c r="A740" s="7"/>
      <c r="E740" s="7"/>
      <c r="F740" s="7"/>
    </row>
    <row r="741" spans="1:6" x14ac:dyDescent="0.25">
      <c r="A741" s="7"/>
      <c r="E741" s="7"/>
      <c r="F741" s="7"/>
    </row>
    <row r="742" spans="1:6" x14ac:dyDescent="0.25">
      <c r="A742" s="7"/>
      <c r="E742" s="7"/>
      <c r="F742" s="7"/>
    </row>
    <row r="743" spans="1:6" x14ac:dyDescent="0.25">
      <c r="A743" s="7"/>
      <c r="E743" s="7"/>
      <c r="F743" s="7"/>
    </row>
    <row r="744" spans="1:6" x14ac:dyDescent="0.25">
      <c r="A744" s="7"/>
      <c r="E744" s="7"/>
      <c r="F744" s="7"/>
    </row>
    <row r="745" spans="1:6" x14ac:dyDescent="0.25">
      <c r="A745" s="7"/>
      <c r="E745" s="7"/>
      <c r="F745" s="7"/>
    </row>
    <row r="746" spans="1:6" x14ac:dyDescent="0.25">
      <c r="A746" s="7"/>
      <c r="E746" s="7"/>
      <c r="F746" s="7"/>
    </row>
    <row r="747" spans="1:6" x14ac:dyDescent="0.25">
      <c r="A747" s="7"/>
      <c r="E747" s="7"/>
      <c r="F747" s="7"/>
    </row>
    <row r="748" spans="1:6" x14ac:dyDescent="0.25">
      <c r="A748" s="7"/>
      <c r="E748" s="7"/>
      <c r="F748" s="7"/>
    </row>
    <row r="749" spans="1:6" x14ac:dyDescent="0.25">
      <c r="A749" s="7"/>
      <c r="E749" s="7"/>
      <c r="F749" s="7"/>
    </row>
    <row r="750" spans="1:6" x14ac:dyDescent="0.25">
      <c r="A750" s="7"/>
      <c r="E750" s="7"/>
      <c r="F750" s="7"/>
    </row>
    <row r="751" spans="1:6" x14ac:dyDescent="0.25">
      <c r="A751" s="7"/>
      <c r="E751" s="7"/>
      <c r="F751" s="7"/>
    </row>
    <row r="752" spans="1:6" x14ac:dyDescent="0.25">
      <c r="A752" s="7"/>
      <c r="E752" s="7"/>
      <c r="F752" s="7"/>
    </row>
    <row r="753" spans="1:6" x14ac:dyDescent="0.25">
      <c r="A753" s="7"/>
      <c r="E753" s="7"/>
      <c r="F753" s="7"/>
    </row>
    <row r="754" spans="1:6" x14ac:dyDescent="0.25">
      <c r="A754" s="7"/>
      <c r="E754" s="7"/>
      <c r="F754" s="7"/>
    </row>
    <row r="755" spans="1:6" x14ac:dyDescent="0.25">
      <c r="A755" s="7"/>
      <c r="E755" s="7"/>
      <c r="F755" s="7"/>
    </row>
    <row r="756" spans="1:6" x14ac:dyDescent="0.25">
      <c r="A756" s="7"/>
      <c r="E756" s="7"/>
      <c r="F756" s="7"/>
    </row>
    <row r="757" spans="1:6" x14ac:dyDescent="0.25">
      <c r="A757" s="7"/>
      <c r="E757" s="7"/>
      <c r="F757" s="7"/>
    </row>
    <row r="758" spans="1:6" x14ac:dyDescent="0.25">
      <c r="A758" s="7"/>
      <c r="E758" s="7"/>
      <c r="F758" s="7"/>
    </row>
    <row r="759" spans="1:6" x14ac:dyDescent="0.25">
      <c r="A759" s="7"/>
      <c r="E759" s="7"/>
      <c r="F759" s="7"/>
    </row>
    <row r="760" spans="1:6" x14ac:dyDescent="0.25">
      <c r="A760" s="7"/>
      <c r="E760" s="7"/>
      <c r="F760" s="7"/>
    </row>
    <row r="761" spans="1:6" x14ac:dyDescent="0.25">
      <c r="A761" s="7"/>
      <c r="E761" s="7"/>
      <c r="F761" s="7"/>
    </row>
    <row r="762" spans="1:6" x14ac:dyDescent="0.25">
      <c r="A762" s="7"/>
      <c r="E762" s="7"/>
      <c r="F762" s="7"/>
    </row>
    <row r="763" spans="1:6" x14ac:dyDescent="0.25">
      <c r="A763" s="7"/>
      <c r="E763" s="7"/>
      <c r="F763" s="7"/>
    </row>
    <row r="764" spans="1:6" x14ac:dyDescent="0.25">
      <c r="A764" s="7"/>
      <c r="E764" s="7"/>
      <c r="F764" s="7"/>
    </row>
    <row r="765" spans="1:6" x14ac:dyDescent="0.25">
      <c r="A765" s="7"/>
      <c r="E765" s="7"/>
      <c r="F765" s="7"/>
    </row>
    <row r="766" spans="1:6" x14ac:dyDescent="0.25">
      <c r="A766" s="7"/>
      <c r="E766" s="7"/>
      <c r="F766" s="7"/>
    </row>
    <row r="767" spans="1:6" x14ac:dyDescent="0.25">
      <c r="A767" s="7"/>
      <c r="E767" s="7"/>
      <c r="F767" s="7"/>
    </row>
    <row r="768" spans="1:6" x14ac:dyDescent="0.25">
      <c r="A768" s="7"/>
      <c r="E768" s="7"/>
      <c r="F768" s="7"/>
    </row>
    <row r="769" spans="1:6" x14ac:dyDescent="0.25">
      <c r="A769" s="7"/>
      <c r="E769" s="7"/>
      <c r="F769" s="7"/>
    </row>
    <row r="770" spans="1:6" x14ac:dyDescent="0.25">
      <c r="A770" s="7"/>
      <c r="E770" s="7"/>
      <c r="F770" s="7"/>
    </row>
    <row r="771" spans="1:6" x14ac:dyDescent="0.25">
      <c r="A771" s="7"/>
      <c r="E771" s="7"/>
      <c r="F771" s="7"/>
    </row>
    <row r="772" spans="1:6" x14ac:dyDescent="0.25">
      <c r="A772" s="7"/>
      <c r="E772" s="7"/>
      <c r="F772" s="7"/>
    </row>
    <row r="773" spans="1:6" x14ac:dyDescent="0.25">
      <c r="A773" s="7"/>
      <c r="E773" s="7"/>
      <c r="F773" s="7"/>
    </row>
    <row r="774" spans="1:6" x14ac:dyDescent="0.25">
      <c r="A774" s="7"/>
      <c r="E774" s="7"/>
      <c r="F774" s="7"/>
    </row>
    <row r="775" spans="1:6" x14ac:dyDescent="0.25">
      <c r="A775" s="7"/>
      <c r="E775" s="7"/>
      <c r="F775" s="7"/>
    </row>
    <row r="776" spans="1:6" x14ac:dyDescent="0.25">
      <c r="A776" s="7"/>
      <c r="E776" s="7"/>
      <c r="F776" s="7"/>
    </row>
    <row r="777" spans="1:6" x14ac:dyDescent="0.25">
      <c r="A777" s="7"/>
      <c r="E777" s="7"/>
      <c r="F777" s="7"/>
    </row>
    <row r="778" spans="1:6" x14ac:dyDescent="0.25">
      <c r="A778" s="7"/>
      <c r="E778" s="7"/>
      <c r="F778" s="7"/>
    </row>
    <row r="779" spans="1:6" x14ac:dyDescent="0.25">
      <c r="A779" s="7"/>
      <c r="E779" s="7"/>
      <c r="F779" s="7"/>
    </row>
    <row r="780" spans="1:6" x14ac:dyDescent="0.25">
      <c r="A780" s="7"/>
      <c r="E780" s="7"/>
      <c r="F780" s="7"/>
    </row>
    <row r="781" spans="1:6" x14ac:dyDescent="0.25">
      <c r="A781" s="7"/>
      <c r="E781" s="7"/>
      <c r="F781" s="7"/>
    </row>
    <row r="782" spans="1:6" x14ac:dyDescent="0.25">
      <c r="A782" s="7"/>
      <c r="E782" s="7"/>
      <c r="F782" s="7"/>
    </row>
    <row r="783" spans="1:6" x14ac:dyDescent="0.25">
      <c r="A783" s="7"/>
      <c r="E783" s="7"/>
      <c r="F783" s="7"/>
    </row>
    <row r="784" spans="1:6" x14ac:dyDescent="0.25">
      <c r="A784" s="7"/>
      <c r="E784" s="7"/>
      <c r="F784" s="7"/>
    </row>
    <row r="785" spans="1:6" x14ac:dyDescent="0.25">
      <c r="A785" s="7"/>
      <c r="E785" s="7"/>
      <c r="F785" s="7"/>
    </row>
    <row r="786" spans="1:6" x14ac:dyDescent="0.25">
      <c r="A786" s="7"/>
      <c r="E786" s="7"/>
      <c r="F786" s="7"/>
    </row>
    <row r="787" spans="1:6" x14ac:dyDescent="0.25">
      <c r="A787" s="7"/>
      <c r="E787" s="7"/>
      <c r="F787" s="7"/>
    </row>
    <row r="788" spans="1:6" x14ac:dyDescent="0.25">
      <c r="A788" s="7"/>
      <c r="E788" s="7"/>
      <c r="F788" s="7"/>
    </row>
    <row r="789" spans="1:6" x14ac:dyDescent="0.25">
      <c r="A789" s="7"/>
      <c r="E789" s="7"/>
      <c r="F789" s="7"/>
    </row>
    <row r="790" spans="1:6" x14ac:dyDescent="0.25">
      <c r="A790" s="7"/>
      <c r="E790" s="7"/>
      <c r="F790" s="7"/>
    </row>
    <row r="791" spans="1:6" x14ac:dyDescent="0.25">
      <c r="A791" s="7"/>
      <c r="E791" s="7"/>
      <c r="F791" s="7"/>
    </row>
    <row r="792" spans="1:6" x14ac:dyDescent="0.25">
      <c r="A792" s="7"/>
      <c r="E792" s="7"/>
      <c r="F792" s="7"/>
    </row>
    <row r="793" spans="1:6" x14ac:dyDescent="0.25">
      <c r="A793" s="7"/>
      <c r="E793" s="7"/>
      <c r="F793" s="7"/>
    </row>
    <row r="794" spans="1:6" x14ac:dyDescent="0.25">
      <c r="A794" s="7"/>
      <c r="E794" s="7"/>
      <c r="F794" s="7"/>
    </row>
    <row r="795" spans="1:6" x14ac:dyDescent="0.25">
      <c r="A795" s="7"/>
      <c r="E795" s="7"/>
      <c r="F795" s="7"/>
    </row>
    <row r="796" spans="1:6" x14ac:dyDescent="0.25">
      <c r="A796" s="7"/>
      <c r="E796" s="7"/>
      <c r="F796" s="7"/>
    </row>
    <row r="797" spans="1:6" x14ac:dyDescent="0.25">
      <c r="A797" s="7"/>
      <c r="E797" s="7"/>
      <c r="F797" s="7"/>
    </row>
    <row r="798" spans="1:6" x14ac:dyDescent="0.25">
      <c r="A798" s="7"/>
      <c r="E798" s="7"/>
      <c r="F798" s="7"/>
    </row>
    <row r="799" spans="1:6" x14ac:dyDescent="0.25">
      <c r="A799" s="7"/>
      <c r="E799" s="7"/>
      <c r="F799" s="7"/>
    </row>
    <row r="800" spans="1:6" x14ac:dyDescent="0.25">
      <c r="A800" s="7"/>
      <c r="E800" s="7"/>
      <c r="F800" s="7"/>
    </row>
    <row r="801" spans="1:6" x14ac:dyDescent="0.25">
      <c r="A801" s="7"/>
      <c r="E801" s="7"/>
      <c r="F801" s="7"/>
    </row>
    <row r="802" spans="1:6" x14ac:dyDescent="0.25">
      <c r="A802" s="7"/>
      <c r="E802" s="7"/>
      <c r="F802" s="7"/>
    </row>
    <row r="803" spans="1:6" x14ac:dyDescent="0.25">
      <c r="A803" s="7"/>
      <c r="E803" s="7"/>
      <c r="F803" s="7"/>
    </row>
    <row r="804" spans="1:6" x14ac:dyDescent="0.25">
      <c r="A804" s="7"/>
      <c r="E804" s="7"/>
      <c r="F804" s="7"/>
    </row>
    <row r="805" spans="1:6" x14ac:dyDescent="0.25">
      <c r="A805" s="7"/>
      <c r="E805" s="7"/>
      <c r="F805" s="7"/>
    </row>
    <row r="806" spans="1:6" x14ac:dyDescent="0.25">
      <c r="A806" s="7"/>
      <c r="E806" s="7"/>
      <c r="F806" s="7"/>
    </row>
    <row r="807" spans="1:6" x14ac:dyDescent="0.25">
      <c r="A807" s="7"/>
      <c r="E807" s="7"/>
      <c r="F807" s="7"/>
    </row>
    <row r="808" spans="1:6" x14ac:dyDescent="0.25">
      <c r="A808" s="7"/>
      <c r="E808" s="7"/>
      <c r="F808" s="7"/>
    </row>
    <row r="809" spans="1:6" x14ac:dyDescent="0.25">
      <c r="A809" s="7"/>
      <c r="E809" s="7"/>
      <c r="F809" s="7"/>
    </row>
    <row r="810" spans="1:6" x14ac:dyDescent="0.25">
      <c r="A810" s="7"/>
      <c r="E810" s="7"/>
      <c r="F810" s="7"/>
    </row>
    <row r="811" spans="1:6" x14ac:dyDescent="0.25">
      <c r="A811" s="7"/>
      <c r="E811" s="7"/>
      <c r="F811" s="7"/>
    </row>
    <row r="812" spans="1:6" x14ac:dyDescent="0.25">
      <c r="A812" s="7"/>
      <c r="E812" s="7"/>
      <c r="F812" s="7"/>
    </row>
    <row r="813" spans="1:6" x14ac:dyDescent="0.25">
      <c r="A813" s="7"/>
      <c r="E813" s="7"/>
      <c r="F813" s="7"/>
    </row>
    <row r="814" spans="1:6" x14ac:dyDescent="0.25">
      <c r="A814" s="7"/>
      <c r="E814" s="7"/>
      <c r="F814" s="7"/>
    </row>
    <row r="815" spans="1:6" x14ac:dyDescent="0.25">
      <c r="A815" s="7"/>
      <c r="E815" s="7"/>
      <c r="F815" s="7"/>
    </row>
    <row r="816" spans="1:6" x14ac:dyDescent="0.25">
      <c r="A816" s="7"/>
      <c r="E816" s="7"/>
      <c r="F816" s="7"/>
    </row>
    <row r="817" spans="1:6" x14ac:dyDescent="0.25">
      <c r="A817" s="7"/>
      <c r="E817" s="7"/>
      <c r="F817" s="7"/>
    </row>
    <row r="818" spans="1:6" x14ac:dyDescent="0.25">
      <c r="A818" s="7"/>
      <c r="E818" s="7"/>
      <c r="F818" s="7"/>
    </row>
    <row r="819" spans="1:6" x14ac:dyDescent="0.25">
      <c r="A819" s="7"/>
      <c r="E819" s="7"/>
      <c r="F819" s="7"/>
    </row>
    <row r="820" spans="1:6" x14ac:dyDescent="0.25">
      <c r="A820" s="7"/>
      <c r="E820" s="7"/>
      <c r="F820" s="7"/>
    </row>
    <row r="821" spans="1:6" x14ac:dyDescent="0.25">
      <c r="A821" s="7"/>
      <c r="E821" s="7"/>
      <c r="F821" s="7"/>
    </row>
    <row r="822" spans="1:6" x14ac:dyDescent="0.25">
      <c r="A822" s="7"/>
      <c r="E822" s="7"/>
      <c r="F822" s="7"/>
    </row>
    <row r="823" spans="1:6" x14ac:dyDescent="0.25">
      <c r="A823" s="7"/>
      <c r="E823" s="7"/>
      <c r="F823" s="7"/>
    </row>
    <row r="824" spans="1:6" x14ac:dyDescent="0.25">
      <c r="A824" s="7"/>
      <c r="E824" s="7"/>
      <c r="F824" s="7"/>
    </row>
    <row r="825" spans="1:6" x14ac:dyDescent="0.25">
      <c r="A825" s="7"/>
      <c r="E825" s="7"/>
      <c r="F825" s="7"/>
    </row>
    <row r="826" spans="1:6" x14ac:dyDescent="0.25">
      <c r="A826" s="7"/>
      <c r="E826" s="7"/>
      <c r="F826" s="7"/>
    </row>
    <row r="827" spans="1:6" x14ac:dyDescent="0.25">
      <c r="A827" s="7"/>
      <c r="E827" s="7"/>
      <c r="F827" s="7"/>
    </row>
    <row r="828" spans="1:6" x14ac:dyDescent="0.25">
      <c r="A828" s="7"/>
      <c r="E828" s="7"/>
      <c r="F828" s="7"/>
    </row>
    <row r="829" spans="1:6" x14ac:dyDescent="0.25">
      <c r="A829" s="7"/>
      <c r="E829" s="7"/>
      <c r="F829" s="7"/>
    </row>
    <row r="830" spans="1:6" x14ac:dyDescent="0.25">
      <c r="A830" s="7"/>
      <c r="E830" s="7"/>
      <c r="F830" s="7"/>
    </row>
    <row r="831" spans="1:6" x14ac:dyDescent="0.25">
      <c r="A831" s="7"/>
      <c r="E831" s="7"/>
      <c r="F831" s="7"/>
    </row>
    <row r="832" spans="1:6" x14ac:dyDescent="0.25">
      <c r="A832" s="7"/>
      <c r="E832" s="7"/>
      <c r="F832" s="7"/>
    </row>
    <row r="833" spans="1:6" x14ac:dyDescent="0.25">
      <c r="A833" s="7"/>
      <c r="E833" s="7"/>
      <c r="F833" s="7"/>
    </row>
    <row r="834" spans="1:6" x14ac:dyDescent="0.25">
      <c r="A834" s="7"/>
      <c r="E834" s="7"/>
      <c r="F834" s="7"/>
    </row>
    <row r="835" spans="1:6" x14ac:dyDescent="0.25">
      <c r="A835" s="7"/>
      <c r="E835" s="7"/>
      <c r="F835" s="7"/>
    </row>
    <row r="836" spans="1:6" x14ac:dyDescent="0.25">
      <c r="A836" s="7"/>
      <c r="E836" s="7"/>
      <c r="F836" s="7"/>
    </row>
    <row r="837" spans="1:6" x14ac:dyDescent="0.25">
      <c r="A837" s="7"/>
      <c r="E837" s="7"/>
      <c r="F837" s="7"/>
    </row>
    <row r="838" spans="1:6" x14ac:dyDescent="0.25">
      <c r="A838" s="7"/>
      <c r="E838" s="7"/>
      <c r="F838" s="7"/>
    </row>
    <row r="839" spans="1:6" x14ac:dyDescent="0.25">
      <c r="A839" s="7"/>
      <c r="E839" s="7"/>
      <c r="F839" s="7"/>
    </row>
    <row r="840" spans="1:6" x14ac:dyDescent="0.25">
      <c r="A840" s="7"/>
      <c r="E840" s="7"/>
      <c r="F840" s="7"/>
    </row>
    <row r="841" spans="1:6" x14ac:dyDescent="0.25">
      <c r="A841" s="7"/>
      <c r="E841" s="7"/>
      <c r="F841" s="7"/>
    </row>
    <row r="842" spans="1:6" x14ac:dyDescent="0.25">
      <c r="A842" s="7"/>
      <c r="E842" s="7"/>
      <c r="F842" s="7"/>
    </row>
    <row r="843" spans="1:6" x14ac:dyDescent="0.25">
      <c r="A843" s="7"/>
      <c r="E843" s="7"/>
      <c r="F843" s="7"/>
    </row>
    <row r="844" spans="1:6" x14ac:dyDescent="0.25">
      <c r="A844" s="7"/>
      <c r="E844" s="7"/>
      <c r="F844" s="7"/>
    </row>
    <row r="845" spans="1:6" x14ac:dyDescent="0.25">
      <c r="A845" s="7"/>
      <c r="E845" s="7"/>
      <c r="F845" s="7"/>
    </row>
    <row r="846" spans="1:6" x14ac:dyDescent="0.25">
      <c r="A846" s="7"/>
      <c r="E846" s="7"/>
      <c r="F846" s="7"/>
    </row>
    <row r="847" spans="1:6" x14ac:dyDescent="0.25">
      <c r="A847" s="7"/>
      <c r="E847" s="7"/>
      <c r="F847" s="7"/>
    </row>
    <row r="848" spans="1:6" x14ac:dyDescent="0.25">
      <c r="A848" s="7"/>
      <c r="E848" s="7"/>
      <c r="F848" s="7"/>
    </row>
    <row r="849" spans="1:6" x14ac:dyDescent="0.25">
      <c r="A849" s="7"/>
      <c r="E849" s="7"/>
      <c r="F849" s="7"/>
    </row>
    <row r="850" spans="1:6" x14ac:dyDescent="0.25">
      <c r="A850" s="7"/>
      <c r="E850" s="7"/>
      <c r="F850" s="7"/>
    </row>
    <row r="851" spans="1:6" x14ac:dyDescent="0.25">
      <c r="A851" s="7"/>
      <c r="E851" s="7"/>
      <c r="F851" s="7"/>
    </row>
    <row r="852" spans="1:6" x14ac:dyDescent="0.25">
      <c r="A852" s="7"/>
      <c r="E852" s="7"/>
      <c r="F852" s="7"/>
    </row>
    <row r="853" spans="1:6" x14ac:dyDescent="0.25">
      <c r="A853" s="7"/>
      <c r="E853" s="7"/>
      <c r="F853" s="7"/>
    </row>
    <row r="854" spans="1:6" x14ac:dyDescent="0.25">
      <c r="A854" s="7"/>
      <c r="E854" s="7"/>
      <c r="F854" s="7"/>
    </row>
    <row r="855" spans="1:6" x14ac:dyDescent="0.25">
      <c r="A855" s="7"/>
      <c r="E855" s="7"/>
      <c r="F855" s="7"/>
    </row>
    <row r="856" spans="1:6" x14ac:dyDescent="0.25">
      <c r="A856" s="7"/>
      <c r="E856" s="7"/>
      <c r="F856" s="7"/>
    </row>
    <row r="857" spans="1:6" x14ac:dyDescent="0.25">
      <c r="A857" s="7"/>
      <c r="E857" s="7"/>
      <c r="F857" s="7"/>
    </row>
    <row r="858" spans="1:6" x14ac:dyDescent="0.25">
      <c r="A858" s="7"/>
      <c r="E858" s="7"/>
      <c r="F858" s="7"/>
    </row>
    <row r="859" spans="1:6" x14ac:dyDescent="0.25">
      <c r="A859" s="7"/>
      <c r="E859" s="7"/>
      <c r="F859" s="7"/>
    </row>
    <row r="860" spans="1:6" x14ac:dyDescent="0.25">
      <c r="A860" s="7"/>
      <c r="E860" s="7"/>
      <c r="F860" s="7"/>
    </row>
    <row r="861" spans="1:6" x14ac:dyDescent="0.25">
      <c r="A861" s="7"/>
      <c r="E861" s="7"/>
      <c r="F861" s="7"/>
    </row>
    <row r="862" spans="1:6" x14ac:dyDescent="0.25">
      <c r="A862" s="7"/>
      <c r="E862" s="7"/>
      <c r="F862" s="7"/>
    </row>
    <row r="863" spans="1:6" x14ac:dyDescent="0.25">
      <c r="A863" s="7"/>
      <c r="E863" s="7"/>
      <c r="F863" s="7"/>
    </row>
    <row r="864" spans="1:6" x14ac:dyDescent="0.25">
      <c r="A864" s="7"/>
      <c r="E864" s="7"/>
      <c r="F864" s="7"/>
    </row>
    <row r="865" spans="1:6" x14ac:dyDescent="0.25">
      <c r="A865" s="7"/>
      <c r="E865" s="7"/>
      <c r="F865" s="7"/>
    </row>
    <row r="866" spans="1:6" x14ac:dyDescent="0.25">
      <c r="A866" s="7"/>
      <c r="E866" s="7"/>
      <c r="F866" s="7"/>
    </row>
    <row r="867" spans="1:6" x14ac:dyDescent="0.25">
      <c r="A867" s="7"/>
      <c r="E867" s="7"/>
      <c r="F867" s="7"/>
    </row>
    <row r="868" spans="1:6" x14ac:dyDescent="0.25">
      <c r="A868" s="7"/>
      <c r="E868" s="7"/>
      <c r="F868" s="7"/>
    </row>
    <row r="869" spans="1:6" x14ac:dyDescent="0.25">
      <c r="A869" s="7"/>
      <c r="E869" s="7"/>
      <c r="F869" s="7"/>
    </row>
    <row r="870" spans="1:6" x14ac:dyDescent="0.25">
      <c r="A870" s="7"/>
      <c r="E870" s="7"/>
      <c r="F870" s="7"/>
    </row>
    <row r="871" spans="1:6" x14ac:dyDescent="0.25">
      <c r="A871" s="7"/>
      <c r="E871" s="7"/>
      <c r="F871" s="7"/>
    </row>
    <row r="872" spans="1:6" x14ac:dyDescent="0.25">
      <c r="A872" s="7"/>
      <c r="E872" s="7"/>
      <c r="F872" s="7"/>
    </row>
    <row r="873" spans="1:6" x14ac:dyDescent="0.25">
      <c r="A873" s="7"/>
      <c r="E873" s="7"/>
      <c r="F873" s="7"/>
    </row>
    <row r="874" spans="1:6" x14ac:dyDescent="0.25">
      <c r="A874" s="7"/>
      <c r="E874" s="7"/>
      <c r="F874" s="7"/>
    </row>
    <row r="875" spans="1:6" x14ac:dyDescent="0.25">
      <c r="A875" s="7"/>
      <c r="E875" s="7"/>
      <c r="F875" s="7"/>
    </row>
    <row r="876" spans="1:6" x14ac:dyDescent="0.25">
      <c r="A876" s="7"/>
      <c r="E876" s="7"/>
      <c r="F876" s="7"/>
    </row>
    <row r="877" spans="1:6" x14ac:dyDescent="0.25">
      <c r="A877" s="7"/>
      <c r="E877" s="7"/>
      <c r="F877" s="7"/>
    </row>
    <row r="878" spans="1:6" x14ac:dyDescent="0.25">
      <c r="A878" s="7"/>
      <c r="E878" s="7"/>
      <c r="F878" s="7"/>
    </row>
    <row r="879" spans="1:6" x14ac:dyDescent="0.25">
      <c r="A879" s="7"/>
      <c r="E879" s="7"/>
      <c r="F879" s="7"/>
    </row>
    <row r="880" spans="1:6" x14ac:dyDescent="0.25">
      <c r="A880" s="7"/>
      <c r="E880" s="7"/>
      <c r="F880" s="7"/>
    </row>
    <row r="881" spans="1:6" x14ac:dyDescent="0.25">
      <c r="A881" s="7"/>
      <c r="E881" s="7"/>
      <c r="F881" s="7"/>
    </row>
    <row r="882" spans="1:6" x14ac:dyDescent="0.25">
      <c r="A882" s="7"/>
      <c r="E882" s="7"/>
      <c r="F882" s="7"/>
    </row>
    <row r="883" spans="1:6" x14ac:dyDescent="0.25">
      <c r="A883" s="7"/>
      <c r="E883" s="7"/>
      <c r="F883" s="7"/>
    </row>
    <row r="884" spans="1:6" x14ac:dyDescent="0.25">
      <c r="A884" s="7"/>
      <c r="E884" s="7"/>
      <c r="F884" s="7"/>
    </row>
    <row r="885" spans="1:6" x14ac:dyDescent="0.25">
      <c r="A885" s="7"/>
      <c r="E885" s="7"/>
      <c r="F885" s="7"/>
    </row>
    <row r="886" spans="1:6" x14ac:dyDescent="0.25">
      <c r="A886" s="7"/>
      <c r="E886" s="7"/>
      <c r="F886" s="7"/>
    </row>
    <row r="887" spans="1:6" x14ac:dyDescent="0.25">
      <c r="A887" s="7"/>
      <c r="E887" s="7"/>
      <c r="F887" s="7"/>
    </row>
    <row r="888" spans="1:6" x14ac:dyDescent="0.25">
      <c r="A888" s="7"/>
      <c r="E888" s="7"/>
      <c r="F888" s="7"/>
    </row>
    <row r="889" spans="1:6" x14ac:dyDescent="0.25">
      <c r="A889" s="7"/>
      <c r="E889" s="7"/>
      <c r="F889" s="7"/>
    </row>
    <row r="890" spans="1:6" x14ac:dyDescent="0.25">
      <c r="A890" s="7"/>
      <c r="E890" s="7"/>
      <c r="F890" s="7"/>
    </row>
    <row r="891" spans="1:6" x14ac:dyDescent="0.25">
      <c r="A891" s="7"/>
      <c r="E891" s="7"/>
      <c r="F891" s="7"/>
    </row>
    <row r="892" spans="1:6" x14ac:dyDescent="0.25">
      <c r="A892" s="7"/>
      <c r="E892" s="7"/>
      <c r="F892" s="7"/>
    </row>
    <row r="893" spans="1:6" x14ac:dyDescent="0.25">
      <c r="A893" s="7"/>
      <c r="E893" s="7"/>
      <c r="F893" s="7"/>
    </row>
    <row r="894" spans="1:6" x14ac:dyDescent="0.25">
      <c r="A894" s="7"/>
      <c r="E894" s="7"/>
      <c r="F894" s="7"/>
    </row>
    <row r="895" spans="1:6" x14ac:dyDescent="0.25">
      <c r="A895" s="7"/>
      <c r="E895" s="7"/>
      <c r="F895" s="7"/>
    </row>
    <row r="896" spans="1:6" x14ac:dyDescent="0.25">
      <c r="A896" s="7"/>
      <c r="E896" s="7"/>
      <c r="F896" s="7"/>
    </row>
    <row r="897" spans="1:6" x14ac:dyDescent="0.25">
      <c r="A897" s="7"/>
      <c r="E897" s="7"/>
      <c r="F897" s="7"/>
    </row>
    <row r="898" spans="1:6" x14ac:dyDescent="0.25">
      <c r="A898" s="7"/>
      <c r="E898" s="7"/>
      <c r="F898" s="7"/>
    </row>
    <row r="899" spans="1:6" x14ac:dyDescent="0.25">
      <c r="A899" s="7"/>
      <c r="E899" s="7"/>
      <c r="F899" s="7"/>
    </row>
    <row r="900" spans="1:6" x14ac:dyDescent="0.25">
      <c r="A900" s="7"/>
      <c r="E900" s="7"/>
      <c r="F900" s="7"/>
    </row>
    <row r="901" spans="1:6" x14ac:dyDescent="0.25">
      <c r="A901" s="7"/>
      <c r="E901" s="7"/>
      <c r="F901" s="7"/>
    </row>
    <row r="902" spans="1:6" x14ac:dyDescent="0.25">
      <c r="A902" s="7"/>
      <c r="E902" s="7"/>
      <c r="F902" s="7"/>
    </row>
    <row r="903" spans="1:6" x14ac:dyDescent="0.25">
      <c r="A903" s="7"/>
      <c r="E903" s="7"/>
      <c r="F903" s="7"/>
    </row>
    <row r="904" spans="1:6" x14ac:dyDescent="0.25">
      <c r="A904" s="7"/>
      <c r="E904" s="7"/>
      <c r="F904" s="7"/>
    </row>
    <row r="905" spans="1:6" x14ac:dyDescent="0.25">
      <c r="A905" s="7"/>
      <c r="E905" s="7"/>
      <c r="F905" s="7"/>
    </row>
    <row r="906" spans="1:6" x14ac:dyDescent="0.25">
      <c r="A906" s="7"/>
      <c r="E906" s="7"/>
      <c r="F906" s="7"/>
    </row>
    <row r="907" spans="1:6" x14ac:dyDescent="0.25">
      <c r="A907" s="7"/>
      <c r="E907" s="7"/>
      <c r="F907" s="7"/>
    </row>
    <row r="908" spans="1:6" x14ac:dyDescent="0.25">
      <c r="A908" s="7"/>
      <c r="E908" s="7"/>
      <c r="F908" s="7"/>
    </row>
    <row r="909" spans="1:6" x14ac:dyDescent="0.25">
      <c r="A909" s="7"/>
      <c r="E909" s="7"/>
      <c r="F909" s="7"/>
    </row>
    <row r="910" spans="1:6" x14ac:dyDescent="0.25">
      <c r="A910" s="7"/>
      <c r="E910" s="7"/>
      <c r="F910" s="7"/>
    </row>
    <row r="911" spans="1:6" x14ac:dyDescent="0.25">
      <c r="A911" s="7"/>
      <c r="E911" s="7"/>
      <c r="F911" s="7"/>
    </row>
    <row r="912" spans="1:6" x14ac:dyDescent="0.25">
      <c r="A912" s="7"/>
      <c r="E912" s="7"/>
      <c r="F912" s="7"/>
    </row>
    <row r="913" spans="1:6" x14ac:dyDescent="0.25">
      <c r="A913" s="7"/>
      <c r="E913" s="7"/>
      <c r="F913" s="7"/>
    </row>
    <row r="914" spans="1:6" x14ac:dyDescent="0.25">
      <c r="A914" s="7"/>
      <c r="E914" s="7"/>
      <c r="F914" s="7"/>
    </row>
    <row r="915" spans="1:6" x14ac:dyDescent="0.25">
      <c r="A915" s="7"/>
      <c r="E915" s="7"/>
      <c r="F915" s="7"/>
    </row>
    <row r="916" spans="1:6" x14ac:dyDescent="0.25">
      <c r="A916" s="7"/>
      <c r="E916" s="7"/>
      <c r="F916" s="7"/>
    </row>
    <row r="917" spans="1:6" x14ac:dyDescent="0.25">
      <c r="A917" s="7"/>
      <c r="E917" s="7"/>
      <c r="F917" s="7"/>
    </row>
    <row r="918" spans="1:6" x14ac:dyDescent="0.25">
      <c r="A918" s="7"/>
      <c r="E918" s="7"/>
      <c r="F918" s="7"/>
    </row>
    <row r="919" spans="1:6" x14ac:dyDescent="0.25">
      <c r="A919" s="7"/>
      <c r="E919" s="7"/>
      <c r="F919" s="7"/>
    </row>
    <row r="920" spans="1:6" x14ac:dyDescent="0.25">
      <c r="A920" s="7"/>
      <c r="E920" s="7"/>
      <c r="F920" s="7"/>
    </row>
    <row r="921" spans="1:6" x14ac:dyDescent="0.25">
      <c r="A921" s="7"/>
      <c r="E921" s="7"/>
      <c r="F921" s="7"/>
    </row>
    <row r="922" spans="1:6" x14ac:dyDescent="0.25">
      <c r="A922" s="7"/>
      <c r="E922" s="7"/>
      <c r="F922" s="7"/>
    </row>
    <row r="923" spans="1:6" x14ac:dyDescent="0.25">
      <c r="A923" s="7"/>
      <c r="E923" s="7"/>
      <c r="F923" s="7"/>
    </row>
    <row r="924" spans="1:6" x14ac:dyDescent="0.25">
      <c r="A924" s="7"/>
      <c r="E924" s="7"/>
      <c r="F924" s="7"/>
    </row>
    <row r="925" spans="1:6" x14ac:dyDescent="0.25">
      <c r="A925" s="7"/>
      <c r="E925" s="7"/>
      <c r="F925" s="7"/>
    </row>
    <row r="926" spans="1:6" x14ac:dyDescent="0.25">
      <c r="A926" s="7"/>
      <c r="E926" s="7"/>
      <c r="F926" s="7"/>
    </row>
    <row r="927" spans="1:6" x14ac:dyDescent="0.25">
      <c r="A927" s="7"/>
      <c r="E927" s="7"/>
      <c r="F927" s="7"/>
    </row>
    <row r="928" spans="1:6" x14ac:dyDescent="0.25">
      <c r="A928" s="7"/>
      <c r="E928" s="7"/>
      <c r="F928" s="7"/>
    </row>
    <row r="929" spans="1:6" x14ac:dyDescent="0.25">
      <c r="A929" s="7"/>
      <c r="E929" s="7"/>
      <c r="F929" s="7"/>
    </row>
    <row r="930" spans="1:6" x14ac:dyDescent="0.25">
      <c r="A930" s="7"/>
      <c r="E930" s="7"/>
      <c r="F930" s="7"/>
    </row>
    <row r="931" spans="1:6" x14ac:dyDescent="0.25">
      <c r="A931" s="7"/>
      <c r="E931" s="7"/>
      <c r="F931" s="7"/>
    </row>
    <row r="932" spans="1:6" x14ac:dyDescent="0.25">
      <c r="A932" s="7"/>
      <c r="E932" s="7"/>
      <c r="F932" s="7"/>
    </row>
    <row r="933" spans="1:6" x14ac:dyDescent="0.25">
      <c r="A933" s="7"/>
      <c r="E933" s="7"/>
      <c r="F933" s="7"/>
    </row>
    <row r="934" spans="1:6" x14ac:dyDescent="0.25">
      <c r="A934" s="7"/>
      <c r="E934" s="7"/>
      <c r="F934" s="7"/>
    </row>
    <row r="935" spans="1:6" x14ac:dyDescent="0.25">
      <c r="A935" s="7"/>
      <c r="E935" s="7"/>
      <c r="F935" s="7"/>
    </row>
    <row r="936" spans="1:6" x14ac:dyDescent="0.25">
      <c r="A936" s="7"/>
      <c r="E936" s="7"/>
      <c r="F936" s="7"/>
    </row>
    <row r="937" spans="1:6" x14ac:dyDescent="0.25">
      <c r="A937" s="7"/>
      <c r="E937" s="7"/>
      <c r="F937" s="7"/>
    </row>
    <row r="938" spans="1:6" x14ac:dyDescent="0.25">
      <c r="A938" s="7"/>
      <c r="E938" s="7"/>
      <c r="F938" s="7"/>
    </row>
    <row r="939" spans="1:6" x14ac:dyDescent="0.25">
      <c r="A939" s="7"/>
      <c r="E939" s="7"/>
      <c r="F939" s="7"/>
    </row>
    <row r="940" spans="1:6" x14ac:dyDescent="0.25">
      <c r="A940" s="7"/>
      <c r="E940" s="7"/>
      <c r="F940" s="7"/>
    </row>
    <row r="941" spans="1:6" x14ac:dyDescent="0.25">
      <c r="A941" s="7"/>
      <c r="E941" s="7"/>
      <c r="F941" s="7"/>
    </row>
    <row r="942" spans="1:6" x14ac:dyDescent="0.25">
      <c r="A942" s="7"/>
      <c r="E942" s="7"/>
      <c r="F942" s="7"/>
    </row>
    <row r="943" spans="1:6" x14ac:dyDescent="0.25">
      <c r="A943" s="7"/>
      <c r="E943" s="7"/>
      <c r="F943" s="7"/>
    </row>
    <row r="944" spans="1:6" x14ac:dyDescent="0.25">
      <c r="A944" s="7"/>
      <c r="E944" s="7"/>
      <c r="F944" s="7"/>
    </row>
    <row r="945" spans="1:6" x14ac:dyDescent="0.25">
      <c r="A945" s="7"/>
      <c r="E945" s="7"/>
      <c r="F945" s="7"/>
    </row>
    <row r="946" spans="1:6" x14ac:dyDescent="0.25">
      <c r="A946" s="7"/>
      <c r="E946" s="7"/>
      <c r="F946" s="7"/>
    </row>
    <row r="947" spans="1:6" x14ac:dyDescent="0.25">
      <c r="A947" s="7"/>
      <c r="E947" s="7"/>
      <c r="F947" s="7"/>
    </row>
    <row r="948" spans="1:6" x14ac:dyDescent="0.25">
      <c r="A948" s="7"/>
      <c r="E948" s="7"/>
      <c r="F948" s="7"/>
    </row>
    <row r="949" spans="1:6" x14ac:dyDescent="0.25">
      <c r="A949" s="7"/>
      <c r="E949" s="7"/>
      <c r="F949" s="7"/>
    </row>
    <row r="950" spans="1:6" x14ac:dyDescent="0.25">
      <c r="A950" s="7"/>
      <c r="E950" s="7"/>
      <c r="F950" s="7"/>
    </row>
    <row r="951" spans="1:6" x14ac:dyDescent="0.25">
      <c r="A951" s="7"/>
      <c r="E951" s="7"/>
      <c r="F951" s="7"/>
    </row>
    <row r="952" spans="1:6" x14ac:dyDescent="0.25">
      <c r="A952" s="7"/>
      <c r="E952" s="7"/>
      <c r="F952" s="7"/>
    </row>
    <row r="953" spans="1:6" x14ac:dyDescent="0.25">
      <c r="A953" s="7"/>
      <c r="E953" s="7"/>
      <c r="F953" s="7"/>
    </row>
    <row r="954" spans="1:6" x14ac:dyDescent="0.25">
      <c r="A954" s="7"/>
      <c r="E954" s="7"/>
      <c r="F954" s="7"/>
    </row>
    <row r="955" spans="1:6" x14ac:dyDescent="0.25">
      <c r="A955" s="7"/>
      <c r="E955" s="7"/>
      <c r="F955" s="7"/>
    </row>
    <row r="956" spans="1:6" x14ac:dyDescent="0.25">
      <c r="A956" s="7"/>
      <c r="E956" s="7"/>
      <c r="F956" s="7"/>
    </row>
    <row r="957" spans="1:6" x14ac:dyDescent="0.25">
      <c r="A957" s="7"/>
      <c r="E957" s="7"/>
      <c r="F957" s="7"/>
    </row>
    <row r="958" spans="1:6" x14ac:dyDescent="0.25">
      <c r="A958" s="7"/>
      <c r="E958" s="7"/>
      <c r="F958" s="7"/>
    </row>
    <row r="959" spans="1:6" x14ac:dyDescent="0.25">
      <c r="A959" s="7"/>
      <c r="E959" s="7"/>
      <c r="F959" s="7"/>
    </row>
    <row r="960" spans="1:6" x14ac:dyDescent="0.25">
      <c r="A960" s="7"/>
      <c r="E960" s="7"/>
      <c r="F960" s="7"/>
    </row>
    <row r="961" spans="1:6" x14ac:dyDescent="0.25">
      <c r="A961" s="7"/>
      <c r="E961" s="7"/>
      <c r="F961" s="7"/>
    </row>
    <row r="962" spans="1:6" x14ac:dyDescent="0.25">
      <c r="A962" s="7"/>
      <c r="E962" s="7"/>
      <c r="F962" s="7"/>
    </row>
    <row r="963" spans="1:6" x14ac:dyDescent="0.25">
      <c r="A963" s="7"/>
      <c r="E963" s="7"/>
      <c r="F963" s="7"/>
    </row>
    <row r="964" spans="1:6" x14ac:dyDescent="0.25">
      <c r="A964" s="7"/>
      <c r="E964" s="7"/>
      <c r="F964" s="7"/>
    </row>
    <row r="965" spans="1:6" x14ac:dyDescent="0.25">
      <c r="A965" s="7"/>
      <c r="E965" s="7"/>
      <c r="F965" s="7"/>
    </row>
    <row r="966" spans="1:6" x14ac:dyDescent="0.25">
      <c r="A966" s="7"/>
      <c r="E966" s="7"/>
      <c r="F966" s="7"/>
    </row>
    <row r="967" spans="1:6" x14ac:dyDescent="0.25">
      <c r="A967" s="7"/>
      <c r="E967" s="7"/>
      <c r="F967" s="7"/>
    </row>
    <row r="968" spans="1:6" x14ac:dyDescent="0.25">
      <c r="A968" s="7"/>
      <c r="E968" s="7"/>
      <c r="F968" s="7"/>
    </row>
    <row r="969" spans="1:6" x14ac:dyDescent="0.25">
      <c r="A969" s="7"/>
      <c r="E969" s="7"/>
      <c r="F969" s="7"/>
    </row>
    <row r="970" spans="1:6" x14ac:dyDescent="0.25">
      <c r="A970" s="7"/>
      <c r="E970" s="7"/>
      <c r="F970" s="7"/>
    </row>
    <row r="971" spans="1:6" x14ac:dyDescent="0.25">
      <c r="A971" s="7"/>
      <c r="E971" s="7"/>
      <c r="F971" s="7"/>
    </row>
    <row r="972" spans="1:6" x14ac:dyDescent="0.25">
      <c r="A972" s="7"/>
      <c r="E972" s="7"/>
      <c r="F972" s="7"/>
    </row>
    <row r="973" spans="1:6" x14ac:dyDescent="0.25">
      <c r="A973" s="7"/>
      <c r="E973" s="7"/>
      <c r="F973" s="7"/>
    </row>
    <row r="974" spans="1:6" x14ac:dyDescent="0.25">
      <c r="A974" s="7"/>
      <c r="E974" s="7"/>
      <c r="F974" s="7"/>
    </row>
    <row r="975" spans="1:6" x14ac:dyDescent="0.25">
      <c r="A975" s="7"/>
      <c r="E975" s="7"/>
      <c r="F975" s="7"/>
    </row>
    <row r="976" spans="1:6" x14ac:dyDescent="0.25">
      <c r="A976" s="7"/>
      <c r="E976" s="7"/>
      <c r="F976" s="7"/>
    </row>
    <row r="977" spans="1:6" x14ac:dyDescent="0.25">
      <c r="A977" s="7"/>
      <c r="E977" s="7"/>
      <c r="F977" s="7"/>
    </row>
    <row r="978" spans="1:6" x14ac:dyDescent="0.25">
      <c r="A978" s="7"/>
      <c r="E978" s="7"/>
      <c r="F978" s="7"/>
    </row>
    <row r="979" spans="1:6" x14ac:dyDescent="0.25">
      <c r="A979" s="7"/>
      <c r="E979" s="7"/>
      <c r="F979" s="7"/>
    </row>
    <row r="980" spans="1:6" x14ac:dyDescent="0.25">
      <c r="A980" s="7"/>
      <c r="E980" s="7"/>
      <c r="F980" s="7"/>
    </row>
    <row r="981" spans="1:6" x14ac:dyDescent="0.25">
      <c r="A981" s="7"/>
      <c r="E981" s="7"/>
      <c r="F981" s="7"/>
    </row>
    <row r="982" spans="1:6" x14ac:dyDescent="0.25">
      <c r="A982" s="7"/>
      <c r="E982" s="7"/>
      <c r="F982" s="7"/>
    </row>
    <row r="983" spans="1:6" x14ac:dyDescent="0.25">
      <c r="A983" s="7"/>
      <c r="E983" s="7"/>
      <c r="F983" s="7"/>
    </row>
    <row r="984" spans="1:6" x14ac:dyDescent="0.25">
      <c r="A984" s="7"/>
      <c r="E984" s="7"/>
      <c r="F984" s="7"/>
    </row>
    <row r="985" spans="1:6" x14ac:dyDescent="0.25">
      <c r="A985" s="7"/>
      <c r="E985" s="7"/>
      <c r="F985" s="7"/>
    </row>
    <row r="986" spans="1:6" x14ac:dyDescent="0.25">
      <c r="A986" s="7"/>
      <c r="E986" s="7"/>
      <c r="F986" s="7"/>
    </row>
    <row r="987" spans="1:6" x14ac:dyDescent="0.25">
      <c r="A987" s="7"/>
      <c r="E987" s="7"/>
      <c r="F987" s="7"/>
    </row>
    <row r="988" spans="1:6" x14ac:dyDescent="0.25">
      <c r="A988" s="7"/>
      <c r="E988" s="7"/>
      <c r="F988" s="7"/>
    </row>
    <row r="989" spans="1:6" x14ac:dyDescent="0.25">
      <c r="A989" s="7"/>
      <c r="E989" s="7"/>
      <c r="F989" s="7"/>
    </row>
    <row r="990" spans="1:6" x14ac:dyDescent="0.25">
      <c r="A990" s="7"/>
      <c r="E990" s="7"/>
      <c r="F990" s="7"/>
    </row>
    <row r="991" spans="1:6" x14ac:dyDescent="0.25">
      <c r="A991" s="7"/>
      <c r="E991" s="7"/>
      <c r="F991" s="7"/>
    </row>
    <row r="992" spans="1:6" x14ac:dyDescent="0.25">
      <c r="A992" s="7"/>
      <c r="E992" s="7"/>
      <c r="F992" s="7"/>
    </row>
    <row r="993" spans="1:6" x14ac:dyDescent="0.25">
      <c r="A993" s="7"/>
      <c r="E993" s="7"/>
      <c r="F993" s="7"/>
    </row>
    <row r="994" spans="1:6" x14ac:dyDescent="0.25">
      <c r="A994" s="7"/>
      <c r="E994" s="7"/>
      <c r="F994" s="7"/>
    </row>
    <row r="995" spans="1:6" x14ac:dyDescent="0.25">
      <c r="A995" s="7"/>
      <c r="E995" s="7"/>
      <c r="F995" s="7"/>
    </row>
    <row r="996" spans="1:6" x14ac:dyDescent="0.25">
      <c r="A996" s="7"/>
      <c r="E996" s="7"/>
      <c r="F996" s="7"/>
    </row>
    <row r="997" spans="1:6" x14ac:dyDescent="0.25">
      <c r="A997" s="7"/>
      <c r="E997" s="7"/>
      <c r="F997" s="7"/>
    </row>
    <row r="998" spans="1:6" x14ac:dyDescent="0.25">
      <c r="A998" s="7"/>
      <c r="E998" s="7"/>
      <c r="F998" s="7"/>
    </row>
    <row r="999" spans="1:6" x14ac:dyDescent="0.25">
      <c r="A999" s="7"/>
      <c r="E999" s="7"/>
      <c r="F999" s="7"/>
    </row>
    <row r="1000" spans="1:6" x14ac:dyDescent="0.25">
      <c r="A1000" s="7"/>
      <c r="E1000" s="7"/>
      <c r="F1000" s="7"/>
    </row>
    <row r="1001" spans="1:6" x14ac:dyDescent="0.25">
      <c r="A1001" s="7"/>
      <c r="E1001" s="7"/>
      <c r="F1001" s="7"/>
    </row>
    <row r="1002" spans="1:6" x14ac:dyDescent="0.25">
      <c r="A1002" s="7"/>
      <c r="E1002" s="7"/>
      <c r="F1002" s="7"/>
    </row>
    <row r="1003" spans="1:6" x14ac:dyDescent="0.25">
      <c r="A1003" s="7"/>
      <c r="E1003" s="7"/>
      <c r="F1003" s="7"/>
    </row>
    <row r="1004" spans="1:6" x14ac:dyDescent="0.25">
      <c r="A1004" s="7"/>
      <c r="E1004" s="7"/>
      <c r="F1004" s="7"/>
    </row>
    <row r="1005" spans="1:6" x14ac:dyDescent="0.25">
      <c r="A1005" s="7"/>
      <c r="E1005" s="7"/>
      <c r="F1005" s="7"/>
    </row>
    <row r="1006" spans="1:6" x14ac:dyDescent="0.25">
      <c r="A1006" s="7"/>
      <c r="E1006" s="7"/>
      <c r="F1006" s="7"/>
    </row>
    <row r="1007" spans="1:6" x14ac:dyDescent="0.25">
      <c r="A1007" s="7"/>
      <c r="E1007" s="7"/>
      <c r="F1007" s="7"/>
    </row>
  </sheetData>
  <mergeCells count="4">
    <mergeCell ref="A1:I1"/>
    <mergeCell ref="A2:I2"/>
    <mergeCell ref="B3:C3"/>
    <mergeCell ref="A21:I21"/>
  </mergeCells>
  <printOptions horizontalCentered="1" verticalCentered="1" gridLines="1"/>
  <pageMargins left="0.25" right="0.25" top="0.75" bottom="0.75" header="0" footer="0"/>
  <pageSetup fitToHeight="0" pageOrder="overThenDown" orientation="landscape" cellComments="atEnd"/>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outlinePr summaryBelow="0" summaryRight="0"/>
    <pageSetUpPr fitToPage="1"/>
  </sheetPr>
  <dimension ref="A1:W1002"/>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46.33203125" customWidth="1"/>
    <col min="2" max="2" width="7.33203125" customWidth="1"/>
    <col min="3" max="4" width="7.88671875" customWidth="1"/>
    <col min="5" max="5" width="22.21875" customWidth="1"/>
    <col min="6" max="6" width="14.6640625" customWidth="1"/>
  </cols>
  <sheetData>
    <row r="1" spans="1:23" x14ac:dyDescent="0.25">
      <c r="A1" s="141" t="s">
        <v>698</v>
      </c>
      <c r="B1" s="142"/>
      <c r="C1" s="142"/>
      <c r="D1" s="142"/>
      <c r="E1" s="142"/>
      <c r="F1" s="142"/>
      <c r="G1" s="142"/>
      <c r="H1" s="142"/>
      <c r="I1" s="143"/>
    </row>
    <row r="2" spans="1:23" x14ac:dyDescent="0.25">
      <c r="A2" s="144" t="s">
        <v>699</v>
      </c>
      <c r="B2" s="142"/>
      <c r="C2" s="142"/>
      <c r="D2" s="142"/>
      <c r="E2" s="142"/>
      <c r="F2" s="142"/>
      <c r="G2" s="142"/>
      <c r="H2" s="142"/>
      <c r="I2" s="143"/>
    </row>
    <row r="3" spans="1:23" x14ac:dyDescent="0.25">
      <c r="A3" s="43" t="s">
        <v>374</v>
      </c>
      <c r="B3" s="145" t="s">
        <v>408</v>
      </c>
      <c r="C3" s="143"/>
      <c r="D3" s="49" t="s">
        <v>370</v>
      </c>
      <c r="E3" s="50" t="s">
        <v>371</v>
      </c>
      <c r="F3" s="51" t="s">
        <v>372</v>
      </c>
      <c r="G3" s="52" t="s">
        <v>373</v>
      </c>
      <c r="H3" s="53" t="s">
        <v>409</v>
      </c>
      <c r="I3" s="53" t="s">
        <v>410</v>
      </c>
      <c r="J3" s="7"/>
      <c r="K3" s="7"/>
      <c r="L3" s="7"/>
      <c r="M3" s="7"/>
      <c r="N3" s="7"/>
      <c r="O3" s="7"/>
      <c r="P3" s="7"/>
      <c r="Q3" s="7"/>
      <c r="R3" s="7"/>
      <c r="S3" s="7"/>
      <c r="T3" s="7"/>
      <c r="U3" s="7"/>
      <c r="V3" s="7"/>
      <c r="W3" s="7"/>
    </row>
    <row r="4" spans="1:23" x14ac:dyDescent="0.25">
      <c r="A4" s="41" t="s">
        <v>411</v>
      </c>
      <c r="B4" s="54">
        <f>SUM(B5:B8)/4</f>
        <v>1</v>
      </c>
      <c r="C4" s="55">
        <f>D4*B4</f>
        <v>0.7</v>
      </c>
      <c r="D4" s="56">
        <v>0.7</v>
      </c>
      <c r="E4" s="57"/>
      <c r="F4" s="57"/>
      <c r="G4" s="58"/>
      <c r="H4" s="58"/>
      <c r="I4" s="58"/>
    </row>
    <row r="5" spans="1:23" x14ac:dyDescent="0.25">
      <c r="A5" s="42" t="s">
        <v>700</v>
      </c>
      <c r="B5" s="59">
        <v>1</v>
      </c>
      <c r="C5" s="60"/>
      <c r="D5" s="60"/>
      <c r="E5" s="42"/>
      <c r="F5" s="61"/>
      <c r="G5" s="59">
        <v>0.8</v>
      </c>
      <c r="H5" s="59">
        <v>0.8</v>
      </c>
      <c r="I5" s="59">
        <v>1</v>
      </c>
    </row>
    <row r="6" spans="1:23" x14ac:dyDescent="0.25">
      <c r="A6" s="42" t="s">
        <v>701</v>
      </c>
      <c r="B6" s="59">
        <v>1</v>
      </c>
      <c r="C6" s="60"/>
      <c r="D6" s="60"/>
      <c r="E6" s="42"/>
      <c r="F6" s="61"/>
      <c r="G6" s="59">
        <v>0.8</v>
      </c>
      <c r="H6" s="59">
        <v>0.8</v>
      </c>
      <c r="I6" s="59">
        <v>1</v>
      </c>
    </row>
    <row r="7" spans="1:23" x14ac:dyDescent="0.25">
      <c r="A7" s="42" t="s">
        <v>702</v>
      </c>
      <c r="B7" s="59">
        <v>1</v>
      </c>
      <c r="C7" s="60"/>
      <c r="D7" s="60"/>
      <c r="E7" s="42"/>
      <c r="F7" s="61"/>
      <c r="G7" s="59">
        <v>0.8</v>
      </c>
      <c r="H7" s="59">
        <v>0.8</v>
      </c>
      <c r="I7" s="59">
        <v>1</v>
      </c>
    </row>
    <row r="8" spans="1:23" x14ac:dyDescent="0.25">
      <c r="A8" s="42" t="s">
        <v>703</v>
      </c>
      <c r="B8" s="59">
        <v>1</v>
      </c>
      <c r="C8" s="60"/>
      <c r="D8" s="60"/>
      <c r="E8" s="42"/>
      <c r="F8" s="42"/>
      <c r="G8" s="60"/>
      <c r="H8" s="60"/>
      <c r="I8" s="60"/>
    </row>
    <row r="9" spans="1:23" x14ac:dyDescent="0.25">
      <c r="A9" s="41" t="s">
        <v>415</v>
      </c>
      <c r="B9" s="54">
        <f>SUM(B10:B11)/1</f>
        <v>1</v>
      </c>
      <c r="C9" s="55">
        <f>D9*B9</f>
        <v>0.2</v>
      </c>
      <c r="D9" s="56">
        <v>0.2</v>
      </c>
      <c r="E9" s="57"/>
      <c r="F9" s="57"/>
      <c r="G9" s="58"/>
      <c r="H9" s="58"/>
      <c r="I9" s="58"/>
    </row>
    <row r="10" spans="1:23" x14ac:dyDescent="0.25">
      <c r="A10" s="42" t="s">
        <v>704</v>
      </c>
      <c r="B10" s="59">
        <v>1</v>
      </c>
      <c r="C10" s="60"/>
      <c r="D10" s="60"/>
      <c r="E10" s="42" t="s">
        <v>705</v>
      </c>
      <c r="F10" s="42" t="s">
        <v>425</v>
      </c>
      <c r="G10" s="59">
        <v>1</v>
      </c>
      <c r="H10" s="59"/>
      <c r="I10" s="59"/>
    </row>
    <row r="11" spans="1:23" x14ac:dyDescent="0.25">
      <c r="A11" s="43"/>
      <c r="B11" s="62"/>
      <c r="C11" s="60"/>
      <c r="D11" s="60"/>
      <c r="E11" s="42"/>
      <c r="F11" s="61"/>
      <c r="G11" s="59"/>
      <c r="H11" s="59"/>
      <c r="I11" s="59"/>
    </row>
    <row r="12" spans="1:23" x14ac:dyDescent="0.25">
      <c r="A12" s="41" t="s">
        <v>385</v>
      </c>
      <c r="B12" s="54">
        <f>SUM(B13:B14)/2</f>
        <v>1</v>
      </c>
      <c r="C12" s="55">
        <f>D12*B12</f>
        <v>0.1</v>
      </c>
      <c r="D12" s="56">
        <v>0.1</v>
      </c>
      <c r="E12" s="57"/>
      <c r="F12" s="57"/>
      <c r="G12" s="58"/>
      <c r="H12" s="58"/>
      <c r="I12" s="58"/>
    </row>
    <row r="13" spans="1:23" x14ac:dyDescent="0.25">
      <c r="A13" s="42" t="s">
        <v>386</v>
      </c>
      <c r="B13" s="59">
        <v>1</v>
      </c>
      <c r="C13" s="60"/>
      <c r="D13" s="53"/>
      <c r="E13" s="42"/>
      <c r="F13" s="42" t="s">
        <v>418</v>
      </c>
      <c r="G13" s="59">
        <v>0.8</v>
      </c>
      <c r="H13" s="59">
        <v>0.8</v>
      </c>
      <c r="I13" s="59">
        <v>1</v>
      </c>
    </row>
    <row r="14" spans="1:23" x14ac:dyDescent="0.25">
      <c r="A14" s="42" t="s">
        <v>387</v>
      </c>
      <c r="B14" s="59">
        <v>1</v>
      </c>
      <c r="C14" s="60"/>
      <c r="D14" s="53"/>
      <c r="E14" s="42"/>
      <c r="F14" s="42" t="s">
        <v>419</v>
      </c>
      <c r="G14" s="59">
        <v>0.8</v>
      </c>
      <c r="H14" s="59">
        <v>0.8</v>
      </c>
      <c r="I14" s="59">
        <v>1</v>
      </c>
    </row>
    <row r="15" spans="1:23" x14ac:dyDescent="0.25">
      <c r="A15" s="42"/>
      <c r="B15" s="60"/>
      <c r="C15" s="64">
        <f t="shared" ref="C15:D15" si="0">SUM(C4+C9+C12)</f>
        <v>0.99999999999999989</v>
      </c>
      <c r="D15" s="64">
        <f t="shared" si="0"/>
        <v>0.99999999999999989</v>
      </c>
      <c r="E15" s="42"/>
      <c r="F15" s="42"/>
      <c r="G15" s="60"/>
      <c r="H15" s="60"/>
      <c r="I15" s="60"/>
    </row>
    <row r="16" spans="1:23" x14ac:dyDescent="0.25">
      <c r="A16" s="152" t="s">
        <v>706</v>
      </c>
      <c r="B16" s="142"/>
      <c r="C16" s="142"/>
      <c r="D16" s="142"/>
      <c r="E16" s="142"/>
      <c r="F16" s="142"/>
      <c r="G16" s="142"/>
      <c r="H16" s="142"/>
      <c r="I16" s="143"/>
    </row>
    <row r="17" spans="1:9" x14ac:dyDescent="0.25">
      <c r="A17" s="66" t="s">
        <v>684</v>
      </c>
      <c r="B17" s="67"/>
      <c r="C17" s="64"/>
      <c r="D17" s="64"/>
      <c r="E17" s="68"/>
      <c r="F17" s="42"/>
      <c r="G17" s="42"/>
      <c r="H17" s="60"/>
      <c r="I17" s="60"/>
    </row>
    <row r="18" spans="1:9" x14ac:dyDescent="0.25">
      <c r="A18" s="66"/>
      <c r="B18" s="67"/>
      <c r="C18" s="64"/>
      <c r="D18" s="64"/>
      <c r="E18" s="68"/>
      <c r="F18" s="42"/>
      <c r="G18" s="69"/>
      <c r="H18" s="60"/>
      <c r="I18" s="60"/>
    </row>
    <row r="19" spans="1:9" x14ac:dyDescent="0.25">
      <c r="A19" s="66"/>
      <c r="B19" s="67"/>
      <c r="C19" s="64"/>
      <c r="D19" s="64"/>
      <c r="E19" s="68"/>
      <c r="F19" s="42"/>
      <c r="G19" s="42"/>
      <c r="H19" s="60"/>
      <c r="I19" s="60"/>
    </row>
    <row r="20" spans="1:9" x14ac:dyDescent="0.25">
      <c r="A20" s="7"/>
      <c r="E20" s="7"/>
      <c r="F20" s="7"/>
    </row>
    <row r="21" spans="1:9" x14ac:dyDescent="0.25">
      <c r="A21" s="7"/>
      <c r="E21" s="7"/>
      <c r="F21" s="7"/>
    </row>
    <row r="22" spans="1:9" x14ac:dyDescent="0.25">
      <c r="A22" s="7"/>
      <c r="E22" s="7"/>
      <c r="F22" s="7"/>
    </row>
    <row r="23" spans="1:9" x14ac:dyDescent="0.25">
      <c r="A23" s="7"/>
      <c r="E23" s="7"/>
      <c r="F23" s="7"/>
    </row>
    <row r="24" spans="1:9" x14ac:dyDescent="0.25">
      <c r="A24" s="7"/>
      <c r="E24" s="7"/>
      <c r="F24" s="7"/>
    </row>
    <row r="25" spans="1:9" x14ac:dyDescent="0.25">
      <c r="A25" s="7"/>
      <c r="E25" s="7"/>
      <c r="F25" s="7"/>
    </row>
    <row r="26" spans="1:9" x14ac:dyDescent="0.25">
      <c r="A26" s="7"/>
      <c r="E26" s="7"/>
      <c r="F26" s="7"/>
    </row>
    <row r="27" spans="1:9" x14ac:dyDescent="0.25">
      <c r="A27" s="7"/>
      <c r="E27" s="7"/>
      <c r="F27" s="7"/>
    </row>
    <row r="28" spans="1:9" x14ac:dyDescent="0.25">
      <c r="A28" s="7"/>
      <c r="E28" s="7"/>
      <c r="F28" s="7"/>
    </row>
    <row r="29" spans="1:9" x14ac:dyDescent="0.25">
      <c r="A29" s="7"/>
      <c r="E29" s="7"/>
      <c r="F29" s="7"/>
    </row>
    <row r="30" spans="1:9" x14ac:dyDescent="0.25">
      <c r="A30" s="7"/>
      <c r="E30" s="7"/>
      <c r="F30" s="7"/>
    </row>
    <row r="31" spans="1:9" x14ac:dyDescent="0.25">
      <c r="A31" s="7"/>
      <c r="E31" s="7"/>
      <c r="F31" s="7"/>
    </row>
    <row r="32" spans="1:9" x14ac:dyDescent="0.25">
      <c r="A32" s="7"/>
      <c r="E32" s="7"/>
      <c r="F32" s="7"/>
    </row>
    <row r="33" spans="1:6" x14ac:dyDescent="0.25">
      <c r="A33" s="7"/>
      <c r="E33" s="7"/>
      <c r="F33" s="7"/>
    </row>
    <row r="34" spans="1:6" x14ac:dyDescent="0.25">
      <c r="A34" s="7"/>
      <c r="E34" s="7"/>
      <c r="F34" s="7"/>
    </row>
    <row r="35" spans="1:6" x14ac:dyDescent="0.25">
      <c r="A35" s="7"/>
      <c r="E35" s="7"/>
      <c r="F35" s="7"/>
    </row>
    <row r="36" spans="1:6" x14ac:dyDescent="0.25">
      <c r="A36" s="7"/>
      <c r="E36" s="7"/>
      <c r="F36" s="7"/>
    </row>
    <row r="37" spans="1:6" x14ac:dyDescent="0.25">
      <c r="A37" s="7"/>
      <c r="E37" s="7"/>
      <c r="F37" s="7"/>
    </row>
    <row r="38" spans="1:6" x14ac:dyDescent="0.25">
      <c r="A38" s="7"/>
      <c r="E38" s="7"/>
      <c r="F38" s="7"/>
    </row>
    <row r="39" spans="1:6" x14ac:dyDescent="0.25">
      <c r="A39" s="7"/>
      <c r="E39" s="7"/>
      <c r="F39" s="7"/>
    </row>
    <row r="40" spans="1:6" x14ac:dyDescent="0.25">
      <c r="A40" s="7"/>
      <c r="E40" s="7"/>
      <c r="F40" s="7"/>
    </row>
    <row r="41" spans="1:6" x14ac:dyDescent="0.25">
      <c r="A41" s="7"/>
      <c r="E41" s="7"/>
      <c r="F41" s="7"/>
    </row>
    <row r="42" spans="1:6" x14ac:dyDescent="0.25">
      <c r="A42" s="7"/>
      <c r="E42" s="7"/>
      <c r="F42" s="7"/>
    </row>
    <row r="43" spans="1:6" x14ac:dyDescent="0.25">
      <c r="A43" s="7"/>
      <c r="E43" s="7"/>
      <c r="F43" s="7"/>
    </row>
    <row r="44" spans="1:6" x14ac:dyDescent="0.25">
      <c r="A44" s="7"/>
      <c r="E44" s="7"/>
      <c r="F44" s="7"/>
    </row>
    <row r="45" spans="1:6" x14ac:dyDescent="0.25">
      <c r="A45" s="7"/>
      <c r="E45" s="7"/>
      <c r="F45" s="7"/>
    </row>
    <row r="46" spans="1:6" x14ac:dyDescent="0.25">
      <c r="A46" s="7"/>
      <c r="E46" s="7"/>
      <c r="F46" s="7"/>
    </row>
    <row r="47" spans="1:6" x14ac:dyDescent="0.25">
      <c r="A47" s="7"/>
      <c r="E47" s="7"/>
      <c r="F47" s="7"/>
    </row>
    <row r="48" spans="1:6" x14ac:dyDescent="0.25">
      <c r="A48" s="7"/>
      <c r="E48" s="7"/>
      <c r="F48" s="7"/>
    </row>
    <row r="49" spans="1:6" x14ac:dyDescent="0.25">
      <c r="A49" s="7"/>
      <c r="E49" s="7"/>
      <c r="F49" s="7"/>
    </row>
    <row r="50" spans="1:6" x14ac:dyDescent="0.25">
      <c r="A50" s="7"/>
      <c r="E50" s="7"/>
      <c r="F50" s="7"/>
    </row>
    <row r="51" spans="1:6" x14ac:dyDescent="0.25">
      <c r="A51" s="7"/>
      <c r="E51" s="7"/>
      <c r="F51" s="7"/>
    </row>
    <row r="52" spans="1:6" x14ac:dyDescent="0.25">
      <c r="A52" s="7"/>
      <c r="E52" s="7"/>
      <c r="F52" s="7"/>
    </row>
    <row r="53" spans="1:6" x14ac:dyDescent="0.25">
      <c r="A53" s="7"/>
      <c r="E53" s="7"/>
      <c r="F53" s="7"/>
    </row>
    <row r="54" spans="1:6" x14ac:dyDescent="0.25">
      <c r="A54" s="7"/>
      <c r="E54" s="7"/>
      <c r="F54" s="7"/>
    </row>
    <row r="55" spans="1:6" x14ac:dyDescent="0.25">
      <c r="A55" s="7"/>
      <c r="E55" s="7"/>
      <c r="F55" s="7"/>
    </row>
    <row r="56" spans="1:6" x14ac:dyDescent="0.25">
      <c r="A56" s="7"/>
      <c r="E56" s="7"/>
      <c r="F56" s="7"/>
    </row>
    <row r="57" spans="1:6" x14ac:dyDescent="0.25">
      <c r="A57" s="7"/>
      <c r="E57" s="7"/>
      <c r="F57" s="7"/>
    </row>
    <row r="58" spans="1:6" x14ac:dyDescent="0.25">
      <c r="A58" s="7"/>
      <c r="E58" s="7"/>
      <c r="F58" s="7"/>
    </row>
    <row r="59" spans="1:6" x14ac:dyDescent="0.25">
      <c r="A59" s="7"/>
      <c r="E59" s="7"/>
      <c r="F59" s="7"/>
    </row>
    <row r="60" spans="1:6" x14ac:dyDescent="0.25">
      <c r="A60" s="7"/>
      <c r="E60" s="7"/>
      <c r="F60" s="7"/>
    </row>
    <row r="61" spans="1:6" x14ac:dyDescent="0.25">
      <c r="A61" s="7"/>
      <c r="E61" s="7"/>
      <c r="F61" s="7"/>
    </row>
    <row r="62" spans="1:6" x14ac:dyDescent="0.25">
      <c r="A62" s="7"/>
      <c r="E62" s="7"/>
      <c r="F62" s="7"/>
    </row>
    <row r="63" spans="1:6" x14ac:dyDescent="0.25">
      <c r="A63" s="7"/>
      <c r="E63" s="7"/>
      <c r="F63" s="7"/>
    </row>
    <row r="64" spans="1:6" x14ac:dyDescent="0.25">
      <c r="A64" s="7"/>
      <c r="E64" s="7"/>
      <c r="F64" s="7"/>
    </row>
    <row r="65" spans="1:6" x14ac:dyDescent="0.25">
      <c r="A65" s="7"/>
      <c r="E65" s="7"/>
      <c r="F65" s="7"/>
    </row>
    <row r="66" spans="1:6" x14ac:dyDescent="0.25">
      <c r="A66" s="7"/>
      <c r="E66" s="7"/>
      <c r="F66" s="7"/>
    </row>
    <row r="67" spans="1:6" x14ac:dyDescent="0.25">
      <c r="A67" s="7"/>
      <c r="E67" s="7"/>
      <c r="F67" s="7"/>
    </row>
    <row r="68" spans="1:6" x14ac:dyDescent="0.25">
      <c r="A68" s="7"/>
      <c r="E68" s="7"/>
      <c r="F68" s="7"/>
    </row>
    <row r="69" spans="1:6" x14ac:dyDescent="0.25">
      <c r="A69" s="7"/>
      <c r="E69" s="7"/>
      <c r="F69" s="7"/>
    </row>
    <row r="70" spans="1:6" x14ac:dyDescent="0.25">
      <c r="A70" s="7"/>
      <c r="E70" s="7"/>
      <c r="F70" s="7"/>
    </row>
    <row r="71" spans="1:6" x14ac:dyDescent="0.25">
      <c r="A71" s="7"/>
      <c r="E71" s="7"/>
      <c r="F71" s="7"/>
    </row>
    <row r="72" spans="1:6" x14ac:dyDescent="0.25">
      <c r="A72" s="7"/>
      <c r="E72" s="7"/>
      <c r="F72" s="7"/>
    </row>
    <row r="73" spans="1:6" x14ac:dyDescent="0.25">
      <c r="A73" s="7"/>
      <c r="E73" s="7"/>
      <c r="F73" s="7"/>
    </row>
    <row r="74" spans="1:6" x14ac:dyDescent="0.25">
      <c r="A74" s="7"/>
      <c r="E74" s="7"/>
      <c r="F74" s="7"/>
    </row>
    <row r="75" spans="1:6" x14ac:dyDescent="0.25">
      <c r="A75" s="7"/>
      <c r="E75" s="7"/>
      <c r="F75" s="7"/>
    </row>
    <row r="76" spans="1:6" x14ac:dyDescent="0.25">
      <c r="A76" s="7"/>
      <c r="E76" s="7"/>
      <c r="F76" s="7"/>
    </row>
    <row r="77" spans="1:6" x14ac:dyDescent="0.25">
      <c r="A77" s="7"/>
      <c r="E77" s="7"/>
      <c r="F77" s="7"/>
    </row>
    <row r="78" spans="1:6" x14ac:dyDescent="0.25">
      <c r="A78" s="7"/>
      <c r="E78" s="7"/>
      <c r="F78" s="7"/>
    </row>
    <row r="79" spans="1:6" x14ac:dyDescent="0.25">
      <c r="A79" s="7"/>
      <c r="E79" s="7"/>
      <c r="F79" s="7"/>
    </row>
    <row r="80" spans="1:6" x14ac:dyDescent="0.25">
      <c r="A80" s="7"/>
      <c r="E80" s="7"/>
      <c r="F80" s="7"/>
    </row>
    <row r="81" spans="1:6" x14ac:dyDescent="0.25">
      <c r="A81" s="7"/>
      <c r="E81" s="7"/>
      <c r="F81" s="7"/>
    </row>
    <row r="82" spans="1:6" x14ac:dyDescent="0.25">
      <c r="A82" s="7"/>
      <c r="E82" s="7"/>
      <c r="F82" s="7"/>
    </row>
    <row r="83" spans="1:6" x14ac:dyDescent="0.25">
      <c r="A83" s="7"/>
      <c r="E83" s="7"/>
      <c r="F83" s="7"/>
    </row>
    <row r="84" spans="1:6" x14ac:dyDescent="0.25">
      <c r="A84" s="7"/>
      <c r="E84" s="7"/>
      <c r="F84" s="7"/>
    </row>
    <row r="85" spans="1:6" x14ac:dyDescent="0.25">
      <c r="A85" s="7"/>
      <c r="E85" s="7"/>
      <c r="F85" s="7"/>
    </row>
    <row r="86" spans="1:6" x14ac:dyDescent="0.25">
      <c r="A86" s="7"/>
      <c r="E86" s="7"/>
      <c r="F86" s="7"/>
    </row>
    <row r="87" spans="1:6" x14ac:dyDescent="0.25">
      <c r="A87" s="7"/>
      <c r="E87" s="7"/>
      <c r="F87" s="7"/>
    </row>
    <row r="88" spans="1:6" x14ac:dyDescent="0.25">
      <c r="A88" s="7"/>
      <c r="E88" s="7"/>
      <c r="F88" s="7"/>
    </row>
    <row r="89" spans="1:6" x14ac:dyDescent="0.25">
      <c r="A89" s="7"/>
      <c r="E89" s="7"/>
      <c r="F89" s="7"/>
    </row>
    <row r="90" spans="1:6" x14ac:dyDescent="0.25">
      <c r="A90" s="7"/>
      <c r="E90" s="7"/>
      <c r="F90" s="7"/>
    </row>
    <row r="91" spans="1:6" x14ac:dyDescent="0.25">
      <c r="A91" s="7"/>
      <c r="E91" s="7"/>
      <c r="F91" s="7"/>
    </row>
    <row r="92" spans="1:6" x14ac:dyDescent="0.25">
      <c r="A92" s="7"/>
      <c r="E92" s="7"/>
      <c r="F92" s="7"/>
    </row>
    <row r="93" spans="1:6" x14ac:dyDescent="0.25">
      <c r="A93" s="7"/>
      <c r="E93" s="7"/>
      <c r="F93" s="7"/>
    </row>
    <row r="94" spans="1:6" x14ac:dyDescent="0.25">
      <c r="A94" s="7"/>
      <c r="E94" s="7"/>
      <c r="F94" s="7"/>
    </row>
    <row r="95" spans="1:6" x14ac:dyDescent="0.25">
      <c r="A95" s="7"/>
      <c r="E95" s="7"/>
      <c r="F95" s="7"/>
    </row>
    <row r="96" spans="1:6" x14ac:dyDescent="0.25">
      <c r="A96" s="7"/>
      <c r="E96" s="7"/>
      <c r="F96" s="7"/>
    </row>
    <row r="97" spans="1:6" x14ac:dyDescent="0.25">
      <c r="A97" s="7"/>
      <c r="E97" s="7"/>
      <c r="F97" s="7"/>
    </row>
    <row r="98" spans="1:6" x14ac:dyDescent="0.25">
      <c r="A98" s="7"/>
      <c r="E98" s="7"/>
      <c r="F98" s="7"/>
    </row>
    <row r="99" spans="1:6" x14ac:dyDescent="0.25">
      <c r="A99" s="7"/>
      <c r="E99" s="7"/>
      <c r="F99" s="7"/>
    </row>
    <row r="100" spans="1:6" x14ac:dyDescent="0.25">
      <c r="A100" s="7"/>
      <c r="E100" s="7"/>
      <c r="F100" s="7"/>
    </row>
    <row r="101" spans="1:6" x14ac:dyDescent="0.25">
      <c r="A101" s="7"/>
      <c r="E101" s="7"/>
      <c r="F101" s="7"/>
    </row>
    <row r="102" spans="1:6" x14ac:dyDescent="0.25">
      <c r="A102" s="7"/>
      <c r="E102" s="7"/>
      <c r="F102" s="7"/>
    </row>
    <row r="103" spans="1:6" x14ac:dyDescent="0.25">
      <c r="A103" s="7"/>
      <c r="E103" s="7"/>
      <c r="F103" s="7"/>
    </row>
    <row r="104" spans="1:6" x14ac:dyDescent="0.25">
      <c r="A104" s="7"/>
      <c r="E104" s="7"/>
      <c r="F104" s="7"/>
    </row>
    <row r="105" spans="1:6" x14ac:dyDescent="0.25">
      <c r="A105" s="7"/>
      <c r="E105" s="7"/>
      <c r="F105" s="7"/>
    </row>
    <row r="106" spans="1:6" x14ac:dyDescent="0.25">
      <c r="A106" s="7"/>
      <c r="E106" s="7"/>
      <c r="F106" s="7"/>
    </row>
    <row r="107" spans="1:6" x14ac:dyDescent="0.25">
      <c r="A107" s="7"/>
      <c r="E107" s="7"/>
      <c r="F107" s="7"/>
    </row>
    <row r="108" spans="1:6" x14ac:dyDescent="0.25">
      <c r="A108" s="7"/>
      <c r="E108" s="7"/>
      <c r="F108" s="7"/>
    </row>
    <row r="109" spans="1:6" x14ac:dyDescent="0.25">
      <c r="A109" s="7"/>
      <c r="E109" s="7"/>
      <c r="F109" s="7"/>
    </row>
    <row r="110" spans="1:6" x14ac:dyDescent="0.25">
      <c r="A110" s="7"/>
      <c r="E110" s="7"/>
      <c r="F110" s="7"/>
    </row>
    <row r="111" spans="1:6" x14ac:dyDescent="0.25">
      <c r="A111" s="7"/>
      <c r="E111" s="7"/>
      <c r="F111" s="7"/>
    </row>
    <row r="112" spans="1:6" x14ac:dyDescent="0.25">
      <c r="A112" s="7"/>
      <c r="E112" s="7"/>
      <c r="F112" s="7"/>
    </row>
    <row r="113" spans="1:6" x14ac:dyDescent="0.25">
      <c r="A113" s="7"/>
      <c r="E113" s="7"/>
      <c r="F113" s="7"/>
    </row>
    <row r="114" spans="1:6" x14ac:dyDescent="0.25">
      <c r="A114" s="7"/>
      <c r="E114" s="7"/>
      <c r="F114" s="7"/>
    </row>
    <row r="115" spans="1:6" x14ac:dyDescent="0.25">
      <c r="A115" s="7"/>
      <c r="E115" s="7"/>
      <c r="F115" s="7"/>
    </row>
    <row r="116" spans="1:6" x14ac:dyDescent="0.25">
      <c r="A116" s="7"/>
      <c r="E116" s="7"/>
      <c r="F116" s="7"/>
    </row>
    <row r="117" spans="1:6" x14ac:dyDescent="0.25">
      <c r="A117" s="7"/>
      <c r="E117" s="7"/>
      <c r="F117" s="7"/>
    </row>
    <row r="118" spans="1:6" x14ac:dyDescent="0.25">
      <c r="A118" s="7"/>
      <c r="E118" s="7"/>
      <c r="F118" s="7"/>
    </row>
    <row r="119" spans="1:6" x14ac:dyDescent="0.25">
      <c r="A119" s="7"/>
      <c r="E119" s="7"/>
      <c r="F119" s="7"/>
    </row>
    <row r="120" spans="1:6" x14ac:dyDescent="0.25">
      <c r="A120" s="7"/>
      <c r="E120" s="7"/>
      <c r="F120" s="7"/>
    </row>
    <row r="121" spans="1:6" x14ac:dyDescent="0.25">
      <c r="A121" s="7"/>
      <c r="E121" s="7"/>
      <c r="F121" s="7"/>
    </row>
    <row r="122" spans="1:6" x14ac:dyDescent="0.25">
      <c r="A122" s="7"/>
      <c r="E122" s="7"/>
      <c r="F122" s="7"/>
    </row>
    <row r="123" spans="1:6" x14ac:dyDescent="0.25">
      <c r="A123" s="7"/>
      <c r="E123" s="7"/>
      <c r="F123" s="7"/>
    </row>
    <row r="124" spans="1:6" x14ac:dyDescent="0.25">
      <c r="A124" s="7"/>
      <c r="E124" s="7"/>
      <c r="F124" s="7"/>
    </row>
    <row r="125" spans="1:6" x14ac:dyDescent="0.25">
      <c r="A125" s="7"/>
      <c r="E125" s="7"/>
      <c r="F125" s="7"/>
    </row>
    <row r="126" spans="1:6" x14ac:dyDescent="0.25">
      <c r="A126" s="7"/>
      <c r="E126" s="7"/>
      <c r="F126" s="7"/>
    </row>
    <row r="127" spans="1:6" x14ac:dyDescent="0.25">
      <c r="A127" s="7"/>
      <c r="E127" s="7"/>
      <c r="F127" s="7"/>
    </row>
    <row r="128" spans="1:6" x14ac:dyDescent="0.25">
      <c r="A128" s="7"/>
      <c r="E128" s="7"/>
      <c r="F128" s="7"/>
    </row>
    <row r="129" spans="1:6" x14ac:dyDescent="0.25">
      <c r="A129" s="7"/>
      <c r="E129" s="7"/>
      <c r="F129" s="7"/>
    </row>
    <row r="130" spans="1:6" x14ac:dyDescent="0.25">
      <c r="A130" s="7"/>
      <c r="E130" s="7"/>
      <c r="F130" s="7"/>
    </row>
    <row r="131" spans="1:6" x14ac:dyDescent="0.25">
      <c r="A131" s="7"/>
      <c r="E131" s="7"/>
      <c r="F131" s="7"/>
    </row>
    <row r="132" spans="1:6" x14ac:dyDescent="0.25">
      <c r="A132" s="7"/>
      <c r="E132" s="7"/>
      <c r="F132" s="7"/>
    </row>
    <row r="133" spans="1:6" x14ac:dyDescent="0.25">
      <c r="A133" s="7"/>
      <c r="E133" s="7"/>
      <c r="F133" s="7"/>
    </row>
    <row r="134" spans="1:6" x14ac:dyDescent="0.25">
      <c r="A134" s="7"/>
      <c r="E134" s="7"/>
      <c r="F134" s="7"/>
    </row>
    <row r="135" spans="1:6" x14ac:dyDescent="0.25">
      <c r="A135" s="7"/>
      <c r="E135" s="7"/>
      <c r="F135" s="7"/>
    </row>
    <row r="136" spans="1:6" x14ac:dyDescent="0.25">
      <c r="A136" s="7"/>
      <c r="E136" s="7"/>
      <c r="F136" s="7"/>
    </row>
    <row r="137" spans="1:6" x14ac:dyDescent="0.25">
      <c r="A137" s="7"/>
      <c r="E137" s="7"/>
      <c r="F137" s="7"/>
    </row>
    <row r="138" spans="1:6" x14ac:dyDescent="0.25">
      <c r="A138" s="7"/>
      <c r="E138" s="7"/>
      <c r="F138" s="7"/>
    </row>
    <row r="139" spans="1:6" x14ac:dyDescent="0.25">
      <c r="A139" s="7"/>
      <c r="E139" s="7"/>
      <c r="F139" s="7"/>
    </row>
    <row r="140" spans="1:6" x14ac:dyDescent="0.25">
      <c r="A140" s="7"/>
      <c r="E140" s="7"/>
      <c r="F140" s="7"/>
    </row>
    <row r="141" spans="1:6" x14ac:dyDescent="0.25">
      <c r="A141" s="7"/>
      <c r="E141" s="7"/>
      <c r="F141" s="7"/>
    </row>
    <row r="142" spans="1:6" x14ac:dyDescent="0.25">
      <c r="A142" s="7"/>
      <c r="E142" s="7"/>
      <c r="F142" s="7"/>
    </row>
    <row r="143" spans="1:6" x14ac:dyDescent="0.25">
      <c r="A143" s="7"/>
      <c r="E143" s="7"/>
      <c r="F143" s="7"/>
    </row>
    <row r="144" spans="1:6" x14ac:dyDescent="0.25">
      <c r="A144" s="7"/>
      <c r="E144" s="7"/>
      <c r="F144" s="7"/>
    </row>
    <row r="145" spans="1:6" x14ac:dyDescent="0.25">
      <c r="A145" s="7"/>
      <c r="E145" s="7"/>
      <c r="F145" s="7"/>
    </row>
    <row r="146" spans="1:6" x14ac:dyDescent="0.25">
      <c r="A146" s="7"/>
      <c r="E146" s="7"/>
      <c r="F146" s="7"/>
    </row>
    <row r="147" spans="1:6" x14ac:dyDescent="0.25">
      <c r="A147" s="7"/>
      <c r="E147" s="7"/>
      <c r="F147" s="7"/>
    </row>
    <row r="148" spans="1:6" x14ac:dyDescent="0.25">
      <c r="A148" s="7"/>
      <c r="E148" s="7"/>
      <c r="F148" s="7"/>
    </row>
    <row r="149" spans="1:6" x14ac:dyDescent="0.25">
      <c r="A149" s="7"/>
      <c r="E149" s="7"/>
      <c r="F149" s="7"/>
    </row>
    <row r="150" spans="1:6" x14ac:dyDescent="0.25">
      <c r="A150" s="7"/>
      <c r="E150" s="7"/>
      <c r="F150" s="7"/>
    </row>
    <row r="151" spans="1:6" x14ac:dyDescent="0.25">
      <c r="A151" s="7"/>
      <c r="E151" s="7"/>
      <c r="F151" s="7"/>
    </row>
    <row r="152" spans="1:6" x14ac:dyDescent="0.25">
      <c r="A152" s="7"/>
      <c r="E152" s="7"/>
      <c r="F152" s="7"/>
    </row>
    <row r="153" spans="1:6" x14ac:dyDescent="0.25">
      <c r="A153" s="7"/>
      <c r="E153" s="7"/>
      <c r="F153" s="7"/>
    </row>
    <row r="154" spans="1:6" x14ac:dyDescent="0.25">
      <c r="A154" s="7"/>
      <c r="E154" s="7"/>
      <c r="F154" s="7"/>
    </row>
    <row r="155" spans="1:6" x14ac:dyDescent="0.25">
      <c r="A155" s="7"/>
      <c r="E155" s="7"/>
      <c r="F155" s="7"/>
    </row>
    <row r="156" spans="1:6" x14ac:dyDescent="0.25">
      <c r="A156" s="7"/>
      <c r="E156" s="7"/>
      <c r="F156" s="7"/>
    </row>
    <row r="157" spans="1:6" x14ac:dyDescent="0.25">
      <c r="A157" s="7"/>
      <c r="E157" s="7"/>
      <c r="F157" s="7"/>
    </row>
    <row r="158" spans="1:6" x14ac:dyDescent="0.25">
      <c r="A158" s="7"/>
      <c r="E158" s="7"/>
      <c r="F158" s="7"/>
    </row>
    <row r="159" spans="1:6" x14ac:dyDescent="0.25">
      <c r="A159" s="7"/>
      <c r="E159" s="7"/>
      <c r="F159" s="7"/>
    </row>
    <row r="160" spans="1:6" x14ac:dyDescent="0.25">
      <c r="A160" s="7"/>
      <c r="E160" s="7"/>
      <c r="F160" s="7"/>
    </row>
    <row r="161" spans="1:6" x14ac:dyDescent="0.25">
      <c r="A161" s="7"/>
      <c r="E161" s="7"/>
      <c r="F161" s="7"/>
    </row>
    <row r="162" spans="1:6" x14ac:dyDescent="0.25">
      <c r="A162" s="7"/>
      <c r="E162" s="7"/>
      <c r="F162" s="7"/>
    </row>
    <row r="163" spans="1:6" x14ac:dyDescent="0.25">
      <c r="A163" s="7"/>
      <c r="E163" s="7"/>
      <c r="F163" s="7"/>
    </row>
    <row r="164" spans="1:6" x14ac:dyDescent="0.25">
      <c r="A164" s="7"/>
      <c r="E164" s="7"/>
      <c r="F164" s="7"/>
    </row>
    <row r="165" spans="1:6" x14ac:dyDescent="0.25">
      <c r="A165" s="7"/>
      <c r="E165" s="7"/>
      <c r="F165" s="7"/>
    </row>
    <row r="166" spans="1:6" x14ac:dyDescent="0.25">
      <c r="A166" s="7"/>
      <c r="E166" s="7"/>
      <c r="F166" s="7"/>
    </row>
    <row r="167" spans="1:6" x14ac:dyDescent="0.25">
      <c r="A167" s="7"/>
      <c r="E167" s="7"/>
      <c r="F167" s="7"/>
    </row>
    <row r="168" spans="1:6" x14ac:dyDescent="0.25">
      <c r="A168" s="7"/>
      <c r="E168" s="7"/>
      <c r="F168" s="7"/>
    </row>
    <row r="169" spans="1:6" x14ac:dyDescent="0.25">
      <c r="A169" s="7"/>
      <c r="E169" s="7"/>
      <c r="F169" s="7"/>
    </row>
    <row r="170" spans="1:6" x14ac:dyDescent="0.25">
      <c r="A170" s="7"/>
      <c r="E170" s="7"/>
      <c r="F170" s="7"/>
    </row>
    <row r="171" spans="1:6" x14ac:dyDescent="0.25">
      <c r="A171" s="7"/>
      <c r="E171" s="7"/>
      <c r="F171" s="7"/>
    </row>
    <row r="172" spans="1:6" x14ac:dyDescent="0.25">
      <c r="A172" s="7"/>
      <c r="E172" s="7"/>
      <c r="F172" s="7"/>
    </row>
    <row r="173" spans="1:6" x14ac:dyDescent="0.25">
      <c r="A173" s="7"/>
      <c r="E173" s="7"/>
      <c r="F173" s="7"/>
    </row>
    <row r="174" spans="1:6" x14ac:dyDescent="0.25">
      <c r="A174" s="7"/>
      <c r="E174" s="7"/>
      <c r="F174" s="7"/>
    </row>
    <row r="175" spans="1:6" x14ac:dyDescent="0.25">
      <c r="A175" s="7"/>
      <c r="E175" s="7"/>
      <c r="F175" s="7"/>
    </row>
    <row r="176" spans="1:6" x14ac:dyDescent="0.25">
      <c r="A176" s="7"/>
      <c r="E176" s="7"/>
      <c r="F176" s="7"/>
    </row>
    <row r="177" spans="1:6" x14ac:dyDescent="0.25">
      <c r="A177" s="7"/>
      <c r="E177" s="7"/>
      <c r="F177" s="7"/>
    </row>
    <row r="178" spans="1:6" x14ac:dyDescent="0.25">
      <c r="A178" s="7"/>
      <c r="E178" s="7"/>
      <c r="F178" s="7"/>
    </row>
    <row r="179" spans="1:6" x14ac:dyDescent="0.25">
      <c r="A179" s="7"/>
      <c r="E179" s="7"/>
      <c r="F179" s="7"/>
    </row>
    <row r="180" spans="1:6" x14ac:dyDescent="0.25">
      <c r="A180" s="7"/>
      <c r="E180" s="7"/>
      <c r="F180" s="7"/>
    </row>
    <row r="181" spans="1:6" x14ac:dyDescent="0.25">
      <c r="A181" s="7"/>
      <c r="E181" s="7"/>
      <c r="F181" s="7"/>
    </row>
    <row r="182" spans="1:6" x14ac:dyDescent="0.25">
      <c r="A182" s="7"/>
      <c r="E182" s="7"/>
      <c r="F182" s="7"/>
    </row>
    <row r="183" spans="1:6" x14ac:dyDescent="0.25">
      <c r="A183" s="7"/>
      <c r="E183" s="7"/>
      <c r="F183" s="7"/>
    </row>
    <row r="184" spans="1:6" x14ac:dyDescent="0.25">
      <c r="A184" s="7"/>
      <c r="E184" s="7"/>
      <c r="F184" s="7"/>
    </row>
    <row r="185" spans="1:6" x14ac:dyDescent="0.25">
      <c r="A185" s="7"/>
      <c r="E185" s="7"/>
      <c r="F185" s="7"/>
    </row>
    <row r="186" spans="1:6" x14ac:dyDescent="0.25">
      <c r="A186" s="7"/>
      <c r="E186" s="7"/>
      <c r="F186" s="7"/>
    </row>
    <row r="187" spans="1:6" x14ac:dyDescent="0.25">
      <c r="A187" s="7"/>
      <c r="E187" s="7"/>
      <c r="F187" s="7"/>
    </row>
    <row r="188" spans="1:6" x14ac:dyDescent="0.25">
      <c r="A188" s="7"/>
      <c r="E188" s="7"/>
      <c r="F188" s="7"/>
    </row>
    <row r="189" spans="1:6" x14ac:dyDescent="0.25">
      <c r="A189" s="7"/>
      <c r="E189" s="7"/>
      <c r="F189" s="7"/>
    </row>
    <row r="190" spans="1:6" x14ac:dyDescent="0.25">
      <c r="A190" s="7"/>
      <c r="E190" s="7"/>
      <c r="F190" s="7"/>
    </row>
    <row r="191" spans="1:6" x14ac:dyDescent="0.25">
      <c r="A191" s="7"/>
      <c r="E191" s="7"/>
      <c r="F191" s="7"/>
    </row>
    <row r="192" spans="1:6" x14ac:dyDescent="0.25">
      <c r="A192" s="7"/>
      <c r="E192" s="7"/>
      <c r="F192" s="7"/>
    </row>
    <row r="193" spans="1:6" x14ac:dyDescent="0.25">
      <c r="A193" s="7"/>
      <c r="E193" s="7"/>
      <c r="F193" s="7"/>
    </row>
    <row r="194" spans="1:6" x14ac:dyDescent="0.25">
      <c r="A194" s="7"/>
      <c r="E194" s="7"/>
      <c r="F194" s="7"/>
    </row>
    <row r="195" spans="1:6" x14ac:dyDescent="0.25">
      <c r="A195" s="7"/>
      <c r="E195" s="7"/>
      <c r="F195" s="7"/>
    </row>
    <row r="196" spans="1:6" x14ac:dyDescent="0.25">
      <c r="A196" s="7"/>
      <c r="E196" s="7"/>
      <c r="F196" s="7"/>
    </row>
    <row r="197" spans="1:6" x14ac:dyDescent="0.25">
      <c r="A197" s="7"/>
      <c r="E197" s="7"/>
      <c r="F197" s="7"/>
    </row>
    <row r="198" spans="1:6" x14ac:dyDescent="0.25">
      <c r="A198" s="7"/>
      <c r="E198" s="7"/>
      <c r="F198" s="7"/>
    </row>
    <row r="199" spans="1:6" x14ac:dyDescent="0.25">
      <c r="A199" s="7"/>
      <c r="E199" s="7"/>
      <c r="F199" s="7"/>
    </row>
    <row r="200" spans="1:6" x14ac:dyDescent="0.25">
      <c r="A200" s="7"/>
      <c r="E200" s="7"/>
      <c r="F200" s="7"/>
    </row>
    <row r="201" spans="1:6" x14ac:dyDescent="0.25">
      <c r="A201" s="7"/>
      <c r="E201" s="7"/>
      <c r="F201" s="7"/>
    </row>
    <row r="202" spans="1:6" x14ac:dyDescent="0.25">
      <c r="A202" s="7"/>
      <c r="E202" s="7"/>
      <c r="F202" s="7"/>
    </row>
    <row r="203" spans="1:6" x14ac:dyDescent="0.25">
      <c r="A203" s="7"/>
      <c r="E203" s="7"/>
      <c r="F203" s="7"/>
    </row>
    <row r="204" spans="1:6" x14ac:dyDescent="0.25">
      <c r="A204" s="7"/>
      <c r="E204" s="7"/>
      <c r="F204" s="7"/>
    </row>
    <row r="205" spans="1:6" x14ac:dyDescent="0.25">
      <c r="A205" s="7"/>
      <c r="E205" s="7"/>
      <c r="F205" s="7"/>
    </row>
    <row r="206" spans="1:6" x14ac:dyDescent="0.25">
      <c r="A206" s="7"/>
      <c r="E206" s="7"/>
      <c r="F206" s="7"/>
    </row>
    <row r="207" spans="1:6" x14ac:dyDescent="0.25">
      <c r="A207" s="7"/>
      <c r="E207" s="7"/>
      <c r="F207" s="7"/>
    </row>
    <row r="208" spans="1:6" x14ac:dyDescent="0.25">
      <c r="A208" s="7"/>
      <c r="E208" s="7"/>
      <c r="F208" s="7"/>
    </row>
    <row r="209" spans="1:6" x14ac:dyDescent="0.25">
      <c r="A209" s="7"/>
      <c r="E209" s="7"/>
      <c r="F209" s="7"/>
    </row>
    <row r="210" spans="1:6" x14ac:dyDescent="0.25">
      <c r="A210" s="7"/>
      <c r="E210" s="7"/>
      <c r="F210" s="7"/>
    </row>
    <row r="211" spans="1:6" x14ac:dyDescent="0.25">
      <c r="A211" s="7"/>
      <c r="E211" s="7"/>
      <c r="F211" s="7"/>
    </row>
    <row r="212" spans="1:6" x14ac:dyDescent="0.25">
      <c r="A212" s="7"/>
      <c r="E212" s="7"/>
      <c r="F212" s="7"/>
    </row>
    <row r="213" spans="1:6" x14ac:dyDescent="0.25">
      <c r="A213" s="7"/>
      <c r="E213" s="7"/>
      <c r="F213" s="7"/>
    </row>
    <row r="214" spans="1:6" x14ac:dyDescent="0.25">
      <c r="A214" s="7"/>
      <c r="E214" s="7"/>
      <c r="F214" s="7"/>
    </row>
    <row r="215" spans="1:6" x14ac:dyDescent="0.25">
      <c r="A215" s="7"/>
      <c r="E215" s="7"/>
      <c r="F215" s="7"/>
    </row>
    <row r="216" spans="1:6" x14ac:dyDescent="0.25">
      <c r="A216" s="7"/>
      <c r="E216" s="7"/>
      <c r="F216" s="7"/>
    </row>
    <row r="217" spans="1:6" x14ac:dyDescent="0.25">
      <c r="A217" s="7"/>
      <c r="E217" s="7"/>
      <c r="F217" s="7"/>
    </row>
    <row r="218" spans="1:6" x14ac:dyDescent="0.25">
      <c r="A218" s="7"/>
      <c r="E218" s="7"/>
      <c r="F218" s="7"/>
    </row>
    <row r="219" spans="1:6" x14ac:dyDescent="0.25">
      <c r="A219" s="7"/>
      <c r="E219" s="7"/>
      <c r="F219" s="7"/>
    </row>
    <row r="220" spans="1:6" x14ac:dyDescent="0.25">
      <c r="A220" s="7"/>
      <c r="E220" s="7"/>
      <c r="F220" s="7"/>
    </row>
    <row r="221" spans="1:6" x14ac:dyDescent="0.25">
      <c r="A221" s="7"/>
      <c r="E221" s="7"/>
      <c r="F221" s="7"/>
    </row>
    <row r="222" spans="1:6" x14ac:dyDescent="0.25">
      <c r="A222" s="7"/>
      <c r="E222" s="7"/>
      <c r="F222" s="7"/>
    </row>
    <row r="223" spans="1:6" x14ac:dyDescent="0.25">
      <c r="A223" s="7"/>
      <c r="E223" s="7"/>
      <c r="F223" s="7"/>
    </row>
    <row r="224" spans="1:6" x14ac:dyDescent="0.25">
      <c r="A224" s="7"/>
      <c r="E224" s="7"/>
      <c r="F224" s="7"/>
    </row>
    <row r="225" spans="1:6" x14ac:dyDescent="0.25">
      <c r="A225" s="7"/>
      <c r="E225" s="7"/>
      <c r="F225" s="7"/>
    </row>
    <row r="226" spans="1:6" x14ac:dyDescent="0.25">
      <c r="A226" s="7"/>
      <c r="E226" s="7"/>
      <c r="F226" s="7"/>
    </row>
    <row r="227" spans="1:6" x14ac:dyDescent="0.25">
      <c r="A227" s="7"/>
      <c r="E227" s="7"/>
      <c r="F227" s="7"/>
    </row>
    <row r="228" spans="1:6" x14ac:dyDescent="0.25">
      <c r="A228" s="7"/>
      <c r="E228" s="7"/>
      <c r="F228" s="7"/>
    </row>
    <row r="229" spans="1:6" x14ac:dyDescent="0.25">
      <c r="A229" s="7"/>
      <c r="E229" s="7"/>
      <c r="F229" s="7"/>
    </row>
    <row r="230" spans="1:6" x14ac:dyDescent="0.25">
      <c r="A230" s="7"/>
      <c r="E230" s="7"/>
      <c r="F230" s="7"/>
    </row>
    <row r="231" spans="1:6" x14ac:dyDescent="0.25">
      <c r="A231" s="7"/>
      <c r="E231" s="7"/>
      <c r="F231" s="7"/>
    </row>
    <row r="232" spans="1:6" x14ac:dyDescent="0.25">
      <c r="A232" s="7"/>
      <c r="E232" s="7"/>
      <c r="F232" s="7"/>
    </row>
    <row r="233" spans="1:6" x14ac:dyDescent="0.25">
      <c r="A233" s="7"/>
      <c r="E233" s="7"/>
      <c r="F233" s="7"/>
    </row>
    <row r="234" spans="1:6" x14ac:dyDescent="0.25">
      <c r="A234" s="7"/>
      <c r="E234" s="7"/>
      <c r="F234" s="7"/>
    </row>
    <row r="235" spans="1:6" x14ac:dyDescent="0.25">
      <c r="A235" s="7"/>
      <c r="E235" s="7"/>
      <c r="F235" s="7"/>
    </row>
    <row r="236" spans="1:6" x14ac:dyDescent="0.25">
      <c r="A236" s="7"/>
      <c r="E236" s="7"/>
      <c r="F236" s="7"/>
    </row>
    <row r="237" spans="1:6" x14ac:dyDescent="0.25">
      <c r="A237" s="7"/>
      <c r="E237" s="7"/>
      <c r="F237" s="7"/>
    </row>
    <row r="238" spans="1:6" x14ac:dyDescent="0.25">
      <c r="A238" s="7"/>
      <c r="E238" s="7"/>
      <c r="F238" s="7"/>
    </row>
    <row r="239" spans="1:6" x14ac:dyDescent="0.25">
      <c r="A239" s="7"/>
      <c r="E239" s="7"/>
      <c r="F239" s="7"/>
    </row>
    <row r="240" spans="1:6" x14ac:dyDescent="0.25">
      <c r="A240" s="7"/>
      <c r="E240" s="7"/>
      <c r="F240" s="7"/>
    </row>
    <row r="241" spans="1:6" x14ac:dyDescent="0.25">
      <c r="A241" s="7"/>
      <c r="E241" s="7"/>
      <c r="F241" s="7"/>
    </row>
    <row r="242" spans="1:6" x14ac:dyDescent="0.25">
      <c r="A242" s="7"/>
      <c r="E242" s="7"/>
      <c r="F242" s="7"/>
    </row>
    <row r="243" spans="1:6" x14ac:dyDescent="0.25">
      <c r="A243" s="7"/>
      <c r="E243" s="7"/>
      <c r="F243" s="7"/>
    </row>
    <row r="244" spans="1:6" x14ac:dyDescent="0.25">
      <c r="A244" s="7"/>
      <c r="E244" s="7"/>
      <c r="F244" s="7"/>
    </row>
    <row r="245" spans="1:6" x14ac:dyDescent="0.25">
      <c r="A245" s="7"/>
      <c r="E245" s="7"/>
      <c r="F245" s="7"/>
    </row>
    <row r="246" spans="1:6" x14ac:dyDescent="0.25">
      <c r="A246" s="7"/>
      <c r="E246" s="7"/>
      <c r="F246" s="7"/>
    </row>
    <row r="247" spans="1:6" x14ac:dyDescent="0.25">
      <c r="A247" s="7"/>
      <c r="E247" s="7"/>
      <c r="F247" s="7"/>
    </row>
    <row r="248" spans="1:6" x14ac:dyDescent="0.25">
      <c r="A248" s="7"/>
      <c r="E248" s="7"/>
      <c r="F248" s="7"/>
    </row>
    <row r="249" spans="1:6" x14ac:dyDescent="0.25">
      <c r="A249" s="7"/>
      <c r="E249" s="7"/>
      <c r="F249" s="7"/>
    </row>
    <row r="250" spans="1:6" x14ac:dyDescent="0.25">
      <c r="A250" s="7"/>
      <c r="E250" s="7"/>
      <c r="F250" s="7"/>
    </row>
    <row r="251" spans="1:6" x14ac:dyDescent="0.25">
      <c r="A251" s="7"/>
      <c r="E251" s="7"/>
      <c r="F251" s="7"/>
    </row>
    <row r="252" spans="1:6" x14ac:dyDescent="0.25">
      <c r="A252" s="7"/>
      <c r="E252" s="7"/>
      <c r="F252" s="7"/>
    </row>
    <row r="253" spans="1:6" x14ac:dyDescent="0.25">
      <c r="A253" s="7"/>
      <c r="E253" s="7"/>
      <c r="F253" s="7"/>
    </row>
    <row r="254" spans="1:6" x14ac:dyDescent="0.25">
      <c r="A254" s="7"/>
      <c r="E254" s="7"/>
      <c r="F254" s="7"/>
    </row>
    <row r="255" spans="1:6" x14ac:dyDescent="0.25">
      <c r="A255" s="7"/>
      <c r="E255" s="7"/>
      <c r="F255" s="7"/>
    </row>
    <row r="256" spans="1:6" x14ac:dyDescent="0.25">
      <c r="A256" s="7"/>
      <c r="E256" s="7"/>
      <c r="F256" s="7"/>
    </row>
    <row r="257" spans="1:6" x14ac:dyDescent="0.25">
      <c r="A257" s="7"/>
      <c r="E257" s="7"/>
      <c r="F257" s="7"/>
    </row>
    <row r="258" spans="1:6" x14ac:dyDescent="0.25">
      <c r="A258" s="7"/>
      <c r="E258" s="7"/>
      <c r="F258" s="7"/>
    </row>
    <row r="259" spans="1:6" x14ac:dyDescent="0.25">
      <c r="A259" s="7"/>
      <c r="E259" s="7"/>
      <c r="F259" s="7"/>
    </row>
    <row r="260" spans="1:6" x14ac:dyDescent="0.25">
      <c r="A260" s="7"/>
      <c r="E260" s="7"/>
      <c r="F260" s="7"/>
    </row>
    <row r="261" spans="1:6" x14ac:dyDescent="0.25">
      <c r="A261" s="7"/>
      <c r="E261" s="7"/>
      <c r="F261" s="7"/>
    </row>
    <row r="262" spans="1:6" x14ac:dyDescent="0.25">
      <c r="A262" s="7"/>
      <c r="E262" s="7"/>
      <c r="F262" s="7"/>
    </row>
    <row r="263" spans="1:6" x14ac:dyDescent="0.25">
      <c r="A263" s="7"/>
      <c r="E263" s="7"/>
      <c r="F263" s="7"/>
    </row>
    <row r="264" spans="1:6" x14ac:dyDescent="0.25">
      <c r="A264" s="7"/>
      <c r="E264" s="7"/>
      <c r="F264" s="7"/>
    </row>
    <row r="265" spans="1:6" x14ac:dyDescent="0.25">
      <c r="A265" s="7"/>
      <c r="E265" s="7"/>
      <c r="F265" s="7"/>
    </row>
    <row r="266" spans="1:6" x14ac:dyDescent="0.25">
      <c r="A266" s="7"/>
      <c r="E266" s="7"/>
      <c r="F266" s="7"/>
    </row>
    <row r="267" spans="1:6" x14ac:dyDescent="0.25">
      <c r="A267" s="7"/>
      <c r="E267" s="7"/>
      <c r="F267" s="7"/>
    </row>
    <row r="268" spans="1:6" x14ac:dyDescent="0.25">
      <c r="A268" s="7"/>
      <c r="E268" s="7"/>
      <c r="F268" s="7"/>
    </row>
    <row r="269" spans="1:6" x14ac:dyDescent="0.25">
      <c r="A269" s="7"/>
      <c r="E269" s="7"/>
      <c r="F269" s="7"/>
    </row>
    <row r="270" spans="1:6" x14ac:dyDescent="0.25">
      <c r="A270" s="7"/>
      <c r="E270" s="7"/>
      <c r="F270" s="7"/>
    </row>
    <row r="271" spans="1:6" x14ac:dyDescent="0.25">
      <c r="A271" s="7"/>
      <c r="E271" s="7"/>
      <c r="F271" s="7"/>
    </row>
    <row r="272" spans="1:6" x14ac:dyDescent="0.25">
      <c r="A272" s="7"/>
      <c r="E272" s="7"/>
      <c r="F272" s="7"/>
    </row>
    <row r="273" spans="1:6" x14ac:dyDescent="0.25">
      <c r="A273" s="7"/>
      <c r="E273" s="7"/>
      <c r="F273" s="7"/>
    </row>
    <row r="274" spans="1:6" x14ac:dyDescent="0.25">
      <c r="A274" s="7"/>
      <c r="E274" s="7"/>
      <c r="F274" s="7"/>
    </row>
    <row r="275" spans="1:6" x14ac:dyDescent="0.25">
      <c r="A275" s="7"/>
      <c r="E275" s="7"/>
      <c r="F275" s="7"/>
    </row>
    <row r="276" spans="1:6" x14ac:dyDescent="0.25">
      <c r="A276" s="7"/>
      <c r="E276" s="7"/>
      <c r="F276" s="7"/>
    </row>
    <row r="277" spans="1:6" x14ac:dyDescent="0.25">
      <c r="A277" s="7"/>
      <c r="E277" s="7"/>
      <c r="F277" s="7"/>
    </row>
    <row r="278" spans="1:6" x14ac:dyDescent="0.25">
      <c r="A278" s="7"/>
      <c r="E278" s="7"/>
      <c r="F278" s="7"/>
    </row>
    <row r="279" spans="1:6" x14ac:dyDescent="0.25">
      <c r="A279" s="7"/>
      <c r="E279" s="7"/>
      <c r="F279" s="7"/>
    </row>
    <row r="280" spans="1:6" x14ac:dyDescent="0.25">
      <c r="A280" s="7"/>
      <c r="E280" s="7"/>
      <c r="F280" s="7"/>
    </row>
    <row r="281" spans="1:6" x14ac:dyDescent="0.25">
      <c r="A281" s="7"/>
      <c r="E281" s="7"/>
      <c r="F281" s="7"/>
    </row>
    <row r="282" spans="1:6" x14ac:dyDescent="0.25">
      <c r="A282" s="7"/>
      <c r="E282" s="7"/>
      <c r="F282" s="7"/>
    </row>
    <row r="283" spans="1:6" x14ac:dyDescent="0.25">
      <c r="A283" s="7"/>
      <c r="E283" s="7"/>
      <c r="F283" s="7"/>
    </row>
    <row r="284" spans="1:6" x14ac:dyDescent="0.25">
      <c r="A284" s="7"/>
      <c r="E284" s="7"/>
      <c r="F284" s="7"/>
    </row>
    <row r="285" spans="1:6" x14ac:dyDescent="0.25">
      <c r="A285" s="7"/>
      <c r="E285" s="7"/>
      <c r="F285" s="7"/>
    </row>
    <row r="286" spans="1:6" x14ac:dyDescent="0.25">
      <c r="A286" s="7"/>
      <c r="E286" s="7"/>
      <c r="F286" s="7"/>
    </row>
    <row r="287" spans="1:6" x14ac:dyDescent="0.25">
      <c r="A287" s="7"/>
      <c r="E287" s="7"/>
      <c r="F287" s="7"/>
    </row>
    <row r="288" spans="1:6" x14ac:dyDescent="0.25">
      <c r="A288" s="7"/>
      <c r="E288" s="7"/>
      <c r="F288" s="7"/>
    </row>
    <row r="289" spans="1:6" x14ac:dyDescent="0.25">
      <c r="A289" s="7"/>
      <c r="E289" s="7"/>
      <c r="F289" s="7"/>
    </row>
    <row r="290" spans="1:6" x14ac:dyDescent="0.25">
      <c r="A290" s="7"/>
      <c r="E290" s="7"/>
      <c r="F290" s="7"/>
    </row>
    <row r="291" spans="1:6" x14ac:dyDescent="0.25">
      <c r="A291" s="7"/>
      <c r="E291" s="7"/>
      <c r="F291" s="7"/>
    </row>
    <row r="292" spans="1:6" x14ac:dyDescent="0.25">
      <c r="A292" s="7"/>
      <c r="E292" s="7"/>
      <c r="F292" s="7"/>
    </row>
    <row r="293" spans="1:6" x14ac:dyDescent="0.25">
      <c r="A293" s="7"/>
      <c r="E293" s="7"/>
      <c r="F293" s="7"/>
    </row>
    <row r="294" spans="1:6" x14ac:dyDescent="0.25">
      <c r="A294" s="7"/>
      <c r="E294" s="7"/>
      <c r="F294" s="7"/>
    </row>
    <row r="295" spans="1:6" x14ac:dyDescent="0.25">
      <c r="A295" s="7"/>
      <c r="E295" s="7"/>
      <c r="F295" s="7"/>
    </row>
    <row r="296" spans="1:6" x14ac:dyDescent="0.25">
      <c r="A296" s="7"/>
      <c r="E296" s="7"/>
      <c r="F296" s="7"/>
    </row>
    <row r="297" spans="1:6" x14ac:dyDescent="0.25">
      <c r="A297" s="7"/>
      <c r="E297" s="7"/>
      <c r="F297" s="7"/>
    </row>
    <row r="298" spans="1:6" x14ac:dyDescent="0.25">
      <c r="A298" s="7"/>
      <c r="E298" s="7"/>
      <c r="F298" s="7"/>
    </row>
    <row r="299" spans="1:6" x14ac:dyDescent="0.25">
      <c r="A299" s="7"/>
      <c r="E299" s="7"/>
      <c r="F299" s="7"/>
    </row>
    <row r="300" spans="1:6" x14ac:dyDescent="0.25">
      <c r="A300" s="7"/>
      <c r="E300" s="7"/>
      <c r="F300" s="7"/>
    </row>
    <row r="301" spans="1:6" x14ac:dyDescent="0.25">
      <c r="A301" s="7"/>
      <c r="E301" s="7"/>
      <c r="F301" s="7"/>
    </row>
    <row r="302" spans="1:6" x14ac:dyDescent="0.25">
      <c r="A302" s="7"/>
      <c r="E302" s="7"/>
      <c r="F302" s="7"/>
    </row>
    <row r="303" spans="1:6" x14ac:dyDescent="0.25">
      <c r="A303" s="7"/>
      <c r="E303" s="7"/>
      <c r="F303" s="7"/>
    </row>
    <row r="304" spans="1:6" x14ac:dyDescent="0.25">
      <c r="A304" s="7"/>
      <c r="E304" s="7"/>
      <c r="F304" s="7"/>
    </row>
    <row r="305" spans="1:6" x14ac:dyDescent="0.25">
      <c r="A305" s="7"/>
      <c r="E305" s="7"/>
      <c r="F305" s="7"/>
    </row>
    <row r="306" spans="1:6" x14ac:dyDescent="0.25">
      <c r="A306" s="7"/>
      <c r="E306" s="7"/>
      <c r="F306" s="7"/>
    </row>
    <row r="307" spans="1:6" x14ac:dyDescent="0.25">
      <c r="A307" s="7"/>
      <c r="E307" s="7"/>
      <c r="F307" s="7"/>
    </row>
    <row r="308" spans="1:6" x14ac:dyDescent="0.25">
      <c r="A308" s="7"/>
      <c r="E308" s="7"/>
      <c r="F308" s="7"/>
    </row>
    <row r="309" spans="1:6" x14ac:dyDescent="0.25">
      <c r="A309" s="7"/>
      <c r="E309" s="7"/>
      <c r="F309" s="7"/>
    </row>
    <row r="310" spans="1:6" x14ac:dyDescent="0.25">
      <c r="A310" s="7"/>
      <c r="E310" s="7"/>
      <c r="F310" s="7"/>
    </row>
    <row r="311" spans="1:6" x14ac:dyDescent="0.25">
      <c r="A311" s="7"/>
      <c r="E311" s="7"/>
      <c r="F311" s="7"/>
    </row>
    <row r="312" spans="1:6" x14ac:dyDescent="0.25">
      <c r="A312" s="7"/>
      <c r="E312" s="7"/>
      <c r="F312" s="7"/>
    </row>
    <row r="313" spans="1:6" x14ac:dyDescent="0.25">
      <c r="A313" s="7"/>
      <c r="E313" s="7"/>
      <c r="F313" s="7"/>
    </row>
    <row r="314" spans="1:6" x14ac:dyDescent="0.25">
      <c r="A314" s="7"/>
      <c r="E314" s="7"/>
      <c r="F314" s="7"/>
    </row>
    <row r="315" spans="1:6" x14ac:dyDescent="0.25">
      <c r="A315" s="7"/>
      <c r="E315" s="7"/>
      <c r="F315" s="7"/>
    </row>
    <row r="316" spans="1:6" x14ac:dyDescent="0.25">
      <c r="A316" s="7"/>
      <c r="E316" s="7"/>
      <c r="F316" s="7"/>
    </row>
    <row r="317" spans="1:6" x14ac:dyDescent="0.25">
      <c r="A317" s="7"/>
      <c r="E317" s="7"/>
      <c r="F317" s="7"/>
    </row>
    <row r="318" spans="1:6" x14ac:dyDescent="0.25">
      <c r="A318" s="7"/>
      <c r="E318" s="7"/>
      <c r="F318" s="7"/>
    </row>
    <row r="319" spans="1:6" x14ac:dyDescent="0.25">
      <c r="A319" s="7"/>
      <c r="E319" s="7"/>
      <c r="F319" s="7"/>
    </row>
    <row r="320" spans="1:6" x14ac:dyDescent="0.25">
      <c r="A320" s="7"/>
      <c r="E320" s="7"/>
      <c r="F320" s="7"/>
    </row>
    <row r="321" spans="1:6" x14ac:dyDescent="0.25">
      <c r="A321" s="7"/>
      <c r="E321" s="7"/>
      <c r="F321" s="7"/>
    </row>
    <row r="322" spans="1:6" x14ac:dyDescent="0.25">
      <c r="A322" s="7"/>
      <c r="E322" s="7"/>
      <c r="F322" s="7"/>
    </row>
    <row r="323" spans="1:6" x14ac:dyDescent="0.25">
      <c r="A323" s="7"/>
      <c r="E323" s="7"/>
      <c r="F323" s="7"/>
    </row>
    <row r="324" spans="1:6" x14ac:dyDescent="0.25">
      <c r="A324" s="7"/>
      <c r="E324" s="7"/>
      <c r="F324" s="7"/>
    </row>
    <row r="325" spans="1:6" x14ac:dyDescent="0.25">
      <c r="A325" s="7"/>
      <c r="E325" s="7"/>
      <c r="F325" s="7"/>
    </row>
    <row r="326" spans="1:6" x14ac:dyDescent="0.25">
      <c r="A326" s="7"/>
      <c r="E326" s="7"/>
      <c r="F326" s="7"/>
    </row>
    <row r="327" spans="1:6" x14ac:dyDescent="0.25">
      <c r="A327" s="7"/>
      <c r="E327" s="7"/>
      <c r="F327" s="7"/>
    </row>
    <row r="328" spans="1:6" x14ac:dyDescent="0.25">
      <c r="A328" s="7"/>
      <c r="E328" s="7"/>
      <c r="F328" s="7"/>
    </row>
    <row r="329" spans="1:6" x14ac:dyDescent="0.25">
      <c r="A329" s="7"/>
      <c r="E329" s="7"/>
      <c r="F329" s="7"/>
    </row>
    <row r="330" spans="1:6" x14ac:dyDescent="0.25">
      <c r="A330" s="7"/>
      <c r="E330" s="7"/>
      <c r="F330" s="7"/>
    </row>
    <row r="331" spans="1:6" x14ac:dyDescent="0.25">
      <c r="A331" s="7"/>
      <c r="E331" s="7"/>
      <c r="F331" s="7"/>
    </row>
    <row r="332" spans="1:6" x14ac:dyDescent="0.25">
      <c r="A332" s="7"/>
      <c r="E332" s="7"/>
      <c r="F332" s="7"/>
    </row>
    <row r="333" spans="1:6" x14ac:dyDescent="0.25">
      <c r="A333" s="7"/>
      <c r="E333" s="7"/>
      <c r="F333" s="7"/>
    </row>
    <row r="334" spans="1:6" x14ac:dyDescent="0.25">
      <c r="A334" s="7"/>
      <c r="E334" s="7"/>
      <c r="F334" s="7"/>
    </row>
    <row r="335" spans="1:6" x14ac:dyDescent="0.25">
      <c r="A335" s="7"/>
      <c r="E335" s="7"/>
      <c r="F335" s="7"/>
    </row>
    <row r="336" spans="1:6" x14ac:dyDescent="0.25">
      <c r="A336" s="7"/>
      <c r="E336" s="7"/>
      <c r="F336" s="7"/>
    </row>
    <row r="337" spans="1:6" x14ac:dyDescent="0.25">
      <c r="A337" s="7"/>
      <c r="E337" s="7"/>
      <c r="F337" s="7"/>
    </row>
    <row r="338" spans="1:6" x14ac:dyDescent="0.25">
      <c r="A338" s="7"/>
      <c r="E338" s="7"/>
      <c r="F338" s="7"/>
    </row>
    <row r="339" spans="1:6" x14ac:dyDescent="0.25">
      <c r="A339" s="7"/>
      <c r="E339" s="7"/>
      <c r="F339" s="7"/>
    </row>
    <row r="340" spans="1:6" x14ac:dyDescent="0.25">
      <c r="A340" s="7"/>
      <c r="E340" s="7"/>
      <c r="F340" s="7"/>
    </row>
    <row r="341" spans="1:6" x14ac:dyDescent="0.25">
      <c r="A341" s="7"/>
      <c r="E341" s="7"/>
      <c r="F341" s="7"/>
    </row>
    <row r="342" spans="1:6" x14ac:dyDescent="0.25">
      <c r="A342" s="7"/>
      <c r="E342" s="7"/>
      <c r="F342" s="7"/>
    </row>
    <row r="343" spans="1:6" x14ac:dyDescent="0.25">
      <c r="A343" s="7"/>
      <c r="E343" s="7"/>
      <c r="F343" s="7"/>
    </row>
    <row r="344" spans="1:6" x14ac:dyDescent="0.25">
      <c r="A344" s="7"/>
      <c r="E344" s="7"/>
      <c r="F344" s="7"/>
    </row>
    <row r="345" spans="1:6" x14ac:dyDescent="0.25">
      <c r="A345" s="7"/>
      <c r="E345" s="7"/>
      <c r="F345" s="7"/>
    </row>
    <row r="346" spans="1:6" x14ac:dyDescent="0.25">
      <c r="A346" s="7"/>
      <c r="E346" s="7"/>
      <c r="F346" s="7"/>
    </row>
    <row r="347" spans="1:6" x14ac:dyDescent="0.25">
      <c r="A347" s="7"/>
      <c r="E347" s="7"/>
      <c r="F347" s="7"/>
    </row>
    <row r="348" spans="1:6" x14ac:dyDescent="0.25">
      <c r="A348" s="7"/>
      <c r="E348" s="7"/>
      <c r="F348" s="7"/>
    </row>
    <row r="349" spans="1:6" x14ac:dyDescent="0.25">
      <c r="A349" s="7"/>
      <c r="E349" s="7"/>
      <c r="F349" s="7"/>
    </row>
    <row r="350" spans="1:6" x14ac:dyDescent="0.25">
      <c r="A350" s="7"/>
      <c r="E350" s="7"/>
      <c r="F350" s="7"/>
    </row>
    <row r="351" spans="1:6" x14ac:dyDescent="0.25">
      <c r="A351" s="7"/>
      <c r="E351" s="7"/>
      <c r="F351" s="7"/>
    </row>
    <row r="352" spans="1:6" x14ac:dyDescent="0.25">
      <c r="A352" s="7"/>
      <c r="E352" s="7"/>
      <c r="F352" s="7"/>
    </row>
    <row r="353" spans="1:6" x14ac:dyDescent="0.25">
      <c r="A353" s="7"/>
      <c r="E353" s="7"/>
      <c r="F353" s="7"/>
    </row>
    <row r="354" spans="1:6" x14ac:dyDescent="0.25">
      <c r="A354" s="7"/>
      <c r="E354" s="7"/>
      <c r="F354" s="7"/>
    </row>
    <row r="355" spans="1:6" x14ac:dyDescent="0.25">
      <c r="A355" s="7"/>
      <c r="E355" s="7"/>
      <c r="F355" s="7"/>
    </row>
    <row r="356" spans="1:6" x14ac:dyDescent="0.25">
      <c r="A356" s="7"/>
      <c r="E356" s="7"/>
      <c r="F356" s="7"/>
    </row>
    <row r="357" spans="1:6" x14ac:dyDescent="0.25">
      <c r="A357" s="7"/>
      <c r="E357" s="7"/>
      <c r="F357" s="7"/>
    </row>
    <row r="358" spans="1:6" x14ac:dyDescent="0.25">
      <c r="A358" s="7"/>
      <c r="E358" s="7"/>
      <c r="F358" s="7"/>
    </row>
    <row r="359" spans="1:6" x14ac:dyDescent="0.25">
      <c r="A359" s="7"/>
      <c r="E359" s="7"/>
      <c r="F359" s="7"/>
    </row>
    <row r="360" spans="1:6" x14ac:dyDescent="0.25">
      <c r="A360" s="7"/>
      <c r="E360" s="7"/>
      <c r="F360" s="7"/>
    </row>
    <row r="361" spans="1:6" x14ac:dyDescent="0.25">
      <c r="A361" s="7"/>
      <c r="E361" s="7"/>
      <c r="F361" s="7"/>
    </row>
    <row r="362" spans="1:6" x14ac:dyDescent="0.25">
      <c r="A362" s="7"/>
      <c r="E362" s="7"/>
      <c r="F362" s="7"/>
    </row>
    <row r="363" spans="1:6" x14ac:dyDescent="0.25">
      <c r="A363" s="7"/>
      <c r="E363" s="7"/>
      <c r="F363" s="7"/>
    </row>
    <row r="364" spans="1:6" x14ac:dyDescent="0.25">
      <c r="A364" s="7"/>
      <c r="E364" s="7"/>
      <c r="F364" s="7"/>
    </row>
    <row r="365" spans="1:6" x14ac:dyDescent="0.25">
      <c r="A365" s="7"/>
      <c r="E365" s="7"/>
      <c r="F365" s="7"/>
    </row>
    <row r="366" spans="1:6" x14ac:dyDescent="0.25">
      <c r="A366" s="7"/>
      <c r="E366" s="7"/>
      <c r="F366" s="7"/>
    </row>
    <row r="367" spans="1:6" x14ac:dyDescent="0.25">
      <c r="A367" s="7"/>
      <c r="E367" s="7"/>
      <c r="F367" s="7"/>
    </row>
    <row r="368" spans="1:6" x14ac:dyDescent="0.25">
      <c r="A368" s="7"/>
      <c r="E368" s="7"/>
      <c r="F368" s="7"/>
    </row>
    <row r="369" spans="1:6" x14ac:dyDescent="0.25">
      <c r="A369" s="7"/>
      <c r="E369" s="7"/>
      <c r="F369" s="7"/>
    </row>
    <row r="370" spans="1:6" x14ac:dyDescent="0.25">
      <c r="A370" s="7"/>
      <c r="E370" s="7"/>
      <c r="F370" s="7"/>
    </row>
    <row r="371" spans="1:6" x14ac:dyDescent="0.25">
      <c r="A371" s="7"/>
      <c r="E371" s="7"/>
      <c r="F371" s="7"/>
    </row>
    <row r="372" spans="1:6" x14ac:dyDescent="0.25">
      <c r="A372" s="7"/>
      <c r="E372" s="7"/>
      <c r="F372" s="7"/>
    </row>
    <row r="373" spans="1:6" x14ac:dyDescent="0.25">
      <c r="A373" s="7"/>
      <c r="E373" s="7"/>
      <c r="F373" s="7"/>
    </row>
    <row r="374" spans="1:6" x14ac:dyDescent="0.25">
      <c r="A374" s="7"/>
      <c r="E374" s="7"/>
      <c r="F374" s="7"/>
    </row>
    <row r="375" spans="1:6" x14ac:dyDescent="0.25">
      <c r="A375" s="7"/>
      <c r="E375" s="7"/>
      <c r="F375" s="7"/>
    </row>
    <row r="376" spans="1:6" x14ac:dyDescent="0.25">
      <c r="A376" s="7"/>
      <c r="E376" s="7"/>
      <c r="F376" s="7"/>
    </row>
    <row r="377" spans="1:6" x14ac:dyDescent="0.25">
      <c r="A377" s="7"/>
      <c r="E377" s="7"/>
      <c r="F377" s="7"/>
    </row>
    <row r="378" spans="1:6" x14ac:dyDescent="0.25">
      <c r="A378" s="7"/>
      <c r="E378" s="7"/>
      <c r="F378" s="7"/>
    </row>
    <row r="379" spans="1:6" x14ac:dyDescent="0.25">
      <c r="A379" s="7"/>
      <c r="E379" s="7"/>
      <c r="F379" s="7"/>
    </row>
    <row r="380" spans="1:6" x14ac:dyDescent="0.25">
      <c r="A380" s="7"/>
      <c r="E380" s="7"/>
      <c r="F380" s="7"/>
    </row>
    <row r="381" spans="1:6" x14ac:dyDescent="0.25">
      <c r="A381" s="7"/>
      <c r="E381" s="7"/>
      <c r="F381" s="7"/>
    </row>
    <row r="382" spans="1:6" x14ac:dyDescent="0.25">
      <c r="A382" s="7"/>
      <c r="E382" s="7"/>
      <c r="F382" s="7"/>
    </row>
    <row r="383" spans="1:6" x14ac:dyDescent="0.25">
      <c r="A383" s="7"/>
      <c r="E383" s="7"/>
      <c r="F383" s="7"/>
    </row>
    <row r="384" spans="1:6" x14ac:dyDescent="0.25">
      <c r="A384" s="7"/>
      <c r="E384" s="7"/>
      <c r="F384" s="7"/>
    </row>
    <row r="385" spans="1:6" x14ac:dyDescent="0.25">
      <c r="A385" s="7"/>
      <c r="E385" s="7"/>
      <c r="F385" s="7"/>
    </row>
    <row r="386" spans="1:6" x14ac:dyDescent="0.25">
      <c r="A386" s="7"/>
      <c r="E386" s="7"/>
      <c r="F386" s="7"/>
    </row>
    <row r="387" spans="1:6" x14ac:dyDescent="0.25">
      <c r="A387" s="7"/>
      <c r="E387" s="7"/>
      <c r="F387" s="7"/>
    </row>
    <row r="388" spans="1:6" x14ac:dyDescent="0.25">
      <c r="A388" s="7"/>
      <c r="E388" s="7"/>
      <c r="F388" s="7"/>
    </row>
    <row r="389" spans="1:6" x14ac:dyDescent="0.25">
      <c r="A389" s="7"/>
      <c r="E389" s="7"/>
      <c r="F389" s="7"/>
    </row>
    <row r="390" spans="1:6" x14ac:dyDescent="0.25">
      <c r="A390" s="7"/>
      <c r="E390" s="7"/>
      <c r="F390" s="7"/>
    </row>
    <row r="391" spans="1:6" x14ac:dyDescent="0.25">
      <c r="A391" s="7"/>
      <c r="E391" s="7"/>
      <c r="F391" s="7"/>
    </row>
    <row r="392" spans="1:6" x14ac:dyDescent="0.25">
      <c r="A392" s="7"/>
      <c r="E392" s="7"/>
      <c r="F392" s="7"/>
    </row>
    <row r="393" spans="1:6" x14ac:dyDescent="0.25">
      <c r="A393" s="7"/>
      <c r="E393" s="7"/>
      <c r="F393" s="7"/>
    </row>
    <row r="394" spans="1:6" x14ac:dyDescent="0.25">
      <c r="A394" s="7"/>
      <c r="E394" s="7"/>
      <c r="F394" s="7"/>
    </row>
    <row r="395" spans="1:6" x14ac:dyDescent="0.25">
      <c r="A395" s="7"/>
      <c r="E395" s="7"/>
      <c r="F395" s="7"/>
    </row>
    <row r="396" spans="1:6" x14ac:dyDescent="0.25">
      <c r="A396" s="7"/>
      <c r="E396" s="7"/>
      <c r="F396" s="7"/>
    </row>
    <row r="397" spans="1:6" x14ac:dyDescent="0.25">
      <c r="A397" s="7"/>
      <c r="E397" s="7"/>
      <c r="F397" s="7"/>
    </row>
    <row r="398" spans="1:6" x14ac:dyDescent="0.25">
      <c r="A398" s="7"/>
      <c r="E398" s="7"/>
      <c r="F398" s="7"/>
    </row>
    <row r="399" spans="1:6" x14ac:dyDescent="0.25">
      <c r="A399" s="7"/>
      <c r="E399" s="7"/>
      <c r="F399" s="7"/>
    </row>
    <row r="400" spans="1:6" x14ac:dyDescent="0.25">
      <c r="A400" s="7"/>
      <c r="E400" s="7"/>
      <c r="F400" s="7"/>
    </row>
    <row r="401" spans="1:6" x14ac:dyDescent="0.25">
      <c r="A401" s="7"/>
      <c r="E401" s="7"/>
      <c r="F401" s="7"/>
    </row>
    <row r="402" spans="1:6" x14ac:dyDescent="0.25">
      <c r="A402" s="7"/>
      <c r="E402" s="7"/>
      <c r="F402" s="7"/>
    </row>
    <row r="403" spans="1:6" x14ac:dyDescent="0.25">
      <c r="A403" s="7"/>
      <c r="E403" s="7"/>
      <c r="F403" s="7"/>
    </row>
    <row r="404" spans="1:6" x14ac:dyDescent="0.25">
      <c r="A404" s="7"/>
      <c r="E404" s="7"/>
      <c r="F404" s="7"/>
    </row>
    <row r="405" spans="1:6" x14ac:dyDescent="0.25">
      <c r="A405" s="7"/>
      <c r="E405" s="7"/>
      <c r="F405" s="7"/>
    </row>
    <row r="406" spans="1:6" x14ac:dyDescent="0.25">
      <c r="A406" s="7"/>
      <c r="E406" s="7"/>
      <c r="F406" s="7"/>
    </row>
    <row r="407" spans="1:6" x14ac:dyDescent="0.25">
      <c r="A407" s="7"/>
      <c r="E407" s="7"/>
      <c r="F407" s="7"/>
    </row>
    <row r="408" spans="1:6" x14ac:dyDescent="0.25">
      <c r="A408" s="7"/>
      <c r="E408" s="7"/>
      <c r="F408" s="7"/>
    </row>
    <row r="409" spans="1:6" x14ac:dyDescent="0.25">
      <c r="A409" s="7"/>
      <c r="E409" s="7"/>
      <c r="F409" s="7"/>
    </row>
    <row r="410" spans="1:6" x14ac:dyDescent="0.25">
      <c r="A410" s="7"/>
      <c r="E410" s="7"/>
      <c r="F410" s="7"/>
    </row>
    <row r="411" spans="1:6" x14ac:dyDescent="0.25">
      <c r="A411" s="7"/>
      <c r="E411" s="7"/>
      <c r="F411" s="7"/>
    </row>
    <row r="412" spans="1:6" x14ac:dyDescent="0.25">
      <c r="A412" s="7"/>
      <c r="E412" s="7"/>
      <c r="F412" s="7"/>
    </row>
    <row r="413" spans="1:6" x14ac:dyDescent="0.25">
      <c r="A413" s="7"/>
      <c r="E413" s="7"/>
      <c r="F413" s="7"/>
    </row>
    <row r="414" spans="1:6" x14ac:dyDescent="0.25">
      <c r="A414" s="7"/>
      <c r="E414" s="7"/>
      <c r="F414" s="7"/>
    </row>
    <row r="415" spans="1:6" x14ac:dyDescent="0.25">
      <c r="A415" s="7"/>
      <c r="E415" s="7"/>
      <c r="F415" s="7"/>
    </row>
    <row r="416" spans="1:6" x14ac:dyDescent="0.25">
      <c r="A416" s="7"/>
      <c r="E416" s="7"/>
      <c r="F416" s="7"/>
    </row>
    <row r="417" spans="1:6" x14ac:dyDescent="0.25">
      <c r="A417" s="7"/>
      <c r="E417" s="7"/>
      <c r="F417" s="7"/>
    </row>
    <row r="418" spans="1:6" x14ac:dyDescent="0.25">
      <c r="A418" s="7"/>
      <c r="E418" s="7"/>
      <c r="F418" s="7"/>
    </row>
    <row r="419" spans="1:6" x14ac:dyDescent="0.25">
      <c r="A419" s="7"/>
      <c r="E419" s="7"/>
      <c r="F419" s="7"/>
    </row>
    <row r="420" spans="1:6" x14ac:dyDescent="0.25">
      <c r="A420" s="7"/>
      <c r="E420" s="7"/>
      <c r="F420" s="7"/>
    </row>
    <row r="421" spans="1:6" x14ac:dyDescent="0.25">
      <c r="A421" s="7"/>
      <c r="E421" s="7"/>
      <c r="F421" s="7"/>
    </row>
    <row r="422" spans="1:6" x14ac:dyDescent="0.25">
      <c r="A422" s="7"/>
      <c r="E422" s="7"/>
      <c r="F422" s="7"/>
    </row>
    <row r="423" spans="1:6" x14ac:dyDescent="0.25">
      <c r="A423" s="7"/>
      <c r="E423" s="7"/>
      <c r="F423" s="7"/>
    </row>
    <row r="424" spans="1:6" x14ac:dyDescent="0.25">
      <c r="A424" s="7"/>
      <c r="E424" s="7"/>
      <c r="F424" s="7"/>
    </row>
    <row r="425" spans="1:6" x14ac:dyDescent="0.25">
      <c r="A425" s="7"/>
      <c r="E425" s="7"/>
      <c r="F425" s="7"/>
    </row>
    <row r="426" spans="1:6" x14ac:dyDescent="0.25">
      <c r="A426" s="7"/>
      <c r="E426" s="7"/>
      <c r="F426" s="7"/>
    </row>
    <row r="427" spans="1:6" x14ac:dyDescent="0.25">
      <c r="A427" s="7"/>
      <c r="E427" s="7"/>
      <c r="F427" s="7"/>
    </row>
    <row r="428" spans="1:6" x14ac:dyDescent="0.25">
      <c r="A428" s="7"/>
      <c r="E428" s="7"/>
      <c r="F428" s="7"/>
    </row>
    <row r="429" spans="1:6" x14ac:dyDescent="0.25">
      <c r="A429" s="7"/>
      <c r="E429" s="7"/>
      <c r="F429" s="7"/>
    </row>
    <row r="430" spans="1:6" x14ac:dyDescent="0.25">
      <c r="A430" s="7"/>
      <c r="E430" s="7"/>
      <c r="F430" s="7"/>
    </row>
    <row r="431" spans="1:6" x14ac:dyDescent="0.25">
      <c r="A431" s="7"/>
      <c r="E431" s="7"/>
      <c r="F431" s="7"/>
    </row>
    <row r="432" spans="1:6" x14ac:dyDescent="0.25">
      <c r="A432" s="7"/>
      <c r="E432" s="7"/>
      <c r="F432" s="7"/>
    </row>
    <row r="433" spans="1:6" x14ac:dyDescent="0.25">
      <c r="A433" s="7"/>
      <c r="E433" s="7"/>
      <c r="F433" s="7"/>
    </row>
    <row r="434" spans="1:6" x14ac:dyDescent="0.25">
      <c r="A434" s="7"/>
      <c r="E434" s="7"/>
      <c r="F434" s="7"/>
    </row>
    <row r="435" spans="1:6" x14ac:dyDescent="0.25">
      <c r="A435" s="7"/>
      <c r="E435" s="7"/>
      <c r="F435" s="7"/>
    </row>
    <row r="436" spans="1:6" x14ac:dyDescent="0.25">
      <c r="A436" s="7"/>
      <c r="E436" s="7"/>
      <c r="F436" s="7"/>
    </row>
    <row r="437" spans="1:6" x14ac:dyDescent="0.25">
      <c r="A437" s="7"/>
      <c r="E437" s="7"/>
      <c r="F437" s="7"/>
    </row>
    <row r="438" spans="1:6" x14ac:dyDescent="0.25">
      <c r="A438" s="7"/>
      <c r="E438" s="7"/>
      <c r="F438" s="7"/>
    </row>
    <row r="439" spans="1:6" x14ac:dyDescent="0.25">
      <c r="A439" s="7"/>
      <c r="E439" s="7"/>
      <c r="F439" s="7"/>
    </row>
    <row r="440" spans="1:6" x14ac:dyDescent="0.25">
      <c r="A440" s="7"/>
      <c r="E440" s="7"/>
      <c r="F440" s="7"/>
    </row>
    <row r="441" spans="1:6" x14ac:dyDescent="0.25">
      <c r="A441" s="7"/>
      <c r="E441" s="7"/>
      <c r="F441" s="7"/>
    </row>
    <row r="442" spans="1:6" x14ac:dyDescent="0.25">
      <c r="A442" s="7"/>
      <c r="E442" s="7"/>
      <c r="F442" s="7"/>
    </row>
    <row r="443" spans="1:6" x14ac:dyDescent="0.25">
      <c r="A443" s="7"/>
      <c r="E443" s="7"/>
      <c r="F443" s="7"/>
    </row>
    <row r="444" spans="1:6" x14ac:dyDescent="0.25">
      <c r="A444" s="7"/>
      <c r="E444" s="7"/>
      <c r="F444" s="7"/>
    </row>
    <row r="445" spans="1:6" x14ac:dyDescent="0.25">
      <c r="A445" s="7"/>
      <c r="E445" s="7"/>
      <c r="F445" s="7"/>
    </row>
    <row r="446" spans="1:6" x14ac:dyDescent="0.25">
      <c r="A446" s="7"/>
      <c r="E446" s="7"/>
      <c r="F446" s="7"/>
    </row>
    <row r="447" spans="1:6" x14ac:dyDescent="0.25">
      <c r="A447" s="7"/>
      <c r="E447" s="7"/>
      <c r="F447" s="7"/>
    </row>
    <row r="448" spans="1:6" x14ac:dyDescent="0.25">
      <c r="A448" s="7"/>
      <c r="E448" s="7"/>
      <c r="F448" s="7"/>
    </row>
    <row r="449" spans="1:6" x14ac:dyDescent="0.25">
      <c r="A449" s="7"/>
      <c r="E449" s="7"/>
      <c r="F449" s="7"/>
    </row>
    <row r="450" spans="1:6" x14ac:dyDescent="0.25">
      <c r="A450" s="7"/>
      <c r="E450" s="7"/>
      <c r="F450" s="7"/>
    </row>
    <row r="451" spans="1:6" x14ac:dyDescent="0.25">
      <c r="A451" s="7"/>
      <c r="E451" s="7"/>
      <c r="F451" s="7"/>
    </row>
    <row r="452" spans="1:6" x14ac:dyDescent="0.25">
      <c r="A452" s="7"/>
      <c r="E452" s="7"/>
      <c r="F452" s="7"/>
    </row>
    <row r="453" spans="1:6" x14ac:dyDescent="0.25">
      <c r="A453" s="7"/>
      <c r="E453" s="7"/>
      <c r="F453" s="7"/>
    </row>
    <row r="454" spans="1:6" x14ac:dyDescent="0.25">
      <c r="A454" s="7"/>
      <c r="E454" s="7"/>
      <c r="F454" s="7"/>
    </row>
    <row r="455" spans="1:6" x14ac:dyDescent="0.25">
      <c r="A455" s="7"/>
      <c r="E455" s="7"/>
      <c r="F455" s="7"/>
    </row>
    <row r="456" spans="1:6" x14ac:dyDescent="0.25">
      <c r="A456" s="7"/>
      <c r="E456" s="7"/>
      <c r="F456" s="7"/>
    </row>
    <row r="457" spans="1:6" x14ac:dyDescent="0.25">
      <c r="A457" s="7"/>
      <c r="E457" s="7"/>
      <c r="F457" s="7"/>
    </row>
    <row r="458" spans="1:6" x14ac:dyDescent="0.25">
      <c r="A458" s="7"/>
      <c r="E458" s="7"/>
      <c r="F458" s="7"/>
    </row>
    <row r="459" spans="1:6" x14ac:dyDescent="0.25">
      <c r="A459" s="7"/>
      <c r="E459" s="7"/>
      <c r="F459" s="7"/>
    </row>
    <row r="460" spans="1:6" x14ac:dyDescent="0.25">
      <c r="A460" s="7"/>
      <c r="E460" s="7"/>
      <c r="F460" s="7"/>
    </row>
    <row r="461" spans="1:6" x14ac:dyDescent="0.25">
      <c r="A461" s="7"/>
      <c r="E461" s="7"/>
      <c r="F461" s="7"/>
    </row>
    <row r="462" spans="1:6" x14ac:dyDescent="0.25">
      <c r="A462" s="7"/>
      <c r="E462" s="7"/>
      <c r="F462" s="7"/>
    </row>
    <row r="463" spans="1:6" x14ac:dyDescent="0.25">
      <c r="A463" s="7"/>
      <c r="E463" s="7"/>
      <c r="F463" s="7"/>
    </row>
    <row r="464" spans="1:6" x14ac:dyDescent="0.25">
      <c r="A464" s="7"/>
      <c r="E464" s="7"/>
      <c r="F464" s="7"/>
    </row>
    <row r="465" spans="1:6" x14ac:dyDescent="0.25">
      <c r="A465" s="7"/>
      <c r="E465" s="7"/>
      <c r="F465" s="7"/>
    </row>
    <row r="466" spans="1:6" x14ac:dyDescent="0.25">
      <c r="A466" s="7"/>
      <c r="E466" s="7"/>
      <c r="F466" s="7"/>
    </row>
    <row r="467" spans="1:6" x14ac:dyDescent="0.25">
      <c r="A467" s="7"/>
      <c r="E467" s="7"/>
      <c r="F467" s="7"/>
    </row>
    <row r="468" spans="1:6" x14ac:dyDescent="0.25">
      <c r="A468" s="7"/>
      <c r="E468" s="7"/>
      <c r="F468" s="7"/>
    </row>
    <row r="469" spans="1:6" x14ac:dyDescent="0.25">
      <c r="A469" s="7"/>
      <c r="E469" s="7"/>
      <c r="F469" s="7"/>
    </row>
    <row r="470" spans="1:6" x14ac:dyDescent="0.25">
      <c r="A470" s="7"/>
      <c r="E470" s="7"/>
      <c r="F470" s="7"/>
    </row>
    <row r="471" spans="1:6" x14ac:dyDescent="0.25">
      <c r="A471" s="7"/>
      <c r="E471" s="7"/>
      <c r="F471" s="7"/>
    </row>
    <row r="472" spans="1:6" x14ac:dyDescent="0.25">
      <c r="A472" s="7"/>
      <c r="E472" s="7"/>
      <c r="F472" s="7"/>
    </row>
    <row r="473" spans="1:6" x14ac:dyDescent="0.25">
      <c r="A473" s="7"/>
      <c r="E473" s="7"/>
      <c r="F473" s="7"/>
    </row>
    <row r="474" spans="1:6" x14ac:dyDescent="0.25">
      <c r="A474" s="7"/>
      <c r="E474" s="7"/>
      <c r="F474" s="7"/>
    </row>
    <row r="475" spans="1:6" x14ac:dyDescent="0.25">
      <c r="A475" s="7"/>
      <c r="E475" s="7"/>
      <c r="F475" s="7"/>
    </row>
    <row r="476" spans="1:6" x14ac:dyDescent="0.25">
      <c r="A476" s="7"/>
      <c r="E476" s="7"/>
      <c r="F476" s="7"/>
    </row>
    <row r="477" spans="1:6" x14ac:dyDescent="0.25">
      <c r="A477" s="7"/>
      <c r="E477" s="7"/>
      <c r="F477" s="7"/>
    </row>
    <row r="478" spans="1:6" x14ac:dyDescent="0.25">
      <c r="A478" s="7"/>
      <c r="E478" s="7"/>
      <c r="F478" s="7"/>
    </row>
    <row r="479" spans="1:6" x14ac:dyDescent="0.25">
      <c r="A479" s="7"/>
      <c r="E479" s="7"/>
      <c r="F479" s="7"/>
    </row>
    <row r="480" spans="1:6" x14ac:dyDescent="0.25">
      <c r="A480" s="7"/>
      <c r="E480" s="7"/>
      <c r="F480" s="7"/>
    </row>
    <row r="481" spans="1:6" x14ac:dyDescent="0.25">
      <c r="A481" s="7"/>
      <c r="E481" s="7"/>
      <c r="F481" s="7"/>
    </row>
    <row r="482" spans="1:6" x14ac:dyDescent="0.25">
      <c r="A482" s="7"/>
      <c r="E482" s="7"/>
      <c r="F482" s="7"/>
    </row>
    <row r="483" spans="1:6" x14ac:dyDescent="0.25">
      <c r="A483" s="7"/>
      <c r="E483" s="7"/>
      <c r="F483" s="7"/>
    </row>
    <row r="484" spans="1:6" x14ac:dyDescent="0.25">
      <c r="A484" s="7"/>
      <c r="E484" s="7"/>
      <c r="F484" s="7"/>
    </row>
    <row r="485" spans="1:6" x14ac:dyDescent="0.25">
      <c r="A485" s="7"/>
      <c r="E485" s="7"/>
      <c r="F485" s="7"/>
    </row>
    <row r="486" spans="1:6" x14ac:dyDescent="0.25">
      <c r="A486" s="7"/>
      <c r="E486" s="7"/>
      <c r="F486" s="7"/>
    </row>
    <row r="487" spans="1:6" x14ac:dyDescent="0.25">
      <c r="A487" s="7"/>
      <c r="E487" s="7"/>
      <c r="F487" s="7"/>
    </row>
    <row r="488" spans="1:6" x14ac:dyDescent="0.25">
      <c r="A488" s="7"/>
      <c r="E488" s="7"/>
      <c r="F488" s="7"/>
    </row>
    <row r="489" spans="1:6" x14ac:dyDescent="0.25">
      <c r="A489" s="7"/>
      <c r="E489" s="7"/>
      <c r="F489" s="7"/>
    </row>
    <row r="490" spans="1:6" x14ac:dyDescent="0.25">
      <c r="A490" s="7"/>
      <c r="E490" s="7"/>
      <c r="F490" s="7"/>
    </row>
    <row r="491" spans="1:6" x14ac:dyDescent="0.25">
      <c r="A491" s="7"/>
      <c r="E491" s="7"/>
      <c r="F491" s="7"/>
    </row>
    <row r="492" spans="1:6" x14ac:dyDescent="0.25">
      <c r="A492" s="7"/>
      <c r="E492" s="7"/>
      <c r="F492" s="7"/>
    </row>
    <row r="493" spans="1:6" x14ac:dyDescent="0.25">
      <c r="A493" s="7"/>
      <c r="E493" s="7"/>
      <c r="F493" s="7"/>
    </row>
    <row r="494" spans="1:6" x14ac:dyDescent="0.25">
      <c r="A494" s="7"/>
      <c r="E494" s="7"/>
      <c r="F494" s="7"/>
    </row>
    <row r="495" spans="1:6" x14ac:dyDescent="0.25">
      <c r="A495" s="7"/>
      <c r="E495" s="7"/>
      <c r="F495" s="7"/>
    </row>
    <row r="496" spans="1:6" x14ac:dyDescent="0.25">
      <c r="A496" s="7"/>
      <c r="E496" s="7"/>
      <c r="F496" s="7"/>
    </row>
    <row r="497" spans="1:6" x14ac:dyDescent="0.25">
      <c r="A497" s="7"/>
      <c r="E497" s="7"/>
      <c r="F497" s="7"/>
    </row>
    <row r="498" spans="1:6" x14ac:dyDescent="0.25">
      <c r="A498" s="7"/>
      <c r="E498" s="7"/>
      <c r="F498" s="7"/>
    </row>
    <row r="499" spans="1:6" x14ac:dyDescent="0.25">
      <c r="A499" s="7"/>
      <c r="E499" s="7"/>
      <c r="F499" s="7"/>
    </row>
    <row r="500" spans="1:6" x14ac:dyDescent="0.25">
      <c r="A500" s="7"/>
      <c r="E500" s="7"/>
      <c r="F500" s="7"/>
    </row>
    <row r="501" spans="1:6" x14ac:dyDescent="0.25">
      <c r="A501" s="7"/>
      <c r="E501" s="7"/>
      <c r="F501" s="7"/>
    </row>
    <row r="502" spans="1:6" x14ac:dyDescent="0.25">
      <c r="A502" s="7"/>
      <c r="E502" s="7"/>
      <c r="F502" s="7"/>
    </row>
    <row r="503" spans="1:6" x14ac:dyDescent="0.25">
      <c r="A503" s="7"/>
      <c r="E503" s="7"/>
      <c r="F503" s="7"/>
    </row>
    <row r="504" spans="1:6" x14ac:dyDescent="0.25">
      <c r="A504" s="7"/>
      <c r="E504" s="7"/>
      <c r="F504" s="7"/>
    </row>
    <row r="505" spans="1:6" x14ac:dyDescent="0.25">
      <c r="A505" s="7"/>
      <c r="E505" s="7"/>
      <c r="F505" s="7"/>
    </row>
    <row r="506" spans="1:6" x14ac:dyDescent="0.25">
      <c r="A506" s="7"/>
      <c r="E506" s="7"/>
      <c r="F506" s="7"/>
    </row>
    <row r="507" spans="1:6" x14ac:dyDescent="0.25">
      <c r="A507" s="7"/>
      <c r="E507" s="7"/>
      <c r="F507" s="7"/>
    </row>
    <row r="508" spans="1:6" x14ac:dyDescent="0.25">
      <c r="A508" s="7"/>
      <c r="E508" s="7"/>
      <c r="F508" s="7"/>
    </row>
    <row r="509" spans="1:6" x14ac:dyDescent="0.25">
      <c r="A509" s="7"/>
      <c r="E509" s="7"/>
      <c r="F509" s="7"/>
    </row>
    <row r="510" spans="1:6" x14ac:dyDescent="0.25">
      <c r="A510" s="7"/>
      <c r="E510" s="7"/>
      <c r="F510" s="7"/>
    </row>
    <row r="511" spans="1:6" x14ac:dyDescent="0.25">
      <c r="A511" s="7"/>
      <c r="E511" s="7"/>
      <c r="F511" s="7"/>
    </row>
    <row r="512" spans="1:6" x14ac:dyDescent="0.25">
      <c r="A512" s="7"/>
      <c r="E512" s="7"/>
      <c r="F512" s="7"/>
    </row>
    <row r="513" spans="1:6" x14ac:dyDescent="0.25">
      <c r="A513" s="7"/>
      <c r="E513" s="7"/>
      <c r="F513" s="7"/>
    </row>
    <row r="514" spans="1:6" x14ac:dyDescent="0.25">
      <c r="A514" s="7"/>
      <c r="E514" s="7"/>
      <c r="F514" s="7"/>
    </row>
    <row r="515" spans="1:6" x14ac:dyDescent="0.25">
      <c r="A515" s="7"/>
      <c r="E515" s="7"/>
      <c r="F515" s="7"/>
    </row>
    <row r="516" spans="1:6" x14ac:dyDescent="0.25">
      <c r="A516" s="7"/>
      <c r="E516" s="7"/>
      <c r="F516" s="7"/>
    </row>
    <row r="517" spans="1:6" x14ac:dyDescent="0.25">
      <c r="A517" s="7"/>
      <c r="E517" s="7"/>
      <c r="F517" s="7"/>
    </row>
    <row r="518" spans="1:6" x14ac:dyDescent="0.25">
      <c r="A518" s="7"/>
      <c r="E518" s="7"/>
      <c r="F518" s="7"/>
    </row>
    <row r="519" spans="1:6" x14ac:dyDescent="0.25">
      <c r="A519" s="7"/>
      <c r="E519" s="7"/>
      <c r="F519" s="7"/>
    </row>
    <row r="520" spans="1:6" x14ac:dyDescent="0.25">
      <c r="A520" s="7"/>
      <c r="E520" s="7"/>
      <c r="F520" s="7"/>
    </row>
    <row r="521" spans="1:6" x14ac:dyDescent="0.25">
      <c r="A521" s="7"/>
      <c r="E521" s="7"/>
      <c r="F521" s="7"/>
    </row>
    <row r="522" spans="1:6" x14ac:dyDescent="0.25">
      <c r="A522" s="7"/>
      <c r="E522" s="7"/>
      <c r="F522" s="7"/>
    </row>
    <row r="523" spans="1:6" x14ac:dyDescent="0.25">
      <c r="A523" s="7"/>
      <c r="E523" s="7"/>
      <c r="F523" s="7"/>
    </row>
    <row r="524" spans="1:6" x14ac:dyDescent="0.25">
      <c r="A524" s="7"/>
      <c r="E524" s="7"/>
      <c r="F524" s="7"/>
    </row>
    <row r="525" spans="1:6" x14ac:dyDescent="0.25">
      <c r="A525" s="7"/>
      <c r="E525" s="7"/>
      <c r="F525" s="7"/>
    </row>
    <row r="526" spans="1:6" x14ac:dyDescent="0.25">
      <c r="A526" s="7"/>
      <c r="E526" s="7"/>
      <c r="F526" s="7"/>
    </row>
    <row r="527" spans="1:6" x14ac:dyDescent="0.25">
      <c r="A527" s="7"/>
      <c r="E527" s="7"/>
      <c r="F527" s="7"/>
    </row>
    <row r="528" spans="1:6" x14ac:dyDescent="0.25">
      <c r="A528" s="7"/>
      <c r="E528" s="7"/>
      <c r="F528" s="7"/>
    </row>
    <row r="529" spans="1:6" x14ac:dyDescent="0.25">
      <c r="A529" s="7"/>
      <c r="E529" s="7"/>
      <c r="F529" s="7"/>
    </row>
    <row r="530" spans="1:6" x14ac:dyDescent="0.25">
      <c r="A530" s="7"/>
      <c r="E530" s="7"/>
      <c r="F530" s="7"/>
    </row>
    <row r="531" spans="1:6" x14ac:dyDescent="0.25">
      <c r="A531" s="7"/>
      <c r="E531" s="7"/>
      <c r="F531" s="7"/>
    </row>
    <row r="532" spans="1:6" x14ac:dyDescent="0.25">
      <c r="A532" s="7"/>
      <c r="E532" s="7"/>
      <c r="F532" s="7"/>
    </row>
    <row r="533" spans="1:6" x14ac:dyDescent="0.25">
      <c r="A533" s="7"/>
      <c r="E533" s="7"/>
      <c r="F533" s="7"/>
    </row>
    <row r="534" spans="1:6" x14ac:dyDescent="0.25">
      <c r="A534" s="7"/>
      <c r="E534" s="7"/>
      <c r="F534" s="7"/>
    </row>
    <row r="535" spans="1:6" x14ac:dyDescent="0.25">
      <c r="A535" s="7"/>
      <c r="E535" s="7"/>
      <c r="F535" s="7"/>
    </row>
    <row r="536" spans="1:6" x14ac:dyDescent="0.25">
      <c r="A536" s="7"/>
      <c r="E536" s="7"/>
      <c r="F536" s="7"/>
    </row>
    <row r="537" spans="1:6" x14ac:dyDescent="0.25">
      <c r="A537" s="7"/>
      <c r="E537" s="7"/>
      <c r="F537" s="7"/>
    </row>
    <row r="538" spans="1:6" x14ac:dyDescent="0.25">
      <c r="A538" s="7"/>
      <c r="E538" s="7"/>
      <c r="F538" s="7"/>
    </row>
    <row r="539" spans="1:6" x14ac:dyDescent="0.25">
      <c r="A539" s="7"/>
      <c r="E539" s="7"/>
      <c r="F539" s="7"/>
    </row>
    <row r="540" spans="1:6" x14ac:dyDescent="0.25">
      <c r="A540" s="7"/>
      <c r="E540" s="7"/>
      <c r="F540" s="7"/>
    </row>
    <row r="541" spans="1:6" x14ac:dyDescent="0.25">
      <c r="A541" s="7"/>
      <c r="E541" s="7"/>
      <c r="F541" s="7"/>
    </row>
    <row r="542" spans="1:6" x14ac:dyDescent="0.25">
      <c r="A542" s="7"/>
      <c r="E542" s="7"/>
      <c r="F542" s="7"/>
    </row>
    <row r="543" spans="1:6" x14ac:dyDescent="0.25">
      <c r="A543" s="7"/>
      <c r="E543" s="7"/>
      <c r="F543" s="7"/>
    </row>
    <row r="544" spans="1:6" x14ac:dyDescent="0.25">
      <c r="A544" s="7"/>
      <c r="E544" s="7"/>
      <c r="F544" s="7"/>
    </row>
    <row r="545" spans="1:6" x14ac:dyDescent="0.25">
      <c r="A545" s="7"/>
      <c r="E545" s="7"/>
      <c r="F545" s="7"/>
    </row>
    <row r="546" spans="1:6" x14ac:dyDescent="0.25">
      <c r="A546" s="7"/>
      <c r="E546" s="7"/>
      <c r="F546" s="7"/>
    </row>
    <row r="547" spans="1:6" x14ac:dyDescent="0.25">
      <c r="A547" s="7"/>
      <c r="E547" s="7"/>
      <c r="F547" s="7"/>
    </row>
    <row r="548" spans="1:6" x14ac:dyDescent="0.25">
      <c r="A548" s="7"/>
      <c r="E548" s="7"/>
      <c r="F548" s="7"/>
    </row>
    <row r="549" spans="1:6" x14ac:dyDescent="0.25">
      <c r="A549" s="7"/>
      <c r="E549" s="7"/>
      <c r="F549" s="7"/>
    </row>
    <row r="550" spans="1:6" x14ac:dyDescent="0.25">
      <c r="A550" s="7"/>
      <c r="E550" s="7"/>
      <c r="F550" s="7"/>
    </row>
    <row r="551" spans="1:6" x14ac:dyDescent="0.25">
      <c r="A551" s="7"/>
      <c r="E551" s="7"/>
      <c r="F551" s="7"/>
    </row>
    <row r="552" spans="1:6" x14ac:dyDescent="0.25">
      <c r="A552" s="7"/>
      <c r="E552" s="7"/>
      <c r="F552" s="7"/>
    </row>
    <row r="553" spans="1:6" x14ac:dyDescent="0.25">
      <c r="A553" s="7"/>
      <c r="E553" s="7"/>
      <c r="F553" s="7"/>
    </row>
    <row r="554" spans="1:6" x14ac:dyDescent="0.25">
      <c r="A554" s="7"/>
      <c r="E554" s="7"/>
      <c r="F554" s="7"/>
    </row>
    <row r="555" spans="1:6" x14ac:dyDescent="0.25">
      <c r="A555" s="7"/>
      <c r="E555" s="7"/>
      <c r="F555" s="7"/>
    </row>
    <row r="556" spans="1:6" x14ac:dyDescent="0.25">
      <c r="A556" s="7"/>
      <c r="E556" s="7"/>
      <c r="F556" s="7"/>
    </row>
    <row r="557" spans="1:6" x14ac:dyDescent="0.25">
      <c r="A557" s="7"/>
      <c r="E557" s="7"/>
      <c r="F557" s="7"/>
    </row>
    <row r="558" spans="1:6" x14ac:dyDescent="0.25">
      <c r="A558" s="7"/>
      <c r="E558" s="7"/>
      <c r="F558" s="7"/>
    </row>
    <row r="559" spans="1:6" x14ac:dyDescent="0.25">
      <c r="A559" s="7"/>
      <c r="E559" s="7"/>
      <c r="F559" s="7"/>
    </row>
    <row r="560" spans="1:6" x14ac:dyDescent="0.25">
      <c r="A560" s="7"/>
      <c r="E560" s="7"/>
      <c r="F560" s="7"/>
    </row>
    <row r="561" spans="1:6" x14ac:dyDescent="0.25">
      <c r="A561" s="7"/>
      <c r="E561" s="7"/>
      <c r="F561" s="7"/>
    </row>
    <row r="562" spans="1:6" x14ac:dyDescent="0.25">
      <c r="A562" s="7"/>
      <c r="E562" s="7"/>
      <c r="F562" s="7"/>
    </row>
    <row r="563" spans="1:6" x14ac:dyDescent="0.25">
      <c r="A563" s="7"/>
      <c r="E563" s="7"/>
      <c r="F563" s="7"/>
    </row>
    <row r="564" spans="1:6" x14ac:dyDescent="0.25">
      <c r="A564" s="7"/>
      <c r="E564" s="7"/>
      <c r="F564" s="7"/>
    </row>
    <row r="565" spans="1:6" x14ac:dyDescent="0.25">
      <c r="A565" s="7"/>
      <c r="E565" s="7"/>
      <c r="F565" s="7"/>
    </row>
    <row r="566" spans="1:6" x14ac:dyDescent="0.25">
      <c r="A566" s="7"/>
      <c r="E566" s="7"/>
      <c r="F566" s="7"/>
    </row>
    <row r="567" spans="1:6" x14ac:dyDescent="0.25">
      <c r="A567" s="7"/>
      <c r="E567" s="7"/>
      <c r="F567" s="7"/>
    </row>
    <row r="568" spans="1:6" x14ac:dyDescent="0.25">
      <c r="A568" s="7"/>
      <c r="E568" s="7"/>
      <c r="F568" s="7"/>
    </row>
    <row r="569" spans="1:6" x14ac:dyDescent="0.25">
      <c r="A569" s="7"/>
      <c r="E569" s="7"/>
      <c r="F569" s="7"/>
    </row>
    <row r="570" spans="1:6" x14ac:dyDescent="0.25">
      <c r="A570" s="7"/>
      <c r="E570" s="7"/>
      <c r="F570" s="7"/>
    </row>
    <row r="571" spans="1:6" x14ac:dyDescent="0.25">
      <c r="A571" s="7"/>
      <c r="E571" s="7"/>
      <c r="F571" s="7"/>
    </row>
    <row r="572" spans="1:6" x14ac:dyDescent="0.25">
      <c r="A572" s="7"/>
      <c r="E572" s="7"/>
      <c r="F572" s="7"/>
    </row>
    <row r="573" spans="1:6" x14ac:dyDescent="0.25">
      <c r="A573" s="7"/>
      <c r="E573" s="7"/>
      <c r="F573" s="7"/>
    </row>
    <row r="574" spans="1:6" x14ac:dyDescent="0.25">
      <c r="A574" s="7"/>
      <c r="E574" s="7"/>
      <c r="F574" s="7"/>
    </row>
    <row r="575" spans="1:6" x14ac:dyDescent="0.25">
      <c r="A575" s="7"/>
      <c r="E575" s="7"/>
      <c r="F575" s="7"/>
    </row>
    <row r="576" spans="1:6" x14ac:dyDescent="0.25">
      <c r="A576" s="7"/>
      <c r="E576" s="7"/>
      <c r="F576" s="7"/>
    </row>
    <row r="577" spans="1:6" x14ac:dyDescent="0.25">
      <c r="A577" s="7"/>
      <c r="E577" s="7"/>
      <c r="F577" s="7"/>
    </row>
    <row r="578" spans="1:6" x14ac:dyDescent="0.25">
      <c r="A578" s="7"/>
      <c r="E578" s="7"/>
      <c r="F578" s="7"/>
    </row>
    <row r="579" spans="1:6" x14ac:dyDescent="0.25">
      <c r="A579" s="7"/>
      <c r="E579" s="7"/>
      <c r="F579" s="7"/>
    </row>
    <row r="580" spans="1:6" x14ac:dyDescent="0.25">
      <c r="A580" s="7"/>
      <c r="E580" s="7"/>
      <c r="F580" s="7"/>
    </row>
    <row r="581" spans="1:6" x14ac:dyDescent="0.25">
      <c r="A581" s="7"/>
      <c r="E581" s="7"/>
      <c r="F581" s="7"/>
    </row>
    <row r="582" spans="1:6" x14ac:dyDescent="0.25">
      <c r="A582" s="7"/>
      <c r="E582" s="7"/>
      <c r="F582" s="7"/>
    </row>
    <row r="583" spans="1:6" x14ac:dyDescent="0.25">
      <c r="A583" s="7"/>
      <c r="E583" s="7"/>
      <c r="F583" s="7"/>
    </row>
    <row r="584" spans="1:6" x14ac:dyDescent="0.25">
      <c r="A584" s="7"/>
      <c r="E584" s="7"/>
      <c r="F584" s="7"/>
    </row>
    <row r="585" spans="1:6" x14ac:dyDescent="0.25">
      <c r="A585" s="7"/>
      <c r="E585" s="7"/>
      <c r="F585" s="7"/>
    </row>
    <row r="586" spans="1:6" x14ac:dyDescent="0.25">
      <c r="A586" s="7"/>
      <c r="E586" s="7"/>
      <c r="F586" s="7"/>
    </row>
    <row r="587" spans="1:6" x14ac:dyDescent="0.25">
      <c r="A587" s="7"/>
      <c r="E587" s="7"/>
      <c r="F587" s="7"/>
    </row>
    <row r="588" spans="1:6" x14ac:dyDescent="0.25">
      <c r="A588" s="7"/>
      <c r="E588" s="7"/>
      <c r="F588" s="7"/>
    </row>
    <row r="589" spans="1:6" x14ac:dyDescent="0.25">
      <c r="A589" s="7"/>
      <c r="E589" s="7"/>
      <c r="F589" s="7"/>
    </row>
    <row r="590" spans="1:6" x14ac:dyDescent="0.25">
      <c r="A590" s="7"/>
      <c r="E590" s="7"/>
      <c r="F590" s="7"/>
    </row>
    <row r="591" spans="1:6" x14ac:dyDescent="0.25">
      <c r="A591" s="7"/>
      <c r="E591" s="7"/>
      <c r="F591" s="7"/>
    </row>
    <row r="592" spans="1:6" x14ac:dyDescent="0.25">
      <c r="A592" s="7"/>
      <c r="E592" s="7"/>
      <c r="F592" s="7"/>
    </row>
    <row r="593" spans="1:6" x14ac:dyDescent="0.25">
      <c r="A593" s="7"/>
      <c r="E593" s="7"/>
      <c r="F593" s="7"/>
    </row>
    <row r="594" spans="1:6" x14ac:dyDescent="0.25">
      <c r="A594" s="7"/>
      <c r="E594" s="7"/>
      <c r="F594" s="7"/>
    </row>
    <row r="595" spans="1:6" x14ac:dyDescent="0.25">
      <c r="A595" s="7"/>
      <c r="E595" s="7"/>
      <c r="F595" s="7"/>
    </row>
    <row r="596" spans="1:6" x14ac:dyDescent="0.25">
      <c r="A596" s="7"/>
      <c r="E596" s="7"/>
      <c r="F596" s="7"/>
    </row>
    <row r="597" spans="1:6" x14ac:dyDescent="0.25">
      <c r="A597" s="7"/>
      <c r="E597" s="7"/>
      <c r="F597" s="7"/>
    </row>
    <row r="598" spans="1:6" x14ac:dyDescent="0.25">
      <c r="A598" s="7"/>
      <c r="E598" s="7"/>
      <c r="F598" s="7"/>
    </row>
    <row r="599" spans="1:6" x14ac:dyDescent="0.25">
      <c r="A599" s="7"/>
      <c r="E599" s="7"/>
      <c r="F599" s="7"/>
    </row>
    <row r="600" spans="1:6" x14ac:dyDescent="0.25">
      <c r="A600" s="7"/>
      <c r="E600" s="7"/>
      <c r="F600" s="7"/>
    </row>
    <row r="601" spans="1:6" x14ac:dyDescent="0.25">
      <c r="A601" s="7"/>
      <c r="E601" s="7"/>
      <c r="F601" s="7"/>
    </row>
    <row r="602" spans="1:6" x14ac:dyDescent="0.25">
      <c r="A602" s="7"/>
      <c r="E602" s="7"/>
      <c r="F602" s="7"/>
    </row>
    <row r="603" spans="1:6" x14ac:dyDescent="0.25">
      <c r="A603" s="7"/>
      <c r="E603" s="7"/>
      <c r="F603" s="7"/>
    </row>
    <row r="604" spans="1:6" x14ac:dyDescent="0.25">
      <c r="A604" s="7"/>
      <c r="E604" s="7"/>
      <c r="F604" s="7"/>
    </row>
    <row r="605" spans="1:6" x14ac:dyDescent="0.25">
      <c r="A605" s="7"/>
      <c r="E605" s="7"/>
      <c r="F605" s="7"/>
    </row>
    <row r="606" spans="1:6" x14ac:dyDescent="0.25">
      <c r="A606" s="7"/>
      <c r="E606" s="7"/>
      <c r="F606" s="7"/>
    </row>
    <row r="607" spans="1:6" x14ac:dyDescent="0.25">
      <c r="A607" s="7"/>
      <c r="E607" s="7"/>
      <c r="F607" s="7"/>
    </row>
    <row r="608" spans="1:6" x14ac:dyDescent="0.25">
      <c r="A608" s="7"/>
      <c r="E608" s="7"/>
      <c r="F608" s="7"/>
    </row>
    <row r="609" spans="1:6" x14ac:dyDescent="0.25">
      <c r="A609" s="7"/>
      <c r="E609" s="7"/>
      <c r="F609" s="7"/>
    </row>
    <row r="610" spans="1:6" x14ac:dyDescent="0.25">
      <c r="A610" s="7"/>
      <c r="E610" s="7"/>
      <c r="F610" s="7"/>
    </row>
    <row r="611" spans="1:6" x14ac:dyDescent="0.25">
      <c r="A611" s="7"/>
      <c r="E611" s="7"/>
      <c r="F611" s="7"/>
    </row>
    <row r="612" spans="1:6" x14ac:dyDescent="0.25">
      <c r="A612" s="7"/>
      <c r="E612" s="7"/>
      <c r="F612" s="7"/>
    </row>
    <row r="613" spans="1:6" x14ac:dyDescent="0.25">
      <c r="A613" s="7"/>
      <c r="E613" s="7"/>
      <c r="F613" s="7"/>
    </row>
    <row r="614" spans="1:6" x14ac:dyDescent="0.25">
      <c r="A614" s="7"/>
      <c r="E614" s="7"/>
      <c r="F614" s="7"/>
    </row>
    <row r="615" spans="1:6" x14ac:dyDescent="0.25">
      <c r="A615" s="7"/>
      <c r="E615" s="7"/>
      <c r="F615" s="7"/>
    </row>
    <row r="616" spans="1:6" x14ac:dyDescent="0.25">
      <c r="A616" s="7"/>
      <c r="E616" s="7"/>
      <c r="F616" s="7"/>
    </row>
    <row r="617" spans="1:6" x14ac:dyDescent="0.25">
      <c r="A617" s="7"/>
      <c r="E617" s="7"/>
      <c r="F617" s="7"/>
    </row>
    <row r="618" spans="1:6" x14ac:dyDescent="0.25">
      <c r="A618" s="7"/>
      <c r="E618" s="7"/>
      <c r="F618" s="7"/>
    </row>
    <row r="619" spans="1:6" x14ac:dyDescent="0.25">
      <c r="A619" s="7"/>
      <c r="E619" s="7"/>
      <c r="F619" s="7"/>
    </row>
    <row r="620" spans="1:6" x14ac:dyDescent="0.25">
      <c r="A620" s="7"/>
      <c r="E620" s="7"/>
      <c r="F620" s="7"/>
    </row>
    <row r="621" spans="1:6" x14ac:dyDescent="0.25">
      <c r="A621" s="7"/>
      <c r="E621" s="7"/>
      <c r="F621" s="7"/>
    </row>
    <row r="622" spans="1:6" x14ac:dyDescent="0.25">
      <c r="A622" s="7"/>
      <c r="E622" s="7"/>
      <c r="F622" s="7"/>
    </row>
    <row r="623" spans="1:6" x14ac:dyDescent="0.25">
      <c r="A623" s="7"/>
      <c r="E623" s="7"/>
      <c r="F623" s="7"/>
    </row>
    <row r="624" spans="1:6" x14ac:dyDescent="0.25">
      <c r="A624" s="7"/>
      <c r="E624" s="7"/>
      <c r="F624" s="7"/>
    </row>
    <row r="625" spans="1:6" x14ac:dyDescent="0.25">
      <c r="A625" s="7"/>
      <c r="E625" s="7"/>
      <c r="F625" s="7"/>
    </row>
    <row r="626" spans="1:6" x14ac:dyDescent="0.25">
      <c r="A626" s="7"/>
      <c r="E626" s="7"/>
      <c r="F626" s="7"/>
    </row>
    <row r="627" spans="1:6" x14ac:dyDescent="0.25">
      <c r="A627" s="7"/>
      <c r="E627" s="7"/>
      <c r="F627" s="7"/>
    </row>
    <row r="628" spans="1:6" x14ac:dyDescent="0.25">
      <c r="A628" s="7"/>
      <c r="E628" s="7"/>
      <c r="F628" s="7"/>
    </row>
    <row r="629" spans="1:6" x14ac:dyDescent="0.25">
      <c r="A629" s="7"/>
      <c r="E629" s="7"/>
      <c r="F629" s="7"/>
    </row>
    <row r="630" spans="1:6" x14ac:dyDescent="0.25">
      <c r="A630" s="7"/>
      <c r="E630" s="7"/>
      <c r="F630" s="7"/>
    </row>
    <row r="631" spans="1:6" x14ac:dyDescent="0.25">
      <c r="A631" s="7"/>
      <c r="E631" s="7"/>
      <c r="F631" s="7"/>
    </row>
    <row r="632" spans="1:6" x14ac:dyDescent="0.25">
      <c r="A632" s="7"/>
      <c r="E632" s="7"/>
      <c r="F632" s="7"/>
    </row>
    <row r="633" spans="1:6" x14ac:dyDescent="0.25">
      <c r="A633" s="7"/>
      <c r="E633" s="7"/>
      <c r="F633" s="7"/>
    </row>
    <row r="634" spans="1:6" x14ac:dyDescent="0.25">
      <c r="A634" s="7"/>
      <c r="E634" s="7"/>
      <c r="F634" s="7"/>
    </row>
    <row r="635" spans="1:6" x14ac:dyDescent="0.25">
      <c r="A635" s="7"/>
      <c r="E635" s="7"/>
      <c r="F635" s="7"/>
    </row>
    <row r="636" spans="1:6" x14ac:dyDescent="0.25">
      <c r="A636" s="7"/>
      <c r="E636" s="7"/>
      <c r="F636" s="7"/>
    </row>
    <row r="637" spans="1:6" x14ac:dyDescent="0.25">
      <c r="A637" s="7"/>
      <c r="E637" s="7"/>
      <c r="F637" s="7"/>
    </row>
    <row r="638" spans="1:6" x14ac:dyDescent="0.25">
      <c r="A638" s="7"/>
      <c r="E638" s="7"/>
      <c r="F638" s="7"/>
    </row>
    <row r="639" spans="1:6" x14ac:dyDescent="0.25">
      <c r="A639" s="7"/>
      <c r="E639" s="7"/>
      <c r="F639" s="7"/>
    </row>
    <row r="640" spans="1:6" x14ac:dyDescent="0.25">
      <c r="A640" s="7"/>
      <c r="E640" s="7"/>
      <c r="F640" s="7"/>
    </row>
    <row r="641" spans="1:6" x14ac:dyDescent="0.25">
      <c r="A641" s="7"/>
      <c r="E641" s="7"/>
      <c r="F641" s="7"/>
    </row>
    <row r="642" spans="1:6" x14ac:dyDescent="0.25">
      <c r="A642" s="7"/>
      <c r="E642" s="7"/>
      <c r="F642" s="7"/>
    </row>
    <row r="643" spans="1:6" x14ac:dyDescent="0.25">
      <c r="A643" s="7"/>
      <c r="E643" s="7"/>
      <c r="F643" s="7"/>
    </row>
    <row r="644" spans="1:6" x14ac:dyDescent="0.25">
      <c r="A644" s="7"/>
      <c r="E644" s="7"/>
      <c r="F644" s="7"/>
    </row>
    <row r="645" spans="1:6" x14ac:dyDescent="0.25">
      <c r="A645" s="7"/>
      <c r="E645" s="7"/>
      <c r="F645" s="7"/>
    </row>
    <row r="646" spans="1:6" x14ac:dyDescent="0.25">
      <c r="A646" s="7"/>
      <c r="E646" s="7"/>
      <c r="F646" s="7"/>
    </row>
    <row r="647" spans="1:6" x14ac:dyDescent="0.25">
      <c r="A647" s="7"/>
      <c r="E647" s="7"/>
      <c r="F647" s="7"/>
    </row>
    <row r="648" spans="1:6" x14ac:dyDescent="0.25">
      <c r="A648" s="7"/>
      <c r="E648" s="7"/>
      <c r="F648" s="7"/>
    </row>
    <row r="649" spans="1:6" x14ac:dyDescent="0.25">
      <c r="A649" s="7"/>
      <c r="E649" s="7"/>
      <c r="F649" s="7"/>
    </row>
    <row r="650" spans="1:6" x14ac:dyDescent="0.25">
      <c r="A650" s="7"/>
      <c r="E650" s="7"/>
      <c r="F650" s="7"/>
    </row>
    <row r="651" spans="1:6" x14ac:dyDescent="0.25">
      <c r="A651" s="7"/>
      <c r="E651" s="7"/>
      <c r="F651" s="7"/>
    </row>
    <row r="652" spans="1:6" x14ac:dyDescent="0.25">
      <c r="A652" s="7"/>
      <c r="E652" s="7"/>
      <c r="F652" s="7"/>
    </row>
    <row r="653" spans="1:6" x14ac:dyDescent="0.25">
      <c r="A653" s="7"/>
      <c r="E653" s="7"/>
      <c r="F653" s="7"/>
    </row>
    <row r="654" spans="1:6" x14ac:dyDescent="0.25">
      <c r="A654" s="7"/>
      <c r="E654" s="7"/>
      <c r="F654" s="7"/>
    </row>
    <row r="655" spans="1:6" x14ac:dyDescent="0.25">
      <c r="A655" s="7"/>
      <c r="E655" s="7"/>
      <c r="F655" s="7"/>
    </row>
    <row r="656" spans="1:6" x14ac:dyDescent="0.25">
      <c r="A656" s="7"/>
      <c r="E656" s="7"/>
      <c r="F656" s="7"/>
    </row>
    <row r="657" spans="1:6" x14ac:dyDescent="0.25">
      <c r="A657" s="7"/>
      <c r="E657" s="7"/>
      <c r="F657" s="7"/>
    </row>
    <row r="658" spans="1:6" x14ac:dyDescent="0.25">
      <c r="A658" s="7"/>
      <c r="E658" s="7"/>
      <c r="F658" s="7"/>
    </row>
    <row r="659" spans="1:6" x14ac:dyDescent="0.25">
      <c r="A659" s="7"/>
      <c r="E659" s="7"/>
      <c r="F659" s="7"/>
    </row>
    <row r="660" spans="1:6" x14ac:dyDescent="0.25">
      <c r="A660" s="7"/>
      <c r="E660" s="7"/>
      <c r="F660" s="7"/>
    </row>
    <row r="661" spans="1:6" x14ac:dyDescent="0.25">
      <c r="A661" s="7"/>
      <c r="E661" s="7"/>
      <c r="F661" s="7"/>
    </row>
    <row r="662" spans="1:6" x14ac:dyDescent="0.25">
      <c r="A662" s="7"/>
      <c r="E662" s="7"/>
      <c r="F662" s="7"/>
    </row>
    <row r="663" spans="1:6" x14ac:dyDescent="0.25">
      <c r="A663" s="7"/>
      <c r="E663" s="7"/>
      <c r="F663" s="7"/>
    </row>
    <row r="664" spans="1:6" x14ac:dyDescent="0.25">
      <c r="A664" s="7"/>
      <c r="E664" s="7"/>
      <c r="F664" s="7"/>
    </row>
    <row r="665" spans="1:6" x14ac:dyDescent="0.25">
      <c r="A665" s="7"/>
      <c r="E665" s="7"/>
      <c r="F665" s="7"/>
    </row>
    <row r="666" spans="1:6" x14ac:dyDescent="0.25">
      <c r="A666" s="7"/>
      <c r="E666" s="7"/>
      <c r="F666" s="7"/>
    </row>
    <row r="667" spans="1:6" x14ac:dyDescent="0.25">
      <c r="A667" s="7"/>
      <c r="E667" s="7"/>
      <c r="F667" s="7"/>
    </row>
    <row r="668" spans="1:6" x14ac:dyDescent="0.25">
      <c r="A668" s="7"/>
      <c r="E668" s="7"/>
      <c r="F668" s="7"/>
    </row>
    <row r="669" spans="1:6" x14ac:dyDescent="0.25">
      <c r="A669" s="7"/>
      <c r="E669" s="7"/>
      <c r="F669" s="7"/>
    </row>
    <row r="670" spans="1:6" x14ac:dyDescent="0.25">
      <c r="A670" s="7"/>
      <c r="E670" s="7"/>
      <c r="F670" s="7"/>
    </row>
    <row r="671" spans="1:6" x14ac:dyDescent="0.25">
      <c r="A671" s="7"/>
      <c r="E671" s="7"/>
      <c r="F671" s="7"/>
    </row>
    <row r="672" spans="1:6" x14ac:dyDescent="0.25">
      <c r="A672" s="7"/>
      <c r="E672" s="7"/>
      <c r="F672" s="7"/>
    </row>
    <row r="673" spans="1:6" x14ac:dyDescent="0.25">
      <c r="A673" s="7"/>
      <c r="E673" s="7"/>
      <c r="F673" s="7"/>
    </row>
    <row r="674" spans="1:6" x14ac:dyDescent="0.25">
      <c r="A674" s="7"/>
      <c r="E674" s="7"/>
      <c r="F674" s="7"/>
    </row>
    <row r="675" spans="1:6" x14ac:dyDescent="0.25">
      <c r="A675" s="7"/>
      <c r="E675" s="7"/>
      <c r="F675" s="7"/>
    </row>
    <row r="676" spans="1:6" x14ac:dyDescent="0.25">
      <c r="A676" s="7"/>
      <c r="E676" s="7"/>
      <c r="F676" s="7"/>
    </row>
    <row r="677" spans="1:6" x14ac:dyDescent="0.25">
      <c r="A677" s="7"/>
      <c r="E677" s="7"/>
      <c r="F677" s="7"/>
    </row>
    <row r="678" spans="1:6" x14ac:dyDescent="0.25">
      <c r="A678" s="7"/>
      <c r="E678" s="7"/>
      <c r="F678" s="7"/>
    </row>
    <row r="679" spans="1:6" x14ac:dyDescent="0.25">
      <c r="A679" s="7"/>
      <c r="E679" s="7"/>
      <c r="F679" s="7"/>
    </row>
    <row r="680" spans="1:6" x14ac:dyDescent="0.25">
      <c r="A680" s="7"/>
      <c r="E680" s="7"/>
      <c r="F680" s="7"/>
    </row>
    <row r="681" spans="1:6" x14ac:dyDescent="0.25">
      <c r="A681" s="7"/>
      <c r="E681" s="7"/>
      <c r="F681" s="7"/>
    </row>
    <row r="682" spans="1:6" x14ac:dyDescent="0.25">
      <c r="A682" s="7"/>
      <c r="E682" s="7"/>
      <c r="F682" s="7"/>
    </row>
    <row r="683" spans="1:6" x14ac:dyDescent="0.25">
      <c r="A683" s="7"/>
      <c r="E683" s="7"/>
      <c r="F683" s="7"/>
    </row>
    <row r="684" spans="1:6" x14ac:dyDescent="0.25">
      <c r="A684" s="7"/>
      <c r="E684" s="7"/>
      <c r="F684" s="7"/>
    </row>
    <row r="685" spans="1:6" x14ac:dyDescent="0.25">
      <c r="A685" s="7"/>
      <c r="E685" s="7"/>
      <c r="F685" s="7"/>
    </row>
    <row r="686" spans="1:6" x14ac:dyDescent="0.25">
      <c r="A686" s="7"/>
      <c r="E686" s="7"/>
      <c r="F686" s="7"/>
    </row>
    <row r="687" spans="1:6" x14ac:dyDescent="0.25">
      <c r="A687" s="7"/>
      <c r="E687" s="7"/>
      <c r="F687" s="7"/>
    </row>
    <row r="688" spans="1:6" x14ac:dyDescent="0.25">
      <c r="A688" s="7"/>
      <c r="E688" s="7"/>
      <c r="F688" s="7"/>
    </row>
    <row r="689" spans="1:6" x14ac:dyDescent="0.25">
      <c r="A689" s="7"/>
      <c r="E689" s="7"/>
      <c r="F689" s="7"/>
    </row>
    <row r="690" spans="1:6" x14ac:dyDescent="0.25">
      <c r="A690" s="7"/>
      <c r="E690" s="7"/>
      <c r="F690" s="7"/>
    </row>
    <row r="691" spans="1:6" x14ac:dyDescent="0.25">
      <c r="A691" s="7"/>
      <c r="E691" s="7"/>
      <c r="F691" s="7"/>
    </row>
    <row r="692" spans="1:6" x14ac:dyDescent="0.25">
      <c r="A692" s="7"/>
      <c r="E692" s="7"/>
      <c r="F692" s="7"/>
    </row>
    <row r="693" spans="1:6" x14ac:dyDescent="0.25">
      <c r="A693" s="7"/>
      <c r="E693" s="7"/>
      <c r="F693" s="7"/>
    </row>
    <row r="694" spans="1:6" x14ac:dyDescent="0.25">
      <c r="A694" s="7"/>
      <c r="E694" s="7"/>
      <c r="F694" s="7"/>
    </row>
    <row r="695" spans="1:6" x14ac:dyDescent="0.25">
      <c r="A695" s="7"/>
      <c r="E695" s="7"/>
      <c r="F695" s="7"/>
    </row>
    <row r="696" spans="1:6" x14ac:dyDescent="0.25">
      <c r="A696" s="7"/>
      <c r="E696" s="7"/>
      <c r="F696" s="7"/>
    </row>
    <row r="697" spans="1:6" x14ac:dyDescent="0.25">
      <c r="A697" s="7"/>
      <c r="E697" s="7"/>
      <c r="F697" s="7"/>
    </row>
    <row r="698" spans="1:6" x14ac:dyDescent="0.25">
      <c r="A698" s="7"/>
      <c r="E698" s="7"/>
      <c r="F698" s="7"/>
    </row>
    <row r="699" spans="1:6" x14ac:dyDescent="0.25">
      <c r="A699" s="7"/>
      <c r="E699" s="7"/>
      <c r="F699" s="7"/>
    </row>
    <row r="700" spans="1:6" x14ac:dyDescent="0.25">
      <c r="A700" s="7"/>
      <c r="E700" s="7"/>
      <c r="F700" s="7"/>
    </row>
    <row r="701" spans="1:6" x14ac:dyDescent="0.25">
      <c r="A701" s="7"/>
      <c r="E701" s="7"/>
      <c r="F701" s="7"/>
    </row>
    <row r="702" spans="1:6" x14ac:dyDescent="0.25">
      <c r="A702" s="7"/>
      <c r="E702" s="7"/>
      <c r="F702" s="7"/>
    </row>
    <row r="703" spans="1:6" x14ac:dyDescent="0.25">
      <c r="A703" s="7"/>
      <c r="E703" s="7"/>
      <c r="F703" s="7"/>
    </row>
    <row r="704" spans="1:6" x14ac:dyDescent="0.25">
      <c r="A704" s="7"/>
      <c r="E704" s="7"/>
      <c r="F704" s="7"/>
    </row>
    <row r="705" spans="1:6" x14ac:dyDescent="0.25">
      <c r="A705" s="7"/>
      <c r="E705" s="7"/>
      <c r="F705" s="7"/>
    </row>
    <row r="706" spans="1:6" x14ac:dyDescent="0.25">
      <c r="A706" s="7"/>
      <c r="E706" s="7"/>
      <c r="F706" s="7"/>
    </row>
    <row r="707" spans="1:6" x14ac:dyDescent="0.25">
      <c r="A707" s="7"/>
      <c r="E707" s="7"/>
      <c r="F707" s="7"/>
    </row>
    <row r="708" spans="1:6" x14ac:dyDescent="0.25">
      <c r="A708" s="7"/>
      <c r="E708" s="7"/>
      <c r="F708" s="7"/>
    </row>
    <row r="709" spans="1:6" x14ac:dyDescent="0.25">
      <c r="A709" s="7"/>
      <c r="E709" s="7"/>
      <c r="F709" s="7"/>
    </row>
    <row r="710" spans="1:6" x14ac:dyDescent="0.25">
      <c r="A710" s="7"/>
      <c r="E710" s="7"/>
      <c r="F710" s="7"/>
    </row>
    <row r="711" spans="1:6" x14ac:dyDescent="0.25">
      <c r="A711" s="7"/>
      <c r="E711" s="7"/>
      <c r="F711" s="7"/>
    </row>
    <row r="712" spans="1:6" x14ac:dyDescent="0.25">
      <c r="A712" s="7"/>
      <c r="E712" s="7"/>
      <c r="F712" s="7"/>
    </row>
    <row r="713" spans="1:6" x14ac:dyDescent="0.25">
      <c r="A713" s="7"/>
      <c r="E713" s="7"/>
      <c r="F713" s="7"/>
    </row>
    <row r="714" spans="1:6" x14ac:dyDescent="0.25">
      <c r="A714" s="7"/>
      <c r="E714" s="7"/>
      <c r="F714" s="7"/>
    </row>
    <row r="715" spans="1:6" x14ac:dyDescent="0.25">
      <c r="A715" s="7"/>
      <c r="E715" s="7"/>
      <c r="F715" s="7"/>
    </row>
    <row r="716" spans="1:6" x14ac:dyDescent="0.25">
      <c r="A716" s="7"/>
      <c r="E716" s="7"/>
      <c r="F716" s="7"/>
    </row>
    <row r="717" spans="1:6" x14ac:dyDescent="0.25">
      <c r="A717" s="7"/>
      <c r="E717" s="7"/>
      <c r="F717" s="7"/>
    </row>
    <row r="718" spans="1:6" x14ac:dyDescent="0.25">
      <c r="A718" s="7"/>
      <c r="E718" s="7"/>
      <c r="F718" s="7"/>
    </row>
    <row r="719" spans="1:6" x14ac:dyDescent="0.25">
      <c r="A719" s="7"/>
      <c r="E719" s="7"/>
      <c r="F719" s="7"/>
    </row>
    <row r="720" spans="1:6" x14ac:dyDescent="0.25">
      <c r="A720" s="7"/>
      <c r="E720" s="7"/>
      <c r="F720" s="7"/>
    </row>
    <row r="721" spans="1:6" x14ac:dyDescent="0.25">
      <c r="A721" s="7"/>
      <c r="E721" s="7"/>
      <c r="F721" s="7"/>
    </row>
    <row r="722" spans="1:6" x14ac:dyDescent="0.25">
      <c r="A722" s="7"/>
      <c r="E722" s="7"/>
      <c r="F722" s="7"/>
    </row>
    <row r="723" spans="1:6" x14ac:dyDescent="0.25">
      <c r="A723" s="7"/>
      <c r="E723" s="7"/>
      <c r="F723" s="7"/>
    </row>
    <row r="724" spans="1:6" x14ac:dyDescent="0.25">
      <c r="A724" s="7"/>
      <c r="E724" s="7"/>
      <c r="F724" s="7"/>
    </row>
    <row r="725" spans="1:6" x14ac:dyDescent="0.25">
      <c r="A725" s="7"/>
      <c r="E725" s="7"/>
      <c r="F725" s="7"/>
    </row>
    <row r="726" spans="1:6" x14ac:dyDescent="0.25">
      <c r="A726" s="7"/>
      <c r="E726" s="7"/>
      <c r="F726" s="7"/>
    </row>
    <row r="727" spans="1:6" x14ac:dyDescent="0.25">
      <c r="A727" s="7"/>
      <c r="E727" s="7"/>
      <c r="F727" s="7"/>
    </row>
    <row r="728" spans="1:6" x14ac:dyDescent="0.25">
      <c r="A728" s="7"/>
      <c r="E728" s="7"/>
      <c r="F728" s="7"/>
    </row>
    <row r="729" spans="1:6" x14ac:dyDescent="0.25">
      <c r="A729" s="7"/>
      <c r="E729" s="7"/>
      <c r="F729" s="7"/>
    </row>
    <row r="730" spans="1:6" x14ac:dyDescent="0.25">
      <c r="A730" s="7"/>
      <c r="E730" s="7"/>
      <c r="F730" s="7"/>
    </row>
    <row r="731" spans="1:6" x14ac:dyDescent="0.25">
      <c r="A731" s="7"/>
      <c r="E731" s="7"/>
      <c r="F731" s="7"/>
    </row>
    <row r="732" spans="1:6" x14ac:dyDescent="0.25">
      <c r="A732" s="7"/>
      <c r="E732" s="7"/>
      <c r="F732" s="7"/>
    </row>
    <row r="733" spans="1:6" x14ac:dyDescent="0.25">
      <c r="A733" s="7"/>
      <c r="E733" s="7"/>
      <c r="F733" s="7"/>
    </row>
    <row r="734" spans="1:6" x14ac:dyDescent="0.25">
      <c r="A734" s="7"/>
      <c r="E734" s="7"/>
      <c r="F734" s="7"/>
    </row>
    <row r="735" spans="1:6" x14ac:dyDescent="0.25">
      <c r="A735" s="7"/>
      <c r="E735" s="7"/>
      <c r="F735" s="7"/>
    </row>
    <row r="736" spans="1:6" x14ac:dyDescent="0.25">
      <c r="A736" s="7"/>
      <c r="E736" s="7"/>
      <c r="F736" s="7"/>
    </row>
    <row r="737" spans="1:6" x14ac:dyDescent="0.25">
      <c r="A737" s="7"/>
      <c r="E737" s="7"/>
      <c r="F737" s="7"/>
    </row>
    <row r="738" spans="1:6" x14ac:dyDescent="0.25">
      <c r="A738" s="7"/>
      <c r="E738" s="7"/>
      <c r="F738" s="7"/>
    </row>
    <row r="739" spans="1:6" x14ac:dyDescent="0.25">
      <c r="A739" s="7"/>
      <c r="E739" s="7"/>
      <c r="F739" s="7"/>
    </row>
    <row r="740" spans="1:6" x14ac:dyDescent="0.25">
      <c r="A740" s="7"/>
      <c r="E740" s="7"/>
      <c r="F740" s="7"/>
    </row>
    <row r="741" spans="1:6" x14ac:dyDescent="0.25">
      <c r="A741" s="7"/>
      <c r="E741" s="7"/>
      <c r="F741" s="7"/>
    </row>
    <row r="742" spans="1:6" x14ac:dyDescent="0.25">
      <c r="A742" s="7"/>
      <c r="E742" s="7"/>
      <c r="F742" s="7"/>
    </row>
    <row r="743" spans="1:6" x14ac:dyDescent="0.25">
      <c r="A743" s="7"/>
      <c r="E743" s="7"/>
      <c r="F743" s="7"/>
    </row>
    <row r="744" spans="1:6" x14ac:dyDescent="0.25">
      <c r="A744" s="7"/>
      <c r="E744" s="7"/>
      <c r="F744" s="7"/>
    </row>
    <row r="745" spans="1:6" x14ac:dyDescent="0.25">
      <c r="A745" s="7"/>
      <c r="E745" s="7"/>
      <c r="F745" s="7"/>
    </row>
    <row r="746" spans="1:6" x14ac:dyDescent="0.25">
      <c r="A746" s="7"/>
      <c r="E746" s="7"/>
      <c r="F746" s="7"/>
    </row>
    <row r="747" spans="1:6" x14ac:dyDescent="0.25">
      <c r="A747" s="7"/>
      <c r="E747" s="7"/>
      <c r="F747" s="7"/>
    </row>
    <row r="748" spans="1:6" x14ac:dyDescent="0.25">
      <c r="A748" s="7"/>
      <c r="E748" s="7"/>
      <c r="F748" s="7"/>
    </row>
    <row r="749" spans="1:6" x14ac:dyDescent="0.25">
      <c r="A749" s="7"/>
      <c r="E749" s="7"/>
      <c r="F749" s="7"/>
    </row>
    <row r="750" spans="1:6" x14ac:dyDescent="0.25">
      <c r="A750" s="7"/>
      <c r="E750" s="7"/>
      <c r="F750" s="7"/>
    </row>
    <row r="751" spans="1:6" x14ac:dyDescent="0.25">
      <c r="A751" s="7"/>
      <c r="E751" s="7"/>
      <c r="F751" s="7"/>
    </row>
    <row r="752" spans="1:6" x14ac:dyDescent="0.25">
      <c r="A752" s="7"/>
      <c r="E752" s="7"/>
      <c r="F752" s="7"/>
    </row>
    <row r="753" spans="1:6" x14ac:dyDescent="0.25">
      <c r="A753" s="7"/>
      <c r="E753" s="7"/>
      <c r="F753" s="7"/>
    </row>
    <row r="754" spans="1:6" x14ac:dyDescent="0.25">
      <c r="A754" s="7"/>
      <c r="E754" s="7"/>
      <c r="F754" s="7"/>
    </row>
    <row r="755" spans="1:6" x14ac:dyDescent="0.25">
      <c r="A755" s="7"/>
      <c r="E755" s="7"/>
      <c r="F755" s="7"/>
    </row>
    <row r="756" spans="1:6" x14ac:dyDescent="0.25">
      <c r="A756" s="7"/>
      <c r="E756" s="7"/>
      <c r="F756" s="7"/>
    </row>
    <row r="757" spans="1:6" x14ac:dyDescent="0.25">
      <c r="A757" s="7"/>
      <c r="E757" s="7"/>
      <c r="F757" s="7"/>
    </row>
    <row r="758" spans="1:6" x14ac:dyDescent="0.25">
      <c r="A758" s="7"/>
      <c r="E758" s="7"/>
      <c r="F758" s="7"/>
    </row>
    <row r="759" spans="1:6" x14ac:dyDescent="0.25">
      <c r="A759" s="7"/>
      <c r="E759" s="7"/>
      <c r="F759" s="7"/>
    </row>
    <row r="760" spans="1:6" x14ac:dyDescent="0.25">
      <c r="A760" s="7"/>
      <c r="E760" s="7"/>
      <c r="F760" s="7"/>
    </row>
    <row r="761" spans="1:6" x14ac:dyDescent="0.25">
      <c r="A761" s="7"/>
      <c r="E761" s="7"/>
      <c r="F761" s="7"/>
    </row>
    <row r="762" spans="1:6" x14ac:dyDescent="0.25">
      <c r="A762" s="7"/>
      <c r="E762" s="7"/>
      <c r="F762" s="7"/>
    </row>
    <row r="763" spans="1:6" x14ac:dyDescent="0.25">
      <c r="A763" s="7"/>
      <c r="E763" s="7"/>
      <c r="F763" s="7"/>
    </row>
    <row r="764" spans="1:6" x14ac:dyDescent="0.25">
      <c r="A764" s="7"/>
      <c r="E764" s="7"/>
      <c r="F764" s="7"/>
    </row>
    <row r="765" spans="1:6" x14ac:dyDescent="0.25">
      <c r="A765" s="7"/>
      <c r="E765" s="7"/>
      <c r="F765" s="7"/>
    </row>
    <row r="766" spans="1:6" x14ac:dyDescent="0.25">
      <c r="A766" s="7"/>
      <c r="E766" s="7"/>
      <c r="F766" s="7"/>
    </row>
    <row r="767" spans="1:6" x14ac:dyDescent="0.25">
      <c r="A767" s="7"/>
      <c r="E767" s="7"/>
      <c r="F767" s="7"/>
    </row>
    <row r="768" spans="1:6" x14ac:dyDescent="0.25">
      <c r="A768" s="7"/>
      <c r="E768" s="7"/>
      <c r="F768" s="7"/>
    </row>
    <row r="769" spans="1:6" x14ac:dyDescent="0.25">
      <c r="A769" s="7"/>
      <c r="E769" s="7"/>
      <c r="F769" s="7"/>
    </row>
    <row r="770" spans="1:6" x14ac:dyDescent="0.25">
      <c r="A770" s="7"/>
      <c r="E770" s="7"/>
      <c r="F770" s="7"/>
    </row>
    <row r="771" spans="1:6" x14ac:dyDescent="0.25">
      <c r="A771" s="7"/>
      <c r="E771" s="7"/>
      <c r="F771" s="7"/>
    </row>
    <row r="772" spans="1:6" x14ac:dyDescent="0.25">
      <c r="A772" s="7"/>
      <c r="E772" s="7"/>
      <c r="F772" s="7"/>
    </row>
    <row r="773" spans="1:6" x14ac:dyDescent="0.25">
      <c r="A773" s="7"/>
      <c r="E773" s="7"/>
      <c r="F773" s="7"/>
    </row>
    <row r="774" spans="1:6" x14ac:dyDescent="0.25">
      <c r="A774" s="7"/>
      <c r="E774" s="7"/>
      <c r="F774" s="7"/>
    </row>
    <row r="775" spans="1:6" x14ac:dyDescent="0.25">
      <c r="A775" s="7"/>
      <c r="E775" s="7"/>
      <c r="F775" s="7"/>
    </row>
    <row r="776" spans="1:6" x14ac:dyDescent="0.25">
      <c r="A776" s="7"/>
      <c r="E776" s="7"/>
      <c r="F776" s="7"/>
    </row>
    <row r="777" spans="1:6" x14ac:dyDescent="0.25">
      <c r="A777" s="7"/>
      <c r="E777" s="7"/>
      <c r="F777" s="7"/>
    </row>
    <row r="778" spans="1:6" x14ac:dyDescent="0.25">
      <c r="A778" s="7"/>
      <c r="E778" s="7"/>
      <c r="F778" s="7"/>
    </row>
    <row r="779" spans="1:6" x14ac:dyDescent="0.25">
      <c r="A779" s="7"/>
      <c r="E779" s="7"/>
      <c r="F779" s="7"/>
    </row>
    <row r="780" spans="1:6" x14ac:dyDescent="0.25">
      <c r="A780" s="7"/>
      <c r="E780" s="7"/>
      <c r="F780" s="7"/>
    </row>
    <row r="781" spans="1:6" x14ac:dyDescent="0.25">
      <c r="A781" s="7"/>
      <c r="E781" s="7"/>
      <c r="F781" s="7"/>
    </row>
    <row r="782" spans="1:6" x14ac:dyDescent="0.25">
      <c r="A782" s="7"/>
      <c r="E782" s="7"/>
      <c r="F782" s="7"/>
    </row>
    <row r="783" spans="1:6" x14ac:dyDescent="0.25">
      <c r="A783" s="7"/>
      <c r="E783" s="7"/>
      <c r="F783" s="7"/>
    </row>
    <row r="784" spans="1:6" x14ac:dyDescent="0.25">
      <c r="A784" s="7"/>
      <c r="E784" s="7"/>
      <c r="F784" s="7"/>
    </row>
    <row r="785" spans="1:6" x14ac:dyDescent="0.25">
      <c r="A785" s="7"/>
      <c r="E785" s="7"/>
      <c r="F785" s="7"/>
    </row>
    <row r="786" spans="1:6" x14ac:dyDescent="0.25">
      <c r="A786" s="7"/>
      <c r="E786" s="7"/>
      <c r="F786" s="7"/>
    </row>
    <row r="787" spans="1:6" x14ac:dyDescent="0.25">
      <c r="A787" s="7"/>
      <c r="E787" s="7"/>
      <c r="F787" s="7"/>
    </row>
    <row r="788" spans="1:6" x14ac:dyDescent="0.25">
      <c r="A788" s="7"/>
      <c r="E788" s="7"/>
      <c r="F788" s="7"/>
    </row>
    <row r="789" spans="1:6" x14ac:dyDescent="0.25">
      <c r="A789" s="7"/>
      <c r="E789" s="7"/>
      <c r="F789" s="7"/>
    </row>
    <row r="790" spans="1:6" x14ac:dyDescent="0.25">
      <c r="A790" s="7"/>
      <c r="E790" s="7"/>
      <c r="F790" s="7"/>
    </row>
    <row r="791" spans="1:6" x14ac:dyDescent="0.25">
      <c r="A791" s="7"/>
      <c r="E791" s="7"/>
      <c r="F791" s="7"/>
    </row>
    <row r="792" spans="1:6" x14ac:dyDescent="0.25">
      <c r="A792" s="7"/>
      <c r="E792" s="7"/>
      <c r="F792" s="7"/>
    </row>
    <row r="793" spans="1:6" x14ac:dyDescent="0.25">
      <c r="A793" s="7"/>
      <c r="E793" s="7"/>
      <c r="F793" s="7"/>
    </row>
    <row r="794" spans="1:6" x14ac:dyDescent="0.25">
      <c r="A794" s="7"/>
      <c r="E794" s="7"/>
      <c r="F794" s="7"/>
    </row>
    <row r="795" spans="1:6" x14ac:dyDescent="0.25">
      <c r="A795" s="7"/>
      <c r="E795" s="7"/>
      <c r="F795" s="7"/>
    </row>
    <row r="796" spans="1:6" x14ac:dyDescent="0.25">
      <c r="A796" s="7"/>
      <c r="E796" s="7"/>
      <c r="F796" s="7"/>
    </row>
    <row r="797" spans="1:6" x14ac:dyDescent="0.25">
      <c r="A797" s="7"/>
      <c r="E797" s="7"/>
      <c r="F797" s="7"/>
    </row>
    <row r="798" spans="1:6" x14ac:dyDescent="0.25">
      <c r="A798" s="7"/>
      <c r="E798" s="7"/>
      <c r="F798" s="7"/>
    </row>
    <row r="799" spans="1:6" x14ac:dyDescent="0.25">
      <c r="A799" s="7"/>
      <c r="E799" s="7"/>
      <c r="F799" s="7"/>
    </row>
    <row r="800" spans="1:6" x14ac:dyDescent="0.25">
      <c r="A800" s="7"/>
      <c r="E800" s="7"/>
      <c r="F800" s="7"/>
    </row>
    <row r="801" spans="1:6" x14ac:dyDescent="0.25">
      <c r="A801" s="7"/>
      <c r="E801" s="7"/>
      <c r="F801" s="7"/>
    </row>
    <row r="802" spans="1:6" x14ac:dyDescent="0.25">
      <c r="A802" s="7"/>
      <c r="E802" s="7"/>
      <c r="F802" s="7"/>
    </row>
    <row r="803" spans="1:6" x14ac:dyDescent="0.25">
      <c r="A803" s="7"/>
      <c r="E803" s="7"/>
      <c r="F803" s="7"/>
    </row>
    <row r="804" spans="1:6" x14ac:dyDescent="0.25">
      <c r="A804" s="7"/>
      <c r="E804" s="7"/>
      <c r="F804" s="7"/>
    </row>
    <row r="805" spans="1:6" x14ac:dyDescent="0.25">
      <c r="A805" s="7"/>
      <c r="E805" s="7"/>
      <c r="F805" s="7"/>
    </row>
    <row r="806" spans="1:6" x14ac:dyDescent="0.25">
      <c r="A806" s="7"/>
      <c r="E806" s="7"/>
      <c r="F806" s="7"/>
    </row>
    <row r="807" spans="1:6" x14ac:dyDescent="0.25">
      <c r="A807" s="7"/>
      <c r="E807" s="7"/>
      <c r="F807" s="7"/>
    </row>
    <row r="808" spans="1:6" x14ac:dyDescent="0.25">
      <c r="A808" s="7"/>
      <c r="E808" s="7"/>
      <c r="F808" s="7"/>
    </row>
    <row r="809" spans="1:6" x14ac:dyDescent="0.25">
      <c r="A809" s="7"/>
      <c r="E809" s="7"/>
      <c r="F809" s="7"/>
    </row>
    <row r="810" spans="1:6" x14ac:dyDescent="0.25">
      <c r="A810" s="7"/>
      <c r="E810" s="7"/>
      <c r="F810" s="7"/>
    </row>
    <row r="811" spans="1:6" x14ac:dyDescent="0.25">
      <c r="A811" s="7"/>
      <c r="E811" s="7"/>
      <c r="F811" s="7"/>
    </row>
    <row r="812" spans="1:6" x14ac:dyDescent="0.25">
      <c r="A812" s="7"/>
      <c r="E812" s="7"/>
      <c r="F812" s="7"/>
    </row>
    <row r="813" spans="1:6" x14ac:dyDescent="0.25">
      <c r="A813" s="7"/>
      <c r="E813" s="7"/>
      <c r="F813" s="7"/>
    </row>
    <row r="814" spans="1:6" x14ac:dyDescent="0.25">
      <c r="A814" s="7"/>
      <c r="E814" s="7"/>
      <c r="F814" s="7"/>
    </row>
    <row r="815" spans="1:6" x14ac:dyDescent="0.25">
      <c r="A815" s="7"/>
      <c r="E815" s="7"/>
      <c r="F815" s="7"/>
    </row>
    <row r="816" spans="1:6" x14ac:dyDescent="0.25">
      <c r="A816" s="7"/>
      <c r="E816" s="7"/>
      <c r="F816" s="7"/>
    </row>
    <row r="817" spans="1:6" x14ac:dyDescent="0.25">
      <c r="A817" s="7"/>
      <c r="E817" s="7"/>
      <c r="F817" s="7"/>
    </row>
    <row r="818" spans="1:6" x14ac:dyDescent="0.25">
      <c r="A818" s="7"/>
      <c r="E818" s="7"/>
      <c r="F818" s="7"/>
    </row>
    <row r="819" spans="1:6" x14ac:dyDescent="0.25">
      <c r="A819" s="7"/>
      <c r="E819" s="7"/>
      <c r="F819" s="7"/>
    </row>
    <row r="820" spans="1:6" x14ac:dyDescent="0.25">
      <c r="A820" s="7"/>
      <c r="E820" s="7"/>
      <c r="F820" s="7"/>
    </row>
    <row r="821" spans="1:6" x14ac:dyDescent="0.25">
      <c r="A821" s="7"/>
      <c r="E821" s="7"/>
      <c r="F821" s="7"/>
    </row>
    <row r="822" spans="1:6" x14ac:dyDescent="0.25">
      <c r="A822" s="7"/>
      <c r="E822" s="7"/>
      <c r="F822" s="7"/>
    </row>
    <row r="823" spans="1:6" x14ac:dyDescent="0.25">
      <c r="A823" s="7"/>
      <c r="E823" s="7"/>
      <c r="F823" s="7"/>
    </row>
    <row r="824" spans="1:6" x14ac:dyDescent="0.25">
      <c r="A824" s="7"/>
      <c r="E824" s="7"/>
      <c r="F824" s="7"/>
    </row>
    <row r="825" spans="1:6" x14ac:dyDescent="0.25">
      <c r="A825" s="7"/>
      <c r="E825" s="7"/>
      <c r="F825" s="7"/>
    </row>
    <row r="826" spans="1:6" x14ac:dyDescent="0.25">
      <c r="A826" s="7"/>
      <c r="E826" s="7"/>
      <c r="F826" s="7"/>
    </row>
    <row r="827" spans="1:6" x14ac:dyDescent="0.25">
      <c r="A827" s="7"/>
      <c r="E827" s="7"/>
      <c r="F827" s="7"/>
    </row>
    <row r="828" spans="1:6" x14ac:dyDescent="0.25">
      <c r="A828" s="7"/>
      <c r="E828" s="7"/>
      <c r="F828" s="7"/>
    </row>
    <row r="829" spans="1:6" x14ac:dyDescent="0.25">
      <c r="A829" s="7"/>
      <c r="E829" s="7"/>
      <c r="F829" s="7"/>
    </row>
    <row r="830" spans="1:6" x14ac:dyDescent="0.25">
      <c r="A830" s="7"/>
      <c r="E830" s="7"/>
      <c r="F830" s="7"/>
    </row>
    <row r="831" spans="1:6" x14ac:dyDescent="0.25">
      <c r="A831" s="7"/>
      <c r="E831" s="7"/>
      <c r="F831" s="7"/>
    </row>
    <row r="832" spans="1:6" x14ac:dyDescent="0.25">
      <c r="A832" s="7"/>
      <c r="E832" s="7"/>
      <c r="F832" s="7"/>
    </row>
    <row r="833" spans="1:6" x14ac:dyDescent="0.25">
      <c r="A833" s="7"/>
      <c r="E833" s="7"/>
      <c r="F833" s="7"/>
    </row>
    <row r="834" spans="1:6" x14ac:dyDescent="0.25">
      <c r="A834" s="7"/>
      <c r="E834" s="7"/>
      <c r="F834" s="7"/>
    </row>
    <row r="835" spans="1:6" x14ac:dyDescent="0.25">
      <c r="A835" s="7"/>
      <c r="E835" s="7"/>
      <c r="F835" s="7"/>
    </row>
    <row r="836" spans="1:6" x14ac:dyDescent="0.25">
      <c r="A836" s="7"/>
      <c r="E836" s="7"/>
      <c r="F836" s="7"/>
    </row>
    <row r="837" spans="1:6" x14ac:dyDescent="0.25">
      <c r="A837" s="7"/>
      <c r="E837" s="7"/>
      <c r="F837" s="7"/>
    </row>
    <row r="838" spans="1:6" x14ac:dyDescent="0.25">
      <c r="A838" s="7"/>
      <c r="E838" s="7"/>
      <c r="F838" s="7"/>
    </row>
    <row r="839" spans="1:6" x14ac:dyDescent="0.25">
      <c r="A839" s="7"/>
      <c r="E839" s="7"/>
      <c r="F839" s="7"/>
    </row>
    <row r="840" spans="1:6" x14ac:dyDescent="0.25">
      <c r="A840" s="7"/>
      <c r="E840" s="7"/>
      <c r="F840" s="7"/>
    </row>
    <row r="841" spans="1:6" x14ac:dyDescent="0.25">
      <c r="A841" s="7"/>
      <c r="E841" s="7"/>
      <c r="F841" s="7"/>
    </row>
    <row r="842" spans="1:6" x14ac:dyDescent="0.25">
      <c r="A842" s="7"/>
      <c r="E842" s="7"/>
      <c r="F842" s="7"/>
    </row>
    <row r="843" spans="1:6" x14ac:dyDescent="0.25">
      <c r="A843" s="7"/>
      <c r="E843" s="7"/>
      <c r="F843" s="7"/>
    </row>
    <row r="844" spans="1:6" x14ac:dyDescent="0.25">
      <c r="A844" s="7"/>
      <c r="E844" s="7"/>
      <c r="F844" s="7"/>
    </row>
    <row r="845" spans="1:6" x14ac:dyDescent="0.25">
      <c r="A845" s="7"/>
      <c r="E845" s="7"/>
      <c r="F845" s="7"/>
    </row>
    <row r="846" spans="1:6" x14ac:dyDescent="0.25">
      <c r="A846" s="7"/>
      <c r="E846" s="7"/>
      <c r="F846" s="7"/>
    </row>
    <row r="847" spans="1:6" x14ac:dyDescent="0.25">
      <c r="A847" s="7"/>
      <c r="E847" s="7"/>
      <c r="F847" s="7"/>
    </row>
    <row r="848" spans="1:6" x14ac:dyDescent="0.25">
      <c r="A848" s="7"/>
      <c r="E848" s="7"/>
      <c r="F848" s="7"/>
    </row>
    <row r="849" spans="1:6" x14ac:dyDescent="0.25">
      <c r="A849" s="7"/>
      <c r="E849" s="7"/>
      <c r="F849" s="7"/>
    </row>
    <row r="850" spans="1:6" x14ac:dyDescent="0.25">
      <c r="A850" s="7"/>
      <c r="E850" s="7"/>
      <c r="F850" s="7"/>
    </row>
    <row r="851" spans="1:6" x14ac:dyDescent="0.25">
      <c r="A851" s="7"/>
      <c r="E851" s="7"/>
      <c r="F851" s="7"/>
    </row>
    <row r="852" spans="1:6" x14ac:dyDescent="0.25">
      <c r="A852" s="7"/>
      <c r="E852" s="7"/>
      <c r="F852" s="7"/>
    </row>
    <row r="853" spans="1:6" x14ac:dyDescent="0.25">
      <c r="A853" s="7"/>
      <c r="E853" s="7"/>
      <c r="F853" s="7"/>
    </row>
    <row r="854" spans="1:6" x14ac:dyDescent="0.25">
      <c r="A854" s="7"/>
      <c r="E854" s="7"/>
      <c r="F854" s="7"/>
    </row>
    <row r="855" spans="1:6" x14ac:dyDescent="0.25">
      <c r="A855" s="7"/>
      <c r="E855" s="7"/>
      <c r="F855" s="7"/>
    </row>
    <row r="856" spans="1:6" x14ac:dyDescent="0.25">
      <c r="A856" s="7"/>
      <c r="E856" s="7"/>
      <c r="F856" s="7"/>
    </row>
    <row r="857" spans="1:6" x14ac:dyDescent="0.25">
      <c r="A857" s="7"/>
      <c r="E857" s="7"/>
      <c r="F857" s="7"/>
    </row>
    <row r="858" spans="1:6" x14ac:dyDescent="0.25">
      <c r="A858" s="7"/>
      <c r="E858" s="7"/>
      <c r="F858" s="7"/>
    </row>
    <row r="859" spans="1:6" x14ac:dyDescent="0.25">
      <c r="A859" s="7"/>
      <c r="E859" s="7"/>
      <c r="F859" s="7"/>
    </row>
    <row r="860" spans="1:6" x14ac:dyDescent="0.25">
      <c r="A860" s="7"/>
      <c r="E860" s="7"/>
      <c r="F860" s="7"/>
    </row>
    <row r="861" spans="1:6" x14ac:dyDescent="0.25">
      <c r="A861" s="7"/>
      <c r="E861" s="7"/>
      <c r="F861" s="7"/>
    </row>
    <row r="862" spans="1:6" x14ac:dyDescent="0.25">
      <c r="A862" s="7"/>
      <c r="E862" s="7"/>
      <c r="F862" s="7"/>
    </row>
    <row r="863" spans="1:6" x14ac:dyDescent="0.25">
      <c r="A863" s="7"/>
      <c r="E863" s="7"/>
      <c r="F863" s="7"/>
    </row>
    <row r="864" spans="1:6" x14ac:dyDescent="0.25">
      <c r="A864" s="7"/>
      <c r="E864" s="7"/>
      <c r="F864" s="7"/>
    </row>
    <row r="865" spans="1:6" x14ac:dyDescent="0.25">
      <c r="A865" s="7"/>
      <c r="E865" s="7"/>
      <c r="F865" s="7"/>
    </row>
    <row r="866" spans="1:6" x14ac:dyDescent="0.25">
      <c r="A866" s="7"/>
      <c r="E866" s="7"/>
      <c r="F866" s="7"/>
    </row>
    <row r="867" spans="1:6" x14ac:dyDescent="0.25">
      <c r="A867" s="7"/>
      <c r="E867" s="7"/>
      <c r="F867" s="7"/>
    </row>
    <row r="868" spans="1:6" x14ac:dyDescent="0.25">
      <c r="A868" s="7"/>
      <c r="E868" s="7"/>
      <c r="F868" s="7"/>
    </row>
    <row r="869" spans="1:6" x14ac:dyDescent="0.25">
      <c r="A869" s="7"/>
      <c r="E869" s="7"/>
      <c r="F869" s="7"/>
    </row>
    <row r="870" spans="1:6" x14ac:dyDescent="0.25">
      <c r="A870" s="7"/>
      <c r="E870" s="7"/>
      <c r="F870" s="7"/>
    </row>
    <row r="871" spans="1:6" x14ac:dyDescent="0.25">
      <c r="A871" s="7"/>
      <c r="E871" s="7"/>
      <c r="F871" s="7"/>
    </row>
    <row r="872" spans="1:6" x14ac:dyDescent="0.25">
      <c r="A872" s="7"/>
      <c r="E872" s="7"/>
      <c r="F872" s="7"/>
    </row>
    <row r="873" spans="1:6" x14ac:dyDescent="0.25">
      <c r="A873" s="7"/>
      <c r="E873" s="7"/>
      <c r="F873" s="7"/>
    </row>
    <row r="874" spans="1:6" x14ac:dyDescent="0.25">
      <c r="A874" s="7"/>
      <c r="E874" s="7"/>
      <c r="F874" s="7"/>
    </row>
    <row r="875" spans="1:6" x14ac:dyDescent="0.25">
      <c r="A875" s="7"/>
      <c r="E875" s="7"/>
      <c r="F875" s="7"/>
    </row>
    <row r="876" spans="1:6" x14ac:dyDescent="0.25">
      <c r="A876" s="7"/>
      <c r="E876" s="7"/>
      <c r="F876" s="7"/>
    </row>
    <row r="877" spans="1:6" x14ac:dyDescent="0.25">
      <c r="A877" s="7"/>
      <c r="E877" s="7"/>
      <c r="F877" s="7"/>
    </row>
    <row r="878" spans="1:6" x14ac:dyDescent="0.25">
      <c r="A878" s="7"/>
      <c r="E878" s="7"/>
      <c r="F878" s="7"/>
    </row>
    <row r="879" spans="1:6" x14ac:dyDescent="0.25">
      <c r="A879" s="7"/>
      <c r="E879" s="7"/>
      <c r="F879" s="7"/>
    </row>
    <row r="880" spans="1:6" x14ac:dyDescent="0.25">
      <c r="A880" s="7"/>
      <c r="E880" s="7"/>
      <c r="F880" s="7"/>
    </row>
    <row r="881" spans="1:6" x14ac:dyDescent="0.25">
      <c r="A881" s="7"/>
      <c r="E881" s="7"/>
      <c r="F881" s="7"/>
    </row>
    <row r="882" spans="1:6" x14ac:dyDescent="0.25">
      <c r="A882" s="7"/>
      <c r="E882" s="7"/>
      <c r="F882" s="7"/>
    </row>
    <row r="883" spans="1:6" x14ac:dyDescent="0.25">
      <c r="A883" s="7"/>
      <c r="E883" s="7"/>
      <c r="F883" s="7"/>
    </row>
    <row r="884" spans="1:6" x14ac:dyDescent="0.25">
      <c r="A884" s="7"/>
      <c r="E884" s="7"/>
      <c r="F884" s="7"/>
    </row>
    <row r="885" spans="1:6" x14ac:dyDescent="0.25">
      <c r="A885" s="7"/>
      <c r="E885" s="7"/>
      <c r="F885" s="7"/>
    </row>
    <row r="886" spans="1:6" x14ac:dyDescent="0.25">
      <c r="A886" s="7"/>
      <c r="E886" s="7"/>
      <c r="F886" s="7"/>
    </row>
    <row r="887" spans="1:6" x14ac:dyDescent="0.25">
      <c r="A887" s="7"/>
      <c r="E887" s="7"/>
      <c r="F887" s="7"/>
    </row>
    <row r="888" spans="1:6" x14ac:dyDescent="0.25">
      <c r="A888" s="7"/>
      <c r="E888" s="7"/>
      <c r="F888" s="7"/>
    </row>
    <row r="889" spans="1:6" x14ac:dyDescent="0.25">
      <c r="A889" s="7"/>
      <c r="E889" s="7"/>
      <c r="F889" s="7"/>
    </row>
    <row r="890" spans="1:6" x14ac:dyDescent="0.25">
      <c r="A890" s="7"/>
      <c r="E890" s="7"/>
      <c r="F890" s="7"/>
    </row>
    <row r="891" spans="1:6" x14ac:dyDescent="0.25">
      <c r="A891" s="7"/>
      <c r="E891" s="7"/>
      <c r="F891" s="7"/>
    </row>
    <row r="892" spans="1:6" x14ac:dyDescent="0.25">
      <c r="A892" s="7"/>
      <c r="E892" s="7"/>
      <c r="F892" s="7"/>
    </row>
    <row r="893" spans="1:6" x14ac:dyDescent="0.25">
      <c r="A893" s="7"/>
      <c r="E893" s="7"/>
      <c r="F893" s="7"/>
    </row>
    <row r="894" spans="1:6" x14ac:dyDescent="0.25">
      <c r="A894" s="7"/>
      <c r="E894" s="7"/>
      <c r="F894" s="7"/>
    </row>
    <row r="895" spans="1:6" x14ac:dyDescent="0.25">
      <c r="A895" s="7"/>
      <c r="E895" s="7"/>
      <c r="F895" s="7"/>
    </row>
    <row r="896" spans="1:6" x14ac:dyDescent="0.25">
      <c r="A896" s="7"/>
      <c r="E896" s="7"/>
      <c r="F896" s="7"/>
    </row>
    <row r="897" spans="1:6" x14ac:dyDescent="0.25">
      <c r="A897" s="7"/>
      <c r="E897" s="7"/>
      <c r="F897" s="7"/>
    </row>
    <row r="898" spans="1:6" x14ac:dyDescent="0.25">
      <c r="A898" s="7"/>
      <c r="E898" s="7"/>
      <c r="F898" s="7"/>
    </row>
    <row r="899" spans="1:6" x14ac:dyDescent="0.25">
      <c r="A899" s="7"/>
      <c r="E899" s="7"/>
      <c r="F899" s="7"/>
    </row>
    <row r="900" spans="1:6" x14ac:dyDescent="0.25">
      <c r="A900" s="7"/>
      <c r="E900" s="7"/>
      <c r="F900" s="7"/>
    </row>
    <row r="901" spans="1:6" x14ac:dyDescent="0.25">
      <c r="A901" s="7"/>
      <c r="E901" s="7"/>
      <c r="F901" s="7"/>
    </row>
    <row r="902" spans="1:6" x14ac:dyDescent="0.25">
      <c r="A902" s="7"/>
      <c r="E902" s="7"/>
      <c r="F902" s="7"/>
    </row>
    <row r="903" spans="1:6" x14ac:dyDescent="0.25">
      <c r="A903" s="7"/>
      <c r="E903" s="7"/>
      <c r="F903" s="7"/>
    </row>
    <row r="904" spans="1:6" x14ac:dyDescent="0.25">
      <c r="A904" s="7"/>
      <c r="E904" s="7"/>
      <c r="F904" s="7"/>
    </row>
    <row r="905" spans="1:6" x14ac:dyDescent="0.25">
      <c r="A905" s="7"/>
      <c r="E905" s="7"/>
      <c r="F905" s="7"/>
    </row>
    <row r="906" spans="1:6" x14ac:dyDescent="0.25">
      <c r="A906" s="7"/>
      <c r="E906" s="7"/>
      <c r="F906" s="7"/>
    </row>
    <row r="907" spans="1:6" x14ac:dyDescent="0.25">
      <c r="A907" s="7"/>
      <c r="E907" s="7"/>
      <c r="F907" s="7"/>
    </row>
    <row r="908" spans="1:6" x14ac:dyDescent="0.25">
      <c r="A908" s="7"/>
      <c r="E908" s="7"/>
      <c r="F908" s="7"/>
    </row>
    <row r="909" spans="1:6" x14ac:dyDescent="0.25">
      <c r="A909" s="7"/>
      <c r="E909" s="7"/>
      <c r="F909" s="7"/>
    </row>
    <row r="910" spans="1:6" x14ac:dyDescent="0.25">
      <c r="A910" s="7"/>
      <c r="E910" s="7"/>
      <c r="F910" s="7"/>
    </row>
    <row r="911" spans="1:6" x14ac:dyDescent="0.25">
      <c r="A911" s="7"/>
      <c r="E911" s="7"/>
      <c r="F911" s="7"/>
    </row>
    <row r="912" spans="1:6" x14ac:dyDescent="0.25">
      <c r="A912" s="7"/>
      <c r="E912" s="7"/>
      <c r="F912" s="7"/>
    </row>
    <row r="913" spans="1:6" x14ac:dyDescent="0.25">
      <c r="A913" s="7"/>
      <c r="E913" s="7"/>
      <c r="F913" s="7"/>
    </row>
    <row r="914" spans="1:6" x14ac:dyDescent="0.25">
      <c r="A914" s="7"/>
      <c r="E914" s="7"/>
      <c r="F914" s="7"/>
    </row>
    <row r="915" spans="1:6" x14ac:dyDescent="0.25">
      <c r="A915" s="7"/>
      <c r="E915" s="7"/>
      <c r="F915" s="7"/>
    </row>
    <row r="916" spans="1:6" x14ac:dyDescent="0.25">
      <c r="A916" s="7"/>
      <c r="E916" s="7"/>
      <c r="F916" s="7"/>
    </row>
    <row r="917" spans="1:6" x14ac:dyDescent="0.25">
      <c r="A917" s="7"/>
      <c r="E917" s="7"/>
      <c r="F917" s="7"/>
    </row>
    <row r="918" spans="1:6" x14ac:dyDescent="0.25">
      <c r="A918" s="7"/>
      <c r="E918" s="7"/>
      <c r="F918" s="7"/>
    </row>
    <row r="919" spans="1:6" x14ac:dyDescent="0.25">
      <c r="A919" s="7"/>
      <c r="E919" s="7"/>
      <c r="F919" s="7"/>
    </row>
    <row r="920" spans="1:6" x14ac:dyDescent="0.25">
      <c r="A920" s="7"/>
      <c r="E920" s="7"/>
      <c r="F920" s="7"/>
    </row>
    <row r="921" spans="1:6" x14ac:dyDescent="0.25">
      <c r="A921" s="7"/>
      <c r="E921" s="7"/>
      <c r="F921" s="7"/>
    </row>
    <row r="922" spans="1:6" x14ac:dyDescent="0.25">
      <c r="A922" s="7"/>
      <c r="E922" s="7"/>
      <c r="F922" s="7"/>
    </row>
    <row r="923" spans="1:6" x14ac:dyDescent="0.25">
      <c r="A923" s="7"/>
      <c r="E923" s="7"/>
      <c r="F923" s="7"/>
    </row>
    <row r="924" spans="1:6" x14ac:dyDescent="0.25">
      <c r="A924" s="7"/>
      <c r="E924" s="7"/>
      <c r="F924" s="7"/>
    </row>
    <row r="925" spans="1:6" x14ac:dyDescent="0.25">
      <c r="A925" s="7"/>
      <c r="E925" s="7"/>
      <c r="F925" s="7"/>
    </row>
    <row r="926" spans="1:6" x14ac:dyDescent="0.25">
      <c r="A926" s="7"/>
      <c r="E926" s="7"/>
      <c r="F926" s="7"/>
    </row>
    <row r="927" spans="1:6" x14ac:dyDescent="0.25">
      <c r="A927" s="7"/>
      <c r="E927" s="7"/>
      <c r="F927" s="7"/>
    </row>
    <row r="928" spans="1:6" x14ac:dyDescent="0.25">
      <c r="A928" s="7"/>
      <c r="E928" s="7"/>
      <c r="F928" s="7"/>
    </row>
    <row r="929" spans="1:6" x14ac:dyDescent="0.25">
      <c r="A929" s="7"/>
      <c r="E929" s="7"/>
      <c r="F929" s="7"/>
    </row>
    <row r="930" spans="1:6" x14ac:dyDescent="0.25">
      <c r="A930" s="7"/>
      <c r="E930" s="7"/>
      <c r="F930" s="7"/>
    </row>
    <row r="931" spans="1:6" x14ac:dyDescent="0.25">
      <c r="A931" s="7"/>
      <c r="E931" s="7"/>
      <c r="F931" s="7"/>
    </row>
    <row r="932" spans="1:6" x14ac:dyDescent="0.25">
      <c r="A932" s="7"/>
      <c r="E932" s="7"/>
      <c r="F932" s="7"/>
    </row>
    <row r="933" spans="1:6" x14ac:dyDescent="0.25">
      <c r="A933" s="7"/>
      <c r="E933" s="7"/>
      <c r="F933" s="7"/>
    </row>
    <row r="934" spans="1:6" x14ac:dyDescent="0.25">
      <c r="A934" s="7"/>
      <c r="E934" s="7"/>
      <c r="F934" s="7"/>
    </row>
    <row r="935" spans="1:6" x14ac:dyDescent="0.25">
      <c r="A935" s="7"/>
      <c r="E935" s="7"/>
      <c r="F935" s="7"/>
    </row>
    <row r="936" spans="1:6" x14ac:dyDescent="0.25">
      <c r="A936" s="7"/>
      <c r="E936" s="7"/>
      <c r="F936" s="7"/>
    </row>
    <row r="937" spans="1:6" x14ac:dyDescent="0.25">
      <c r="A937" s="7"/>
      <c r="E937" s="7"/>
      <c r="F937" s="7"/>
    </row>
    <row r="938" spans="1:6" x14ac:dyDescent="0.25">
      <c r="A938" s="7"/>
      <c r="E938" s="7"/>
      <c r="F938" s="7"/>
    </row>
    <row r="939" spans="1:6" x14ac:dyDescent="0.25">
      <c r="A939" s="7"/>
      <c r="E939" s="7"/>
      <c r="F939" s="7"/>
    </row>
    <row r="940" spans="1:6" x14ac:dyDescent="0.25">
      <c r="A940" s="7"/>
      <c r="E940" s="7"/>
      <c r="F940" s="7"/>
    </row>
    <row r="941" spans="1:6" x14ac:dyDescent="0.25">
      <c r="A941" s="7"/>
      <c r="E941" s="7"/>
      <c r="F941" s="7"/>
    </row>
    <row r="942" spans="1:6" x14ac:dyDescent="0.25">
      <c r="A942" s="7"/>
      <c r="E942" s="7"/>
      <c r="F942" s="7"/>
    </row>
    <row r="943" spans="1:6" x14ac:dyDescent="0.25">
      <c r="A943" s="7"/>
      <c r="E943" s="7"/>
      <c r="F943" s="7"/>
    </row>
    <row r="944" spans="1:6" x14ac:dyDescent="0.25">
      <c r="A944" s="7"/>
      <c r="E944" s="7"/>
      <c r="F944" s="7"/>
    </row>
    <row r="945" spans="1:6" x14ac:dyDescent="0.25">
      <c r="A945" s="7"/>
      <c r="E945" s="7"/>
      <c r="F945" s="7"/>
    </row>
    <row r="946" spans="1:6" x14ac:dyDescent="0.25">
      <c r="A946" s="7"/>
      <c r="E946" s="7"/>
      <c r="F946" s="7"/>
    </row>
    <row r="947" spans="1:6" x14ac:dyDescent="0.25">
      <c r="A947" s="7"/>
      <c r="E947" s="7"/>
      <c r="F947" s="7"/>
    </row>
    <row r="948" spans="1:6" x14ac:dyDescent="0.25">
      <c r="A948" s="7"/>
      <c r="E948" s="7"/>
      <c r="F948" s="7"/>
    </row>
    <row r="949" spans="1:6" x14ac:dyDescent="0.25">
      <c r="A949" s="7"/>
      <c r="E949" s="7"/>
      <c r="F949" s="7"/>
    </row>
    <row r="950" spans="1:6" x14ac:dyDescent="0.25">
      <c r="A950" s="7"/>
      <c r="E950" s="7"/>
      <c r="F950" s="7"/>
    </row>
    <row r="951" spans="1:6" x14ac:dyDescent="0.25">
      <c r="A951" s="7"/>
      <c r="E951" s="7"/>
      <c r="F951" s="7"/>
    </row>
    <row r="952" spans="1:6" x14ac:dyDescent="0.25">
      <c r="A952" s="7"/>
      <c r="E952" s="7"/>
      <c r="F952" s="7"/>
    </row>
    <row r="953" spans="1:6" x14ac:dyDescent="0.25">
      <c r="A953" s="7"/>
      <c r="E953" s="7"/>
      <c r="F953" s="7"/>
    </row>
    <row r="954" spans="1:6" x14ac:dyDescent="0.25">
      <c r="A954" s="7"/>
      <c r="E954" s="7"/>
      <c r="F954" s="7"/>
    </row>
    <row r="955" spans="1:6" x14ac:dyDescent="0.25">
      <c r="A955" s="7"/>
      <c r="E955" s="7"/>
      <c r="F955" s="7"/>
    </row>
    <row r="956" spans="1:6" x14ac:dyDescent="0.25">
      <c r="A956" s="7"/>
      <c r="E956" s="7"/>
      <c r="F956" s="7"/>
    </row>
    <row r="957" spans="1:6" x14ac:dyDescent="0.25">
      <c r="A957" s="7"/>
      <c r="E957" s="7"/>
      <c r="F957" s="7"/>
    </row>
    <row r="958" spans="1:6" x14ac:dyDescent="0.25">
      <c r="A958" s="7"/>
      <c r="E958" s="7"/>
      <c r="F958" s="7"/>
    </row>
    <row r="959" spans="1:6" x14ac:dyDescent="0.25">
      <c r="A959" s="7"/>
      <c r="E959" s="7"/>
      <c r="F959" s="7"/>
    </row>
    <row r="960" spans="1:6" x14ac:dyDescent="0.25">
      <c r="A960" s="7"/>
      <c r="E960" s="7"/>
      <c r="F960" s="7"/>
    </row>
    <row r="961" spans="1:6" x14ac:dyDescent="0.25">
      <c r="A961" s="7"/>
      <c r="E961" s="7"/>
      <c r="F961" s="7"/>
    </row>
    <row r="962" spans="1:6" x14ac:dyDescent="0.25">
      <c r="A962" s="7"/>
      <c r="E962" s="7"/>
      <c r="F962" s="7"/>
    </row>
    <row r="963" spans="1:6" x14ac:dyDescent="0.25">
      <c r="A963" s="7"/>
      <c r="E963" s="7"/>
      <c r="F963" s="7"/>
    </row>
    <row r="964" spans="1:6" x14ac:dyDescent="0.25">
      <c r="A964" s="7"/>
      <c r="E964" s="7"/>
      <c r="F964" s="7"/>
    </row>
    <row r="965" spans="1:6" x14ac:dyDescent="0.25">
      <c r="A965" s="7"/>
      <c r="E965" s="7"/>
      <c r="F965" s="7"/>
    </row>
    <row r="966" spans="1:6" x14ac:dyDescent="0.25">
      <c r="A966" s="7"/>
      <c r="E966" s="7"/>
      <c r="F966" s="7"/>
    </row>
    <row r="967" spans="1:6" x14ac:dyDescent="0.25">
      <c r="A967" s="7"/>
      <c r="E967" s="7"/>
      <c r="F967" s="7"/>
    </row>
    <row r="968" spans="1:6" x14ac:dyDescent="0.25">
      <c r="A968" s="7"/>
      <c r="E968" s="7"/>
      <c r="F968" s="7"/>
    </row>
    <row r="969" spans="1:6" x14ac:dyDescent="0.25">
      <c r="A969" s="7"/>
      <c r="E969" s="7"/>
      <c r="F969" s="7"/>
    </row>
    <row r="970" spans="1:6" x14ac:dyDescent="0.25">
      <c r="A970" s="7"/>
      <c r="E970" s="7"/>
      <c r="F970" s="7"/>
    </row>
    <row r="971" spans="1:6" x14ac:dyDescent="0.25">
      <c r="A971" s="7"/>
      <c r="E971" s="7"/>
      <c r="F971" s="7"/>
    </row>
    <row r="972" spans="1:6" x14ac:dyDescent="0.25">
      <c r="A972" s="7"/>
      <c r="E972" s="7"/>
      <c r="F972" s="7"/>
    </row>
    <row r="973" spans="1:6" x14ac:dyDescent="0.25">
      <c r="A973" s="7"/>
      <c r="E973" s="7"/>
      <c r="F973" s="7"/>
    </row>
    <row r="974" spans="1:6" x14ac:dyDescent="0.25">
      <c r="A974" s="7"/>
      <c r="E974" s="7"/>
      <c r="F974" s="7"/>
    </row>
    <row r="975" spans="1:6" x14ac:dyDescent="0.25">
      <c r="A975" s="7"/>
      <c r="E975" s="7"/>
      <c r="F975" s="7"/>
    </row>
    <row r="976" spans="1:6" x14ac:dyDescent="0.25">
      <c r="A976" s="7"/>
      <c r="E976" s="7"/>
      <c r="F976" s="7"/>
    </row>
    <row r="977" spans="1:6" x14ac:dyDescent="0.25">
      <c r="A977" s="7"/>
      <c r="E977" s="7"/>
      <c r="F977" s="7"/>
    </row>
    <row r="978" spans="1:6" x14ac:dyDescent="0.25">
      <c r="A978" s="7"/>
      <c r="E978" s="7"/>
      <c r="F978" s="7"/>
    </row>
    <row r="979" spans="1:6" x14ac:dyDescent="0.25">
      <c r="A979" s="7"/>
      <c r="E979" s="7"/>
      <c r="F979" s="7"/>
    </row>
    <row r="980" spans="1:6" x14ac:dyDescent="0.25">
      <c r="A980" s="7"/>
      <c r="E980" s="7"/>
      <c r="F980" s="7"/>
    </row>
    <row r="981" spans="1:6" x14ac:dyDescent="0.25">
      <c r="A981" s="7"/>
      <c r="E981" s="7"/>
      <c r="F981" s="7"/>
    </row>
    <row r="982" spans="1:6" x14ac:dyDescent="0.25">
      <c r="A982" s="7"/>
      <c r="E982" s="7"/>
      <c r="F982" s="7"/>
    </row>
    <row r="983" spans="1:6" x14ac:dyDescent="0.25">
      <c r="A983" s="7"/>
      <c r="E983" s="7"/>
      <c r="F983" s="7"/>
    </row>
    <row r="984" spans="1:6" x14ac:dyDescent="0.25">
      <c r="A984" s="7"/>
      <c r="E984" s="7"/>
      <c r="F984" s="7"/>
    </row>
    <row r="985" spans="1:6" x14ac:dyDescent="0.25">
      <c r="A985" s="7"/>
      <c r="E985" s="7"/>
      <c r="F985" s="7"/>
    </row>
    <row r="986" spans="1:6" x14ac:dyDescent="0.25">
      <c r="A986" s="7"/>
      <c r="E986" s="7"/>
      <c r="F986" s="7"/>
    </row>
    <row r="987" spans="1:6" x14ac:dyDescent="0.25">
      <c r="A987" s="7"/>
      <c r="E987" s="7"/>
      <c r="F987" s="7"/>
    </row>
    <row r="988" spans="1:6" x14ac:dyDescent="0.25">
      <c r="A988" s="7"/>
      <c r="E988" s="7"/>
      <c r="F988" s="7"/>
    </row>
    <row r="989" spans="1:6" x14ac:dyDescent="0.25">
      <c r="A989" s="7"/>
      <c r="E989" s="7"/>
      <c r="F989" s="7"/>
    </row>
    <row r="990" spans="1:6" x14ac:dyDescent="0.25">
      <c r="A990" s="7"/>
      <c r="E990" s="7"/>
      <c r="F990" s="7"/>
    </row>
    <row r="991" spans="1:6" x14ac:dyDescent="0.25">
      <c r="A991" s="7"/>
      <c r="E991" s="7"/>
      <c r="F991" s="7"/>
    </row>
    <row r="992" spans="1:6" x14ac:dyDescent="0.25">
      <c r="A992" s="7"/>
      <c r="E992" s="7"/>
      <c r="F992" s="7"/>
    </row>
    <row r="993" spans="1:6" x14ac:dyDescent="0.25">
      <c r="A993" s="7"/>
      <c r="E993" s="7"/>
      <c r="F993" s="7"/>
    </row>
    <row r="994" spans="1:6" x14ac:dyDescent="0.25">
      <c r="A994" s="7"/>
      <c r="E994" s="7"/>
      <c r="F994" s="7"/>
    </row>
    <row r="995" spans="1:6" x14ac:dyDescent="0.25">
      <c r="A995" s="7"/>
      <c r="E995" s="7"/>
      <c r="F995" s="7"/>
    </row>
    <row r="996" spans="1:6" x14ac:dyDescent="0.25">
      <c r="A996" s="7"/>
      <c r="E996" s="7"/>
      <c r="F996" s="7"/>
    </row>
    <row r="997" spans="1:6" x14ac:dyDescent="0.25">
      <c r="A997" s="7"/>
      <c r="E997" s="7"/>
      <c r="F997" s="7"/>
    </row>
    <row r="998" spans="1:6" x14ac:dyDescent="0.25">
      <c r="A998" s="7"/>
      <c r="E998" s="7"/>
      <c r="F998" s="7"/>
    </row>
    <row r="999" spans="1:6" x14ac:dyDescent="0.25">
      <c r="A999" s="7"/>
      <c r="E999" s="7"/>
      <c r="F999" s="7"/>
    </row>
    <row r="1000" spans="1:6" x14ac:dyDescent="0.25">
      <c r="A1000" s="7"/>
      <c r="E1000" s="7"/>
      <c r="F1000" s="7"/>
    </row>
    <row r="1001" spans="1:6" x14ac:dyDescent="0.25">
      <c r="A1001" s="7"/>
      <c r="E1001" s="7"/>
      <c r="F1001" s="7"/>
    </row>
    <row r="1002" spans="1:6" x14ac:dyDescent="0.25">
      <c r="A1002" s="7"/>
      <c r="E1002" s="7"/>
      <c r="F1002" s="7"/>
    </row>
  </sheetData>
  <mergeCells count="4">
    <mergeCell ref="A1:I1"/>
    <mergeCell ref="A2:I2"/>
    <mergeCell ref="B3:C3"/>
    <mergeCell ref="A16:I16"/>
  </mergeCells>
  <printOptions horizontalCentered="1" verticalCentered="1" gridLines="1"/>
  <pageMargins left="0.25" right="0.25" top="0.75" bottom="0.75" header="0" footer="0"/>
  <pageSetup fitToHeight="0" pageOrder="overThenDown" orientation="landscape" cellComments="atEnd"/>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outlinePr summaryBelow="0" summaryRight="0"/>
    <pageSetUpPr fitToPage="1"/>
  </sheetPr>
  <dimension ref="A1:W1002"/>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46.33203125" customWidth="1"/>
    <col min="2" max="2" width="7.33203125" customWidth="1"/>
    <col min="3" max="4" width="7.88671875" customWidth="1"/>
    <col min="5" max="5" width="22.21875" customWidth="1"/>
    <col min="6" max="6" width="14.6640625" customWidth="1"/>
  </cols>
  <sheetData>
    <row r="1" spans="1:23" x14ac:dyDescent="0.25">
      <c r="A1" s="141" t="s">
        <v>707</v>
      </c>
      <c r="B1" s="142"/>
      <c r="C1" s="142"/>
      <c r="D1" s="142"/>
      <c r="E1" s="142"/>
      <c r="F1" s="142"/>
      <c r="G1" s="142"/>
      <c r="H1" s="142"/>
      <c r="I1" s="143"/>
    </row>
    <row r="2" spans="1:23" x14ac:dyDescent="0.25">
      <c r="A2" s="144" t="s">
        <v>708</v>
      </c>
      <c r="B2" s="142"/>
      <c r="C2" s="142"/>
      <c r="D2" s="142"/>
      <c r="E2" s="142"/>
      <c r="F2" s="142"/>
      <c r="G2" s="142"/>
      <c r="H2" s="142"/>
      <c r="I2" s="143"/>
    </row>
    <row r="3" spans="1:23" x14ac:dyDescent="0.25">
      <c r="A3" s="43" t="s">
        <v>374</v>
      </c>
      <c r="B3" s="145" t="s">
        <v>408</v>
      </c>
      <c r="C3" s="143"/>
      <c r="D3" s="49" t="s">
        <v>370</v>
      </c>
      <c r="E3" s="50" t="s">
        <v>371</v>
      </c>
      <c r="F3" s="51" t="s">
        <v>372</v>
      </c>
      <c r="G3" s="52" t="s">
        <v>373</v>
      </c>
      <c r="H3" s="53" t="s">
        <v>409</v>
      </c>
      <c r="I3" s="53" t="s">
        <v>410</v>
      </c>
      <c r="J3" s="7"/>
      <c r="K3" s="7"/>
      <c r="L3" s="7"/>
      <c r="M3" s="7"/>
      <c r="N3" s="7"/>
      <c r="O3" s="7"/>
      <c r="P3" s="7"/>
      <c r="Q3" s="7"/>
      <c r="R3" s="7"/>
      <c r="S3" s="7"/>
      <c r="T3" s="7"/>
      <c r="U3" s="7"/>
      <c r="V3" s="7"/>
      <c r="W3" s="7"/>
    </row>
    <row r="4" spans="1:23" x14ac:dyDescent="0.25">
      <c r="A4" s="41" t="s">
        <v>411</v>
      </c>
      <c r="B4" s="54">
        <f>SUM(B5:B8)/3</f>
        <v>1</v>
      </c>
      <c r="C4" s="55">
        <f>D4*B4</f>
        <v>0.7</v>
      </c>
      <c r="D4" s="56">
        <v>0.7</v>
      </c>
      <c r="E4" s="57"/>
      <c r="F4" s="57"/>
      <c r="G4" s="58"/>
      <c r="H4" s="58"/>
      <c r="I4" s="58"/>
    </row>
    <row r="5" spans="1:23" x14ac:dyDescent="0.25">
      <c r="A5" s="42" t="s">
        <v>709</v>
      </c>
      <c r="B5" s="59">
        <v>1</v>
      </c>
      <c r="C5" s="60"/>
      <c r="D5" s="60"/>
      <c r="E5" s="42"/>
      <c r="F5" s="61"/>
      <c r="G5" s="59">
        <v>0.8</v>
      </c>
      <c r="H5" s="59">
        <v>0.8</v>
      </c>
      <c r="I5" s="59">
        <v>1</v>
      </c>
    </row>
    <row r="6" spans="1:23" x14ac:dyDescent="0.25">
      <c r="A6" s="104" t="s">
        <v>710</v>
      </c>
      <c r="B6" s="105">
        <v>1</v>
      </c>
      <c r="C6" s="106"/>
      <c r="D6" s="106"/>
      <c r="E6" s="104"/>
      <c r="F6" s="107"/>
      <c r="G6" s="105">
        <v>0.8</v>
      </c>
      <c r="H6" s="105">
        <v>0.8</v>
      </c>
      <c r="I6" s="105">
        <v>1</v>
      </c>
    </row>
    <row r="7" spans="1:23" x14ac:dyDescent="0.25">
      <c r="A7" s="42" t="s">
        <v>711</v>
      </c>
      <c r="B7" s="59">
        <v>1</v>
      </c>
      <c r="C7" s="60"/>
      <c r="D7" s="60"/>
      <c r="E7" s="42"/>
      <c r="F7" s="61"/>
      <c r="G7" s="59">
        <v>0.8</v>
      </c>
      <c r="H7" s="59">
        <v>0.8</v>
      </c>
      <c r="I7" s="59">
        <v>1</v>
      </c>
    </row>
    <row r="8" spans="1:23" x14ac:dyDescent="0.25">
      <c r="A8" s="42"/>
      <c r="B8" s="62"/>
      <c r="C8" s="60"/>
      <c r="D8" s="60"/>
      <c r="E8" s="42"/>
      <c r="F8" s="42"/>
      <c r="G8" s="60"/>
      <c r="H8" s="60"/>
      <c r="I8" s="60"/>
    </row>
    <row r="9" spans="1:23" x14ac:dyDescent="0.25">
      <c r="A9" s="41" t="s">
        <v>415</v>
      </c>
      <c r="B9" s="54">
        <f>SUM(B10:B11)/1</f>
        <v>1</v>
      </c>
      <c r="C9" s="55">
        <f>D9*B9</f>
        <v>0.2</v>
      </c>
      <c r="D9" s="56">
        <v>0.2</v>
      </c>
      <c r="E9" s="57"/>
      <c r="F9" s="57"/>
      <c r="G9" s="58"/>
      <c r="H9" s="58"/>
      <c r="I9" s="58"/>
    </row>
    <row r="10" spans="1:23" x14ac:dyDescent="0.25">
      <c r="A10" s="42" t="s">
        <v>712</v>
      </c>
      <c r="B10" s="59">
        <v>1</v>
      </c>
      <c r="C10" s="60"/>
      <c r="D10" s="60"/>
      <c r="E10" s="42" t="s">
        <v>713</v>
      </c>
      <c r="F10" s="42" t="s">
        <v>425</v>
      </c>
      <c r="G10" s="59">
        <v>1</v>
      </c>
      <c r="H10" s="59"/>
      <c r="I10" s="59"/>
    </row>
    <row r="11" spans="1:23" x14ac:dyDescent="0.25">
      <c r="A11" s="43"/>
      <c r="B11" s="62"/>
      <c r="C11" s="60"/>
      <c r="D11" s="60"/>
      <c r="E11" s="42"/>
      <c r="F11" s="61"/>
      <c r="G11" s="59"/>
      <c r="H11" s="59"/>
      <c r="I11" s="59"/>
    </row>
    <row r="12" spans="1:23" x14ac:dyDescent="0.25">
      <c r="A12" s="41" t="s">
        <v>385</v>
      </c>
      <c r="B12" s="54">
        <f>SUM(B13:B15)/2</f>
        <v>1</v>
      </c>
      <c r="C12" s="55">
        <f>D12*B12</f>
        <v>0.1</v>
      </c>
      <c r="D12" s="56">
        <v>0.1</v>
      </c>
      <c r="E12" s="57"/>
      <c r="F12" s="57"/>
      <c r="G12" s="58"/>
      <c r="H12" s="58"/>
      <c r="I12" s="58"/>
    </row>
    <row r="13" spans="1:23" x14ac:dyDescent="0.25">
      <c r="A13" s="42" t="s">
        <v>386</v>
      </c>
      <c r="B13" s="59">
        <v>1</v>
      </c>
      <c r="C13" s="60"/>
      <c r="D13" s="53"/>
      <c r="E13" s="42"/>
      <c r="F13" s="42" t="s">
        <v>418</v>
      </c>
      <c r="G13" s="59">
        <v>0.8</v>
      </c>
      <c r="H13" s="59">
        <v>0.8</v>
      </c>
      <c r="I13" s="59">
        <v>1</v>
      </c>
    </row>
    <row r="14" spans="1:23" x14ac:dyDescent="0.25">
      <c r="A14" s="42" t="s">
        <v>387</v>
      </c>
      <c r="B14" s="59">
        <v>1</v>
      </c>
      <c r="C14" s="60"/>
      <c r="D14" s="53"/>
      <c r="E14" s="42"/>
      <c r="F14" s="42" t="s">
        <v>419</v>
      </c>
      <c r="G14" s="59">
        <v>0.8</v>
      </c>
      <c r="H14" s="59">
        <v>0.8</v>
      </c>
      <c r="I14" s="59">
        <v>1</v>
      </c>
    </row>
    <row r="15" spans="1:23" x14ac:dyDescent="0.25">
      <c r="A15" s="108"/>
      <c r="B15" s="71"/>
      <c r="C15" s="64">
        <f t="shared" ref="C15:D15" si="0">SUM(C4+C9+C12)</f>
        <v>0.99999999999999989</v>
      </c>
      <c r="D15" s="64">
        <f t="shared" si="0"/>
        <v>0.99999999999999989</v>
      </c>
      <c r="F15" s="70"/>
      <c r="G15" s="74"/>
      <c r="H15" s="74"/>
      <c r="I15" s="74"/>
    </row>
    <row r="16" spans="1:23" x14ac:dyDescent="0.25">
      <c r="A16" s="152" t="s">
        <v>714</v>
      </c>
      <c r="B16" s="142"/>
      <c r="C16" s="142"/>
      <c r="D16" s="142"/>
      <c r="E16" s="142"/>
      <c r="F16" s="142"/>
      <c r="G16" s="142"/>
      <c r="H16" s="142"/>
      <c r="I16" s="143"/>
    </row>
    <row r="17" spans="1:9" x14ac:dyDescent="0.25">
      <c r="A17" s="66" t="s">
        <v>684</v>
      </c>
      <c r="B17" s="67"/>
      <c r="C17" s="64"/>
      <c r="D17" s="64"/>
      <c r="E17" s="68"/>
      <c r="F17" s="42"/>
      <c r="G17" s="42"/>
      <c r="H17" s="60"/>
      <c r="I17" s="60"/>
    </row>
    <row r="18" spans="1:9" x14ac:dyDescent="0.25">
      <c r="A18" s="66"/>
      <c r="B18" s="67"/>
      <c r="C18" s="64"/>
      <c r="D18" s="64"/>
      <c r="E18" s="68"/>
      <c r="F18" s="42"/>
      <c r="G18" s="69"/>
      <c r="H18" s="60"/>
      <c r="I18" s="60"/>
    </row>
    <row r="19" spans="1:9" x14ac:dyDescent="0.25">
      <c r="A19" s="66"/>
      <c r="B19" s="67"/>
      <c r="C19" s="64"/>
      <c r="D19" s="64"/>
      <c r="E19" s="68"/>
      <c r="F19" s="42"/>
      <c r="G19" s="42"/>
      <c r="H19" s="60"/>
      <c r="I19" s="60"/>
    </row>
    <row r="20" spans="1:9" x14ac:dyDescent="0.25">
      <c r="A20" s="7"/>
      <c r="E20" s="7"/>
      <c r="F20" s="7"/>
    </row>
    <row r="21" spans="1:9" x14ac:dyDescent="0.25">
      <c r="A21" s="7"/>
      <c r="E21" s="7"/>
      <c r="F21" s="7"/>
    </row>
    <row r="22" spans="1:9" x14ac:dyDescent="0.25">
      <c r="A22" s="7"/>
      <c r="E22" s="7"/>
      <c r="F22" s="7"/>
    </row>
    <row r="23" spans="1:9" x14ac:dyDescent="0.25">
      <c r="A23" s="7"/>
      <c r="E23" s="7"/>
      <c r="F23" s="7"/>
    </row>
    <row r="24" spans="1:9" x14ac:dyDescent="0.25">
      <c r="A24" s="7"/>
      <c r="E24" s="7"/>
      <c r="F24" s="7"/>
    </row>
    <row r="25" spans="1:9" x14ac:dyDescent="0.25">
      <c r="A25" s="7"/>
      <c r="E25" s="7"/>
      <c r="F25" s="7"/>
    </row>
    <row r="26" spans="1:9" x14ac:dyDescent="0.25">
      <c r="A26" s="7"/>
      <c r="E26" s="7"/>
      <c r="F26" s="7"/>
    </row>
    <row r="27" spans="1:9" x14ac:dyDescent="0.25">
      <c r="A27" s="7"/>
      <c r="E27" s="7"/>
      <c r="F27" s="7"/>
    </row>
    <row r="28" spans="1:9" x14ac:dyDescent="0.25">
      <c r="A28" s="7"/>
      <c r="E28" s="7"/>
      <c r="F28" s="7"/>
    </row>
    <row r="29" spans="1:9" x14ac:dyDescent="0.25">
      <c r="A29" s="7"/>
      <c r="E29" s="7"/>
      <c r="F29" s="7"/>
    </row>
    <row r="30" spans="1:9" x14ac:dyDescent="0.25">
      <c r="A30" s="7"/>
      <c r="E30" s="7"/>
      <c r="F30" s="7"/>
    </row>
    <row r="31" spans="1:9" x14ac:dyDescent="0.25">
      <c r="A31" s="7"/>
      <c r="E31" s="7"/>
      <c r="F31" s="7"/>
    </row>
    <row r="32" spans="1:9" x14ac:dyDescent="0.25">
      <c r="A32" s="7"/>
      <c r="E32" s="7"/>
      <c r="F32" s="7"/>
    </row>
    <row r="33" spans="1:6" x14ac:dyDescent="0.25">
      <c r="A33" s="7"/>
      <c r="E33" s="7"/>
      <c r="F33" s="7"/>
    </row>
    <row r="34" spans="1:6" x14ac:dyDescent="0.25">
      <c r="A34" s="7"/>
      <c r="E34" s="7"/>
      <c r="F34" s="7"/>
    </row>
    <row r="35" spans="1:6" x14ac:dyDescent="0.25">
      <c r="A35" s="7"/>
      <c r="E35" s="7"/>
      <c r="F35" s="7"/>
    </row>
    <row r="36" spans="1:6" x14ac:dyDescent="0.25">
      <c r="A36" s="7"/>
      <c r="E36" s="7"/>
      <c r="F36" s="7"/>
    </row>
    <row r="37" spans="1:6" x14ac:dyDescent="0.25">
      <c r="A37" s="7"/>
      <c r="E37" s="7"/>
      <c r="F37" s="7"/>
    </row>
    <row r="38" spans="1:6" x14ac:dyDescent="0.25">
      <c r="A38" s="7"/>
      <c r="E38" s="7"/>
      <c r="F38" s="7"/>
    </row>
    <row r="39" spans="1:6" x14ac:dyDescent="0.25">
      <c r="A39" s="7"/>
      <c r="E39" s="7"/>
      <c r="F39" s="7"/>
    </row>
    <row r="40" spans="1:6" x14ac:dyDescent="0.25">
      <c r="A40" s="7"/>
      <c r="E40" s="7"/>
      <c r="F40" s="7"/>
    </row>
    <row r="41" spans="1:6" x14ac:dyDescent="0.25">
      <c r="A41" s="7"/>
      <c r="E41" s="7"/>
      <c r="F41" s="7"/>
    </row>
    <row r="42" spans="1:6" x14ac:dyDescent="0.25">
      <c r="A42" s="7"/>
      <c r="E42" s="7"/>
      <c r="F42" s="7"/>
    </row>
    <row r="43" spans="1:6" x14ac:dyDescent="0.25">
      <c r="A43" s="7"/>
      <c r="E43" s="7"/>
      <c r="F43" s="7"/>
    </row>
    <row r="44" spans="1:6" x14ac:dyDescent="0.25">
      <c r="A44" s="7"/>
      <c r="E44" s="7"/>
      <c r="F44" s="7"/>
    </row>
    <row r="45" spans="1:6" x14ac:dyDescent="0.25">
      <c r="A45" s="7"/>
      <c r="E45" s="7"/>
      <c r="F45" s="7"/>
    </row>
    <row r="46" spans="1:6" x14ac:dyDescent="0.25">
      <c r="A46" s="7"/>
      <c r="E46" s="7"/>
      <c r="F46" s="7"/>
    </row>
    <row r="47" spans="1:6" x14ac:dyDescent="0.25">
      <c r="A47" s="7"/>
      <c r="E47" s="7"/>
      <c r="F47" s="7"/>
    </row>
    <row r="48" spans="1:6" x14ac:dyDescent="0.25">
      <c r="A48" s="7"/>
      <c r="E48" s="7"/>
      <c r="F48" s="7"/>
    </row>
    <row r="49" spans="1:6" x14ac:dyDescent="0.25">
      <c r="A49" s="7"/>
      <c r="E49" s="7"/>
      <c r="F49" s="7"/>
    </row>
    <row r="50" spans="1:6" x14ac:dyDescent="0.25">
      <c r="A50" s="7"/>
      <c r="E50" s="7"/>
      <c r="F50" s="7"/>
    </row>
    <row r="51" spans="1:6" x14ac:dyDescent="0.25">
      <c r="A51" s="7"/>
      <c r="E51" s="7"/>
      <c r="F51" s="7"/>
    </row>
    <row r="52" spans="1:6" x14ac:dyDescent="0.25">
      <c r="A52" s="7"/>
      <c r="E52" s="7"/>
      <c r="F52" s="7"/>
    </row>
    <row r="53" spans="1:6" x14ac:dyDescent="0.25">
      <c r="A53" s="7"/>
      <c r="E53" s="7"/>
      <c r="F53" s="7"/>
    </row>
    <row r="54" spans="1:6" x14ac:dyDescent="0.25">
      <c r="A54" s="7"/>
      <c r="E54" s="7"/>
      <c r="F54" s="7"/>
    </row>
    <row r="55" spans="1:6" x14ac:dyDescent="0.25">
      <c r="A55" s="7"/>
      <c r="E55" s="7"/>
      <c r="F55" s="7"/>
    </row>
    <row r="56" spans="1:6" x14ac:dyDescent="0.25">
      <c r="A56" s="7"/>
      <c r="E56" s="7"/>
      <c r="F56" s="7"/>
    </row>
    <row r="57" spans="1:6" x14ac:dyDescent="0.25">
      <c r="A57" s="7"/>
      <c r="E57" s="7"/>
      <c r="F57" s="7"/>
    </row>
    <row r="58" spans="1:6" x14ac:dyDescent="0.25">
      <c r="A58" s="7"/>
      <c r="E58" s="7"/>
      <c r="F58" s="7"/>
    </row>
    <row r="59" spans="1:6" x14ac:dyDescent="0.25">
      <c r="A59" s="7"/>
      <c r="E59" s="7"/>
      <c r="F59" s="7"/>
    </row>
    <row r="60" spans="1:6" x14ac:dyDescent="0.25">
      <c r="A60" s="7"/>
      <c r="E60" s="7"/>
      <c r="F60" s="7"/>
    </row>
    <row r="61" spans="1:6" x14ac:dyDescent="0.25">
      <c r="A61" s="7"/>
      <c r="E61" s="7"/>
      <c r="F61" s="7"/>
    </row>
    <row r="62" spans="1:6" x14ac:dyDescent="0.25">
      <c r="A62" s="7"/>
      <c r="E62" s="7"/>
      <c r="F62" s="7"/>
    </row>
    <row r="63" spans="1:6" x14ac:dyDescent="0.25">
      <c r="A63" s="7"/>
      <c r="E63" s="7"/>
      <c r="F63" s="7"/>
    </row>
    <row r="64" spans="1:6" x14ac:dyDescent="0.25">
      <c r="A64" s="7"/>
      <c r="E64" s="7"/>
      <c r="F64" s="7"/>
    </row>
    <row r="65" spans="1:6" x14ac:dyDescent="0.25">
      <c r="A65" s="7"/>
      <c r="E65" s="7"/>
      <c r="F65" s="7"/>
    </row>
    <row r="66" spans="1:6" x14ac:dyDescent="0.25">
      <c r="A66" s="7"/>
      <c r="E66" s="7"/>
      <c r="F66" s="7"/>
    </row>
    <row r="67" spans="1:6" x14ac:dyDescent="0.25">
      <c r="A67" s="7"/>
      <c r="E67" s="7"/>
      <c r="F67" s="7"/>
    </row>
    <row r="68" spans="1:6" x14ac:dyDescent="0.25">
      <c r="A68" s="7"/>
      <c r="E68" s="7"/>
      <c r="F68" s="7"/>
    </row>
    <row r="69" spans="1:6" x14ac:dyDescent="0.25">
      <c r="A69" s="7"/>
      <c r="E69" s="7"/>
      <c r="F69" s="7"/>
    </row>
    <row r="70" spans="1:6" x14ac:dyDescent="0.25">
      <c r="A70" s="7"/>
      <c r="E70" s="7"/>
      <c r="F70" s="7"/>
    </row>
    <row r="71" spans="1:6" x14ac:dyDescent="0.25">
      <c r="A71" s="7"/>
      <c r="E71" s="7"/>
      <c r="F71" s="7"/>
    </row>
    <row r="72" spans="1:6" x14ac:dyDescent="0.25">
      <c r="A72" s="7"/>
      <c r="E72" s="7"/>
      <c r="F72" s="7"/>
    </row>
    <row r="73" spans="1:6" x14ac:dyDescent="0.25">
      <c r="A73" s="7"/>
      <c r="E73" s="7"/>
      <c r="F73" s="7"/>
    </row>
    <row r="74" spans="1:6" x14ac:dyDescent="0.25">
      <c r="A74" s="7"/>
      <c r="E74" s="7"/>
      <c r="F74" s="7"/>
    </row>
    <row r="75" spans="1:6" x14ac:dyDescent="0.25">
      <c r="A75" s="7"/>
      <c r="E75" s="7"/>
      <c r="F75" s="7"/>
    </row>
    <row r="76" spans="1:6" x14ac:dyDescent="0.25">
      <c r="A76" s="7"/>
      <c r="E76" s="7"/>
      <c r="F76" s="7"/>
    </row>
    <row r="77" spans="1:6" x14ac:dyDescent="0.25">
      <c r="A77" s="7"/>
      <c r="E77" s="7"/>
      <c r="F77" s="7"/>
    </row>
    <row r="78" spans="1:6" x14ac:dyDescent="0.25">
      <c r="A78" s="7"/>
      <c r="E78" s="7"/>
      <c r="F78" s="7"/>
    </row>
    <row r="79" spans="1:6" x14ac:dyDescent="0.25">
      <c r="A79" s="7"/>
      <c r="E79" s="7"/>
      <c r="F79" s="7"/>
    </row>
    <row r="80" spans="1:6" x14ac:dyDescent="0.25">
      <c r="A80" s="7"/>
      <c r="E80" s="7"/>
      <c r="F80" s="7"/>
    </row>
    <row r="81" spans="1:6" x14ac:dyDescent="0.25">
      <c r="A81" s="7"/>
      <c r="E81" s="7"/>
      <c r="F81" s="7"/>
    </row>
    <row r="82" spans="1:6" x14ac:dyDescent="0.25">
      <c r="A82" s="7"/>
      <c r="E82" s="7"/>
      <c r="F82" s="7"/>
    </row>
    <row r="83" spans="1:6" x14ac:dyDescent="0.25">
      <c r="A83" s="7"/>
      <c r="E83" s="7"/>
      <c r="F83" s="7"/>
    </row>
    <row r="84" spans="1:6" x14ac:dyDescent="0.25">
      <c r="A84" s="7"/>
      <c r="E84" s="7"/>
      <c r="F84" s="7"/>
    </row>
    <row r="85" spans="1:6" x14ac:dyDescent="0.25">
      <c r="A85" s="7"/>
      <c r="E85" s="7"/>
      <c r="F85" s="7"/>
    </row>
    <row r="86" spans="1:6" x14ac:dyDescent="0.25">
      <c r="A86" s="7"/>
      <c r="E86" s="7"/>
      <c r="F86" s="7"/>
    </row>
    <row r="87" spans="1:6" x14ac:dyDescent="0.25">
      <c r="A87" s="7"/>
      <c r="E87" s="7"/>
      <c r="F87" s="7"/>
    </row>
    <row r="88" spans="1:6" x14ac:dyDescent="0.25">
      <c r="A88" s="7"/>
      <c r="E88" s="7"/>
      <c r="F88" s="7"/>
    </row>
    <row r="89" spans="1:6" x14ac:dyDescent="0.25">
      <c r="A89" s="7"/>
      <c r="E89" s="7"/>
      <c r="F89" s="7"/>
    </row>
    <row r="90" spans="1:6" x14ac:dyDescent="0.25">
      <c r="A90" s="7"/>
      <c r="E90" s="7"/>
      <c r="F90" s="7"/>
    </row>
    <row r="91" spans="1:6" x14ac:dyDescent="0.25">
      <c r="A91" s="7"/>
      <c r="E91" s="7"/>
      <c r="F91" s="7"/>
    </row>
    <row r="92" spans="1:6" x14ac:dyDescent="0.25">
      <c r="A92" s="7"/>
      <c r="E92" s="7"/>
      <c r="F92" s="7"/>
    </row>
    <row r="93" spans="1:6" x14ac:dyDescent="0.25">
      <c r="A93" s="7"/>
      <c r="E93" s="7"/>
      <c r="F93" s="7"/>
    </row>
    <row r="94" spans="1:6" x14ac:dyDescent="0.25">
      <c r="A94" s="7"/>
      <c r="E94" s="7"/>
      <c r="F94" s="7"/>
    </row>
    <row r="95" spans="1:6" x14ac:dyDescent="0.25">
      <c r="A95" s="7"/>
      <c r="E95" s="7"/>
      <c r="F95" s="7"/>
    </row>
    <row r="96" spans="1:6" x14ac:dyDescent="0.25">
      <c r="A96" s="7"/>
      <c r="E96" s="7"/>
      <c r="F96" s="7"/>
    </row>
    <row r="97" spans="1:6" x14ac:dyDescent="0.25">
      <c r="A97" s="7"/>
      <c r="E97" s="7"/>
      <c r="F97" s="7"/>
    </row>
    <row r="98" spans="1:6" x14ac:dyDescent="0.25">
      <c r="A98" s="7"/>
      <c r="E98" s="7"/>
      <c r="F98" s="7"/>
    </row>
    <row r="99" spans="1:6" x14ac:dyDescent="0.25">
      <c r="A99" s="7"/>
      <c r="E99" s="7"/>
      <c r="F99" s="7"/>
    </row>
    <row r="100" spans="1:6" x14ac:dyDescent="0.25">
      <c r="A100" s="7"/>
      <c r="E100" s="7"/>
      <c r="F100" s="7"/>
    </row>
    <row r="101" spans="1:6" x14ac:dyDescent="0.25">
      <c r="A101" s="7"/>
      <c r="E101" s="7"/>
      <c r="F101" s="7"/>
    </row>
    <row r="102" spans="1:6" x14ac:dyDescent="0.25">
      <c r="A102" s="7"/>
      <c r="E102" s="7"/>
      <c r="F102" s="7"/>
    </row>
    <row r="103" spans="1:6" x14ac:dyDescent="0.25">
      <c r="A103" s="7"/>
      <c r="E103" s="7"/>
      <c r="F103" s="7"/>
    </row>
    <row r="104" spans="1:6" x14ac:dyDescent="0.25">
      <c r="A104" s="7"/>
      <c r="E104" s="7"/>
      <c r="F104" s="7"/>
    </row>
    <row r="105" spans="1:6" x14ac:dyDescent="0.25">
      <c r="A105" s="7"/>
      <c r="E105" s="7"/>
      <c r="F105" s="7"/>
    </row>
    <row r="106" spans="1:6" x14ac:dyDescent="0.25">
      <c r="A106" s="7"/>
      <c r="E106" s="7"/>
      <c r="F106" s="7"/>
    </row>
    <row r="107" spans="1:6" x14ac:dyDescent="0.25">
      <c r="A107" s="7"/>
      <c r="E107" s="7"/>
      <c r="F107" s="7"/>
    </row>
    <row r="108" spans="1:6" x14ac:dyDescent="0.25">
      <c r="A108" s="7"/>
      <c r="E108" s="7"/>
      <c r="F108" s="7"/>
    </row>
    <row r="109" spans="1:6" x14ac:dyDescent="0.25">
      <c r="A109" s="7"/>
      <c r="E109" s="7"/>
      <c r="F109" s="7"/>
    </row>
    <row r="110" spans="1:6" x14ac:dyDescent="0.25">
      <c r="A110" s="7"/>
      <c r="E110" s="7"/>
      <c r="F110" s="7"/>
    </row>
    <row r="111" spans="1:6" x14ac:dyDescent="0.25">
      <c r="A111" s="7"/>
      <c r="E111" s="7"/>
      <c r="F111" s="7"/>
    </row>
    <row r="112" spans="1:6" x14ac:dyDescent="0.25">
      <c r="A112" s="7"/>
      <c r="E112" s="7"/>
      <c r="F112" s="7"/>
    </row>
    <row r="113" spans="1:6" x14ac:dyDescent="0.25">
      <c r="A113" s="7"/>
      <c r="E113" s="7"/>
      <c r="F113" s="7"/>
    </row>
    <row r="114" spans="1:6" x14ac:dyDescent="0.25">
      <c r="A114" s="7"/>
      <c r="E114" s="7"/>
      <c r="F114" s="7"/>
    </row>
    <row r="115" spans="1:6" x14ac:dyDescent="0.25">
      <c r="A115" s="7"/>
      <c r="E115" s="7"/>
      <c r="F115" s="7"/>
    </row>
    <row r="116" spans="1:6" x14ac:dyDescent="0.25">
      <c r="A116" s="7"/>
      <c r="E116" s="7"/>
      <c r="F116" s="7"/>
    </row>
    <row r="117" spans="1:6" x14ac:dyDescent="0.25">
      <c r="A117" s="7"/>
      <c r="E117" s="7"/>
      <c r="F117" s="7"/>
    </row>
    <row r="118" spans="1:6" x14ac:dyDescent="0.25">
      <c r="A118" s="7"/>
      <c r="E118" s="7"/>
      <c r="F118" s="7"/>
    </row>
    <row r="119" spans="1:6" x14ac:dyDescent="0.25">
      <c r="A119" s="7"/>
      <c r="E119" s="7"/>
      <c r="F119" s="7"/>
    </row>
    <row r="120" spans="1:6" x14ac:dyDescent="0.25">
      <c r="A120" s="7"/>
      <c r="E120" s="7"/>
      <c r="F120" s="7"/>
    </row>
    <row r="121" spans="1:6" x14ac:dyDescent="0.25">
      <c r="A121" s="7"/>
      <c r="E121" s="7"/>
      <c r="F121" s="7"/>
    </row>
    <row r="122" spans="1:6" x14ac:dyDescent="0.25">
      <c r="A122" s="7"/>
      <c r="E122" s="7"/>
      <c r="F122" s="7"/>
    </row>
    <row r="123" spans="1:6" x14ac:dyDescent="0.25">
      <c r="A123" s="7"/>
      <c r="E123" s="7"/>
      <c r="F123" s="7"/>
    </row>
    <row r="124" spans="1:6" x14ac:dyDescent="0.25">
      <c r="A124" s="7"/>
      <c r="E124" s="7"/>
      <c r="F124" s="7"/>
    </row>
    <row r="125" spans="1:6" x14ac:dyDescent="0.25">
      <c r="A125" s="7"/>
      <c r="E125" s="7"/>
      <c r="F125" s="7"/>
    </row>
    <row r="126" spans="1:6" x14ac:dyDescent="0.25">
      <c r="A126" s="7"/>
      <c r="E126" s="7"/>
      <c r="F126" s="7"/>
    </row>
    <row r="127" spans="1:6" x14ac:dyDescent="0.25">
      <c r="A127" s="7"/>
      <c r="E127" s="7"/>
      <c r="F127" s="7"/>
    </row>
    <row r="128" spans="1:6" x14ac:dyDescent="0.25">
      <c r="A128" s="7"/>
      <c r="E128" s="7"/>
      <c r="F128" s="7"/>
    </row>
    <row r="129" spans="1:6" x14ac:dyDescent="0.25">
      <c r="A129" s="7"/>
      <c r="E129" s="7"/>
      <c r="F129" s="7"/>
    </row>
    <row r="130" spans="1:6" x14ac:dyDescent="0.25">
      <c r="A130" s="7"/>
      <c r="E130" s="7"/>
      <c r="F130" s="7"/>
    </row>
    <row r="131" spans="1:6" x14ac:dyDescent="0.25">
      <c r="A131" s="7"/>
      <c r="E131" s="7"/>
      <c r="F131" s="7"/>
    </row>
    <row r="132" spans="1:6" x14ac:dyDescent="0.25">
      <c r="A132" s="7"/>
      <c r="E132" s="7"/>
      <c r="F132" s="7"/>
    </row>
    <row r="133" spans="1:6" x14ac:dyDescent="0.25">
      <c r="A133" s="7"/>
      <c r="E133" s="7"/>
      <c r="F133" s="7"/>
    </row>
    <row r="134" spans="1:6" x14ac:dyDescent="0.25">
      <c r="A134" s="7"/>
      <c r="E134" s="7"/>
      <c r="F134" s="7"/>
    </row>
    <row r="135" spans="1:6" x14ac:dyDescent="0.25">
      <c r="A135" s="7"/>
      <c r="E135" s="7"/>
      <c r="F135" s="7"/>
    </row>
    <row r="136" spans="1:6" x14ac:dyDescent="0.25">
      <c r="A136" s="7"/>
      <c r="E136" s="7"/>
      <c r="F136" s="7"/>
    </row>
    <row r="137" spans="1:6" x14ac:dyDescent="0.25">
      <c r="A137" s="7"/>
      <c r="E137" s="7"/>
      <c r="F137" s="7"/>
    </row>
    <row r="138" spans="1:6" x14ac:dyDescent="0.25">
      <c r="A138" s="7"/>
      <c r="E138" s="7"/>
      <c r="F138" s="7"/>
    </row>
    <row r="139" spans="1:6" x14ac:dyDescent="0.25">
      <c r="A139" s="7"/>
      <c r="E139" s="7"/>
      <c r="F139" s="7"/>
    </row>
    <row r="140" spans="1:6" x14ac:dyDescent="0.25">
      <c r="A140" s="7"/>
      <c r="E140" s="7"/>
      <c r="F140" s="7"/>
    </row>
    <row r="141" spans="1:6" x14ac:dyDescent="0.25">
      <c r="A141" s="7"/>
      <c r="E141" s="7"/>
      <c r="F141" s="7"/>
    </row>
    <row r="142" spans="1:6" x14ac:dyDescent="0.25">
      <c r="A142" s="7"/>
      <c r="E142" s="7"/>
      <c r="F142" s="7"/>
    </row>
    <row r="143" spans="1:6" x14ac:dyDescent="0.25">
      <c r="A143" s="7"/>
      <c r="E143" s="7"/>
      <c r="F143" s="7"/>
    </row>
    <row r="144" spans="1:6" x14ac:dyDescent="0.25">
      <c r="A144" s="7"/>
      <c r="E144" s="7"/>
      <c r="F144" s="7"/>
    </row>
    <row r="145" spans="1:6" x14ac:dyDescent="0.25">
      <c r="A145" s="7"/>
      <c r="E145" s="7"/>
      <c r="F145" s="7"/>
    </row>
    <row r="146" spans="1:6" x14ac:dyDescent="0.25">
      <c r="A146" s="7"/>
      <c r="E146" s="7"/>
      <c r="F146" s="7"/>
    </row>
    <row r="147" spans="1:6" x14ac:dyDescent="0.25">
      <c r="A147" s="7"/>
      <c r="E147" s="7"/>
      <c r="F147" s="7"/>
    </row>
    <row r="148" spans="1:6" x14ac:dyDescent="0.25">
      <c r="A148" s="7"/>
      <c r="E148" s="7"/>
      <c r="F148" s="7"/>
    </row>
    <row r="149" spans="1:6" x14ac:dyDescent="0.25">
      <c r="A149" s="7"/>
      <c r="E149" s="7"/>
      <c r="F149" s="7"/>
    </row>
    <row r="150" spans="1:6" x14ac:dyDescent="0.25">
      <c r="A150" s="7"/>
      <c r="E150" s="7"/>
      <c r="F150" s="7"/>
    </row>
    <row r="151" spans="1:6" x14ac:dyDescent="0.25">
      <c r="A151" s="7"/>
      <c r="E151" s="7"/>
      <c r="F151" s="7"/>
    </row>
    <row r="152" spans="1:6" x14ac:dyDescent="0.25">
      <c r="A152" s="7"/>
      <c r="E152" s="7"/>
      <c r="F152" s="7"/>
    </row>
    <row r="153" spans="1:6" x14ac:dyDescent="0.25">
      <c r="A153" s="7"/>
      <c r="E153" s="7"/>
      <c r="F153" s="7"/>
    </row>
    <row r="154" spans="1:6" x14ac:dyDescent="0.25">
      <c r="A154" s="7"/>
      <c r="E154" s="7"/>
      <c r="F154" s="7"/>
    </row>
    <row r="155" spans="1:6" x14ac:dyDescent="0.25">
      <c r="A155" s="7"/>
      <c r="E155" s="7"/>
      <c r="F155" s="7"/>
    </row>
    <row r="156" spans="1:6" x14ac:dyDescent="0.25">
      <c r="A156" s="7"/>
      <c r="E156" s="7"/>
      <c r="F156" s="7"/>
    </row>
    <row r="157" spans="1:6" x14ac:dyDescent="0.25">
      <c r="A157" s="7"/>
      <c r="E157" s="7"/>
      <c r="F157" s="7"/>
    </row>
    <row r="158" spans="1:6" x14ac:dyDescent="0.25">
      <c r="A158" s="7"/>
      <c r="E158" s="7"/>
      <c r="F158" s="7"/>
    </row>
    <row r="159" spans="1:6" x14ac:dyDescent="0.25">
      <c r="A159" s="7"/>
      <c r="E159" s="7"/>
      <c r="F159" s="7"/>
    </row>
    <row r="160" spans="1:6" x14ac:dyDescent="0.25">
      <c r="A160" s="7"/>
      <c r="E160" s="7"/>
      <c r="F160" s="7"/>
    </row>
    <row r="161" spans="1:6" x14ac:dyDescent="0.25">
      <c r="A161" s="7"/>
      <c r="E161" s="7"/>
      <c r="F161" s="7"/>
    </row>
    <row r="162" spans="1:6" x14ac:dyDescent="0.25">
      <c r="A162" s="7"/>
      <c r="E162" s="7"/>
      <c r="F162" s="7"/>
    </row>
    <row r="163" spans="1:6" x14ac:dyDescent="0.25">
      <c r="A163" s="7"/>
      <c r="E163" s="7"/>
      <c r="F163" s="7"/>
    </row>
    <row r="164" spans="1:6" x14ac:dyDescent="0.25">
      <c r="A164" s="7"/>
      <c r="E164" s="7"/>
      <c r="F164" s="7"/>
    </row>
    <row r="165" spans="1:6" x14ac:dyDescent="0.25">
      <c r="A165" s="7"/>
      <c r="E165" s="7"/>
      <c r="F165" s="7"/>
    </row>
    <row r="166" spans="1:6" x14ac:dyDescent="0.25">
      <c r="A166" s="7"/>
      <c r="E166" s="7"/>
      <c r="F166" s="7"/>
    </row>
    <row r="167" spans="1:6" x14ac:dyDescent="0.25">
      <c r="A167" s="7"/>
      <c r="E167" s="7"/>
      <c r="F167" s="7"/>
    </row>
    <row r="168" spans="1:6" x14ac:dyDescent="0.25">
      <c r="A168" s="7"/>
      <c r="E168" s="7"/>
      <c r="F168" s="7"/>
    </row>
    <row r="169" spans="1:6" x14ac:dyDescent="0.25">
      <c r="A169" s="7"/>
      <c r="E169" s="7"/>
      <c r="F169" s="7"/>
    </row>
    <row r="170" spans="1:6" x14ac:dyDescent="0.25">
      <c r="A170" s="7"/>
      <c r="E170" s="7"/>
      <c r="F170" s="7"/>
    </row>
    <row r="171" spans="1:6" x14ac:dyDescent="0.25">
      <c r="A171" s="7"/>
      <c r="E171" s="7"/>
      <c r="F171" s="7"/>
    </row>
    <row r="172" spans="1:6" x14ac:dyDescent="0.25">
      <c r="A172" s="7"/>
      <c r="E172" s="7"/>
      <c r="F172" s="7"/>
    </row>
    <row r="173" spans="1:6" x14ac:dyDescent="0.25">
      <c r="A173" s="7"/>
      <c r="E173" s="7"/>
      <c r="F173" s="7"/>
    </row>
    <row r="174" spans="1:6" x14ac:dyDescent="0.25">
      <c r="A174" s="7"/>
      <c r="E174" s="7"/>
      <c r="F174" s="7"/>
    </row>
    <row r="175" spans="1:6" x14ac:dyDescent="0.25">
      <c r="A175" s="7"/>
      <c r="E175" s="7"/>
      <c r="F175" s="7"/>
    </row>
    <row r="176" spans="1:6" x14ac:dyDescent="0.25">
      <c r="A176" s="7"/>
      <c r="E176" s="7"/>
      <c r="F176" s="7"/>
    </row>
    <row r="177" spans="1:6" x14ac:dyDescent="0.25">
      <c r="A177" s="7"/>
      <c r="E177" s="7"/>
      <c r="F177" s="7"/>
    </row>
    <row r="178" spans="1:6" x14ac:dyDescent="0.25">
      <c r="A178" s="7"/>
      <c r="E178" s="7"/>
      <c r="F178" s="7"/>
    </row>
    <row r="179" spans="1:6" x14ac:dyDescent="0.25">
      <c r="A179" s="7"/>
      <c r="E179" s="7"/>
      <c r="F179" s="7"/>
    </row>
    <row r="180" spans="1:6" x14ac:dyDescent="0.25">
      <c r="A180" s="7"/>
      <c r="E180" s="7"/>
      <c r="F180" s="7"/>
    </row>
    <row r="181" spans="1:6" x14ac:dyDescent="0.25">
      <c r="A181" s="7"/>
      <c r="E181" s="7"/>
      <c r="F181" s="7"/>
    </row>
    <row r="182" spans="1:6" x14ac:dyDescent="0.25">
      <c r="A182" s="7"/>
      <c r="E182" s="7"/>
      <c r="F182" s="7"/>
    </row>
    <row r="183" spans="1:6" x14ac:dyDescent="0.25">
      <c r="A183" s="7"/>
      <c r="E183" s="7"/>
      <c r="F183" s="7"/>
    </row>
    <row r="184" spans="1:6" x14ac:dyDescent="0.25">
      <c r="A184" s="7"/>
      <c r="E184" s="7"/>
      <c r="F184" s="7"/>
    </row>
    <row r="185" spans="1:6" x14ac:dyDescent="0.25">
      <c r="A185" s="7"/>
      <c r="E185" s="7"/>
      <c r="F185" s="7"/>
    </row>
    <row r="186" spans="1:6" x14ac:dyDescent="0.25">
      <c r="A186" s="7"/>
      <c r="E186" s="7"/>
      <c r="F186" s="7"/>
    </row>
    <row r="187" spans="1:6" x14ac:dyDescent="0.25">
      <c r="A187" s="7"/>
      <c r="E187" s="7"/>
      <c r="F187" s="7"/>
    </row>
    <row r="188" spans="1:6" x14ac:dyDescent="0.25">
      <c r="A188" s="7"/>
      <c r="E188" s="7"/>
      <c r="F188" s="7"/>
    </row>
    <row r="189" spans="1:6" x14ac:dyDescent="0.25">
      <c r="A189" s="7"/>
      <c r="E189" s="7"/>
      <c r="F189" s="7"/>
    </row>
    <row r="190" spans="1:6" x14ac:dyDescent="0.25">
      <c r="A190" s="7"/>
      <c r="E190" s="7"/>
      <c r="F190" s="7"/>
    </row>
    <row r="191" spans="1:6" x14ac:dyDescent="0.25">
      <c r="A191" s="7"/>
      <c r="E191" s="7"/>
      <c r="F191" s="7"/>
    </row>
    <row r="192" spans="1:6" x14ac:dyDescent="0.25">
      <c r="A192" s="7"/>
      <c r="E192" s="7"/>
      <c r="F192" s="7"/>
    </row>
    <row r="193" spans="1:6" x14ac:dyDescent="0.25">
      <c r="A193" s="7"/>
      <c r="E193" s="7"/>
      <c r="F193" s="7"/>
    </row>
    <row r="194" spans="1:6" x14ac:dyDescent="0.25">
      <c r="A194" s="7"/>
      <c r="E194" s="7"/>
      <c r="F194" s="7"/>
    </row>
    <row r="195" spans="1:6" x14ac:dyDescent="0.25">
      <c r="A195" s="7"/>
      <c r="E195" s="7"/>
      <c r="F195" s="7"/>
    </row>
    <row r="196" spans="1:6" x14ac:dyDescent="0.25">
      <c r="A196" s="7"/>
      <c r="E196" s="7"/>
      <c r="F196" s="7"/>
    </row>
    <row r="197" spans="1:6" x14ac:dyDescent="0.25">
      <c r="A197" s="7"/>
      <c r="E197" s="7"/>
      <c r="F197" s="7"/>
    </row>
    <row r="198" spans="1:6" x14ac:dyDescent="0.25">
      <c r="A198" s="7"/>
      <c r="E198" s="7"/>
      <c r="F198" s="7"/>
    </row>
    <row r="199" spans="1:6" x14ac:dyDescent="0.25">
      <c r="A199" s="7"/>
      <c r="E199" s="7"/>
      <c r="F199" s="7"/>
    </row>
    <row r="200" spans="1:6" x14ac:dyDescent="0.25">
      <c r="A200" s="7"/>
      <c r="E200" s="7"/>
      <c r="F200" s="7"/>
    </row>
    <row r="201" spans="1:6" x14ac:dyDescent="0.25">
      <c r="A201" s="7"/>
      <c r="E201" s="7"/>
      <c r="F201" s="7"/>
    </row>
    <row r="202" spans="1:6" x14ac:dyDescent="0.25">
      <c r="A202" s="7"/>
      <c r="E202" s="7"/>
      <c r="F202" s="7"/>
    </row>
    <row r="203" spans="1:6" x14ac:dyDescent="0.25">
      <c r="A203" s="7"/>
      <c r="E203" s="7"/>
      <c r="F203" s="7"/>
    </row>
    <row r="204" spans="1:6" x14ac:dyDescent="0.25">
      <c r="A204" s="7"/>
      <c r="E204" s="7"/>
      <c r="F204" s="7"/>
    </row>
    <row r="205" spans="1:6" x14ac:dyDescent="0.25">
      <c r="A205" s="7"/>
      <c r="E205" s="7"/>
      <c r="F205" s="7"/>
    </row>
    <row r="206" spans="1:6" x14ac:dyDescent="0.25">
      <c r="A206" s="7"/>
      <c r="E206" s="7"/>
      <c r="F206" s="7"/>
    </row>
    <row r="207" spans="1:6" x14ac:dyDescent="0.25">
      <c r="A207" s="7"/>
      <c r="E207" s="7"/>
      <c r="F207" s="7"/>
    </row>
    <row r="208" spans="1:6" x14ac:dyDescent="0.25">
      <c r="A208" s="7"/>
      <c r="E208" s="7"/>
      <c r="F208" s="7"/>
    </row>
    <row r="209" spans="1:6" x14ac:dyDescent="0.25">
      <c r="A209" s="7"/>
      <c r="E209" s="7"/>
      <c r="F209" s="7"/>
    </row>
    <row r="210" spans="1:6" x14ac:dyDescent="0.25">
      <c r="A210" s="7"/>
      <c r="E210" s="7"/>
      <c r="F210" s="7"/>
    </row>
    <row r="211" spans="1:6" x14ac:dyDescent="0.25">
      <c r="A211" s="7"/>
      <c r="E211" s="7"/>
      <c r="F211" s="7"/>
    </row>
    <row r="212" spans="1:6" x14ac:dyDescent="0.25">
      <c r="A212" s="7"/>
      <c r="E212" s="7"/>
      <c r="F212" s="7"/>
    </row>
    <row r="213" spans="1:6" x14ac:dyDescent="0.25">
      <c r="A213" s="7"/>
      <c r="E213" s="7"/>
      <c r="F213" s="7"/>
    </row>
    <row r="214" spans="1:6" x14ac:dyDescent="0.25">
      <c r="A214" s="7"/>
      <c r="E214" s="7"/>
      <c r="F214" s="7"/>
    </row>
    <row r="215" spans="1:6" x14ac:dyDescent="0.25">
      <c r="A215" s="7"/>
      <c r="E215" s="7"/>
      <c r="F215" s="7"/>
    </row>
    <row r="216" spans="1:6" x14ac:dyDescent="0.25">
      <c r="A216" s="7"/>
      <c r="E216" s="7"/>
      <c r="F216" s="7"/>
    </row>
    <row r="217" spans="1:6" x14ac:dyDescent="0.25">
      <c r="A217" s="7"/>
      <c r="E217" s="7"/>
      <c r="F217" s="7"/>
    </row>
    <row r="218" spans="1:6" x14ac:dyDescent="0.25">
      <c r="A218" s="7"/>
      <c r="E218" s="7"/>
      <c r="F218" s="7"/>
    </row>
    <row r="219" spans="1:6" x14ac:dyDescent="0.25">
      <c r="A219" s="7"/>
      <c r="E219" s="7"/>
      <c r="F219" s="7"/>
    </row>
    <row r="220" spans="1:6" x14ac:dyDescent="0.25">
      <c r="A220" s="7"/>
      <c r="E220" s="7"/>
      <c r="F220" s="7"/>
    </row>
    <row r="221" spans="1:6" x14ac:dyDescent="0.25">
      <c r="A221" s="7"/>
      <c r="E221" s="7"/>
      <c r="F221" s="7"/>
    </row>
    <row r="222" spans="1:6" x14ac:dyDescent="0.25">
      <c r="A222" s="7"/>
      <c r="E222" s="7"/>
      <c r="F222" s="7"/>
    </row>
    <row r="223" spans="1:6" x14ac:dyDescent="0.25">
      <c r="A223" s="7"/>
      <c r="E223" s="7"/>
      <c r="F223" s="7"/>
    </row>
    <row r="224" spans="1:6" x14ac:dyDescent="0.25">
      <c r="A224" s="7"/>
      <c r="E224" s="7"/>
      <c r="F224" s="7"/>
    </row>
    <row r="225" spans="1:6" x14ac:dyDescent="0.25">
      <c r="A225" s="7"/>
      <c r="E225" s="7"/>
      <c r="F225" s="7"/>
    </row>
    <row r="226" spans="1:6" x14ac:dyDescent="0.25">
      <c r="A226" s="7"/>
      <c r="E226" s="7"/>
      <c r="F226" s="7"/>
    </row>
    <row r="227" spans="1:6" x14ac:dyDescent="0.25">
      <c r="A227" s="7"/>
      <c r="E227" s="7"/>
      <c r="F227" s="7"/>
    </row>
    <row r="228" spans="1:6" x14ac:dyDescent="0.25">
      <c r="A228" s="7"/>
      <c r="E228" s="7"/>
      <c r="F228" s="7"/>
    </row>
    <row r="229" spans="1:6" x14ac:dyDescent="0.25">
      <c r="A229" s="7"/>
      <c r="E229" s="7"/>
      <c r="F229" s="7"/>
    </row>
    <row r="230" spans="1:6" x14ac:dyDescent="0.25">
      <c r="A230" s="7"/>
      <c r="E230" s="7"/>
      <c r="F230" s="7"/>
    </row>
    <row r="231" spans="1:6" x14ac:dyDescent="0.25">
      <c r="A231" s="7"/>
      <c r="E231" s="7"/>
      <c r="F231" s="7"/>
    </row>
    <row r="232" spans="1:6" x14ac:dyDescent="0.25">
      <c r="A232" s="7"/>
      <c r="E232" s="7"/>
      <c r="F232" s="7"/>
    </row>
    <row r="233" spans="1:6" x14ac:dyDescent="0.25">
      <c r="A233" s="7"/>
      <c r="E233" s="7"/>
      <c r="F233" s="7"/>
    </row>
    <row r="234" spans="1:6" x14ac:dyDescent="0.25">
      <c r="A234" s="7"/>
      <c r="E234" s="7"/>
      <c r="F234" s="7"/>
    </row>
    <row r="235" spans="1:6" x14ac:dyDescent="0.25">
      <c r="A235" s="7"/>
      <c r="E235" s="7"/>
      <c r="F235" s="7"/>
    </row>
    <row r="236" spans="1:6" x14ac:dyDescent="0.25">
      <c r="A236" s="7"/>
      <c r="E236" s="7"/>
      <c r="F236" s="7"/>
    </row>
    <row r="237" spans="1:6" x14ac:dyDescent="0.25">
      <c r="A237" s="7"/>
      <c r="E237" s="7"/>
      <c r="F237" s="7"/>
    </row>
    <row r="238" spans="1:6" x14ac:dyDescent="0.25">
      <c r="A238" s="7"/>
      <c r="E238" s="7"/>
      <c r="F238" s="7"/>
    </row>
    <row r="239" spans="1:6" x14ac:dyDescent="0.25">
      <c r="A239" s="7"/>
      <c r="E239" s="7"/>
      <c r="F239" s="7"/>
    </row>
    <row r="240" spans="1:6" x14ac:dyDescent="0.25">
      <c r="A240" s="7"/>
      <c r="E240" s="7"/>
      <c r="F240" s="7"/>
    </row>
    <row r="241" spans="1:6" x14ac:dyDescent="0.25">
      <c r="A241" s="7"/>
      <c r="E241" s="7"/>
      <c r="F241" s="7"/>
    </row>
    <row r="242" spans="1:6" x14ac:dyDescent="0.25">
      <c r="A242" s="7"/>
      <c r="E242" s="7"/>
      <c r="F242" s="7"/>
    </row>
    <row r="243" spans="1:6" x14ac:dyDescent="0.25">
      <c r="A243" s="7"/>
      <c r="E243" s="7"/>
      <c r="F243" s="7"/>
    </row>
    <row r="244" spans="1:6" x14ac:dyDescent="0.25">
      <c r="A244" s="7"/>
      <c r="E244" s="7"/>
      <c r="F244" s="7"/>
    </row>
    <row r="245" spans="1:6" x14ac:dyDescent="0.25">
      <c r="A245" s="7"/>
      <c r="E245" s="7"/>
      <c r="F245" s="7"/>
    </row>
    <row r="246" spans="1:6" x14ac:dyDescent="0.25">
      <c r="A246" s="7"/>
      <c r="E246" s="7"/>
      <c r="F246" s="7"/>
    </row>
    <row r="247" spans="1:6" x14ac:dyDescent="0.25">
      <c r="A247" s="7"/>
      <c r="E247" s="7"/>
      <c r="F247" s="7"/>
    </row>
    <row r="248" spans="1:6" x14ac:dyDescent="0.25">
      <c r="A248" s="7"/>
      <c r="E248" s="7"/>
      <c r="F248" s="7"/>
    </row>
    <row r="249" spans="1:6" x14ac:dyDescent="0.25">
      <c r="A249" s="7"/>
      <c r="E249" s="7"/>
      <c r="F249" s="7"/>
    </row>
    <row r="250" spans="1:6" x14ac:dyDescent="0.25">
      <c r="A250" s="7"/>
      <c r="E250" s="7"/>
      <c r="F250" s="7"/>
    </row>
    <row r="251" spans="1:6" x14ac:dyDescent="0.25">
      <c r="A251" s="7"/>
      <c r="E251" s="7"/>
      <c r="F251" s="7"/>
    </row>
    <row r="252" spans="1:6" x14ac:dyDescent="0.25">
      <c r="A252" s="7"/>
      <c r="E252" s="7"/>
      <c r="F252" s="7"/>
    </row>
    <row r="253" spans="1:6" x14ac:dyDescent="0.25">
      <c r="A253" s="7"/>
      <c r="E253" s="7"/>
      <c r="F253" s="7"/>
    </row>
    <row r="254" spans="1:6" x14ac:dyDescent="0.25">
      <c r="A254" s="7"/>
      <c r="E254" s="7"/>
      <c r="F254" s="7"/>
    </row>
    <row r="255" spans="1:6" x14ac:dyDescent="0.25">
      <c r="A255" s="7"/>
      <c r="E255" s="7"/>
      <c r="F255" s="7"/>
    </row>
    <row r="256" spans="1:6" x14ac:dyDescent="0.25">
      <c r="A256" s="7"/>
      <c r="E256" s="7"/>
      <c r="F256" s="7"/>
    </row>
    <row r="257" spans="1:6" x14ac:dyDescent="0.25">
      <c r="A257" s="7"/>
      <c r="E257" s="7"/>
      <c r="F257" s="7"/>
    </row>
    <row r="258" spans="1:6" x14ac:dyDescent="0.25">
      <c r="A258" s="7"/>
      <c r="E258" s="7"/>
      <c r="F258" s="7"/>
    </row>
    <row r="259" spans="1:6" x14ac:dyDescent="0.25">
      <c r="A259" s="7"/>
      <c r="E259" s="7"/>
      <c r="F259" s="7"/>
    </row>
    <row r="260" spans="1:6" x14ac:dyDescent="0.25">
      <c r="A260" s="7"/>
      <c r="E260" s="7"/>
      <c r="F260" s="7"/>
    </row>
    <row r="261" spans="1:6" x14ac:dyDescent="0.25">
      <c r="A261" s="7"/>
      <c r="E261" s="7"/>
      <c r="F261" s="7"/>
    </row>
    <row r="262" spans="1:6" x14ac:dyDescent="0.25">
      <c r="A262" s="7"/>
      <c r="E262" s="7"/>
      <c r="F262" s="7"/>
    </row>
    <row r="263" spans="1:6" x14ac:dyDescent="0.25">
      <c r="A263" s="7"/>
      <c r="E263" s="7"/>
      <c r="F263" s="7"/>
    </row>
    <row r="264" spans="1:6" x14ac:dyDescent="0.25">
      <c r="A264" s="7"/>
      <c r="E264" s="7"/>
      <c r="F264" s="7"/>
    </row>
    <row r="265" spans="1:6" x14ac:dyDescent="0.25">
      <c r="A265" s="7"/>
      <c r="E265" s="7"/>
      <c r="F265" s="7"/>
    </row>
    <row r="266" spans="1:6" x14ac:dyDescent="0.25">
      <c r="A266" s="7"/>
      <c r="E266" s="7"/>
      <c r="F266" s="7"/>
    </row>
    <row r="267" spans="1:6" x14ac:dyDescent="0.25">
      <c r="A267" s="7"/>
      <c r="E267" s="7"/>
      <c r="F267" s="7"/>
    </row>
    <row r="268" spans="1:6" x14ac:dyDescent="0.25">
      <c r="A268" s="7"/>
      <c r="E268" s="7"/>
      <c r="F268" s="7"/>
    </row>
    <row r="269" spans="1:6" x14ac:dyDescent="0.25">
      <c r="A269" s="7"/>
      <c r="E269" s="7"/>
      <c r="F269" s="7"/>
    </row>
    <row r="270" spans="1:6" x14ac:dyDescent="0.25">
      <c r="A270" s="7"/>
      <c r="E270" s="7"/>
      <c r="F270" s="7"/>
    </row>
    <row r="271" spans="1:6" x14ac:dyDescent="0.25">
      <c r="A271" s="7"/>
      <c r="E271" s="7"/>
      <c r="F271" s="7"/>
    </row>
    <row r="272" spans="1:6" x14ac:dyDescent="0.25">
      <c r="A272" s="7"/>
      <c r="E272" s="7"/>
      <c r="F272" s="7"/>
    </row>
    <row r="273" spans="1:6" x14ac:dyDescent="0.25">
      <c r="A273" s="7"/>
      <c r="E273" s="7"/>
      <c r="F273" s="7"/>
    </row>
    <row r="274" spans="1:6" x14ac:dyDescent="0.25">
      <c r="A274" s="7"/>
      <c r="E274" s="7"/>
      <c r="F274" s="7"/>
    </row>
    <row r="275" spans="1:6" x14ac:dyDescent="0.25">
      <c r="A275" s="7"/>
      <c r="E275" s="7"/>
      <c r="F275" s="7"/>
    </row>
    <row r="276" spans="1:6" x14ac:dyDescent="0.25">
      <c r="A276" s="7"/>
      <c r="E276" s="7"/>
      <c r="F276" s="7"/>
    </row>
    <row r="277" spans="1:6" x14ac:dyDescent="0.25">
      <c r="A277" s="7"/>
      <c r="E277" s="7"/>
      <c r="F277" s="7"/>
    </row>
    <row r="278" spans="1:6" x14ac:dyDescent="0.25">
      <c r="A278" s="7"/>
      <c r="E278" s="7"/>
      <c r="F278" s="7"/>
    </row>
    <row r="279" spans="1:6" x14ac:dyDescent="0.25">
      <c r="A279" s="7"/>
      <c r="E279" s="7"/>
      <c r="F279" s="7"/>
    </row>
    <row r="280" spans="1:6" x14ac:dyDescent="0.25">
      <c r="A280" s="7"/>
      <c r="E280" s="7"/>
      <c r="F280" s="7"/>
    </row>
    <row r="281" spans="1:6" x14ac:dyDescent="0.25">
      <c r="A281" s="7"/>
      <c r="E281" s="7"/>
      <c r="F281" s="7"/>
    </row>
    <row r="282" spans="1:6" x14ac:dyDescent="0.25">
      <c r="A282" s="7"/>
      <c r="E282" s="7"/>
      <c r="F282" s="7"/>
    </row>
    <row r="283" spans="1:6" x14ac:dyDescent="0.25">
      <c r="A283" s="7"/>
      <c r="E283" s="7"/>
      <c r="F283" s="7"/>
    </row>
    <row r="284" spans="1:6" x14ac:dyDescent="0.25">
      <c r="A284" s="7"/>
      <c r="E284" s="7"/>
      <c r="F284" s="7"/>
    </row>
    <row r="285" spans="1:6" x14ac:dyDescent="0.25">
      <c r="A285" s="7"/>
      <c r="E285" s="7"/>
      <c r="F285" s="7"/>
    </row>
    <row r="286" spans="1:6" x14ac:dyDescent="0.25">
      <c r="A286" s="7"/>
      <c r="E286" s="7"/>
      <c r="F286" s="7"/>
    </row>
    <row r="287" spans="1:6" x14ac:dyDescent="0.25">
      <c r="A287" s="7"/>
      <c r="E287" s="7"/>
      <c r="F287" s="7"/>
    </row>
    <row r="288" spans="1:6" x14ac:dyDescent="0.25">
      <c r="A288" s="7"/>
      <c r="E288" s="7"/>
      <c r="F288" s="7"/>
    </row>
    <row r="289" spans="1:6" x14ac:dyDescent="0.25">
      <c r="A289" s="7"/>
      <c r="E289" s="7"/>
      <c r="F289" s="7"/>
    </row>
    <row r="290" spans="1:6" x14ac:dyDescent="0.25">
      <c r="A290" s="7"/>
      <c r="E290" s="7"/>
      <c r="F290" s="7"/>
    </row>
    <row r="291" spans="1:6" x14ac:dyDescent="0.25">
      <c r="A291" s="7"/>
      <c r="E291" s="7"/>
      <c r="F291" s="7"/>
    </row>
    <row r="292" spans="1:6" x14ac:dyDescent="0.25">
      <c r="A292" s="7"/>
      <c r="E292" s="7"/>
      <c r="F292" s="7"/>
    </row>
    <row r="293" spans="1:6" x14ac:dyDescent="0.25">
      <c r="A293" s="7"/>
      <c r="E293" s="7"/>
      <c r="F293" s="7"/>
    </row>
    <row r="294" spans="1:6" x14ac:dyDescent="0.25">
      <c r="A294" s="7"/>
      <c r="E294" s="7"/>
      <c r="F294" s="7"/>
    </row>
    <row r="295" spans="1:6" x14ac:dyDescent="0.25">
      <c r="A295" s="7"/>
      <c r="E295" s="7"/>
      <c r="F295" s="7"/>
    </row>
    <row r="296" spans="1:6" x14ac:dyDescent="0.25">
      <c r="A296" s="7"/>
      <c r="E296" s="7"/>
      <c r="F296" s="7"/>
    </row>
    <row r="297" spans="1:6" x14ac:dyDescent="0.25">
      <c r="A297" s="7"/>
      <c r="E297" s="7"/>
      <c r="F297" s="7"/>
    </row>
    <row r="298" spans="1:6" x14ac:dyDescent="0.25">
      <c r="A298" s="7"/>
      <c r="E298" s="7"/>
      <c r="F298" s="7"/>
    </row>
    <row r="299" spans="1:6" x14ac:dyDescent="0.25">
      <c r="A299" s="7"/>
      <c r="E299" s="7"/>
      <c r="F299" s="7"/>
    </row>
    <row r="300" spans="1:6" x14ac:dyDescent="0.25">
      <c r="A300" s="7"/>
      <c r="E300" s="7"/>
      <c r="F300" s="7"/>
    </row>
    <row r="301" spans="1:6" x14ac:dyDescent="0.25">
      <c r="A301" s="7"/>
      <c r="E301" s="7"/>
      <c r="F301" s="7"/>
    </row>
    <row r="302" spans="1:6" x14ac:dyDescent="0.25">
      <c r="A302" s="7"/>
      <c r="E302" s="7"/>
      <c r="F302" s="7"/>
    </row>
    <row r="303" spans="1:6" x14ac:dyDescent="0.25">
      <c r="A303" s="7"/>
      <c r="E303" s="7"/>
      <c r="F303" s="7"/>
    </row>
    <row r="304" spans="1:6" x14ac:dyDescent="0.25">
      <c r="A304" s="7"/>
      <c r="E304" s="7"/>
      <c r="F304" s="7"/>
    </row>
    <row r="305" spans="1:6" x14ac:dyDescent="0.25">
      <c r="A305" s="7"/>
      <c r="E305" s="7"/>
      <c r="F305" s="7"/>
    </row>
    <row r="306" spans="1:6" x14ac:dyDescent="0.25">
      <c r="A306" s="7"/>
      <c r="E306" s="7"/>
      <c r="F306" s="7"/>
    </row>
    <row r="307" spans="1:6" x14ac:dyDescent="0.25">
      <c r="A307" s="7"/>
      <c r="E307" s="7"/>
      <c r="F307" s="7"/>
    </row>
    <row r="308" spans="1:6" x14ac:dyDescent="0.25">
      <c r="A308" s="7"/>
      <c r="E308" s="7"/>
      <c r="F308" s="7"/>
    </row>
    <row r="309" spans="1:6" x14ac:dyDescent="0.25">
      <c r="A309" s="7"/>
      <c r="E309" s="7"/>
      <c r="F309" s="7"/>
    </row>
    <row r="310" spans="1:6" x14ac:dyDescent="0.25">
      <c r="A310" s="7"/>
      <c r="E310" s="7"/>
      <c r="F310" s="7"/>
    </row>
    <row r="311" spans="1:6" x14ac:dyDescent="0.25">
      <c r="A311" s="7"/>
      <c r="E311" s="7"/>
      <c r="F311" s="7"/>
    </row>
    <row r="312" spans="1:6" x14ac:dyDescent="0.25">
      <c r="A312" s="7"/>
      <c r="E312" s="7"/>
      <c r="F312" s="7"/>
    </row>
    <row r="313" spans="1:6" x14ac:dyDescent="0.25">
      <c r="A313" s="7"/>
      <c r="E313" s="7"/>
      <c r="F313" s="7"/>
    </row>
    <row r="314" spans="1:6" x14ac:dyDescent="0.25">
      <c r="A314" s="7"/>
      <c r="E314" s="7"/>
      <c r="F314" s="7"/>
    </row>
    <row r="315" spans="1:6" x14ac:dyDescent="0.25">
      <c r="A315" s="7"/>
      <c r="E315" s="7"/>
      <c r="F315" s="7"/>
    </row>
    <row r="316" spans="1:6" x14ac:dyDescent="0.25">
      <c r="A316" s="7"/>
      <c r="E316" s="7"/>
      <c r="F316" s="7"/>
    </row>
    <row r="317" spans="1:6" x14ac:dyDescent="0.25">
      <c r="A317" s="7"/>
      <c r="E317" s="7"/>
      <c r="F317" s="7"/>
    </row>
    <row r="318" spans="1:6" x14ac:dyDescent="0.25">
      <c r="A318" s="7"/>
      <c r="E318" s="7"/>
      <c r="F318" s="7"/>
    </row>
    <row r="319" spans="1:6" x14ac:dyDescent="0.25">
      <c r="A319" s="7"/>
      <c r="E319" s="7"/>
      <c r="F319" s="7"/>
    </row>
    <row r="320" spans="1:6" x14ac:dyDescent="0.25">
      <c r="A320" s="7"/>
      <c r="E320" s="7"/>
      <c r="F320" s="7"/>
    </row>
    <row r="321" spans="1:6" x14ac:dyDescent="0.25">
      <c r="A321" s="7"/>
      <c r="E321" s="7"/>
      <c r="F321" s="7"/>
    </row>
    <row r="322" spans="1:6" x14ac:dyDescent="0.25">
      <c r="A322" s="7"/>
      <c r="E322" s="7"/>
      <c r="F322" s="7"/>
    </row>
    <row r="323" spans="1:6" x14ac:dyDescent="0.25">
      <c r="A323" s="7"/>
      <c r="E323" s="7"/>
      <c r="F323" s="7"/>
    </row>
    <row r="324" spans="1:6" x14ac:dyDescent="0.25">
      <c r="A324" s="7"/>
      <c r="E324" s="7"/>
      <c r="F324" s="7"/>
    </row>
    <row r="325" spans="1:6" x14ac:dyDescent="0.25">
      <c r="A325" s="7"/>
      <c r="E325" s="7"/>
      <c r="F325" s="7"/>
    </row>
    <row r="326" spans="1:6" x14ac:dyDescent="0.25">
      <c r="A326" s="7"/>
      <c r="E326" s="7"/>
      <c r="F326" s="7"/>
    </row>
    <row r="327" spans="1:6" x14ac:dyDescent="0.25">
      <c r="A327" s="7"/>
      <c r="E327" s="7"/>
      <c r="F327" s="7"/>
    </row>
    <row r="328" spans="1:6" x14ac:dyDescent="0.25">
      <c r="A328" s="7"/>
      <c r="E328" s="7"/>
      <c r="F328" s="7"/>
    </row>
    <row r="329" spans="1:6" x14ac:dyDescent="0.25">
      <c r="A329" s="7"/>
      <c r="E329" s="7"/>
      <c r="F329" s="7"/>
    </row>
    <row r="330" spans="1:6" x14ac:dyDescent="0.25">
      <c r="A330" s="7"/>
      <c r="E330" s="7"/>
      <c r="F330" s="7"/>
    </row>
    <row r="331" spans="1:6" x14ac:dyDescent="0.25">
      <c r="A331" s="7"/>
      <c r="E331" s="7"/>
      <c r="F331" s="7"/>
    </row>
    <row r="332" spans="1:6" x14ac:dyDescent="0.25">
      <c r="A332" s="7"/>
      <c r="E332" s="7"/>
      <c r="F332" s="7"/>
    </row>
    <row r="333" spans="1:6" x14ac:dyDescent="0.25">
      <c r="A333" s="7"/>
      <c r="E333" s="7"/>
      <c r="F333" s="7"/>
    </row>
    <row r="334" spans="1:6" x14ac:dyDescent="0.25">
      <c r="A334" s="7"/>
      <c r="E334" s="7"/>
      <c r="F334" s="7"/>
    </row>
    <row r="335" spans="1:6" x14ac:dyDescent="0.25">
      <c r="A335" s="7"/>
      <c r="E335" s="7"/>
      <c r="F335" s="7"/>
    </row>
    <row r="336" spans="1:6" x14ac:dyDescent="0.25">
      <c r="A336" s="7"/>
      <c r="E336" s="7"/>
      <c r="F336" s="7"/>
    </row>
    <row r="337" spans="1:6" x14ac:dyDescent="0.25">
      <c r="A337" s="7"/>
      <c r="E337" s="7"/>
      <c r="F337" s="7"/>
    </row>
    <row r="338" spans="1:6" x14ac:dyDescent="0.25">
      <c r="A338" s="7"/>
      <c r="E338" s="7"/>
      <c r="F338" s="7"/>
    </row>
    <row r="339" spans="1:6" x14ac:dyDescent="0.25">
      <c r="A339" s="7"/>
      <c r="E339" s="7"/>
      <c r="F339" s="7"/>
    </row>
    <row r="340" spans="1:6" x14ac:dyDescent="0.25">
      <c r="A340" s="7"/>
      <c r="E340" s="7"/>
      <c r="F340" s="7"/>
    </row>
    <row r="341" spans="1:6" x14ac:dyDescent="0.25">
      <c r="A341" s="7"/>
      <c r="E341" s="7"/>
      <c r="F341" s="7"/>
    </row>
    <row r="342" spans="1:6" x14ac:dyDescent="0.25">
      <c r="A342" s="7"/>
      <c r="E342" s="7"/>
      <c r="F342" s="7"/>
    </row>
    <row r="343" spans="1:6" x14ac:dyDescent="0.25">
      <c r="A343" s="7"/>
      <c r="E343" s="7"/>
      <c r="F343" s="7"/>
    </row>
    <row r="344" spans="1:6" x14ac:dyDescent="0.25">
      <c r="A344" s="7"/>
      <c r="E344" s="7"/>
      <c r="F344" s="7"/>
    </row>
    <row r="345" spans="1:6" x14ac:dyDescent="0.25">
      <c r="A345" s="7"/>
      <c r="E345" s="7"/>
      <c r="F345" s="7"/>
    </row>
    <row r="346" spans="1:6" x14ac:dyDescent="0.25">
      <c r="A346" s="7"/>
      <c r="E346" s="7"/>
      <c r="F346" s="7"/>
    </row>
    <row r="347" spans="1:6" x14ac:dyDescent="0.25">
      <c r="A347" s="7"/>
      <c r="E347" s="7"/>
      <c r="F347" s="7"/>
    </row>
    <row r="348" spans="1:6" x14ac:dyDescent="0.25">
      <c r="A348" s="7"/>
      <c r="E348" s="7"/>
      <c r="F348" s="7"/>
    </row>
    <row r="349" spans="1:6" x14ac:dyDescent="0.25">
      <c r="A349" s="7"/>
      <c r="E349" s="7"/>
      <c r="F349" s="7"/>
    </row>
    <row r="350" spans="1:6" x14ac:dyDescent="0.25">
      <c r="A350" s="7"/>
      <c r="E350" s="7"/>
      <c r="F350" s="7"/>
    </row>
    <row r="351" spans="1:6" x14ac:dyDescent="0.25">
      <c r="A351" s="7"/>
      <c r="E351" s="7"/>
      <c r="F351" s="7"/>
    </row>
    <row r="352" spans="1:6" x14ac:dyDescent="0.25">
      <c r="A352" s="7"/>
      <c r="E352" s="7"/>
      <c r="F352" s="7"/>
    </row>
    <row r="353" spans="1:6" x14ac:dyDescent="0.25">
      <c r="A353" s="7"/>
      <c r="E353" s="7"/>
      <c r="F353" s="7"/>
    </row>
    <row r="354" spans="1:6" x14ac:dyDescent="0.25">
      <c r="A354" s="7"/>
      <c r="E354" s="7"/>
      <c r="F354" s="7"/>
    </row>
    <row r="355" spans="1:6" x14ac:dyDescent="0.25">
      <c r="A355" s="7"/>
      <c r="E355" s="7"/>
      <c r="F355" s="7"/>
    </row>
    <row r="356" spans="1:6" x14ac:dyDescent="0.25">
      <c r="A356" s="7"/>
      <c r="E356" s="7"/>
      <c r="F356" s="7"/>
    </row>
    <row r="357" spans="1:6" x14ac:dyDescent="0.25">
      <c r="A357" s="7"/>
      <c r="E357" s="7"/>
      <c r="F357" s="7"/>
    </row>
    <row r="358" spans="1:6" x14ac:dyDescent="0.25">
      <c r="A358" s="7"/>
      <c r="E358" s="7"/>
      <c r="F358" s="7"/>
    </row>
    <row r="359" spans="1:6" x14ac:dyDescent="0.25">
      <c r="A359" s="7"/>
      <c r="E359" s="7"/>
      <c r="F359" s="7"/>
    </row>
    <row r="360" spans="1:6" x14ac:dyDescent="0.25">
      <c r="A360" s="7"/>
      <c r="E360" s="7"/>
      <c r="F360" s="7"/>
    </row>
    <row r="361" spans="1:6" x14ac:dyDescent="0.25">
      <c r="A361" s="7"/>
      <c r="E361" s="7"/>
      <c r="F361" s="7"/>
    </row>
    <row r="362" spans="1:6" x14ac:dyDescent="0.25">
      <c r="A362" s="7"/>
      <c r="E362" s="7"/>
      <c r="F362" s="7"/>
    </row>
    <row r="363" spans="1:6" x14ac:dyDescent="0.25">
      <c r="A363" s="7"/>
      <c r="E363" s="7"/>
      <c r="F363" s="7"/>
    </row>
    <row r="364" spans="1:6" x14ac:dyDescent="0.25">
      <c r="A364" s="7"/>
      <c r="E364" s="7"/>
      <c r="F364" s="7"/>
    </row>
    <row r="365" spans="1:6" x14ac:dyDescent="0.25">
      <c r="A365" s="7"/>
      <c r="E365" s="7"/>
      <c r="F365" s="7"/>
    </row>
    <row r="366" spans="1:6" x14ac:dyDescent="0.25">
      <c r="A366" s="7"/>
      <c r="E366" s="7"/>
      <c r="F366" s="7"/>
    </row>
    <row r="367" spans="1:6" x14ac:dyDescent="0.25">
      <c r="A367" s="7"/>
      <c r="E367" s="7"/>
      <c r="F367" s="7"/>
    </row>
    <row r="368" spans="1:6" x14ac:dyDescent="0.25">
      <c r="A368" s="7"/>
      <c r="E368" s="7"/>
      <c r="F368" s="7"/>
    </row>
    <row r="369" spans="1:6" x14ac:dyDescent="0.25">
      <c r="A369" s="7"/>
      <c r="E369" s="7"/>
      <c r="F369" s="7"/>
    </row>
    <row r="370" spans="1:6" x14ac:dyDescent="0.25">
      <c r="A370" s="7"/>
      <c r="E370" s="7"/>
      <c r="F370" s="7"/>
    </row>
    <row r="371" spans="1:6" x14ac:dyDescent="0.25">
      <c r="A371" s="7"/>
      <c r="E371" s="7"/>
      <c r="F371" s="7"/>
    </row>
    <row r="372" spans="1:6" x14ac:dyDescent="0.25">
      <c r="A372" s="7"/>
      <c r="E372" s="7"/>
      <c r="F372" s="7"/>
    </row>
    <row r="373" spans="1:6" x14ac:dyDescent="0.25">
      <c r="A373" s="7"/>
      <c r="E373" s="7"/>
      <c r="F373" s="7"/>
    </row>
    <row r="374" spans="1:6" x14ac:dyDescent="0.25">
      <c r="A374" s="7"/>
      <c r="E374" s="7"/>
      <c r="F374" s="7"/>
    </row>
    <row r="375" spans="1:6" x14ac:dyDescent="0.25">
      <c r="A375" s="7"/>
      <c r="E375" s="7"/>
      <c r="F375" s="7"/>
    </row>
    <row r="376" spans="1:6" x14ac:dyDescent="0.25">
      <c r="A376" s="7"/>
      <c r="E376" s="7"/>
      <c r="F376" s="7"/>
    </row>
    <row r="377" spans="1:6" x14ac:dyDescent="0.25">
      <c r="A377" s="7"/>
      <c r="E377" s="7"/>
      <c r="F377" s="7"/>
    </row>
    <row r="378" spans="1:6" x14ac:dyDescent="0.25">
      <c r="A378" s="7"/>
      <c r="E378" s="7"/>
      <c r="F378" s="7"/>
    </row>
    <row r="379" spans="1:6" x14ac:dyDescent="0.25">
      <c r="A379" s="7"/>
      <c r="E379" s="7"/>
      <c r="F379" s="7"/>
    </row>
    <row r="380" spans="1:6" x14ac:dyDescent="0.25">
      <c r="A380" s="7"/>
      <c r="E380" s="7"/>
      <c r="F380" s="7"/>
    </row>
    <row r="381" spans="1:6" x14ac:dyDescent="0.25">
      <c r="A381" s="7"/>
      <c r="E381" s="7"/>
      <c r="F381" s="7"/>
    </row>
    <row r="382" spans="1:6" x14ac:dyDescent="0.25">
      <c r="A382" s="7"/>
      <c r="E382" s="7"/>
      <c r="F382" s="7"/>
    </row>
    <row r="383" spans="1:6" x14ac:dyDescent="0.25">
      <c r="A383" s="7"/>
      <c r="E383" s="7"/>
      <c r="F383" s="7"/>
    </row>
    <row r="384" spans="1:6" x14ac:dyDescent="0.25">
      <c r="A384" s="7"/>
      <c r="E384" s="7"/>
      <c r="F384" s="7"/>
    </row>
    <row r="385" spans="1:6" x14ac:dyDescent="0.25">
      <c r="A385" s="7"/>
      <c r="E385" s="7"/>
      <c r="F385" s="7"/>
    </row>
    <row r="386" spans="1:6" x14ac:dyDescent="0.25">
      <c r="A386" s="7"/>
      <c r="E386" s="7"/>
      <c r="F386" s="7"/>
    </row>
    <row r="387" spans="1:6" x14ac:dyDescent="0.25">
      <c r="A387" s="7"/>
      <c r="E387" s="7"/>
      <c r="F387" s="7"/>
    </row>
    <row r="388" spans="1:6" x14ac:dyDescent="0.25">
      <c r="A388" s="7"/>
      <c r="E388" s="7"/>
      <c r="F388" s="7"/>
    </row>
    <row r="389" spans="1:6" x14ac:dyDescent="0.25">
      <c r="A389" s="7"/>
      <c r="E389" s="7"/>
      <c r="F389" s="7"/>
    </row>
    <row r="390" spans="1:6" x14ac:dyDescent="0.25">
      <c r="A390" s="7"/>
      <c r="E390" s="7"/>
      <c r="F390" s="7"/>
    </row>
    <row r="391" spans="1:6" x14ac:dyDescent="0.25">
      <c r="A391" s="7"/>
      <c r="E391" s="7"/>
      <c r="F391" s="7"/>
    </row>
    <row r="392" spans="1:6" x14ac:dyDescent="0.25">
      <c r="A392" s="7"/>
      <c r="E392" s="7"/>
      <c r="F392" s="7"/>
    </row>
    <row r="393" spans="1:6" x14ac:dyDescent="0.25">
      <c r="A393" s="7"/>
      <c r="E393" s="7"/>
      <c r="F393" s="7"/>
    </row>
    <row r="394" spans="1:6" x14ac:dyDescent="0.25">
      <c r="A394" s="7"/>
      <c r="E394" s="7"/>
      <c r="F394" s="7"/>
    </row>
    <row r="395" spans="1:6" x14ac:dyDescent="0.25">
      <c r="A395" s="7"/>
      <c r="E395" s="7"/>
      <c r="F395" s="7"/>
    </row>
    <row r="396" spans="1:6" x14ac:dyDescent="0.25">
      <c r="A396" s="7"/>
      <c r="E396" s="7"/>
      <c r="F396" s="7"/>
    </row>
    <row r="397" spans="1:6" x14ac:dyDescent="0.25">
      <c r="A397" s="7"/>
      <c r="E397" s="7"/>
      <c r="F397" s="7"/>
    </row>
    <row r="398" spans="1:6" x14ac:dyDescent="0.25">
      <c r="A398" s="7"/>
      <c r="E398" s="7"/>
      <c r="F398" s="7"/>
    </row>
    <row r="399" spans="1:6" x14ac:dyDescent="0.25">
      <c r="A399" s="7"/>
      <c r="E399" s="7"/>
      <c r="F399" s="7"/>
    </row>
    <row r="400" spans="1:6" x14ac:dyDescent="0.25">
      <c r="A400" s="7"/>
      <c r="E400" s="7"/>
      <c r="F400" s="7"/>
    </row>
    <row r="401" spans="1:6" x14ac:dyDescent="0.25">
      <c r="A401" s="7"/>
      <c r="E401" s="7"/>
      <c r="F401" s="7"/>
    </row>
    <row r="402" spans="1:6" x14ac:dyDescent="0.25">
      <c r="A402" s="7"/>
      <c r="E402" s="7"/>
      <c r="F402" s="7"/>
    </row>
    <row r="403" spans="1:6" x14ac:dyDescent="0.25">
      <c r="A403" s="7"/>
      <c r="E403" s="7"/>
      <c r="F403" s="7"/>
    </row>
    <row r="404" spans="1:6" x14ac:dyDescent="0.25">
      <c r="A404" s="7"/>
      <c r="E404" s="7"/>
      <c r="F404" s="7"/>
    </row>
    <row r="405" spans="1:6" x14ac:dyDescent="0.25">
      <c r="A405" s="7"/>
      <c r="E405" s="7"/>
      <c r="F405" s="7"/>
    </row>
    <row r="406" spans="1:6" x14ac:dyDescent="0.25">
      <c r="A406" s="7"/>
      <c r="E406" s="7"/>
      <c r="F406" s="7"/>
    </row>
    <row r="407" spans="1:6" x14ac:dyDescent="0.25">
      <c r="A407" s="7"/>
      <c r="E407" s="7"/>
      <c r="F407" s="7"/>
    </row>
    <row r="408" spans="1:6" x14ac:dyDescent="0.25">
      <c r="A408" s="7"/>
      <c r="E408" s="7"/>
      <c r="F408" s="7"/>
    </row>
    <row r="409" spans="1:6" x14ac:dyDescent="0.25">
      <c r="A409" s="7"/>
      <c r="E409" s="7"/>
      <c r="F409" s="7"/>
    </row>
    <row r="410" spans="1:6" x14ac:dyDescent="0.25">
      <c r="A410" s="7"/>
      <c r="E410" s="7"/>
      <c r="F410" s="7"/>
    </row>
    <row r="411" spans="1:6" x14ac:dyDescent="0.25">
      <c r="A411" s="7"/>
      <c r="E411" s="7"/>
      <c r="F411" s="7"/>
    </row>
    <row r="412" spans="1:6" x14ac:dyDescent="0.25">
      <c r="A412" s="7"/>
      <c r="E412" s="7"/>
      <c r="F412" s="7"/>
    </row>
    <row r="413" spans="1:6" x14ac:dyDescent="0.25">
      <c r="A413" s="7"/>
      <c r="E413" s="7"/>
      <c r="F413" s="7"/>
    </row>
    <row r="414" spans="1:6" x14ac:dyDescent="0.25">
      <c r="A414" s="7"/>
      <c r="E414" s="7"/>
      <c r="F414" s="7"/>
    </row>
    <row r="415" spans="1:6" x14ac:dyDescent="0.25">
      <c r="A415" s="7"/>
      <c r="E415" s="7"/>
      <c r="F415" s="7"/>
    </row>
    <row r="416" spans="1:6" x14ac:dyDescent="0.25">
      <c r="A416" s="7"/>
      <c r="E416" s="7"/>
      <c r="F416" s="7"/>
    </row>
    <row r="417" spans="1:6" x14ac:dyDescent="0.25">
      <c r="A417" s="7"/>
      <c r="E417" s="7"/>
      <c r="F417" s="7"/>
    </row>
    <row r="418" spans="1:6" x14ac:dyDescent="0.25">
      <c r="A418" s="7"/>
      <c r="E418" s="7"/>
      <c r="F418" s="7"/>
    </row>
    <row r="419" spans="1:6" x14ac:dyDescent="0.25">
      <c r="A419" s="7"/>
      <c r="E419" s="7"/>
      <c r="F419" s="7"/>
    </row>
    <row r="420" spans="1:6" x14ac:dyDescent="0.25">
      <c r="A420" s="7"/>
      <c r="E420" s="7"/>
      <c r="F420" s="7"/>
    </row>
    <row r="421" spans="1:6" x14ac:dyDescent="0.25">
      <c r="A421" s="7"/>
      <c r="E421" s="7"/>
      <c r="F421" s="7"/>
    </row>
    <row r="422" spans="1:6" x14ac:dyDescent="0.25">
      <c r="A422" s="7"/>
      <c r="E422" s="7"/>
      <c r="F422" s="7"/>
    </row>
    <row r="423" spans="1:6" x14ac:dyDescent="0.25">
      <c r="A423" s="7"/>
      <c r="E423" s="7"/>
      <c r="F423" s="7"/>
    </row>
    <row r="424" spans="1:6" x14ac:dyDescent="0.25">
      <c r="A424" s="7"/>
      <c r="E424" s="7"/>
      <c r="F424" s="7"/>
    </row>
    <row r="425" spans="1:6" x14ac:dyDescent="0.25">
      <c r="A425" s="7"/>
      <c r="E425" s="7"/>
      <c r="F425" s="7"/>
    </row>
    <row r="426" spans="1:6" x14ac:dyDescent="0.25">
      <c r="A426" s="7"/>
      <c r="E426" s="7"/>
      <c r="F426" s="7"/>
    </row>
    <row r="427" spans="1:6" x14ac:dyDescent="0.25">
      <c r="A427" s="7"/>
      <c r="E427" s="7"/>
      <c r="F427" s="7"/>
    </row>
    <row r="428" spans="1:6" x14ac:dyDescent="0.25">
      <c r="A428" s="7"/>
      <c r="E428" s="7"/>
      <c r="F428" s="7"/>
    </row>
    <row r="429" spans="1:6" x14ac:dyDescent="0.25">
      <c r="A429" s="7"/>
      <c r="E429" s="7"/>
      <c r="F429" s="7"/>
    </row>
    <row r="430" spans="1:6" x14ac:dyDescent="0.25">
      <c r="A430" s="7"/>
      <c r="E430" s="7"/>
      <c r="F430" s="7"/>
    </row>
    <row r="431" spans="1:6" x14ac:dyDescent="0.25">
      <c r="A431" s="7"/>
      <c r="E431" s="7"/>
      <c r="F431" s="7"/>
    </row>
    <row r="432" spans="1:6" x14ac:dyDescent="0.25">
      <c r="A432" s="7"/>
      <c r="E432" s="7"/>
      <c r="F432" s="7"/>
    </row>
    <row r="433" spans="1:6" x14ac:dyDescent="0.25">
      <c r="A433" s="7"/>
      <c r="E433" s="7"/>
      <c r="F433" s="7"/>
    </row>
    <row r="434" spans="1:6" x14ac:dyDescent="0.25">
      <c r="A434" s="7"/>
      <c r="E434" s="7"/>
      <c r="F434" s="7"/>
    </row>
    <row r="435" spans="1:6" x14ac:dyDescent="0.25">
      <c r="A435" s="7"/>
      <c r="E435" s="7"/>
      <c r="F435" s="7"/>
    </row>
    <row r="436" spans="1:6" x14ac:dyDescent="0.25">
      <c r="A436" s="7"/>
      <c r="E436" s="7"/>
      <c r="F436" s="7"/>
    </row>
    <row r="437" spans="1:6" x14ac:dyDescent="0.25">
      <c r="A437" s="7"/>
      <c r="E437" s="7"/>
      <c r="F437" s="7"/>
    </row>
    <row r="438" spans="1:6" x14ac:dyDescent="0.25">
      <c r="A438" s="7"/>
      <c r="E438" s="7"/>
      <c r="F438" s="7"/>
    </row>
    <row r="439" spans="1:6" x14ac:dyDescent="0.25">
      <c r="A439" s="7"/>
      <c r="E439" s="7"/>
      <c r="F439" s="7"/>
    </row>
    <row r="440" spans="1:6" x14ac:dyDescent="0.25">
      <c r="A440" s="7"/>
      <c r="E440" s="7"/>
      <c r="F440" s="7"/>
    </row>
    <row r="441" spans="1:6" x14ac:dyDescent="0.25">
      <c r="A441" s="7"/>
      <c r="E441" s="7"/>
      <c r="F441" s="7"/>
    </row>
    <row r="442" spans="1:6" x14ac:dyDescent="0.25">
      <c r="A442" s="7"/>
      <c r="E442" s="7"/>
      <c r="F442" s="7"/>
    </row>
    <row r="443" spans="1:6" x14ac:dyDescent="0.25">
      <c r="A443" s="7"/>
      <c r="E443" s="7"/>
      <c r="F443" s="7"/>
    </row>
    <row r="444" spans="1:6" x14ac:dyDescent="0.25">
      <c r="A444" s="7"/>
      <c r="E444" s="7"/>
      <c r="F444" s="7"/>
    </row>
    <row r="445" spans="1:6" x14ac:dyDescent="0.25">
      <c r="A445" s="7"/>
      <c r="E445" s="7"/>
      <c r="F445" s="7"/>
    </row>
    <row r="446" spans="1:6" x14ac:dyDescent="0.25">
      <c r="A446" s="7"/>
      <c r="E446" s="7"/>
      <c r="F446" s="7"/>
    </row>
    <row r="447" spans="1:6" x14ac:dyDescent="0.25">
      <c r="A447" s="7"/>
      <c r="E447" s="7"/>
      <c r="F447" s="7"/>
    </row>
    <row r="448" spans="1:6" x14ac:dyDescent="0.25">
      <c r="A448" s="7"/>
      <c r="E448" s="7"/>
      <c r="F448" s="7"/>
    </row>
    <row r="449" spans="1:6" x14ac:dyDescent="0.25">
      <c r="A449" s="7"/>
      <c r="E449" s="7"/>
      <c r="F449" s="7"/>
    </row>
    <row r="450" spans="1:6" x14ac:dyDescent="0.25">
      <c r="A450" s="7"/>
      <c r="E450" s="7"/>
      <c r="F450" s="7"/>
    </row>
    <row r="451" spans="1:6" x14ac:dyDescent="0.25">
      <c r="A451" s="7"/>
      <c r="E451" s="7"/>
      <c r="F451" s="7"/>
    </row>
    <row r="452" spans="1:6" x14ac:dyDescent="0.25">
      <c r="A452" s="7"/>
      <c r="E452" s="7"/>
      <c r="F452" s="7"/>
    </row>
    <row r="453" spans="1:6" x14ac:dyDescent="0.25">
      <c r="A453" s="7"/>
      <c r="E453" s="7"/>
      <c r="F453" s="7"/>
    </row>
    <row r="454" spans="1:6" x14ac:dyDescent="0.25">
      <c r="A454" s="7"/>
      <c r="E454" s="7"/>
      <c r="F454" s="7"/>
    </row>
    <row r="455" spans="1:6" x14ac:dyDescent="0.25">
      <c r="A455" s="7"/>
      <c r="E455" s="7"/>
      <c r="F455" s="7"/>
    </row>
    <row r="456" spans="1:6" x14ac:dyDescent="0.25">
      <c r="A456" s="7"/>
      <c r="E456" s="7"/>
      <c r="F456" s="7"/>
    </row>
    <row r="457" spans="1:6" x14ac:dyDescent="0.25">
      <c r="A457" s="7"/>
      <c r="E457" s="7"/>
      <c r="F457" s="7"/>
    </row>
    <row r="458" spans="1:6" x14ac:dyDescent="0.25">
      <c r="A458" s="7"/>
      <c r="E458" s="7"/>
      <c r="F458" s="7"/>
    </row>
    <row r="459" spans="1:6" x14ac:dyDescent="0.25">
      <c r="A459" s="7"/>
      <c r="E459" s="7"/>
      <c r="F459" s="7"/>
    </row>
    <row r="460" spans="1:6" x14ac:dyDescent="0.25">
      <c r="A460" s="7"/>
      <c r="E460" s="7"/>
      <c r="F460" s="7"/>
    </row>
    <row r="461" spans="1:6" x14ac:dyDescent="0.25">
      <c r="A461" s="7"/>
      <c r="E461" s="7"/>
      <c r="F461" s="7"/>
    </row>
    <row r="462" spans="1:6" x14ac:dyDescent="0.25">
      <c r="A462" s="7"/>
      <c r="E462" s="7"/>
      <c r="F462" s="7"/>
    </row>
    <row r="463" spans="1:6" x14ac:dyDescent="0.25">
      <c r="A463" s="7"/>
      <c r="E463" s="7"/>
      <c r="F463" s="7"/>
    </row>
    <row r="464" spans="1:6" x14ac:dyDescent="0.25">
      <c r="A464" s="7"/>
      <c r="E464" s="7"/>
      <c r="F464" s="7"/>
    </row>
    <row r="465" spans="1:6" x14ac:dyDescent="0.25">
      <c r="A465" s="7"/>
      <c r="E465" s="7"/>
      <c r="F465" s="7"/>
    </row>
    <row r="466" spans="1:6" x14ac:dyDescent="0.25">
      <c r="A466" s="7"/>
      <c r="E466" s="7"/>
      <c r="F466" s="7"/>
    </row>
    <row r="467" spans="1:6" x14ac:dyDescent="0.25">
      <c r="A467" s="7"/>
      <c r="E467" s="7"/>
      <c r="F467" s="7"/>
    </row>
    <row r="468" spans="1:6" x14ac:dyDescent="0.25">
      <c r="A468" s="7"/>
      <c r="E468" s="7"/>
      <c r="F468" s="7"/>
    </row>
    <row r="469" spans="1:6" x14ac:dyDescent="0.25">
      <c r="A469" s="7"/>
      <c r="E469" s="7"/>
      <c r="F469" s="7"/>
    </row>
    <row r="470" spans="1:6" x14ac:dyDescent="0.25">
      <c r="A470" s="7"/>
      <c r="E470" s="7"/>
      <c r="F470" s="7"/>
    </row>
    <row r="471" spans="1:6" x14ac:dyDescent="0.25">
      <c r="A471" s="7"/>
      <c r="E471" s="7"/>
      <c r="F471" s="7"/>
    </row>
    <row r="472" spans="1:6" x14ac:dyDescent="0.25">
      <c r="A472" s="7"/>
      <c r="E472" s="7"/>
      <c r="F472" s="7"/>
    </row>
    <row r="473" spans="1:6" x14ac:dyDescent="0.25">
      <c r="A473" s="7"/>
      <c r="E473" s="7"/>
      <c r="F473" s="7"/>
    </row>
    <row r="474" spans="1:6" x14ac:dyDescent="0.25">
      <c r="A474" s="7"/>
      <c r="E474" s="7"/>
      <c r="F474" s="7"/>
    </row>
    <row r="475" spans="1:6" x14ac:dyDescent="0.25">
      <c r="A475" s="7"/>
      <c r="E475" s="7"/>
      <c r="F475" s="7"/>
    </row>
    <row r="476" spans="1:6" x14ac:dyDescent="0.25">
      <c r="A476" s="7"/>
      <c r="E476" s="7"/>
      <c r="F476" s="7"/>
    </row>
    <row r="477" spans="1:6" x14ac:dyDescent="0.25">
      <c r="A477" s="7"/>
      <c r="E477" s="7"/>
      <c r="F477" s="7"/>
    </row>
    <row r="478" spans="1:6" x14ac:dyDescent="0.25">
      <c r="A478" s="7"/>
      <c r="E478" s="7"/>
      <c r="F478" s="7"/>
    </row>
    <row r="479" spans="1:6" x14ac:dyDescent="0.25">
      <c r="A479" s="7"/>
      <c r="E479" s="7"/>
      <c r="F479" s="7"/>
    </row>
    <row r="480" spans="1:6" x14ac:dyDescent="0.25">
      <c r="A480" s="7"/>
      <c r="E480" s="7"/>
      <c r="F480" s="7"/>
    </row>
    <row r="481" spans="1:6" x14ac:dyDescent="0.25">
      <c r="A481" s="7"/>
      <c r="E481" s="7"/>
      <c r="F481" s="7"/>
    </row>
    <row r="482" spans="1:6" x14ac:dyDescent="0.25">
      <c r="A482" s="7"/>
      <c r="E482" s="7"/>
      <c r="F482" s="7"/>
    </row>
    <row r="483" spans="1:6" x14ac:dyDescent="0.25">
      <c r="A483" s="7"/>
      <c r="E483" s="7"/>
      <c r="F483" s="7"/>
    </row>
    <row r="484" spans="1:6" x14ac:dyDescent="0.25">
      <c r="A484" s="7"/>
      <c r="E484" s="7"/>
      <c r="F484" s="7"/>
    </row>
    <row r="485" spans="1:6" x14ac:dyDescent="0.25">
      <c r="A485" s="7"/>
      <c r="E485" s="7"/>
      <c r="F485" s="7"/>
    </row>
    <row r="486" spans="1:6" x14ac:dyDescent="0.25">
      <c r="A486" s="7"/>
      <c r="E486" s="7"/>
      <c r="F486" s="7"/>
    </row>
    <row r="487" spans="1:6" x14ac:dyDescent="0.25">
      <c r="A487" s="7"/>
      <c r="E487" s="7"/>
      <c r="F487" s="7"/>
    </row>
    <row r="488" spans="1:6" x14ac:dyDescent="0.25">
      <c r="A488" s="7"/>
      <c r="E488" s="7"/>
      <c r="F488" s="7"/>
    </row>
    <row r="489" spans="1:6" x14ac:dyDescent="0.25">
      <c r="A489" s="7"/>
      <c r="E489" s="7"/>
      <c r="F489" s="7"/>
    </row>
    <row r="490" spans="1:6" x14ac:dyDescent="0.25">
      <c r="A490" s="7"/>
      <c r="E490" s="7"/>
      <c r="F490" s="7"/>
    </row>
    <row r="491" spans="1:6" x14ac:dyDescent="0.25">
      <c r="A491" s="7"/>
      <c r="E491" s="7"/>
      <c r="F491" s="7"/>
    </row>
    <row r="492" spans="1:6" x14ac:dyDescent="0.25">
      <c r="A492" s="7"/>
      <c r="E492" s="7"/>
      <c r="F492" s="7"/>
    </row>
    <row r="493" spans="1:6" x14ac:dyDescent="0.25">
      <c r="A493" s="7"/>
      <c r="E493" s="7"/>
      <c r="F493" s="7"/>
    </row>
    <row r="494" spans="1:6" x14ac:dyDescent="0.25">
      <c r="A494" s="7"/>
      <c r="E494" s="7"/>
      <c r="F494" s="7"/>
    </row>
    <row r="495" spans="1:6" x14ac:dyDescent="0.25">
      <c r="A495" s="7"/>
      <c r="E495" s="7"/>
      <c r="F495" s="7"/>
    </row>
    <row r="496" spans="1:6" x14ac:dyDescent="0.25">
      <c r="A496" s="7"/>
      <c r="E496" s="7"/>
      <c r="F496" s="7"/>
    </row>
    <row r="497" spans="1:6" x14ac:dyDescent="0.25">
      <c r="A497" s="7"/>
      <c r="E497" s="7"/>
      <c r="F497" s="7"/>
    </row>
    <row r="498" spans="1:6" x14ac:dyDescent="0.25">
      <c r="A498" s="7"/>
      <c r="E498" s="7"/>
      <c r="F498" s="7"/>
    </row>
    <row r="499" spans="1:6" x14ac:dyDescent="0.25">
      <c r="A499" s="7"/>
      <c r="E499" s="7"/>
      <c r="F499" s="7"/>
    </row>
    <row r="500" spans="1:6" x14ac:dyDescent="0.25">
      <c r="A500" s="7"/>
      <c r="E500" s="7"/>
      <c r="F500" s="7"/>
    </row>
    <row r="501" spans="1:6" x14ac:dyDescent="0.25">
      <c r="A501" s="7"/>
      <c r="E501" s="7"/>
      <c r="F501" s="7"/>
    </row>
    <row r="502" spans="1:6" x14ac:dyDescent="0.25">
      <c r="A502" s="7"/>
      <c r="E502" s="7"/>
      <c r="F502" s="7"/>
    </row>
    <row r="503" spans="1:6" x14ac:dyDescent="0.25">
      <c r="A503" s="7"/>
      <c r="E503" s="7"/>
      <c r="F503" s="7"/>
    </row>
    <row r="504" spans="1:6" x14ac:dyDescent="0.25">
      <c r="A504" s="7"/>
      <c r="E504" s="7"/>
      <c r="F504" s="7"/>
    </row>
    <row r="505" spans="1:6" x14ac:dyDescent="0.25">
      <c r="A505" s="7"/>
      <c r="E505" s="7"/>
      <c r="F505" s="7"/>
    </row>
    <row r="506" spans="1:6" x14ac:dyDescent="0.25">
      <c r="A506" s="7"/>
      <c r="E506" s="7"/>
      <c r="F506" s="7"/>
    </row>
    <row r="507" spans="1:6" x14ac:dyDescent="0.25">
      <c r="A507" s="7"/>
      <c r="E507" s="7"/>
      <c r="F507" s="7"/>
    </row>
    <row r="508" spans="1:6" x14ac:dyDescent="0.25">
      <c r="A508" s="7"/>
      <c r="E508" s="7"/>
      <c r="F508" s="7"/>
    </row>
    <row r="509" spans="1:6" x14ac:dyDescent="0.25">
      <c r="A509" s="7"/>
      <c r="E509" s="7"/>
      <c r="F509" s="7"/>
    </row>
    <row r="510" spans="1:6" x14ac:dyDescent="0.25">
      <c r="A510" s="7"/>
      <c r="E510" s="7"/>
      <c r="F510" s="7"/>
    </row>
    <row r="511" spans="1:6" x14ac:dyDescent="0.25">
      <c r="A511" s="7"/>
      <c r="E511" s="7"/>
      <c r="F511" s="7"/>
    </row>
    <row r="512" spans="1:6" x14ac:dyDescent="0.25">
      <c r="A512" s="7"/>
      <c r="E512" s="7"/>
      <c r="F512" s="7"/>
    </row>
    <row r="513" spans="1:6" x14ac:dyDescent="0.25">
      <c r="A513" s="7"/>
      <c r="E513" s="7"/>
      <c r="F513" s="7"/>
    </row>
    <row r="514" spans="1:6" x14ac:dyDescent="0.25">
      <c r="A514" s="7"/>
      <c r="E514" s="7"/>
      <c r="F514" s="7"/>
    </row>
    <row r="515" spans="1:6" x14ac:dyDescent="0.25">
      <c r="A515" s="7"/>
      <c r="E515" s="7"/>
      <c r="F515" s="7"/>
    </row>
    <row r="516" spans="1:6" x14ac:dyDescent="0.25">
      <c r="A516" s="7"/>
      <c r="E516" s="7"/>
      <c r="F516" s="7"/>
    </row>
    <row r="517" spans="1:6" x14ac:dyDescent="0.25">
      <c r="A517" s="7"/>
      <c r="E517" s="7"/>
      <c r="F517" s="7"/>
    </row>
    <row r="518" spans="1:6" x14ac:dyDescent="0.25">
      <c r="A518" s="7"/>
      <c r="E518" s="7"/>
      <c r="F518" s="7"/>
    </row>
    <row r="519" spans="1:6" x14ac:dyDescent="0.25">
      <c r="A519" s="7"/>
      <c r="E519" s="7"/>
      <c r="F519" s="7"/>
    </row>
    <row r="520" spans="1:6" x14ac:dyDescent="0.25">
      <c r="A520" s="7"/>
      <c r="E520" s="7"/>
      <c r="F520" s="7"/>
    </row>
    <row r="521" spans="1:6" x14ac:dyDescent="0.25">
      <c r="A521" s="7"/>
      <c r="E521" s="7"/>
      <c r="F521" s="7"/>
    </row>
    <row r="522" spans="1:6" x14ac:dyDescent="0.25">
      <c r="A522" s="7"/>
      <c r="E522" s="7"/>
      <c r="F522" s="7"/>
    </row>
    <row r="523" spans="1:6" x14ac:dyDescent="0.25">
      <c r="A523" s="7"/>
      <c r="E523" s="7"/>
      <c r="F523" s="7"/>
    </row>
    <row r="524" spans="1:6" x14ac:dyDescent="0.25">
      <c r="A524" s="7"/>
      <c r="E524" s="7"/>
      <c r="F524" s="7"/>
    </row>
    <row r="525" spans="1:6" x14ac:dyDescent="0.25">
      <c r="A525" s="7"/>
      <c r="E525" s="7"/>
      <c r="F525" s="7"/>
    </row>
    <row r="526" spans="1:6" x14ac:dyDescent="0.25">
      <c r="A526" s="7"/>
      <c r="E526" s="7"/>
      <c r="F526" s="7"/>
    </row>
    <row r="527" spans="1:6" x14ac:dyDescent="0.25">
      <c r="A527" s="7"/>
      <c r="E527" s="7"/>
      <c r="F527" s="7"/>
    </row>
    <row r="528" spans="1:6" x14ac:dyDescent="0.25">
      <c r="A528" s="7"/>
      <c r="E528" s="7"/>
      <c r="F528" s="7"/>
    </row>
    <row r="529" spans="1:6" x14ac:dyDescent="0.25">
      <c r="A529" s="7"/>
      <c r="E529" s="7"/>
      <c r="F529" s="7"/>
    </row>
    <row r="530" spans="1:6" x14ac:dyDescent="0.25">
      <c r="A530" s="7"/>
      <c r="E530" s="7"/>
      <c r="F530" s="7"/>
    </row>
    <row r="531" spans="1:6" x14ac:dyDescent="0.25">
      <c r="A531" s="7"/>
      <c r="E531" s="7"/>
      <c r="F531" s="7"/>
    </row>
    <row r="532" spans="1:6" x14ac:dyDescent="0.25">
      <c r="A532" s="7"/>
      <c r="E532" s="7"/>
      <c r="F532" s="7"/>
    </row>
    <row r="533" spans="1:6" x14ac:dyDescent="0.25">
      <c r="A533" s="7"/>
      <c r="E533" s="7"/>
      <c r="F533" s="7"/>
    </row>
    <row r="534" spans="1:6" x14ac:dyDescent="0.25">
      <c r="A534" s="7"/>
      <c r="E534" s="7"/>
      <c r="F534" s="7"/>
    </row>
    <row r="535" spans="1:6" x14ac:dyDescent="0.25">
      <c r="A535" s="7"/>
      <c r="E535" s="7"/>
      <c r="F535" s="7"/>
    </row>
    <row r="536" spans="1:6" x14ac:dyDescent="0.25">
      <c r="A536" s="7"/>
      <c r="E536" s="7"/>
      <c r="F536" s="7"/>
    </row>
    <row r="537" spans="1:6" x14ac:dyDescent="0.25">
      <c r="A537" s="7"/>
      <c r="E537" s="7"/>
      <c r="F537" s="7"/>
    </row>
    <row r="538" spans="1:6" x14ac:dyDescent="0.25">
      <c r="A538" s="7"/>
      <c r="E538" s="7"/>
      <c r="F538" s="7"/>
    </row>
    <row r="539" spans="1:6" x14ac:dyDescent="0.25">
      <c r="A539" s="7"/>
      <c r="E539" s="7"/>
      <c r="F539" s="7"/>
    </row>
    <row r="540" spans="1:6" x14ac:dyDescent="0.25">
      <c r="A540" s="7"/>
      <c r="E540" s="7"/>
      <c r="F540" s="7"/>
    </row>
    <row r="541" spans="1:6" x14ac:dyDescent="0.25">
      <c r="A541" s="7"/>
      <c r="E541" s="7"/>
      <c r="F541" s="7"/>
    </row>
    <row r="542" spans="1:6" x14ac:dyDescent="0.25">
      <c r="A542" s="7"/>
      <c r="E542" s="7"/>
      <c r="F542" s="7"/>
    </row>
    <row r="543" spans="1:6" x14ac:dyDescent="0.25">
      <c r="A543" s="7"/>
      <c r="E543" s="7"/>
      <c r="F543" s="7"/>
    </row>
    <row r="544" spans="1:6" x14ac:dyDescent="0.25">
      <c r="A544" s="7"/>
      <c r="E544" s="7"/>
      <c r="F544" s="7"/>
    </row>
    <row r="545" spans="1:6" x14ac:dyDescent="0.25">
      <c r="A545" s="7"/>
      <c r="E545" s="7"/>
      <c r="F545" s="7"/>
    </row>
    <row r="546" spans="1:6" x14ac:dyDescent="0.25">
      <c r="A546" s="7"/>
      <c r="E546" s="7"/>
      <c r="F546" s="7"/>
    </row>
    <row r="547" spans="1:6" x14ac:dyDescent="0.25">
      <c r="A547" s="7"/>
      <c r="E547" s="7"/>
      <c r="F547" s="7"/>
    </row>
    <row r="548" spans="1:6" x14ac:dyDescent="0.25">
      <c r="A548" s="7"/>
      <c r="E548" s="7"/>
      <c r="F548" s="7"/>
    </row>
    <row r="549" spans="1:6" x14ac:dyDescent="0.25">
      <c r="A549" s="7"/>
      <c r="E549" s="7"/>
      <c r="F549" s="7"/>
    </row>
    <row r="550" spans="1:6" x14ac:dyDescent="0.25">
      <c r="A550" s="7"/>
      <c r="E550" s="7"/>
      <c r="F550" s="7"/>
    </row>
    <row r="551" spans="1:6" x14ac:dyDescent="0.25">
      <c r="A551" s="7"/>
      <c r="E551" s="7"/>
      <c r="F551" s="7"/>
    </row>
    <row r="552" spans="1:6" x14ac:dyDescent="0.25">
      <c r="A552" s="7"/>
      <c r="E552" s="7"/>
      <c r="F552" s="7"/>
    </row>
    <row r="553" spans="1:6" x14ac:dyDescent="0.25">
      <c r="A553" s="7"/>
      <c r="E553" s="7"/>
      <c r="F553" s="7"/>
    </row>
    <row r="554" spans="1:6" x14ac:dyDescent="0.25">
      <c r="A554" s="7"/>
      <c r="E554" s="7"/>
      <c r="F554" s="7"/>
    </row>
    <row r="555" spans="1:6" x14ac:dyDescent="0.25">
      <c r="A555" s="7"/>
      <c r="E555" s="7"/>
      <c r="F555" s="7"/>
    </row>
    <row r="556" spans="1:6" x14ac:dyDescent="0.25">
      <c r="A556" s="7"/>
      <c r="E556" s="7"/>
      <c r="F556" s="7"/>
    </row>
    <row r="557" spans="1:6" x14ac:dyDescent="0.25">
      <c r="A557" s="7"/>
      <c r="E557" s="7"/>
      <c r="F557" s="7"/>
    </row>
    <row r="558" spans="1:6" x14ac:dyDescent="0.25">
      <c r="A558" s="7"/>
      <c r="E558" s="7"/>
      <c r="F558" s="7"/>
    </row>
    <row r="559" spans="1:6" x14ac:dyDescent="0.25">
      <c r="A559" s="7"/>
      <c r="E559" s="7"/>
      <c r="F559" s="7"/>
    </row>
    <row r="560" spans="1:6" x14ac:dyDescent="0.25">
      <c r="A560" s="7"/>
      <c r="E560" s="7"/>
      <c r="F560" s="7"/>
    </row>
    <row r="561" spans="1:6" x14ac:dyDescent="0.25">
      <c r="A561" s="7"/>
      <c r="E561" s="7"/>
      <c r="F561" s="7"/>
    </row>
    <row r="562" spans="1:6" x14ac:dyDescent="0.25">
      <c r="A562" s="7"/>
      <c r="E562" s="7"/>
      <c r="F562" s="7"/>
    </row>
    <row r="563" spans="1:6" x14ac:dyDescent="0.25">
      <c r="A563" s="7"/>
      <c r="E563" s="7"/>
      <c r="F563" s="7"/>
    </row>
    <row r="564" spans="1:6" x14ac:dyDescent="0.25">
      <c r="A564" s="7"/>
      <c r="E564" s="7"/>
      <c r="F564" s="7"/>
    </row>
    <row r="565" spans="1:6" x14ac:dyDescent="0.25">
      <c r="A565" s="7"/>
      <c r="E565" s="7"/>
      <c r="F565" s="7"/>
    </row>
    <row r="566" spans="1:6" x14ac:dyDescent="0.25">
      <c r="A566" s="7"/>
      <c r="E566" s="7"/>
      <c r="F566" s="7"/>
    </row>
    <row r="567" spans="1:6" x14ac:dyDescent="0.25">
      <c r="A567" s="7"/>
      <c r="E567" s="7"/>
      <c r="F567" s="7"/>
    </row>
    <row r="568" spans="1:6" x14ac:dyDescent="0.25">
      <c r="A568" s="7"/>
      <c r="E568" s="7"/>
      <c r="F568" s="7"/>
    </row>
    <row r="569" spans="1:6" x14ac:dyDescent="0.25">
      <c r="A569" s="7"/>
      <c r="E569" s="7"/>
      <c r="F569" s="7"/>
    </row>
    <row r="570" spans="1:6" x14ac:dyDescent="0.25">
      <c r="A570" s="7"/>
      <c r="E570" s="7"/>
      <c r="F570" s="7"/>
    </row>
    <row r="571" spans="1:6" x14ac:dyDescent="0.25">
      <c r="A571" s="7"/>
      <c r="E571" s="7"/>
      <c r="F571" s="7"/>
    </row>
    <row r="572" spans="1:6" x14ac:dyDescent="0.25">
      <c r="A572" s="7"/>
      <c r="E572" s="7"/>
      <c r="F572" s="7"/>
    </row>
    <row r="573" spans="1:6" x14ac:dyDescent="0.25">
      <c r="A573" s="7"/>
      <c r="E573" s="7"/>
      <c r="F573" s="7"/>
    </row>
    <row r="574" spans="1:6" x14ac:dyDescent="0.25">
      <c r="A574" s="7"/>
      <c r="E574" s="7"/>
      <c r="F574" s="7"/>
    </row>
    <row r="575" spans="1:6" x14ac:dyDescent="0.25">
      <c r="A575" s="7"/>
      <c r="E575" s="7"/>
      <c r="F575" s="7"/>
    </row>
    <row r="576" spans="1:6" x14ac:dyDescent="0.25">
      <c r="A576" s="7"/>
      <c r="E576" s="7"/>
      <c r="F576" s="7"/>
    </row>
    <row r="577" spans="1:6" x14ac:dyDescent="0.25">
      <c r="A577" s="7"/>
      <c r="E577" s="7"/>
      <c r="F577" s="7"/>
    </row>
    <row r="578" spans="1:6" x14ac:dyDescent="0.25">
      <c r="A578" s="7"/>
      <c r="E578" s="7"/>
      <c r="F578" s="7"/>
    </row>
    <row r="579" spans="1:6" x14ac:dyDescent="0.25">
      <c r="A579" s="7"/>
      <c r="E579" s="7"/>
      <c r="F579" s="7"/>
    </row>
    <row r="580" spans="1:6" x14ac:dyDescent="0.25">
      <c r="A580" s="7"/>
      <c r="E580" s="7"/>
      <c r="F580" s="7"/>
    </row>
    <row r="581" spans="1:6" x14ac:dyDescent="0.25">
      <c r="A581" s="7"/>
      <c r="E581" s="7"/>
      <c r="F581" s="7"/>
    </row>
    <row r="582" spans="1:6" x14ac:dyDescent="0.25">
      <c r="A582" s="7"/>
      <c r="E582" s="7"/>
      <c r="F582" s="7"/>
    </row>
    <row r="583" spans="1:6" x14ac:dyDescent="0.25">
      <c r="A583" s="7"/>
      <c r="E583" s="7"/>
      <c r="F583" s="7"/>
    </row>
    <row r="584" spans="1:6" x14ac:dyDescent="0.25">
      <c r="A584" s="7"/>
      <c r="E584" s="7"/>
      <c r="F584" s="7"/>
    </row>
    <row r="585" spans="1:6" x14ac:dyDescent="0.25">
      <c r="A585" s="7"/>
      <c r="E585" s="7"/>
      <c r="F585" s="7"/>
    </row>
    <row r="586" spans="1:6" x14ac:dyDescent="0.25">
      <c r="A586" s="7"/>
      <c r="E586" s="7"/>
      <c r="F586" s="7"/>
    </row>
    <row r="587" spans="1:6" x14ac:dyDescent="0.25">
      <c r="A587" s="7"/>
      <c r="E587" s="7"/>
      <c r="F587" s="7"/>
    </row>
    <row r="588" spans="1:6" x14ac:dyDescent="0.25">
      <c r="A588" s="7"/>
      <c r="E588" s="7"/>
      <c r="F588" s="7"/>
    </row>
    <row r="589" spans="1:6" x14ac:dyDescent="0.25">
      <c r="A589" s="7"/>
      <c r="E589" s="7"/>
      <c r="F589" s="7"/>
    </row>
    <row r="590" spans="1:6" x14ac:dyDescent="0.25">
      <c r="A590" s="7"/>
      <c r="E590" s="7"/>
      <c r="F590" s="7"/>
    </row>
    <row r="591" spans="1:6" x14ac:dyDescent="0.25">
      <c r="A591" s="7"/>
      <c r="E591" s="7"/>
      <c r="F591" s="7"/>
    </row>
    <row r="592" spans="1:6" x14ac:dyDescent="0.25">
      <c r="A592" s="7"/>
      <c r="E592" s="7"/>
      <c r="F592" s="7"/>
    </row>
    <row r="593" spans="1:6" x14ac:dyDescent="0.25">
      <c r="A593" s="7"/>
      <c r="E593" s="7"/>
      <c r="F593" s="7"/>
    </row>
    <row r="594" spans="1:6" x14ac:dyDescent="0.25">
      <c r="A594" s="7"/>
      <c r="E594" s="7"/>
      <c r="F594" s="7"/>
    </row>
    <row r="595" spans="1:6" x14ac:dyDescent="0.25">
      <c r="A595" s="7"/>
      <c r="E595" s="7"/>
      <c r="F595" s="7"/>
    </row>
    <row r="596" spans="1:6" x14ac:dyDescent="0.25">
      <c r="A596" s="7"/>
      <c r="E596" s="7"/>
      <c r="F596" s="7"/>
    </row>
    <row r="597" spans="1:6" x14ac:dyDescent="0.25">
      <c r="A597" s="7"/>
      <c r="E597" s="7"/>
      <c r="F597" s="7"/>
    </row>
    <row r="598" spans="1:6" x14ac:dyDescent="0.25">
      <c r="A598" s="7"/>
      <c r="E598" s="7"/>
      <c r="F598" s="7"/>
    </row>
    <row r="599" spans="1:6" x14ac:dyDescent="0.25">
      <c r="A599" s="7"/>
      <c r="E599" s="7"/>
      <c r="F599" s="7"/>
    </row>
    <row r="600" spans="1:6" x14ac:dyDescent="0.25">
      <c r="A600" s="7"/>
      <c r="E600" s="7"/>
      <c r="F600" s="7"/>
    </row>
    <row r="601" spans="1:6" x14ac:dyDescent="0.25">
      <c r="A601" s="7"/>
      <c r="E601" s="7"/>
      <c r="F601" s="7"/>
    </row>
    <row r="602" spans="1:6" x14ac:dyDescent="0.25">
      <c r="A602" s="7"/>
      <c r="E602" s="7"/>
      <c r="F602" s="7"/>
    </row>
    <row r="603" spans="1:6" x14ac:dyDescent="0.25">
      <c r="A603" s="7"/>
      <c r="E603" s="7"/>
      <c r="F603" s="7"/>
    </row>
    <row r="604" spans="1:6" x14ac:dyDescent="0.25">
      <c r="A604" s="7"/>
      <c r="E604" s="7"/>
      <c r="F604" s="7"/>
    </row>
    <row r="605" spans="1:6" x14ac:dyDescent="0.25">
      <c r="A605" s="7"/>
      <c r="E605" s="7"/>
      <c r="F605" s="7"/>
    </row>
    <row r="606" spans="1:6" x14ac:dyDescent="0.25">
      <c r="A606" s="7"/>
      <c r="E606" s="7"/>
      <c r="F606" s="7"/>
    </row>
    <row r="607" spans="1:6" x14ac:dyDescent="0.25">
      <c r="A607" s="7"/>
      <c r="E607" s="7"/>
      <c r="F607" s="7"/>
    </row>
    <row r="608" spans="1:6" x14ac:dyDescent="0.25">
      <c r="A608" s="7"/>
      <c r="E608" s="7"/>
      <c r="F608" s="7"/>
    </row>
    <row r="609" spans="1:6" x14ac:dyDescent="0.25">
      <c r="A609" s="7"/>
      <c r="E609" s="7"/>
      <c r="F609" s="7"/>
    </row>
    <row r="610" spans="1:6" x14ac:dyDescent="0.25">
      <c r="A610" s="7"/>
      <c r="E610" s="7"/>
      <c r="F610" s="7"/>
    </row>
    <row r="611" spans="1:6" x14ac:dyDescent="0.25">
      <c r="A611" s="7"/>
      <c r="E611" s="7"/>
      <c r="F611" s="7"/>
    </row>
    <row r="612" spans="1:6" x14ac:dyDescent="0.25">
      <c r="A612" s="7"/>
      <c r="E612" s="7"/>
      <c r="F612" s="7"/>
    </row>
    <row r="613" spans="1:6" x14ac:dyDescent="0.25">
      <c r="A613" s="7"/>
      <c r="E613" s="7"/>
      <c r="F613" s="7"/>
    </row>
    <row r="614" spans="1:6" x14ac:dyDescent="0.25">
      <c r="A614" s="7"/>
      <c r="E614" s="7"/>
      <c r="F614" s="7"/>
    </row>
    <row r="615" spans="1:6" x14ac:dyDescent="0.25">
      <c r="A615" s="7"/>
      <c r="E615" s="7"/>
      <c r="F615" s="7"/>
    </row>
    <row r="616" spans="1:6" x14ac:dyDescent="0.25">
      <c r="A616" s="7"/>
      <c r="E616" s="7"/>
      <c r="F616" s="7"/>
    </row>
    <row r="617" spans="1:6" x14ac:dyDescent="0.25">
      <c r="A617" s="7"/>
      <c r="E617" s="7"/>
      <c r="F617" s="7"/>
    </row>
    <row r="618" spans="1:6" x14ac:dyDescent="0.25">
      <c r="A618" s="7"/>
      <c r="E618" s="7"/>
      <c r="F618" s="7"/>
    </row>
    <row r="619" spans="1:6" x14ac:dyDescent="0.25">
      <c r="A619" s="7"/>
      <c r="E619" s="7"/>
      <c r="F619" s="7"/>
    </row>
    <row r="620" spans="1:6" x14ac:dyDescent="0.25">
      <c r="A620" s="7"/>
      <c r="E620" s="7"/>
      <c r="F620" s="7"/>
    </row>
    <row r="621" spans="1:6" x14ac:dyDescent="0.25">
      <c r="A621" s="7"/>
      <c r="E621" s="7"/>
      <c r="F621" s="7"/>
    </row>
    <row r="622" spans="1:6" x14ac:dyDescent="0.25">
      <c r="A622" s="7"/>
      <c r="E622" s="7"/>
      <c r="F622" s="7"/>
    </row>
    <row r="623" spans="1:6" x14ac:dyDescent="0.25">
      <c r="A623" s="7"/>
      <c r="E623" s="7"/>
      <c r="F623" s="7"/>
    </row>
    <row r="624" spans="1:6" x14ac:dyDescent="0.25">
      <c r="A624" s="7"/>
      <c r="E624" s="7"/>
      <c r="F624" s="7"/>
    </row>
    <row r="625" spans="1:6" x14ac:dyDescent="0.25">
      <c r="A625" s="7"/>
      <c r="E625" s="7"/>
      <c r="F625" s="7"/>
    </row>
    <row r="626" spans="1:6" x14ac:dyDescent="0.25">
      <c r="A626" s="7"/>
      <c r="E626" s="7"/>
      <c r="F626" s="7"/>
    </row>
    <row r="627" spans="1:6" x14ac:dyDescent="0.25">
      <c r="A627" s="7"/>
      <c r="E627" s="7"/>
      <c r="F627" s="7"/>
    </row>
    <row r="628" spans="1:6" x14ac:dyDescent="0.25">
      <c r="A628" s="7"/>
      <c r="E628" s="7"/>
      <c r="F628" s="7"/>
    </row>
    <row r="629" spans="1:6" x14ac:dyDescent="0.25">
      <c r="A629" s="7"/>
      <c r="E629" s="7"/>
      <c r="F629" s="7"/>
    </row>
    <row r="630" spans="1:6" x14ac:dyDescent="0.25">
      <c r="A630" s="7"/>
      <c r="E630" s="7"/>
      <c r="F630" s="7"/>
    </row>
    <row r="631" spans="1:6" x14ac:dyDescent="0.25">
      <c r="A631" s="7"/>
      <c r="E631" s="7"/>
      <c r="F631" s="7"/>
    </row>
    <row r="632" spans="1:6" x14ac:dyDescent="0.25">
      <c r="A632" s="7"/>
      <c r="E632" s="7"/>
      <c r="F632" s="7"/>
    </row>
    <row r="633" spans="1:6" x14ac:dyDescent="0.25">
      <c r="A633" s="7"/>
      <c r="E633" s="7"/>
      <c r="F633" s="7"/>
    </row>
    <row r="634" spans="1:6" x14ac:dyDescent="0.25">
      <c r="A634" s="7"/>
      <c r="E634" s="7"/>
      <c r="F634" s="7"/>
    </row>
    <row r="635" spans="1:6" x14ac:dyDescent="0.25">
      <c r="A635" s="7"/>
      <c r="E635" s="7"/>
      <c r="F635" s="7"/>
    </row>
    <row r="636" spans="1:6" x14ac:dyDescent="0.25">
      <c r="A636" s="7"/>
      <c r="E636" s="7"/>
      <c r="F636" s="7"/>
    </row>
    <row r="637" spans="1:6" x14ac:dyDescent="0.25">
      <c r="A637" s="7"/>
      <c r="E637" s="7"/>
      <c r="F637" s="7"/>
    </row>
    <row r="638" spans="1:6" x14ac:dyDescent="0.25">
      <c r="A638" s="7"/>
      <c r="E638" s="7"/>
      <c r="F638" s="7"/>
    </row>
    <row r="639" spans="1:6" x14ac:dyDescent="0.25">
      <c r="A639" s="7"/>
      <c r="E639" s="7"/>
      <c r="F639" s="7"/>
    </row>
    <row r="640" spans="1:6" x14ac:dyDescent="0.25">
      <c r="A640" s="7"/>
      <c r="E640" s="7"/>
      <c r="F640" s="7"/>
    </row>
    <row r="641" spans="1:6" x14ac:dyDescent="0.25">
      <c r="A641" s="7"/>
      <c r="E641" s="7"/>
      <c r="F641" s="7"/>
    </row>
    <row r="642" spans="1:6" x14ac:dyDescent="0.25">
      <c r="A642" s="7"/>
      <c r="E642" s="7"/>
      <c r="F642" s="7"/>
    </row>
    <row r="643" spans="1:6" x14ac:dyDescent="0.25">
      <c r="A643" s="7"/>
      <c r="E643" s="7"/>
      <c r="F643" s="7"/>
    </row>
    <row r="644" spans="1:6" x14ac:dyDescent="0.25">
      <c r="A644" s="7"/>
      <c r="E644" s="7"/>
      <c r="F644" s="7"/>
    </row>
    <row r="645" spans="1:6" x14ac:dyDescent="0.25">
      <c r="A645" s="7"/>
      <c r="E645" s="7"/>
      <c r="F645" s="7"/>
    </row>
    <row r="646" spans="1:6" x14ac:dyDescent="0.25">
      <c r="A646" s="7"/>
      <c r="E646" s="7"/>
      <c r="F646" s="7"/>
    </row>
    <row r="647" spans="1:6" x14ac:dyDescent="0.25">
      <c r="A647" s="7"/>
      <c r="E647" s="7"/>
      <c r="F647" s="7"/>
    </row>
    <row r="648" spans="1:6" x14ac:dyDescent="0.25">
      <c r="A648" s="7"/>
      <c r="E648" s="7"/>
      <c r="F648" s="7"/>
    </row>
    <row r="649" spans="1:6" x14ac:dyDescent="0.25">
      <c r="A649" s="7"/>
      <c r="E649" s="7"/>
      <c r="F649" s="7"/>
    </row>
    <row r="650" spans="1:6" x14ac:dyDescent="0.25">
      <c r="A650" s="7"/>
      <c r="E650" s="7"/>
      <c r="F650" s="7"/>
    </row>
    <row r="651" spans="1:6" x14ac:dyDescent="0.25">
      <c r="A651" s="7"/>
      <c r="E651" s="7"/>
      <c r="F651" s="7"/>
    </row>
    <row r="652" spans="1:6" x14ac:dyDescent="0.25">
      <c r="A652" s="7"/>
      <c r="E652" s="7"/>
      <c r="F652" s="7"/>
    </row>
    <row r="653" spans="1:6" x14ac:dyDescent="0.25">
      <c r="A653" s="7"/>
      <c r="E653" s="7"/>
      <c r="F653" s="7"/>
    </row>
    <row r="654" spans="1:6" x14ac:dyDescent="0.25">
      <c r="A654" s="7"/>
      <c r="E654" s="7"/>
      <c r="F654" s="7"/>
    </row>
    <row r="655" spans="1:6" x14ac:dyDescent="0.25">
      <c r="A655" s="7"/>
      <c r="E655" s="7"/>
      <c r="F655" s="7"/>
    </row>
    <row r="656" spans="1:6" x14ac:dyDescent="0.25">
      <c r="A656" s="7"/>
      <c r="E656" s="7"/>
      <c r="F656" s="7"/>
    </row>
    <row r="657" spans="1:6" x14ac:dyDescent="0.25">
      <c r="A657" s="7"/>
      <c r="E657" s="7"/>
      <c r="F657" s="7"/>
    </row>
    <row r="658" spans="1:6" x14ac:dyDescent="0.25">
      <c r="A658" s="7"/>
      <c r="E658" s="7"/>
      <c r="F658" s="7"/>
    </row>
    <row r="659" spans="1:6" x14ac:dyDescent="0.25">
      <c r="A659" s="7"/>
      <c r="E659" s="7"/>
      <c r="F659" s="7"/>
    </row>
    <row r="660" spans="1:6" x14ac:dyDescent="0.25">
      <c r="A660" s="7"/>
      <c r="E660" s="7"/>
      <c r="F660" s="7"/>
    </row>
    <row r="661" spans="1:6" x14ac:dyDescent="0.25">
      <c r="A661" s="7"/>
      <c r="E661" s="7"/>
      <c r="F661" s="7"/>
    </row>
    <row r="662" spans="1:6" x14ac:dyDescent="0.25">
      <c r="A662" s="7"/>
      <c r="E662" s="7"/>
      <c r="F662" s="7"/>
    </row>
    <row r="663" spans="1:6" x14ac:dyDescent="0.25">
      <c r="A663" s="7"/>
      <c r="E663" s="7"/>
      <c r="F663" s="7"/>
    </row>
    <row r="664" spans="1:6" x14ac:dyDescent="0.25">
      <c r="A664" s="7"/>
      <c r="E664" s="7"/>
      <c r="F664" s="7"/>
    </row>
    <row r="665" spans="1:6" x14ac:dyDescent="0.25">
      <c r="A665" s="7"/>
      <c r="E665" s="7"/>
      <c r="F665" s="7"/>
    </row>
    <row r="666" spans="1:6" x14ac:dyDescent="0.25">
      <c r="A666" s="7"/>
      <c r="E666" s="7"/>
      <c r="F666" s="7"/>
    </row>
    <row r="667" spans="1:6" x14ac:dyDescent="0.25">
      <c r="A667" s="7"/>
      <c r="E667" s="7"/>
      <c r="F667" s="7"/>
    </row>
    <row r="668" spans="1:6" x14ac:dyDescent="0.25">
      <c r="A668" s="7"/>
      <c r="E668" s="7"/>
      <c r="F668" s="7"/>
    </row>
    <row r="669" spans="1:6" x14ac:dyDescent="0.25">
      <c r="A669" s="7"/>
      <c r="E669" s="7"/>
      <c r="F669" s="7"/>
    </row>
    <row r="670" spans="1:6" x14ac:dyDescent="0.25">
      <c r="A670" s="7"/>
      <c r="E670" s="7"/>
      <c r="F670" s="7"/>
    </row>
    <row r="671" spans="1:6" x14ac:dyDescent="0.25">
      <c r="A671" s="7"/>
      <c r="E671" s="7"/>
      <c r="F671" s="7"/>
    </row>
    <row r="672" spans="1:6" x14ac:dyDescent="0.25">
      <c r="A672" s="7"/>
      <c r="E672" s="7"/>
      <c r="F672" s="7"/>
    </row>
    <row r="673" spans="1:6" x14ac:dyDescent="0.25">
      <c r="A673" s="7"/>
      <c r="E673" s="7"/>
      <c r="F673" s="7"/>
    </row>
    <row r="674" spans="1:6" x14ac:dyDescent="0.25">
      <c r="A674" s="7"/>
      <c r="E674" s="7"/>
      <c r="F674" s="7"/>
    </row>
    <row r="675" spans="1:6" x14ac:dyDescent="0.25">
      <c r="A675" s="7"/>
      <c r="E675" s="7"/>
      <c r="F675" s="7"/>
    </row>
    <row r="676" spans="1:6" x14ac:dyDescent="0.25">
      <c r="A676" s="7"/>
      <c r="E676" s="7"/>
      <c r="F676" s="7"/>
    </row>
    <row r="677" spans="1:6" x14ac:dyDescent="0.25">
      <c r="A677" s="7"/>
      <c r="E677" s="7"/>
      <c r="F677" s="7"/>
    </row>
    <row r="678" spans="1:6" x14ac:dyDescent="0.25">
      <c r="A678" s="7"/>
      <c r="E678" s="7"/>
      <c r="F678" s="7"/>
    </row>
    <row r="679" spans="1:6" x14ac:dyDescent="0.25">
      <c r="A679" s="7"/>
      <c r="E679" s="7"/>
      <c r="F679" s="7"/>
    </row>
    <row r="680" spans="1:6" x14ac:dyDescent="0.25">
      <c r="A680" s="7"/>
      <c r="E680" s="7"/>
      <c r="F680" s="7"/>
    </row>
    <row r="681" spans="1:6" x14ac:dyDescent="0.25">
      <c r="A681" s="7"/>
      <c r="E681" s="7"/>
      <c r="F681" s="7"/>
    </row>
    <row r="682" spans="1:6" x14ac:dyDescent="0.25">
      <c r="A682" s="7"/>
      <c r="E682" s="7"/>
      <c r="F682" s="7"/>
    </row>
    <row r="683" spans="1:6" x14ac:dyDescent="0.25">
      <c r="A683" s="7"/>
      <c r="E683" s="7"/>
      <c r="F683" s="7"/>
    </row>
    <row r="684" spans="1:6" x14ac:dyDescent="0.25">
      <c r="A684" s="7"/>
      <c r="E684" s="7"/>
      <c r="F684" s="7"/>
    </row>
    <row r="685" spans="1:6" x14ac:dyDescent="0.25">
      <c r="A685" s="7"/>
      <c r="E685" s="7"/>
      <c r="F685" s="7"/>
    </row>
    <row r="686" spans="1:6" x14ac:dyDescent="0.25">
      <c r="A686" s="7"/>
      <c r="E686" s="7"/>
      <c r="F686" s="7"/>
    </row>
    <row r="687" spans="1:6" x14ac:dyDescent="0.25">
      <c r="A687" s="7"/>
      <c r="E687" s="7"/>
      <c r="F687" s="7"/>
    </row>
    <row r="688" spans="1:6" x14ac:dyDescent="0.25">
      <c r="A688" s="7"/>
      <c r="E688" s="7"/>
      <c r="F688" s="7"/>
    </row>
    <row r="689" spans="1:6" x14ac:dyDescent="0.25">
      <c r="A689" s="7"/>
      <c r="E689" s="7"/>
      <c r="F689" s="7"/>
    </row>
    <row r="690" spans="1:6" x14ac:dyDescent="0.25">
      <c r="A690" s="7"/>
      <c r="E690" s="7"/>
      <c r="F690" s="7"/>
    </row>
    <row r="691" spans="1:6" x14ac:dyDescent="0.25">
      <c r="A691" s="7"/>
      <c r="E691" s="7"/>
      <c r="F691" s="7"/>
    </row>
    <row r="692" spans="1:6" x14ac:dyDescent="0.25">
      <c r="A692" s="7"/>
      <c r="E692" s="7"/>
      <c r="F692" s="7"/>
    </row>
    <row r="693" spans="1:6" x14ac:dyDescent="0.25">
      <c r="A693" s="7"/>
      <c r="E693" s="7"/>
      <c r="F693" s="7"/>
    </row>
    <row r="694" spans="1:6" x14ac:dyDescent="0.25">
      <c r="A694" s="7"/>
      <c r="E694" s="7"/>
      <c r="F694" s="7"/>
    </row>
    <row r="695" spans="1:6" x14ac:dyDescent="0.25">
      <c r="A695" s="7"/>
      <c r="E695" s="7"/>
      <c r="F695" s="7"/>
    </row>
    <row r="696" spans="1:6" x14ac:dyDescent="0.25">
      <c r="A696" s="7"/>
      <c r="E696" s="7"/>
      <c r="F696" s="7"/>
    </row>
    <row r="697" spans="1:6" x14ac:dyDescent="0.25">
      <c r="A697" s="7"/>
      <c r="E697" s="7"/>
      <c r="F697" s="7"/>
    </row>
    <row r="698" spans="1:6" x14ac:dyDescent="0.25">
      <c r="A698" s="7"/>
      <c r="E698" s="7"/>
      <c r="F698" s="7"/>
    </row>
    <row r="699" spans="1:6" x14ac:dyDescent="0.25">
      <c r="A699" s="7"/>
      <c r="E699" s="7"/>
      <c r="F699" s="7"/>
    </row>
    <row r="700" spans="1:6" x14ac:dyDescent="0.25">
      <c r="A700" s="7"/>
      <c r="E700" s="7"/>
      <c r="F700" s="7"/>
    </row>
    <row r="701" spans="1:6" x14ac:dyDescent="0.25">
      <c r="A701" s="7"/>
      <c r="E701" s="7"/>
      <c r="F701" s="7"/>
    </row>
    <row r="702" spans="1:6" x14ac:dyDescent="0.25">
      <c r="A702" s="7"/>
      <c r="E702" s="7"/>
      <c r="F702" s="7"/>
    </row>
    <row r="703" spans="1:6" x14ac:dyDescent="0.25">
      <c r="A703" s="7"/>
      <c r="E703" s="7"/>
      <c r="F703" s="7"/>
    </row>
    <row r="704" spans="1:6" x14ac:dyDescent="0.25">
      <c r="A704" s="7"/>
      <c r="E704" s="7"/>
      <c r="F704" s="7"/>
    </row>
    <row r="705" spans="1:6" x14ac:dyDescent="0.25">
      <c r="A705" s="7"/>
      <c r="E705" s="7"/>
      <c r="F705" s="7"/>
    </row>
    <row r="706" spans="1:6" x14ac:dyDescent="0.25">
      <c r="A706" s="7"/>
      <c r="E706" s="7"/>
      <c r="F706" s="7"/>
    </row>
    <row r="707" spans="1:6" x14ac:dyDescent="0.25">
      <c r="A707" s="7"/>
      <c r="E707" s="7"/>
      <c r="F707" s="7"/>
    </row>
    <row r="708" spans="1:6" x14ac:dyDescent="0.25">
      <c r="A708" s="7"/>
      <c r="E708" s="7"/>
      <c r="F708" s="7"/>
    </row>
    <row r="709" spans="1:6" x14ac:dyDescent="0.25">
      <c r="A709" s="7"/>
      <c r="E709" s="7"/>
      <c r="F709" s="7"/>
    </row>
    <row r="710" spans="1:6" x14ac:dyDescent="0.25">
      <c r="A710" s="7"/>
      <c r="E710" s="7"/>
      <c r="F710" s="7"/>
    </row>
    <row r="711" spans="1:6" x14ac:dyDescent="0.25">
      <c r="A711" s="7"/>
      <c r="E711" s="7"/>
      <c r="F711" s="7"/>
    </row>
    <row r="712" spans="1:6" x14ac:dyDescent="0.25">
      <c r="A712" s="7"/>
      <c r="E712" s="7"/>
      <c r="F712" s="7"/>
    </row>
    <row r="713" spans="1:6" x14ac:dyDescent="0.25">
      <c r="A713" s="7"/>
      <c r="E713" s="7"/>
      <c r="F713" s="7"/>
    </row>
    <row r="714" spans="1:6" x14ac:dyDescent="0.25">
      <c r="A714" s="7"/>
      <c r="E714" s="7"/>
      <c r="F714" s="7"/>
    </row>
    <row r="715" spans="1:6" x14ac:dyDescent="0.25">
      <c r="A715" s="7"/>
      <c r="E715" s="7"/>
      <c r="F715" s="7"/>
    </row>
    <row r="716" spans="1:6" x14ac:dyDescent="0.25">
      <c r="A716" s="7"/>
      <c r="E716" s="7"/>
      <c r="F716" s="7"/>
    </row>
    <row r="717" spans="1:6" x14ac:dyDescent="0.25">
      <c r="A717" s="7"/>
      <c r="E717" s="7"/>
      <c r="F717" s="7"/>
    </row>
    <row r="718" spans="1:6" x14ac:dyDescent="0.25">
      <c r="A718" s="7"/>
      <c r="E718" s="7"/>
      <c r="F718" s="7"/>
    </row>
    <row r="719" spans="1:6" x14ac:dyDescent="0.25">
      <c r="A719" s="7"/>
      <c r="E719" s="7"/>
      <c r="F719" s="7"/>
    </row>
    <row r="720" spans="1:6" x14ac:dyDescent="0.25">
      <c r="A720" s="7"/>
      <c r="E720" s="7"/>
      <c r="F720" s="7"/>
    </row>
    <row r="721" spans="1:6" x14ac:dyDescent="0.25">
      <c r="A721" s="7"/>
      <c r="E721" s="7"/>
      <c r="F721" s="7"/>
    </row>
    <row r="722" spans="1:6" x14ac:dyDescent="0.25">
      <c r="A722" s="7"/>
      <c r="E722" s="7"/>
      <c r="F722" s="7"/>
    </row>
    <row r="723" spans="1:6" x14ac:dyDescent="0.25">
      <c r="A723" s="7"/>
      <c r="E723" s="7"/>
      <c r="F723" s="7"/>
    </row>
    <row r="724" spans="1:6" x14ac:dyDescent="0.25">
      <c r="A724" s="7"/>
      <c r="E724" s="7"/>
      <c r="F724" s="7"/>
    </row>
    <row r="725" spans="1:6" x14ac:dyDescent="0.25">
      <c r="A725" s="7"/>
      <c r="E725" s="7"/>
      <c r="F725" s="7"/>
    </row>
    <row r="726" spans="1:6" x14ac:dyDescent="0.25">
      <c r="A726" s="7"/>
      <c r="E726" s="7"/>
      <c r="F726" s="7"/>
    </row>
    <row r="727" spans="1:6" x14ac:dyDescent="0.25">
      <c r="A727" s="7"/>
      <c r="E727" s="7"/>
      <c r="F727" s="7"/>
    </row>
    <row r="728" spans="1:6" x14ac:dyDescent="0.25">
      <c r="A728" s="7"/>
      <c r="E728" s="7"/>
      <c r="F728" s="7"/>
    </row>
    <row r="729" spans="1:6" x14ac:dyDescent="0.25">
      <c r="A729" s="7"/>
      <c r="E729" s="7"/>
      <c r="F729" s="7"/>
    </row>
    <row r="730" spans="1:6" x14ac:dyDescent="0.25">
      <c r="A730" s="7"/>
      <c r="E730" s="7"/>
      <c r="F730" s="7"/>
    </row>
    <row r="731" spans="1:6" x14ac:dyDescent="0.25">
      <c r="A731" s="7"/>
      <c r="E731" s="7"/>
      <c r="F731" s="7"/>
    </row>
    <row r="732" spans="1:6" x14ac:dyDescent="0.25">
      <c r="A732" s="7"/>
      <c r="E732" s="7"/>
      <c r="F732" s="7"/>
    </row>
    <row r="733" spans="1:6" x14ac:dyDescent="0.25">
      <c r="A733" s="7"/>
      <c r="E733" s="7"/>
      <c r="F733" s="7"/>
    </row>
    <row r="734" spans="1:6" x14ac:dyDescent="0.25">
      <c r="A734" s="7"/>
      <c r="E734" s="7"/>
      <c r="F734" s="7"/>
    </row>
    <row r="735" spans="1:6" x14ac:dyDescent="0.25">
      <c r="A735" s="7"/>
      <c r="E735" s="7"/>
      <c r="F735" s="7"/>
    </row>
    <row r="736" spans="1:6" x14ac:dyDescent="0.25">
      <c r="A736" s="7"/>
      <c r="E736" s="7"/>
      <c r="F736" s="7"/>
    </row>
    <row r="737" spans="1:6" x14ac:dyDescent="0.25">
      <c r="A737" s="7"/>
      <c r="E737" s="7"/>
      <c r="F737" s="7"/>
    </row>
    <row r="738" spans="1:6" x14ac:dyDescent="0.25">
      <c r="A738" s="7"/>
      <c r="E738" s="7"/>
      <c r="F738" s="7"/>
    </row>
    <row r="739" spans="1:6" x14ac:dyDescent="0.25">
      <c r="A739" s="7"/>
      <c r="E739" s="7"/>
      <c r="F739" s="7"/>
    </row>
    <row r="740" spans="1:6" x14ac:dyDescent="0.25">
      <c r="A740" s="7"/>
      <c r="E740" s="7"/>
      <c r="F740" s="7"/>
    </row>
    <row r="741" spans="1:6" x14ac:dyDescent="0.25">
      <c r="A741" s="7"/>
      <c r="E741" s="7"/>
      <c r="F741" s="7"/>
    </row>
    <row r="742" spans="1:6" x14ac:dyDescent="0.25">
      <c r="A742" s="7"/>
      <c r="E742" s="7"/>
      <c r="F742" s="7"/>
    </row>
    <row r="743" spans="1:6" x14ac:dyDescent="0.25">
      <c r="A743" s="7"/>
      <c r="E743" s="7"/>
      <c r="F743" s="7"/>
    </row>
    <row r="744" spans="1:6" x14ac:dyDescent="0.25">
      <c r="A744" s="7"/>
      <c r="E744" s="7"/>
      <c r="F744" s="7"/>
    </row>
    <row r="745" spans="1:6" x14ac:dyDescent="0.25">
      <c r="A745" s="7"/>
      <c r="E745" s="7"/>
      <c r="F745" s="7"/>
    </row>
    <row r="746" spans="1:6" x14ac:dyDescent="0.25">
      <c r="A746" s="7"/>
      <c r="E746" s="7"/>
      <c r="F746" s="7"/>
    </row>
    <row r="747" spans="1:6" x14ac:dyDescent="0.25">
      <c r="A747" s="7"/>
      <c r="E747" s="7"/>
      <c r="F747" s="7"/>
    </row>
    <row r="748" spans="1:6" x14ac:dyDescent="0.25">
      <c r="A748" s="7"/>
      <c r="E748" s="7"/>
      <c r="F748" s="7"/>
    </row>
    <row r="749" spans="1:6" x14ac:dyDescent="0.25">
      <c r="A749" s="7"/>
      <c r="E749" s="7"/>
      <c r="F749" s="7"/>
    </row>
    <row r="750" spans="1:6" x14ac:dyDescent="0.25">
      <c r="A750" s="7"/>
      <c r="E750" s="7"/>
      <c r="F750" s="7"/>
    </row>
    <row r="751" spans="1:6" x14ac:dyDescent="0.25">
      <c r="A751" s="7"/>
      <c r="E751" s="7"/>
      <c r="F751" s="7"/>
    </row>
    <row r="752" spans="1:6" x14ac:dyDescent="0.25">
      <c r="A752" s="7"/>
      <c r="E752" s="7"/>
      <c r="F752" s="7"/>
    </row>
    <row r="753" spans="1:6" x14ac:dyDescent="0.25">
      <c r="A753" s="7"/>
      <c r="E753" s="7"/>
      <c r="F753" s="7"/>
    </row>
    <row r="754" spans="1:6" x14ac:dyDescent="0.25">
      <c r="A754" s="7"/>
      <c r="E754" s="7"/>
      <c r="F754" s="7"/>
    </row>
    <row r="755" spans="1:6" x14ac:dyDescent="0.25">
      <c r="A755" s="7"/>
      <c r="E755" s="7"/>
      <c r="F755" s="7"/>
    </row>
    <row r="756" spans="1:6" x14ac:dyDescent="0.25">
      <c r="A756" s="7"/>
      <c r="E756" s="7"/>
      <c r="F756" s="7"/>
    </row>
    <row r="757" spans="1:6" x14ac:dyDescent="0.25">
      <c r="A757" s="7"/>
      <c r="E757" s="7"/>
      <c r="F757" s="7"/>
    </row>
    <row r="758" spans="1:6" x14ac:dyDescent="0.25">
      <c r="A758" s="7"/>
      <c r="E758" s="7"/>
      <c r="F758" s="7"/>
    </row>
    <row r="759" spans="1:6" x14ac:dyDescent="0.25">
      <c r="A759" s="7"/>
      <c r="E759" s="7"/>
      <c r="F759" s="7"/>
    </row>
    <row r="760" spans="1:6" x14ac:dyDescent="0.25">
      <c r="A760" s="7"/>
      <c r="E760" s="7"/>
      <c r="F760" s="7"/>
    </row>
    <row r="761" spans="1:6" x14ac:dyDescent="0.25">
      <c r="A761" s="7"/>
      <c r="E761" s="7"/>
      <c r="F761" s="7"/>
    </row>
    <row r="762" spans="1:6" x14ac:dyDescent="0.25">
      <c r="A762" s="7"/>
      <c r="E762" s="7"/>
      <c r="F762" s="7"/>
    </row>
    <row r="763" spans="1:6" x14ac:dyDescent="0.25">
      <c r="A763" s="7"/>
      <c r="E763" s="7"/>
      <c r="F763" s="7"/>
    </row>
    <row r="764" spans="1:6" x14ac:dyDescent="0.25">
      <c r="A764" s="7"/>
      <c r="E764" s="7"/>
      <c r="F764" s="7"/>
    </row>
    <row r="765" spans="1:6" x14ac:dyDescent="0.25">
      <c r="A765" s="7"/>
      <c r="E765" s="7"/>
      <c r="F765" s="7"/>
    </row>
    <row r="766" spans="1:6" x14ac:dyDescent="0.25">
      <c r="A766" s="7"/>
      <c r="E766" s="7"/>
      <c r="F766" s="7"/>
    </row>
    <row r="767" spans="1:6" x14ac:dyDescent="0.25">
      <c r="A767" s="7"/>
      <c r="E767" s="7"/>
      <c r="F767" s="7"/>
    </row>
    <row r="768" spans="1:6" x14ac:dyDescent="0.25">
      <c r="A768" s="7"/>
      <c r="E768" s="7"/>
      <c r="F768" s="7"/>
    </row>
    <row r="769" spans="1:6" x14ac:dyDescent="0.25">
      <c r="A769" s="7"/>
      <c r="E769" s="7"/>
      <c r="F769" s="7"/>
    </row>
    <row r="770" spans="1:6" x14ac:dyDescent="0.25">
      <c r="A770" s="7"/>
      <c r="E770" s="7"/>
      <c r="F770" s="7"/>
    </row>
    <row r="771" spans="1:6" x14ac:dyDescent="0.25">
      <c r="A771" s="7"/>
      <c r="E771" s="7"/>
      <c r="F771" s="7"/>
    </row>
    <row r="772" spans="1:6" x14ac:dyDescent="0.25">
      <c r="A772" s="7"/>
      <c r="E772" s="7"/>
      <c r="F772" s="7"/>
    </row>
    <row r="773" spans="1:6" x14ac:dyDescent="0.25">
      <c r="A773" s="7"/>
      <c r="E773" s="7"/>
      <c r="F773" s="7"/>
    </row>
    <row r="774" spans="1:6" x14ac:dyDescent="0.25">
      <c r="A774" s="7"/>
      <c r="E774" s="7"/>
      <c r="F774" s="7"/>
    </row>
    <row r="775" spans="1:6" x14ac:dyDescent="0.25">
      <c r="A775" s="7"/>
      <c r="E775" s="7"/>
      <c r="F775" s="7"/>
    </row>
    <row r="776" spans="1:6" x14ac:dyDescent="0.25">
      <c r="A776" s="7"/>
      <c r="E776" s="7"/>
      <c r="F776" s="7"/>
    </row>
    <row r="777" spans="1:6" x14ac:dyDescent="0.25">
      <c r="A777" s="7"/>
      <c r="E777" s="7"/>
      <c r="F777" s="7"/>
    </row>
    <row r="778" spans="1:6" x14ac:dyDescent="0.25">
      <c r="A778" s="7"/>
      <c r="E778" s="7"/>
      <c r="F778" s="7"/>
    </row>
    <row r="779" spans="1:6" x14ac:dyDescent="0.25">
      <c r="A779" s="7"/>
      <c r="E779" s="7"/>
      <c r="F779" s="7"/>
    </row>
    <row r="780" spans="1:6" x14ac:dyDescent="0.25">
      <c r="A780" s="7"/>
      <c r="E780" s="7"/>
      <c r="F780" s="7"/>
    </row>
    <row r="781" spans="1:6" x14ac:dyDescent="0.25">
      <c r="A781" s="7"/>
      <c r="E781" s="7"/>
      <c r="F781" s="7"/>
    </row>
    <row r="782" spans="1:6" x14ac:dyDescent="0.25">
      <c r="A782" s="7"/>
      <c r="E782" s="7"/>
      <c r="F782" s="7"/>
    </row>
    <row r="783" spans="1:6" x14ac:dyDescent="0.25">
      <c r="A783" s="7"/>
      <c r="E783" s="7"/>
      <c r="F783" s="7"/>
    </row>
    <row r="784" spans="1:6" x14ac:dyDescent="0.25">
      <c r="A784" s="7"/>
      <c r="E784" s="7"/>
      <c r="F784" s="7"/>
    </row>
    <row r="785" spans="1:6" x14ac:dyDescent="0.25">
      <c r="A785" s="7"/>
      <c r="E785" s="7"/>
      <c r="F785" s="7"/>
    </row>
    <row r="786" spans="1:6" x14ac:dyDescent="0.25">
      <c r="A786" s="7"/>
      <c r="E786" s="7"/>
      <c r="F786" s="7"/>
    </row>
    <row r="787" spans="1:6" x14ac:dyDescent="0.25">
      <c r="A787" s="7"/>
      <c r="E787" s="7"/>
      <c r="F787" s="7"/>
    </row>
    <row r="788" spans="1:6" x14ac:dyDescent="0.25">
      <c r="A788" s="7"/>
      <c r="E788" s="7"/>
      <c r="F788" s="7"/>
    </row>
    <row r="789" spans="1:6" x14ac:dyDescent="0.25">
      <c r="A789" s="7"/>
      <c r="E789" s="7"/>
      <c r="F789" s="7"/>
    </row>
    <row r="790" spans="1:6" x14ac:dyDescent="0.25">
      <c r="A790" s="7"/>
      <c r="E790" s="7"/>
      <c r="F790" s="7"/>
    </row>
    <row r="791" spans="1:6" x14ac:dyDescent="0.25">
      <c r="A791" s="7"/>
      <c r="E791" s="7"/>
      <c r="F791" s="7"/>
    </row>
    <row r="792" spans="1:6" x14ac:dyDescent="0.25">
      <c r="A792" s="7"/>
      <c r="E792" s="7"/>
      <c r="F792" s="7"/>
    </row>
    <row r="793" spans="1:6" x14ac:dyDescent="0.25">
      <c r="A793" s="7"/>
      <c r="E793" s="7"/>
      <c r="F793" s="7"/>
    </row>
    <row r="794" spans="1:6" x14ac:dyDescent="0.25">
      <c r="A794" s="7"/>
      <c r="E794" s="7"/>
      <c r="F794" s="7"/>
    </row>
    <row r="795" spans="1:6" x14ac:dyDescent="0.25">
      <c r="A795" s="7"/>
      <c r="E795" s="7"/>
      <c r="F795" s="7"/>
    </row>
    <row r="796" spans="1:6" x14ac:dyDescent="0.25">
      <c r="A796" s="7"/>
      <c r="E796" s="7"/>
      <c r="F796" s="7"/>
    </row>
    <row r="797" spans="1:6" x14ac:dyDescent="0.25">
      <c r="A797" s="7"/>
      <c r="E797" s="7"/>
      <c r="F797" s="7"/>
    </row>
    <row r="798" spans="1:6" x14ac:dyDescent="0.25">
      <c r="A798" s="7"/>
      <c r="E798" s="7"/>
      <c r="F798" s="7"/>
    </row>
    <row r="799" spans="1:6" x14ac:dyDescent="0.25">
      <c r="A799" s="7"/>
      <c r="E799" s="7"/>
      <c r="F799" s="7"/>
    </row>
    <row r="800" spans="1:6" x14ac:dyDescent="0.25">
      <c r="A800" s="7"/>
      <c r="E800" s="7"/>
      <c r="F800" s="7"/>
    </row>
    <row r="801" spans="1:6" x14ac:dyDescent="0.25">
      <c r="A801" s="7"/>
      <c r="E801" s="7"/>
      <c r="F801" s="7"/>
    </row>
    <row r="802" spans="1:6" x14ac:dyDescent="0.25">
      <c r="A802" s="7"/>
      <c r="E802" s="7"/>
      <c r="F802" s="7"/>
    </row>
    <row r="803" spans="1:6" x14ac:dyDescent="0.25">
      <c r="A803" s="7"/>
      <c r="E803" s="7"/>
      <c r="F803" s="7"/>
    </row>
    <row r="804" spans="1:6" x14ac:dyDescent="0.25">
      <c r="A804" s="7"/>
      <c r="E804" s="7"/>
      <c r="F804" s="7"/>
    </row>
    <row r="805" spans="1:6" x14ac:dyDescent="0.25">
      <c r="A805" s="7"/>
      <c r="E805" s="7"/>
      <c r="F805" s="7"/>
    </row>
    <row r="806" spans="1:6" x14ac:dyDescent="0.25">
      <c r="A806" s="7"/>
      <c r="E806" s="7"/>
      <c r="F806" s="7"/>
    </row>
    <row r="807" spans="1:6" x14ac:dyDescent="0.25">
      <c r="A807" s="7"/>
      <c r="E807" s="7"/>
      <c r="F807" s="7"/>
    </row>
    <row r="808" spans="1:6" x14ac:dyDescent="0.25">
      <c r="A808" s="7"/>
      <c r="E808" s="7"/>
      <c r="F808" s="7"/>
    </row>
    <row r="809" spans="1:6" x14ac:dyDescent="0.25">
      <c r="A809" s="7"/>
      <c r="E809" s="7"/>
      <c r="F809" s="7"/>
    </row>
    <row r="810" spans="1:6" x14ac:dyDescent="0.25">
      <c r="A810" s="7"/>
      <c r="E810" s="7"/>
      <c r="F810" s="7"/>
    </row>
    <row r="811" spans="1:6" x14ac:dyDescent="0.25">
      <c r="A811" s="7"/>
      <c r="E811" s="7"/>
      <c r="F811" s="7"/>
    </row>
    <row r="812" spans="1:6" x14ac:dyDescent="0.25">
      <c r="A812" s="7"/>
      <c r="E812" s="7"/>
      <c r="F812" s="7"/>
    </row>
    <row r="813" spans="1:6" x14ac:dyDescent="0.25">
      <c r="A813" s="7"/>
      <c r="E813" s="7"/>
      <c r="F813" s="7"/>
    </row>
    <row r="814" spans="1:6" x14ac:dyDescent="0.25">
      <c r="A814" s="7"/>
      <c r="E814" s="7"/>
      <c r="F814" s="7"/>
    </row>
    <row r="815" spans="1:6" x14ac:dyDescent="0.25">
      <c r="A815" s="7"/>
      <c r="E815" s="7"/>
      <c r="F815" s="7"/>
    </row>
    <row r="816" spans="1:6" x14ac:dyDescent="0.25">
      <c r="A816" s="7"/>
      <c r="E816" s="7"/>
      <c r="F816" s="7"/>
    </row>
    <row r="817" spans="1:6" x14ac:dyDescent="0.25">
      <c r="A817" s="7"/>
      <c r="E817" s="7"/>
      <c r="F817" s="7"/>
    </row>
    <row r="818" spans="1:6" x14ac:dyDescent="0.25">
      <c r="A818" s="7"/>
      <c r="E818" s="7"/>
      <c r="F818" s="7"/>
    </row>
    <row r="819" spans="1:6" x14ac:dyDescent="0.25">
      <c r="A819" s="7"/>
      <c r="E819" s="7"/>
      <c r="F819" s="7"/>
    </row>
    <row r="820" spans="1:6" x14ac:dyDescent="0.25">
      <c r="A820" s="7"/>
      <c r="E820" s="7"/>
      <c r="F820" s="7"/>
    </row>
    <row r="821" spans="1:6" x14ac:dyDescent="0.25">
      <c r="A821" s="7"/>
      <c r="E821" s="7"/>
      <c r="F821" s="7"/>
    </row>
    <row r="822" spans="1:6" x14ac:dyDescent="0.25">
      <c r="A822" s="7"/>
      <c r="E822" s="7"/>
      <c r="F822" s="7"/>
    </row>
    <row r="823" spans="1:6" x14ac:dyDescent="0.25">
      <c r="A823" s="7"/>
      <c r="E823" s="7"/>
      <c r="F823" s="7"/>
    </row>
    <row r="824" spans="1:6" x14ac:dyDescent="0.25">
      <c r="A824" s="7"/>
      <c r="E824" s="7"/>
      <c r="F824" s="7"/>
    </row>
    <row r="825" spans="1:6" x14ac:dyDescent="0.25">
      <c r="A825" s="7"/>
      <c r="E825" s="7"/>
      <c r="F825" s="7"/>
    </row>
    <row r="826" spans="1:6" x14ac:dyDescent="0.25">
      <c r="A826" s="7"/>
      <c r="E826" s="7"/>
      <c r="F826" s="7"/>
    </row>
    <row r="827" spans="1:6" x14ac:dyDescent="0.25">
      <c r="A827" s="7"/>
      <c r="E827" s="7"/>
      <c r="F827" s="7"/>
    </row>
    <row r="828" spans="1:6" x14ac:dyDescent="0.25">
      <c r="A828" s="7"/>
      <c r="E828" s="7"/>
      <c r="F828" s="7"/>
    </row>
    <row r="829" spans="1:6" x14ac:dyDescent="0.25">
      <c r="A829" s="7"/>
      <c r="E829" s="7"/>
      <c r="F829" s="7"/>
    </row>
    <row r="830" spans="1:6" x14ac:dyDescent="0.25">
      <c r="A830" s="7"/>
      <c r="E830" s="7"/>
      <c r="F830" s="7"/>
    </row>
    <row r="831" spans="1:6" x14ac:dyDescent="0.25">
      <c r="A831" s="7"/>
      <c r="E831" s="7"/>
      <c r="F831" s="7"/>
    </row>
    <row r="832" spans="1:6" x14ac:dyDescent="0.25">
      <c r="A832" s="7"/>
      <c r="E832" s="7"/>
      <c r="F832" s="7"/>
    </row>
    <row r="833" spans="1:6" x14ac:dyDescent="0.25">
      <c r="A833" s="7"/>
      <c r="E833" s="7"/>
      <c r="F833" s="7"/>
    </row>
    <row r="834" spans="1:6" x14ac:dyDescent="0.25">
      <c r="A834" s="7"/>
      <c r="E834" s="7"/>
      <c r="F834" s="7"/>
    </row>
    <row r="835" spans="1:6" x14ac:dyDescent="0.25">
      <c r="A835" s="7"/>
      <c r="E835" s="7"/>
      <c r="F835" s="7"/>
    </row>
    <row r="836" spans="1:6" x14ac:dyDescent="0.25">
      <c r="A836" s="7"/>
      <c r="E836" s="7"/>
      <c r="F836" s="7"/>
    </row>
    <row r="837" spans="1:6" x14ac:dyDescent="0.25">
      <c r="A837" s="7"/>
      <c r="E837" s="7"/>
      <c r="F837" s="7"/>
    </row>
    <row r="838" spans="1:6" x14ac:dyDescent="0.25">
      <c r="A838" s="7"/>
      <c r="E838" s="7"/>
      <c r="F838" s="7"/>
    </row>
    <row r="839" spans="1:6" x14ac:dyDescent="0.25">
      <c r="A839" s="7"/>
      <c r="E839" s="7"/>
      <c r="F839" s="7"/>
    </row>
    <row r="840" spans="1:6" x14ac:dyDescent="0.25">
      <c r="A840" s="7"/>
      <c r="E840" s="7"/>
      <c r="F840" s="7"/>
    </row>
    <row r="841" spans="1:6" x14ac:dyDescent="0.25">
      <c r="A841" s="7"/>
      <c r="E841" s="7"/>
      <c r="F841" s="7"/>
    </row>
    <row r="842" spans="1:6" x14ac:dyDescent="0.25">
      <c r="A842" s="7"/>
      <c r="E842" s="7"/>
      <c r="F842" s="7"/>
    </row>
    <row r="843" spans="1:6" x14ac:dyDescent="0.25">
      <c r="A843" s="7"/>
      <c r="E843" s="7"/>
      <c r="F843" s="7"/>
    </row>
    <row r="844" spans="1:6" x14ac:dyDescent="0.25">
      <c r="A844" s="7"/>
      <c r="E844" s="7"/>
      <c r="F844" s="7"/>
    </row>
    <row r="845" spans="1:6" x14ac:dyDescent="0.25">
      <c r="A845" s="7"/>
      <c r="E845" s="7"/>
      <c r="F845" s="7"/>
    </row>
    <row r="846" spans="1:6" x14ac:dyDescent="0.25">
      <c r="A846" s="7"/>
      <c r="E846" s="7"/>
      <c r="F846" s="7"/>
    </row>
    <row r="847" spans="1:6" x14ac:dyDescent="0.25">
      <c r="A847" s="7"/>
      <c r="E847" s="7"/>
      <c r="F847" s="7"/>
    </row>
    <row r="848" spans="1:6" x14ac:dyDescent="0.25">
      <c r="A848" s="7"/>
      <c r="E848" s="7"/>
      <c r="F848" s="7"/>
    </row>
    <row r="849" spans="1:6" x14ac:dyDescent="0.25">
      <c r="A849" s="7"/>
      <c r="E849" s="7"/>
      <c r="F849" s="7"/>
    </row>
    <row r="850" spans="1:6" x14ac:dyDescent="0.25">
      <c r="A850" s="7"/>
      <c r="E850" s="7"/>
      <c r="F850" s="7"/>
    </row>
    <row r="851" spans="1:6" x14ac:dyDescent="0.25">
      <c r="A851" s="7"/>
      <c r="E851" s="7"/>
      <c r="F851" s="7"/>
    </row>
    <row r="852" spans="1:6" x14ac:dyDescent="0.25">
      <c r="A852" s="7"/>
      <c r="E852" s="7"/>
      <c r="F852" s="7"/>
    </row>
    <row r="853" spans="1:6" x14ac:dyDescent="0.25">
      <c r="A853" s="7"/>
      <c r="E853" s="7"/>
      <c r="F853" s="7"/>
    </row>
    <row r="854" spans="1:6" x14ac:dyDescent="0.25">
      <c r="A854" s="7"/>
      <c r="E854" s="7"/>
      <c r="F854" s="7"/>
    </row>
    <row r="855" spans="1:6" x14ac:dyDescent="0.25">
      <c r="A855" s="7"/>
      <c r="E855" s="7"/>
      <c r="F855" s="7"/>
    </row>
    <row r="856" spans="1:6" x14ac:dyDescent="0.25">
      <c r="A856" s="7"/>
      <c r="E856" s="7"/>
      <c r="F856" s="7"/>
    </row>
    <row r="857" spans="1:6" x14ac:dyDescent="0.25">
      <c r="A857" s="7"/>
      <c r="E857" s="7"/>
      <c r="F857" s="7"/>
    </row>
    <row r="858" spans="1:6" x14ac:dyDescent="0.25">
      <c r="A858" s="7"/>
      <c r="E858" s="7"/>
      <c r="F858" s="7"/>
    </row>
    <row r="859" spans="1:6" x14ac:dyDescent="0.25">
      <c r="A859" s="7"/>
      <c r="E859" s="7"/>
      <c r="F859" s="7"/>
    </row>
    <row r="860" spans="1:6" x14ac:dyDescent="0.25">
      <c r="A860" s="7"/>
      <c r="E860" s="7"/>
      <c r="F860" s="7"/>
    </row>
    <row r="861" spans="1:6" x14ac:dyDescent="0.25">
      <c r="A861" s="7"/>
      <c r="E861" s="7"/>
      <c r="F861" s="7"/>
    </row>
    <row r="862" spans="1:6" x14ac:dyDescent="0.25">
      <c r="A862" s="7"/>
      <c r="E862" s="7"/>
      <c r="F862" s="7"/>
    </row>
    <row r="863" spans="1:6" x14ac:dyDescent="0.25">
      <c r="A863" s="7"/>
      <c r="E863" s="7"/>
      <c r="F863" s="7"/>
    </row>
    <row r="864" spans="1:6" x14ac:dyDescent="0.25">
      <c r="A864" s="7"/>
      <c r="E864" s="7"/>
      <c r="F864" s="7"/>
    </row>
    <row r="865" spans="1:6" x14ac:dyDescent="0.25">
      <c r="A865" s="7"/>
      <c r="E865" s="7"/>
      <c r="F865" s="7"/>
    </row>
    <row r="866" spans="1:6" x14ac:dyDescent="0.25">
      <c r="A866" s="7"/>
      <c r="E866" s="7"/>
      <c r="F866" s="7"/>
    </row>
    <row r="867" spans="1:6" x14ac:dyDescent="0.25">
      <c r="A867" s="7"/>
      <c r="E867" s="7"/>
      <c r="F867" s="7"/>
    </row>
    <row r="868" spans="1:6" x14ac:dyDescent="0.25">
      <c r="A868" s="7"/>
      <c r="E868" s="7"/>
      <c r="F868" s="7"/>
    </row>
    <row r="869" spans="1:6" x14ac:dyDescent="0.25">
      <c r="A869" s="7"/>
      <c r="E869" s="7"/>
      <c r="F869" s="7"/>
    </row>
    <row r="870" spans="1:6" x14ac:dyDescent="0.25">
      <c r="A870" s="7"/>
      <c r="E870" s="7"/>
      <c r="F870" s="7"/>
    </row>
    <row r="871" spans="1:6" x14ac:dyDescent="0.25">
      <c r="A871" s="7"/>
      <c r="E871" s="7"/>
      <c r="F871" s="7"/>
    </row>
    <row r="872" spans="1:6" x14ac:dyDescent="0.25">
      <c r="A872" s="7"/>
      <c r="E872" s="7"/>
      <c r="F872" s="7"/>
    </row>
    <row r="873" spans="1:6" x14ac:dyDescent="0.25">
      <c r="A873" s="7"/>
      <c r="E873" s="7"/>
      <c r="F873" s="7"/>
    </row>
    <row r="874" spans="1:6" x14ac:dyDescent="0.25">
      <c r="A874" s="7"/>
      <c r="E874" s="7"/>
      <c r="F874" s="7"/>
    </row>
    <row r="875" spans="1:6" x14ac:dyDescent="0.25">
      <c r="A875" s="7"/>
      <c r="E875" s="7"/>
      <c r="F875" s="7"/>
    </row>
    <row r="876" spans="1:6" x14ac:dyDescent="0.25">
      <c r="A876" s="7"/>
      <c r="E876" s="7"/>
      <c r="F876" s="7"/>
    </row>
    <row r="877" spans="1:6" x14ac:dyDescent="0.25">
      <c r="A877" s="7"/>
      <c r="E877" s="7"/>
      <c r="F877" s="7"/>
    </row>
    <row r="878" spans="1:6" x14ac:dyDescent="0.25">
      <c r="A878" s="7"/>
      <c r="E878" s="7"/>
      <c r="F878" s="7"/>
    </row>
    <row r="879" spans="1:6" x14ac:dyDescent="0.25">
      <c r="A879" s="7"/>
      <c r="E879" s="7"/>
      <c r="F879" s="7"/>
    </row>
    <row r="880" spans="1:6" x14ac:dyDescent="0.25">
      <c r="A880" s="7"/>
      <c r="E880" s="7"/>
      <c r="F880" s="7"/>
    </row>
    <row r="881" spans="1:6" x14ac:dyDescent="0.25">
      <c r="A881" s="7"/>
      <c r="E881" s="7"/>
      <c r="F881" s="7"/>
    </row>
    <row r="882" spans="1:6" x14ac:dyDescent="0.25">
      <c r="A882" s="7"/>
      <c r="E882" s="7"/>
      <c r="F882" s="7"/>
    </row>
    <row r="883" spans="1:6" x14ac:dyDescent="0.25">
      <c r="A883" s="7"/>
      <c r="E883" s="7"/>
      <c r="F883" s="7"/>
    </row>
    <row r="884" spans="1:6" x14ac:dyDescent="0.25">
      <c r="A884" s="7"/>
      <c r="E884" s="7"/>
      <c r="F884" s="7"/>
    </row>
    <row r="885" spans="1:6" x14ac:dyDescent="0.25">
      <c r="A885" s="7"/>
      <c r="E885" s="7"/>
      <c r="F885" s="7"/>
    </row>
    <row r="886" spans="1:6" x14ac:dyDescent="0.25">
      <c r="A886" s="7"/>
      <c r="E886" s="7"/>
      <c r="F886" s="7"/>
    </row>
    <row r="887" spans="1:6" x14ac:dyDescent="0.25">
      <c r="A887" s="7"/>
      <c r="E887" s="7"/>
      <c r="F887" s="7"/>
    </row>
    <row r="888" spans="1:6" x14ac:dyDescent="0.25">
      <c r="A888" s="7"/>
      <c r="E888" s="7"/>
      <c r="F888" s="7"/>
    </row>
    <row r="889" spans="1:6" x14ac:dyDescent="0.25">
      <c r="A889" s="7"/>
      <c r="E889" s="7"/>
      <c r="F889" s="7"/>
    </row>
    <row r="890" spans="1:6" x14ac:dyDescent="0.25">
      <c r="A890" s="7"/>
      <c r="E890" s="7"/>
      <c r="F890" s="7"/>
    </row>
    <row r="891" spans="1:6" x14ac:dyDescent="0.25">
      <c r="A891" s="7"/>
      <c r="E891" s="7"/>
      <c r="F891" s="7"/>
    </row>
    <row r="892" spans="1:6" x14ac:dyDescent="0.25">
      <c r="A892" s="7"/>
      <c r="E892" s="7"/>
      <c r="F892" s="7"/>
    </row>
    <row r="893" spans="1:6" x14ac:dyDescent="0.25">
      <c r="A893" s="7"/>
      <c r="E893" s="7"/>
      <c r="F893" s="7"/>
    </row>
    <row r="894" spans="1:6" x14ac:dyDescent="0.25">
      <c r="A894" s="7"/>
      <c r="E894" s="7"/>
      <c r="F894" s="7"/>
    </row>
    <row r="895" spans="1:6" x14ac:dyDescent="0.25">
      <c r="A895" s="7"/>
      <c r="E895" s="7"/>
      <c r="F895" s="7"/>
    </row>
    <row r="896" spans="1:6" x14ac:dyDescent="0.25">
      <c r="A896" s="7"/>
      <c r="E896" s="7"/>
      <c r="F896" s="7"/>
    </row>
    <row r="897" spans="1:6" x14ac:dyDescent="0.25">
      <c r="A897" s="7"/>
      <c r="E897" s="7"/>
      <c r="F897" s="7"/>
    </row>
    <row r="898" spans="1:6" x14ac:dyDescent="0.25">
      <c r="A898" s="7"/>
      <c r="E898" s="7"/>
      <c r="F898" s="7"/>
    </row>
    <row r="899" spans="1:6" x14ac:dyDescent="0.25">
      <c r="A899" s="7"/>
      <c r="E899" s="7"/>
      <c r="F899" s="7"/>
    </row>
    <row r="900" spans="1:6" x14ac:dyDescent="0.25">
      <c r="A900" s="7"/>
      <c r="E900" s="7"/>
      <c r="F900" s="7"/>
    </row>
    <row r="901" spans="1:6" x14ac:dyDescent="0.25">
      <c r="A901" s="7"/>
      <c r="E901" s="7"/>
      <c r="F901" s="7"/>
    </row>
    <row r="902" spans="1:6" x14ac:dyDescent="0.25">
      <c r="A902" s="7"/>
      <c r="E902" s="7"/>
      <c r="F902" s="7"/>
    </row>
    <row r="903" spans="1:6" x14ac:dyDescent="0.25">
      <c r="A903" s="7"/>
      <c r="E903" s="7"/>
      <c r="F903" s="7"/>
    </row>
    <row r="904" spans="1:6" x14ac:dyDescent="0.25">
      <c r="A904" s="7"/>
      <c r="E904" s="7"/>
      <c r="F904" s="7"/>
    </row>
    <row r="905" spans="1:6" x14ac:dyDescent="0.25">
      <c r="A905" s="7"/>
      <c r="E905" s="7"/>
      <c r="F905" s="7"/>
    </row>
    <row r="906" spans="1:6" x14ac:dyDescent="0.25">
      <c r="A906" s="7"/>
      <c r="E906" s="7"/>
      <c r="F906" s="7"/>
    </row>
    <row r="907" spans="1:6" x14ac:dyDescent="0.25">
      <c r="A907" s="7"/>
      <c r="E907" s="7"/>
      <c r="F907" s="7"/>
    </row>
    <row r="908" spans="1:6" x14ac:dyDescent="0.25">
      <c r="A908" s="7"/>
      <c r="E908" s="7"/>
      <c r="F908" s="7"/>
    </row>
    <row r="909" spans="1:6" x14ac:dyDescent="0.25">
      <c r="A909" s="7"/>
      <c r="E909" s="7"/>
      <c r="F909" s="7"/>
    </row>
    <row r="910" spans="1:6" x14ac:dyDescent="0.25">
      <c r="A910" s="7"/>
      <c r="E910" s="7"/>
      <c r="F910" s="7"/>
    </row>
    <row r="911" spans="1:6" x14ac:dyDescent="0.25">
      <c r="A911" s="7"/>
      <c r="E911" s="7"/>
      <c r="F911" s="7"/>
    </row>
    <row r="912" spans="1:6" x14ac:dyDescent="0.25">
      <c r="A912" s="7"/>
      <c r="E912" s="7"/>
      <c r="F912" s="7"/>
    </row>
    <row r="913" spans="1:6" x14ac:dyDescent="0.25">
      <c r="A913" s="7"/>
      <c r="E913" s="7"/>
      <c r="F913" s="7"/>
    </row>
    <row r="914" spans="1:6" x14ac:dyDescent="0.25">
      <c r="A914" s="7"/>
      <c r="E914" s="7"/>
      <c r="F914" s="7"/>
    </row>
    <row r="915" spans="1:6" x14ac:dyDescent="0.25">
      <c r="A915" s="7"/>
      <c r="E915" s="7"/>
      <c r="F915" s="7"/>
    </row>
    <row r="916" spans="1:6" x14ac:dyDescent="0.25">
      <c r="A916" s="7"/>
      <c r="E916" s="7"/>
      <c r="F916" s="7"/>
    </row>
    <row r="917" spans="1:6" x14ac:dyDescent="0.25">
      <c r="A917" s="7"/>
      <c r="E917" s="7"/>
      <c r="F917" s="7"/>
    </row>
    <row r="918" spans="1:6" x14ac:dyDescent="0.25">
      <c r="A918" s="7"/>
      <c r="E918" s="7"/>
      <c r="F918" s="7"/>
    </row>
    <row r="919" spans="1:6" x14ac:dyDescent="0.25">
      <c r="A919" s="7"/>
      <c r="E919" s="7"/>
      <c r="F919" s="7"/>
    </row>
    <row r="920" spans="1:6" x14ac:dyDescent="0.25">
      <c r="A920" s="7"/>
      <c r="E920" s="7"/>
      <c r="F920" s="7"/>
    </row>
    <row r="921" spans="1:6" x14ac:dyDescent="0.25">
      <c r="A921" s="7"/>
      <c r="E921" s="7"/>
      <c r="F921" s="7"/>
    </row>
    <row r="922" spans="1:6" x14ac:dyDescent="0.25">
      <c r="A922" s="7"/>
      <c r="E922" s="7"/>
      <c r="F922" s="7"/>
    </row>
    <row r="923" spans="1:6" x14ac:dyDescent="0.25">
      <c r="A923" s="7"/>
      <c r="E923" s="7"/>
      <c r="F923" s="7"/>
    </row>
    <row r="924" spans="1:6" x14ac:dyDescent="0.25">
      <c r="A924" s="7"/>
      <c r="E924" s="7"/>
      <c r="F924" s="7"/>
    </row>
    <row r="925" spans="1:6" x14ac:dyDescent="0.25">
      <c r="A925" s="7"/>
      <c r="E925" s="7"/>
      <c r="F925" s="7"/>
    </row>
    <row r="926" spans="1:6" x14ac:dyDescent="0.25">
      <c r="A926" s="7"/>
      <c r="E926" s="7"/>
      <c r="F926" s="7"/>
    </row>
    <row r="927" spans="1:6" x14ac:dyDescent="0.25">
      <c r="A927" s="7"/>
      <c r="E927" s="7"/>
      <c r="F927" s="7"/>
    </row>
    <row r="928" spans="1:6" x14ac:dyDescent="0.25">
      <c r="A928" s="7"/>
      <c r="E928" s="7"/>
      <c r="F928" s="7"/>
    </row>
    <row r="929" spans="1:6" x14ac:dyDescent="0.25">
      <c r="A929" s="7"/>
      <c r="E929" s="7"/>
      <c r="F929" s="7"/>
    </row>
    <row r="930" spans="1:6" x14ac:dyDescent="0.25">
      <c r="A930" s="7"/>
      <c r="E930" s="7"/>
      <c r="F930" s="7"/>
    </row>
    <row r="931" spans="1:6" x14ac:dyDescent="0.25">
      <c r="A931" s="7"/>
      <c r="E931" s="7"/>
      <c r="F931" s="7"/>
    </row>
    <row r="932" spans="1:6" x14ac:dyDescent="0.25">
      <c r="A932" s="7"/>
      <c r="E932" s="7"/>
      <c r="F932" s="7"/>
    </row>
    <row r="933" spans="1:6" x14ac:dyDescent="0.25">
      <c r="A933" s="7"/>
      <c r="E933" s="7"/>
      <c r="F933" s="7"/>
    </row>
    <row r="934" spans="1:6" x14ac:dyDescent="0.25">
      <c r="A934" s="7"/>
      <c r="E934" s="7"/>
      <c r="F934" s="7"/>
    </row>
    <row r="935" spans="1:6" x14ac:dyDescent="0.25">
      <c r="A935" s="7"/>
      <c r="E935" s="7"/>
      <c r="F935" s="7"/>
    </row>
    <row r="936" spans="1:6" x14ac:dyDescent="0.25">
      <c r="A936" s="7"/>
      <c r="E936" s="7"/>
      <c r="F936" s="7"/>
    </row>
    <row r="937" spans="1:6" x14ac:dyDescent="0.25">
      <c r="A937" s="7"/>
      <c r="E937" s="7"/>
      <c r="F937" s="7"/>
    </row>
    <row r="938" spans="1:6" x14ac:dyDescent="0.25">
      <c r="A938" s="7"/>
      <c r="E938" s="7"/>
      <c r="F938" s="7"/>
    </row>
    <row r="939" spans="1:6" x14ac:dyDescent="0.25">
      <c r="A939" s="7"/>
      <c r="E939" s="7"/>
      <c r="F939" s="7"/>
    </row>
    <row r="940" spans="1:6" x14ac:dyDescent="0.25">
      <c r="A940" s="7"/>
      <c r="E940" s="7"/>
      <c r="F940" s="7"/>
    </row>
    <row r="941" spans="1:6" x14ac:dyDescent="0.25">
      <c r="A941" s="7"/>
      <c r="E941" s="7"/>
      <c r="F941" s="7"/>
    </row>
    <row r="942" spans="1:6" x14ac:dyDescent="0.25">
      <c r="A942" s="7"/>
      <c r="E942" s="7"/>
      <c r="F942" s="7"/>
    </row>
    <row r="943" spans="1:6" x14ac:dyDescent="0.25">
      <c r="A943" s="7"/>
      <c r="E943" s="7"/>
      <c r="F943" s="7"/>
    </row>
    <row r="944" spans="1:6" x14ac:dyDescent="0.25">
      <c r="A944" s="7"/>
      <c r="E944" s="7"/>
      <c r="F944" s="7"/>
    </row>
    <row r="945" spans="1:6" x14ac:dyDescent="0.25">
      <c r="A945" s="7"/>
      <c r="E945" s="7"/>
      <c r="F945" s="7"/>
    </row>
    <row r="946" spans="1:6" x14ac:dyDescent="0.25">
      <c r="A946" s="7"/>
      <c r="E946" s="7"/>
      <c r="F946" s="7"/>
    </row>
    <row r="947" spans="1:6" x14ac:dyDescent="0.25">
      <c r="A947" s="7"/>
      <c r="E947" s="7"/>
      <c r="F947" s="7"/>
    </row>
    <row r="948" spans="1:6" x14ac:dyDescent="0.25">
      <c r="A948" s="7"/>
      <c r="E948" s="7"/>
      <c r="F948" s="7"/>
    </row>
    <row r="949" spans="1:6" x14ac:dyDescent="0.25">
      <c r="A949" s="7"/>
      <c r="E949" s="7"/>
      <c r="F949" s="7"/>
    </row>
    <row r="950" spans="1:6" x14ac:dyDescent="0.25">
      <c r="A950" s="7"/>
      <c r="E950" s="7"/>
      <c r="F950" s="7"/>
    </row>
    <row r="951" spans="1:6" x14ac:dyDescent="0.25">
      <c r="A951" s="7"/>
      <c r="E951" s="7"/>
      <c r="F951" s="7"/>
    </row>
    <row r="952" spans="1:6" x14ac:dyDescent="0.25">
      <c r="A952" s="7"/>
      <c r="E952" s="7"/>
      <c r="F952" s="7"/>
    </row>
    <row r="953" spans="1:6" x14ac:dyDescent="0.25">
      <c r="A953" s="7"/>
      <c r="E953" s="7"/>
      <c r="F953" s="7"/>
    </row>
    <row r="954" spans="1:6" x14ac:dyDescent="0.25">
      <c r="A954" s="7"/>
      <c r="E954" s="7"/>
      <c r="F954" s="7"/>
    </row>
    <row r="955" spans="1:6" x14ac:dyDescent="0.25">
      <c r="A955" s="7"/>
      <c r="E955" s="7"/>
      <c r="F955" s="7"/>
    </row>
    <row r="956" spans="1:6" x14ac:dyDescent="0.25">
      <c r="A956" s="7"/>
      <c r="E956" s="7"/>
      <c r="F956" s="7"/>
    </row>
    <row r="957" spans="1:6" x14ac:dyDescent="0.25">
      <c r="A957" s="7"/>
      <c r="E957" s="7"/>
      <c r="F957" s="7"/>
    </row>
    <row r="958" spans="1:6" x14ac:dyDescent="0.25">
      <c r="A958" s="7"/>
      <c r="E958" s="7"/>
      <c r="F958" s="7"/>
    </row>
    <row r="959" spans="1:6" x14ac:dyDescent="0.25">
      <c r="A959" s="7"/>
      <c r="E959" s="7"/>
      <c r="F959" s="7"/>
    </row>
    <row r="960" spans="1:6" x14ac:dyDescent="0.25">
      <c r="A960" s="7"/>
      <c r="E960" s="7"/>
      <c r="F960" s="7"/>
    </row>
    <row r="961" spans="1:6" x14ac:dyDescent="0.25">
      <c r="A961" s="7"/>
      <c r="E961" s="7"/>
      <c r="F961" s="7"/>
    </row>
    <row r="962" spans="1:6" x14ac:dyDescent="0.25">
      <c r="A962" s="7"/>
      <c r="E962" s="7"/>
      <c r="F962" s="7"/>
    </row>
    <row r="963" spans="1:6" x14ac:dyDescent="0.25">
      <c r="A963" s="7"/>
      <c r="E963" s="7"/>
      <c r="F963" s="7"/>
    </row>
    <row r="964" spans="1:6" x14ac:dyDescent="0.25">
      <c r="A964" s="7"/>
      <c r="E964" s="7"/>
      <c r="F964" s="7"/>
    </row>
    <row r="965" spans="1:6" x14ac:dyDescent="0.25">
      <c r="A965" s="7"/>
      <c r="E965" s="7"/>
      <c r="F965" s="7"/>
    </row>
    <row r="966" spans="1:6" x14ac:dyDescent="0.25">
      <c r="A966" s="7"/>
      <c r="E966" s="7"/>
      <c r="F966" s="7"/>
    </row>
    <row r="967" spans="1:6" x14ac:dyDescent="0.25">
      <c r="A967" s="7"/>
      <c r="E967" s="7"/>
      <c r="F967" s="7"/>
    </row>
    <row r="968" spans="1:6" x14ac:dyDescent="0.25">
      <c r="A968" s="7"/>
      <c r="E968" s="7"/>
      <c r="F968" s="7"/>
    </row>
    <row r="969" spans="1:6" x14ac:dyDescent="0.25">
      <c r="A969" s="7"/>
      <c r="E969" s="7"/>
      <c r="F969" s="7"/>
    </row>
    <row r="970" spans="1:6" x14ac:dyDescent="0.25">
      <c r="A970" s="7"/>
      <c r="E970" s="7"/>
      <c r="F970" s="7"/>
    </row>
    <row r="971" spans="1:6" x14ac:dyDescent="0.25">
      <c r="A971" s="7"/>
      <c r="E971" s="7"/>
      <c r="F971" s="7"/>
    </row>
    <row r="972" spans="1:6" x14ac:dyDescent="0.25">
      <c r="A972" s="7"/>
      <c r="E972" s="7"/>
      <c r="F972" s="7"/>
    </row>
    <row r="973" spans="1:6" x14ac:dyDescent="0.25">
      <c r="A973" s="7"/>
      <c r="E973" s="7"/>
      <c r="F973" s="7"/>
    </row>
    <row r="974" spans="1:6" x14ac:dyDescent="0.25">
      <c r="A974" s="7"/>
      <c r="E974" s="7"/>
      <c r="F974" s="7"/>
    </row>
    <row r="975" spans="1:6" x14ac:dyDescent="0.25">
      <c r="A975" s="7"/>
      <c r="E975" s="7"/>
      <c r="F975" s="7"/>
    </row>
    <row r="976" spans="1:6" x14ac:dyDescent="0.25">
      <c r="A976" s="7"/>
      <c r="E976" s="7"/>
      <c r="F976" s="7"/>
    </row>
    <row r="977" spans="1:6" x14ac:dyDescent="0.25">
      <c r="A977" s="7"/>
      <c r="E977" s="7"/>
      <c r="F977" s="7"/>
    </row>
    <row r="978" spans="1:6" x14ac:dyDescent="0.25">
      <c r="A978" s="7"/>
      <c r="E978" s="7"/>
      <c r="F978" s="7"/>
    </row>
    <row r="979" spans="1:6" x14ac:dyDescent="0.25">
      <c r="A979" s="7"/>
      <c r="E979" s="7"/>
      <c r="F979" s="7"/>
    </row>
    <row r="980" spans="1:6" x14ac:dyDescent="0.25">
      <c r="A980" s="7"/>
      <c r="E980" s="7"/>
      <c r="F980" s="7"/>
    </row>
    <row r="981" spans="1:6" x14ac:dyDescent="0.25">
      <c r="A981" s="7"/>
      <c r="E981" s="7"/>
      <c r="F981" s="7"/>
    </row>
    <row r="982" spans="1:6" x14ac:dyDescent="0.25">
      <c r="A982" s="7"/>
      <c r="E982" s="7"/>
      <c r="F982" s="7"/>
    </row>
    <row r="983" spans="1:6" x14ac:dyDescent="0.25">
      <c r="A983" s="7"/>
      <c r="E983" s="7"/>
      <c r="F983" s="7"/>
    </row>
    <row r="984" spans="1:6" x14ac:dyDescent="0.25">
      <c r="A984" s="7"/>
      <c r="E984" s="7"/>
      <c r="F984" s="7"/>
    </row>
    <row r="985" spans="1:6" x14ac:dyDescent="0.25">
      <c r="A985" s="7"/>
      <c r="E985" s="7"/>
      <c r="F985" s="7"/>
    </row>
    <row r="986" spans="1:6" x14ac:dyDescent="0.25">
      <c r="A986" s="7"/>
      <c r="E986" s="7"/>
      <c r="F986" s="7"/>
    </row>
    <row r="987" spans="1:6" x14ac:dyDescent="0.25">
      <c r="A987" s="7"/>
      <c r="E987" s="7"/>
      <c r="F987" s="7"/>
    </row>
    <row r="988" spans="1:6" x14ac:dyDescent="0.25">
      <c r="A988" s="7"/>
      <c r="E988" s="7"/>
      <c r="F988" s="7"/>
    </row>
    <row r="989" spans="1:6" x14ac:dyDescent="0.25">
      <c r="A989" s="7"/>
      <c r="E989" s="7"/>
      <c r="F989" s="7"/>
    </row>
    <row r="990" spans="1:6" x14ac:dyDescent="0.25">
      <c r="A990" s="7"/>
      <c r="E990" s="7"/>
      <c r="F990" s="7"/>
    </row>
    <row r="991" spans="1:6" x14ac:dyDescent="0.25">
      <c r="A991" s="7"/>
      <c r="E991" s="7"/>
      <c r="F991" s="7"/>
    </row>
    <row r="992" spans="1:6" x14ac:dyDescent="0.25">
      <c r="A992" s="7"/>
      <c r="E992" s="7"/>
      <c r="F992" s="7"/>
    </row>
    <row r="993" spans="1:6" x14ac:dyDescent="0.25">
      <c r="A993" s="7"/>
      <c r="E993" s="7"/>
      <c r="F993" s="7"/>
    </row>
    <row r="994" spans="1:6" x14ac:dyDescent="0.25">
      <c r="A994" s="7"/>
      <c r="E994" s="7"/>
      <c r="F994" s="7"/>
    </row>
    <row r="995" spans="1:6" x14ac:dyDescent="0.25">
      <c r="A995" s="7"/>
      <c r="E995" s="7"/>
      <c r="F995" s="7"/>
    </row>
    <row r="996" spans="1:6" x14ac:dyDescent="0.25">
      <c r="A996" s="7"/>
      <c r="E996" s="7"/>
      <c r="F996" s="7"/>
    </row>
    <row r="997" spans="1:6" x14ac:dyDescent="0.25">
      <c r="A997" s="7"/>
      <c r="E997" s="7"/>
      <c r="F997" s="7"/>
    </row>
    <row r="998" spans="1:6" x14ac:dyDescent="0.25">
      <c r="A998" s="7"/>
      <c r="E998" s="7"/>
      <c r="F998" s="7"/>
    </row>
    <row r="999" spans="1:6" x14ac:dyDescent="0.25">
      <c r="A999" s="7"/>
      <c r="E999" s="7"/>
      <c r="F999" s="7"/>
    </row>
    <row r="1000" spans="1:6" x14ac:dyDescent="0.25">
      <c r="A1000" s="7"/>
      <c r="E1000" s="7"/>
      <c r="F1000" s="7"/>
    </row>
    <row r="1001" spans="1:6" x14ac:dyDescent="0.25">
      <c r="A1001" s="7"/>
      <c r="E1001" s="7"/>
      <c r="F1001" s="7"/>
    </row>
    <row r="1002" spans="1:6" x14ac:dyDescent="0.25">
      <c r="A1002" s="7"/>
      <c r="E1002" s="7"/>
      <c r="F1002" s="7"/>
    </row>
  </sheetData>
  <mergeCells count="4">
    <mergeCell ref="A1:I1"/>
    <mergeCell ref="A2:I2"/>
    <mergeCell ref="B3:C3"/>
    <mergeCell ref="A16:I16"/>
  </mergeCells>
  <printOptions horizontalCentered="1" verticalCentered="1" gridLines="1"/>
  <pageMargins left="0.25" right="0.25" top="0.75" bottom="0.75" header="0" footer="0"/>
  <pageSetup fitToHeight="0" pageOrder="overThenDown" orientation="landscape" cellComments="atEnd"/>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outlinePr summaryBelow="0" summaryRight="0"/>
  </sheetPr>
  <dimension ref="A1:W1002"/>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46.33203125" customWidth="1"/>
    <col min="2" max="2" width="7.33203125" customWidth="1"/>
    <col min="3" max="4" width="7.88671875" customWidth="1"/>
    <col min="5" max="5" width="22.21875" customWidth="1"/>
    <col min="6" max="6" width="14.6640625" customWidth="1"/>
  </cols>
  <sheetData>
    <row r="1" spans="1:23" x14ac:dyDescent="0.25">
      <c r="A1" s="141" t="s">
        <v>715</v>
      </c>
      <c r="B1" s="142"/>
      <c r="C1" s="142"/>
      <c r="D1" s="142"/>
      <c r="E1" s="142"/>
      <c r="F1" s="142"/>
      <c r="G1" s="142"/>
      <c r="H1" s="142"/>
      <c r="I1" s="143"/>
    </row>
    <row r="2" spans="1:23" x14ac:dyDescent="0.25">
      <c r="A2" s="144" t="s">
        <v>716</v>
      </c>
      <c r="B2" s="142"/>
      <c r="C2" s="142"/>
      <c r="D2" s="142"/>
      <c r="E2" s="142"/>
      <c r="F2" s="142"/>
      <c r="G2" s="142"/>
      <c r="H2" s="142"/>
      <c r="I2" s="143"/>
    </row>
    <row r="3" spans="1:23" x14ac:dyDescent="0.25">
      <c r="A3" s="43" t="s">
        <v>374</v>
      </c>
      <c r="B3" s="145" t="s">
        <v>408</v>
      </c>
      <c r="C3" s="143"/>
      <c r="D3" s="49" t="s">
        <v>370</v>
      </c>
      <c r="E3" s="50" t="s">
        <v>371</v>
      </c>
      <c r="F3" s="51" t="s">
        <v>372</v>
      </c>
      <c r="G3" s="52" t="s">
        <v>373</v>
      </c>
      <c r="H3" s="53" t="s">
        <v>409</v>
      </c>
      <c r="I3" s="53" t="s">
        <v>410</v>
      </c>
      <c r="J3" s="7"/>
      <c r="K3" s="7"/>
      <c r="L3" s="7"/>
      <c r="M3" s="7"/>
      <c r="N3" s="7"/>
      <c r="O3" s="7"/>
      <c r="P3" s="7"/>
      <c r="Q3" s="7"/>
      <c r="R3" s="7"/>
      <c r="S3" s="7"/>
      <c r="T3" s="7"/>
      <c r="U3" s="7"/>
      <c r="V3" s="7"/>
      <c r="W3" s="7"/>
    </row>
    <row r="4" spans="1:23" x14ac:dyDescent="0.25">
      <c r="A4" s="41" t="s">
        <v>411</v>
      </c>
      <c r="B4" s="54">
        <f>SUM(B5:B8)/3</f>
        <v>1</v>
      </c>
      <c r="C4" s="55">
        <f>D4*B4</f>
        <v>0.7</v>
      </c>
      <c r="D4" s="56">
        <v>0.7</v>
      </c>
      <c r="E4" s="57"/>
      <c r="F4" s="57"/>
      <c r="G4" s="58"/>
      <c r="H4" s="58"/>
      <c r="I4" s="58"/>
    </row>
    <row r="5" spans="1:23" x14ac:dyDescent="0.25">
      <c r="A5" s="42" t="s">
        <v>717</v>
      </c>
      <c r="B5" s="59">
        <v>1</v>
      </c>
      <c r="C5" s="60"/>
      <c r="D5" s="60"/>
      <c r="E5" s="42"/>
      <c r="F5" s="61"/>
      <c r="G5" s="59">
        <v>0.8</v>
      </c>
      <c r="H5" s="59">
        <v>0.8</v>
      </c>
      <c r="I5" s="59">
        <v>1</v>
      </c>
    </row>
    <row r="6" spans="1:23" x14ac:dyDescent="0.25">
      <c r="A6" s="42" t="s">
        <v>718</v>
      </c>
      <c r="B6" s="59">
        <v>1</v>
      </c>
      <c r="C6" s="60"/>
      <c r="D6" s="60"/>
      <c r="E6" s="42"/>
      <c r="F6" s="61"/>
      <c r="G6" s="59">
        <v>0.8</v>
      </c>
      <c r="H6" s="59">
        <v>0.8</v>
      </c>
      <c r="I6" s="59">
        <v>1</v>
      </c>
    </row>
    <row r="7" spans="1:23" x14ac:dyDescent="0.25">
      <c r="A7" s="42" t="s">
        <v>719</v>
      </c>
      <c r="B7" s="59">
        <v>1</v>
      </c>
      <c r="C7" s="60"/>
      <c r="D7" s="60"/>
      <c r="E7" s="42"/>
      <c r="F7" s="61"/>
      <c r="G7" s="59">
        <v>0.8</v>
      </c>
      <c r="H7" s="59">
        <v>0.8</v>
      </c>
      <c r="I7" s="59">
        <v>1</v>
      </c>
    </row>
    <row r="8" spans="1:23" x14ac:dyDescent="0.25">
      <c r="A8" s="42"/>
      <c r="B8" s="62"/>
      <c r="C8" s="60"/>
      <c r="D8" s="60"/>
      <c r="E8" s="42"/>
      <c r="F8" s="42"/>
      <c r="G8" s="60"/>
      <c r="H8" s="60"/>
      <c r="I8" s="60"/>
    </row>
    <row r="9" spans="1:23" x14ac:dyDescent="0.25">
      <c r="A9" s="41" t="s">
        <v>415</v>
      </c>
      <c r="B9" s="54">
        <f>SUM(B10:B11)/2</f>
        <v>1</v>
      </c>
      <c r="C9" s="55">
        <f>D9*B9</f>
        <v>0.2</v>
      </c>
      <c r="D9" s="56">
        <v>0.2</v>
      </c>
      <c r="E9" s="57"/>
      <c r="F9" s="57"/>
      <c r="G9" s="58"/>
      <c r="H9" s="58"/>
      <c r="I9" s="58"/>
    </row>
    <row r="10" spans="1:23" x14ac:dyDescent="0.25">
      <c r="A10" s="42" t="s">
        <v>720</v>
      </c>
      <c r="B10" s="59">
        <v>1</v>
      </c>
      <c r="C10" s="60"/>
      <c r="D10" s="60"/>
      <c r="E10" s="42" t="s">
        <v>721</v>
      </c>
      <c r="F10" s="42" t="s">
        <v>425</v>
      </c>
      <c r="G10" s="59">
        <v>1</v>
      </c>
      <c r="H10" s="59"/>
      <c r="I10" s="59"/>
    </row>
    <row r="11" spans="1:23" x14ac:dyDescent="0.25">
      <c r="A11" s="42" t="s">
        <v>722</v>
      </c>
      <c r="B11" s="59">
        <v>1</v>
      </c>
      <c r="C11" s="60"/>
      <c r="D11" s="60"/>
      <c r="E11" s="42" t="s">
        <v>723</v>
      </c>
      <c r="F11" s="42" t="s">
        <v>425</v>
      </c>
      <c r="G11" s="59">
        <v>1</v>
      </c>
      <c r="H11" s="59"/>
      <c r="I11" s="59"/>
    </row>
    <row r="12" spans="1:23" x14ac:dyDescent="0.25">
      <c r="A12" s="41" t="s">
        <v>385</v>
      </c>
      <c r="B12" s="54">
        <f>SUM(B13:B14)/2</f>
        <v>1</v>
      </c>
      <c r="C12" s="55">
        <f>D12*B12</f>
        <v>0.1</v>
      </c>
      <c r="D12" s="56">
        <v>0.1</v>
      </c>
      <c r="E12" s="57"/>
      <c r="F12" s="57"/>
      <c r="G12" s="58"/>
      <c r="H12" s="58"/>
      <c r="I12" s="58"/>
    </row>
    <row r="13" spans="1:23" x14ac:dyDescent="0.25">
      <c r="A13" s="42" t="s">
        <v>386</v>
      </c>
      <c r="B13" s="59">
        <v>1</v>
      </c>
      <c r="C13" s="60"/>
      <c r="D13" s="53"/>
      <c r="E13" s="42"/>
      <c r="F13" s="42" t="s">
        <v>418</v>
      </c>
      <c r="G13" s="59">
        <v>0.8</v>
      </c>
      <c r="H13" s="59">
        <v>0.8</v>
      </c>
      <c r="I13" s="59">
        <v>1</v>
      </c>
    </row>
    <row r="14" spans="1:23" x14ac:dyDescent="0.25">
      <c r="A14" s="42" t="s">
        <v>387</v>
      </c>
      <c r="B14" s="59">
        <v>1</v>
      </c>
      <c r="C14" s="60"/>
      <c r="D14" s="53"/>
      <c r="E14" s="42"/>
      <c r="F14" s="42" t="s">
        <v>419</v>
      </c>
      <c r="G14" s="59">
        <v>0.8</v>
      </c>
      <c r="H14" s="59">
        <v>0.8</v>
      </c>
      <c r="I14" s="59">
        <v>1</v>
      </c>
    </row>
    <row r="15" spans="1:23" x14ac:dyDescent="0.25">
      <c r="A15" s="42"/>
      <c r="B15" s="60"/>
      <c r="C15" s="64">
        <f t="shared" ref="C15:D15" si="0">SUM(C4+C9+C12)</f>
        <v>0.99999999999999989</v>
      </c>
      <c r="D15" s="64">
        <f t="shared" si="0"/>
        <v>0.99999999999999989</v>
      </c>
      <c r="E15" s="42"/>
      <c r="F15" s="42"/>
      <c r="G15" s="60"/>
      <c r="H15" s="60"/>
      <c r="I15" s="60"/>
    </row>
    <row r="16" spans="1:23" x14ac:dyDescent="0.25">
      <c r="A16" s="152" t="s">
        <v>724</v>
      </c>
      <c r="B16" s="142"/>
      <c r="C16" s="142"/>
      <c r="D16" s="142"/>
      <c r="E16" s="142"/>
      <c r="F16" s="142"/>
      <c r="G16" s="142"/>
      <c r="H16" s="142"/>
      <c r="I16" s="143"/>
    </row>
    <row r="17" spans="1:9" x14ac:dyDescent="0.25">
      <c r="A17" s="66" t="s">
        <v>725</v>
      </c>
      <c r="B17" s="67" t="s">
        <v>423</v>
      </c>
      <c r="C17" s="64"/>
      <c r="D17" s="64"/>
      <c r="E17" s="68" t="s">
        <v>93</v>
      </c>
      <c r="F17" s="42" t="s">
        <v>425</v>
      </c>
      <c r="G17" s="42" t="s">
        <v>726</v>
      </c>
      <c r="H17" s="60"/>
      <c r="I17" s="60"/>
    </row>
    <row r="18" spans="1:9" x14ac:dyDescent="0.25">
      <c r="A18" s="66" t="s">
        <v>727</v>
      </c>
      <c r="B18" s="67" t="s">
        <v>427</v>
      </c>
      <c r="C18" s="64"/>
      <c r="D18" s="64"/>
      <c r="E18" s="68" t="s">
        <v>108</v>
      </c>
      <c r="F18" s="42" t="s">
        <v>425</v>
      </c>
      <c r="G18" s="42" t="s">
        <v>728</v>
      </c>
      <c r="H18" s="60"/>
      <c r="I18" s="60"/>
    </row>
    <row r="19" spans="1:9" x14ac:dyDescent="0.25">
      <c r="A19" s="66" t="s">
        <v>729</v>
      </c>
      <c r="B19" s="67" t="s">
        <v>423</v>
      </c>
      <c r="C19" s="64"/>
      <c r="D19" s="64"/>
      <c r="E19" s="68" t="s">
        <v>118</v>
      </c>
      <c r="F19" s="42" t="s">
        <v>425</v>
      </c>
      <c r="G19" s="42"/>
      <c r="H19" s="60"/>
      <c r="I19" s="60"/>
    </row>
    <row r="20" spans="1:9" x14ac:dyDescent="0.25">
      <c r="A20" s="66" t="s">
        <v>730</v>
      </c>
      <c r="B20" s="67" t="s">
        <v>423</v>
      </c>
      <c r="C20" s="64"/>
      <c r="D20" s="64"/>
      <c r="E20" s="68" t="s">
        <v>124</v>
      </c>
      <c r="F20" s="42" t="s">
        <v>425</v>
      </c>
      <c r="G20" s="42" t="s">
        <v>731</v>
      </c>
      <c r="H20" s="60"/>
      <c r="I20" s="60"/>
    </row>
    <row r="21" spans="1:9" x14ac:dyDescent="0.25">
      <c r="A21" s="66" t="s">
        <v>732</v>
      </c>
      <c r="B21" s="67" t="s">
        <v>427</v>
      </c>
      <c r="C21" s="64"/>
      <c r="D21" s="64"/>
      <c r="E21" s="68" t="s">
        <v>135</v>
      </c>
      <c r="F21" s="42" t="s">
        <v>425</v>
      </c>
      <c r="G21" s="42" t="s">
        <v>733</v>
      </c>
      <c r="H21" s="60"/>
      <c r="I21" s="60"/>
    </row>
    <row r="22" spans="1:9" x14ac:dyDescent="0.25">
      <c r="A22" s="7"/>
      <c r="E22" s="7"/>
      <c r="F22" s="7"/>
    </row>
    <row r="23" spans="1:9" x14ac:dyDescent="0.25">
      <c r="A23" s="7"/>
      <c r="E23" s="7"/>
      <c r="F23" s="7"/>
    </row>
    <row r="24" spans="1:9" x14ac:dyDescent="0.25">
      <c r="A24" s="7"/>
      <c r="E24" s="7"/>
      <c r="F24" s="7"/>
    </row>
    <row r="25" spans="1:9" x14ac:dyDescent="0.25">
      <c r="A25" s="7"/>
      <c r="E25" s="7"/>
      <c r="F25" s="7"/>
    </row>
    <row r="26" spans="1:9" x14ac:dyDescent="0.25">
      <c r="A26" s="7"/>
      <c r="E26" s="7"/>
      <c r="F26" s="7"/>
    </row>
    <row r="27" spans="1:9" x14ac:dyDescent="0.25">
      <c r="A27" s="7"/>
      <c r="E27" s="7"/>
      <c r="F27" s="7"/>
    </row>
    <row r="28" spans="1:9" x14ac:dyDescent="0.25">
      <c r="A28" s="7"/>
      <c r="E28" s="7"/>
      <c r="F28" s="7"/>
    </row>
    <row r="29" spans="1:9" x14ac:dyDescent="0.25">
      <c r="A29" s="7"/>
      <c r="E29" s="7"/>
      <c r="F29" s="7"/>
    </row>
    <row r="30" spans="1:9" x14ac:dyDescent="0.25">
      <c r="A30" s="7"/>
      <c r="E30" s="7"/>
      <c r="F30" s="7"/>
    </row>
    <row r="31" spans="1:9" x14ac:dyDescent="0.25">
      <c r="A31" s="7"/>
      <c r="E31" s="7"/>
      <c r="F31" s="7"/>
    </row>
    <row r="32" spans="1:9" x14ac:dyDescent="0.25">
      <c r="A32" s="7"/>
      <c r="E32" s="7"/>
      <c r="F32" s="7"/>
    </row>
    <row r="33" spans="1:6" x14ac:dyDescent="0.25">
      <c r="A33" s="7"/>
      <c r="E33" s="7"/>
      <c r="F33" s="7"/>
    </row>
    <row r="34" spans="1:6" x14ac:dyDescent="0.25">
      <c r="A34" s="7"/>
      <c r="E34" s="7"/>
      <c r="F34" s="7"/>
    </row>
    <row r="35" spans="1:6" x14ac:dyDescent="0.25">
      <c r="A35" s="7"/>
      <c r="E35" s="7"/>
      <c r="F35" s="7"/>
    </row>
    <row r="36" spans="1:6" x14ac:dyDescent="0.25">
      <c r="A36" s="7"/>
      <c r="E36" s="7"/>
      <c r="F36" s="7"/>
    </row>
    <row r="37" spans="1:6" x14ac:dyDescent="0.25">
      <c r="A37" s="7"/>
      <c r="E37" s="7"/>
      <c r="F37" s="7"/>
    </row>
    <row r="38" spans="1:6" x14ac:dyDescent="0.25">
      <c r="A38" s="7"/>
      <c r="E38" s="7"/>
      <c r="F38" s="7"/>
    </row>
    <row r="39" spans="1:6" x14ac:dyDescent="0.25">
      <c r="A39" s="7"/>
      <c r="E39" s="7"/>
      <c r="F39" s="7"/>
    </row>
    <row r="40" spans="1:6" x14ac:dyDescent="0.25">
      <c r="A40" s="7"/>
      <c r="E40" s="7"/>
      <c r="F40" s="7"/>
    </row>
    <row r="41" spans="1:6" x14ac:dyDescent="0.25">
      <c r="A41" s="7"/>
      <c r="E41" s="7"/>
      <c r="F41" s="7"/>
    </row>
    <row r="42" spans="1:6" x14ac:dyDescent="0.25">
      <c r="A42" s="7"/>
      <c r="E42" s="7"/>
      <c r="F42" s="7"/>
    </row>
    <row r="43" spans="1:6" x14ac:dyDescent="0.25">
      <c r="A43" s="7"/>
      <c r="E43" s="7"/>
      <c r="F43" s="7"/>
    </row>
    <row r="44" spans="1:6" x14ac:dyDescent="0.25">
      <c r="A44" s="7"/>
      <c r="E44" s="7"/>
      <c r="F44" s="7"/>
    </row>
    <row r="45" spans="1:6" x14ac:dyDescent="0.25">
      <c r="A45" s="7"/>
      <c r="E45" s="7"/>
      <c r="F45" s="7"/>
    </row>
    <row r="46" spans="1:6" x14ac:dyDescent="0.25">
      <c r="A46" s="7"/>
      <c r="E46" s="7"/>
      <c r="F46" s="7"/>
    </row>
    <row r="47" spans="1:6" x14ac:dyDescent="0.25">
      <c r="A47" s="7"/>
      <c r="E47" s="7"/>
      <c r="F47" s="7"/>
    </row>
    <row r="48" spans="1:6" x14ac:dyDescent="0.25">
      <c r="A48" s="7"/>
      <c r="E48" s="7"/>
      <c r="F48" s="7"/>
    </row>
    <row r="49" spans="1:6" x14ac:dyDescent="0.25">
      <c r="A49" s="7"/>
      <c r="E49" s="7"/>
      <c r="F49" s="7"/>
    </row>
    <row r="50" spans="1:6" x14ac:dyDescent="0.25">
      <c r="A50" s="7"/>
      <c r="E50" s="7"/>
      <c r="F50" s="7"/>
    </row>
    <row r="51" spans="1:6" x14ac:dyDescent="0.25">
      <c r="A51" s="7"/>
      <c r="E51" s="7"/>
      <c r="F51" s="7"/>
    </row>
    <row r="52" spans="1:6" x14ac:dyDescent="0.25">
      <c r="A52" s="7"/>
      <c r="E52" s="7"/>
      <c r="F52" s="7"/>
    </row>
    <row r="53" spans="1:6" x14ac:dyDescent="0.25">
      <c r="A53" s="7"/>
      <c r="E53" s="7"/>
      <c r="F53" s="7"/>
    </row>
    <row r="54" spans="1:6" x14ac:dyDescent="0.25">
      <c r="A54" s="7"/>
      <c r="E54" s="7"/>
      <c r="F54" s="7"/>
    </row>
    <row r="55" spans="1:6" x14ac:dyDescent="0.25">
      <c r="A55" s="7"/>
      <c r="E55" s="7"/>
      <c r="F55" s="7"/>
    </row>
    <row r="56" spans="1:6" x14ac:dyDescent="0.25">
      <c r="A56" s="7"/>
      <c r="E56" s="7"/>
      <c r="F56" s="7"/>
    </row>
    <row r="57" spans="1:6" x14ac:dyDescent="0.25">
      <c r="A57" s="7"/>
      <c r="E57" s="7"/>
      <c r="F57" s="7"/>
    </row>
    <row r="58" spans="1:6" x14ac:dyDescent="0.25">
      <c r="A58" s="7"/>
      <c r="E58" s="7"/>
      <c r="F58" s="7"/>
    </row>
    <row r="59" spans="1:6" x14ac:dyDescent="0.25">
      <c r="A59" s="7"/>
      <c r="E59" s="7"/>
      <c r="F59" s="7"/>
    </row>
    <row r="60" spans="1:6" x14ac:dyDescent="0.25">
      <c r="A60" s="7"/>
      <c r="E60" s="7"/>
      <c r="F60" s="7"/>
    </row>
    <row r="61" spans="1:6" x14ac:dyDescent="0.25">
      <c r="A61" s="7"/>
      <c r="E61" s="7"/>
      <c r="F61" s="7"/>
    </row>
    <row r="62" spans="1:6" x14ac:dyDescent="0.25">
      <c r="A62" s="7"/>
      <c r="E62" s="7"/>
      <c r="F62" s="7"/>
    </row>
    <row r="63" spans="1:6" x14ac:dyDescent="0.25">
      <c r="A63" s="7"/>
      <c r="E63" s="7"/>
      <c r="F63" s="7"/>
    </row>
    <row r="64" spans="1:6" x14ac:dyDescent="0.25">
      <c r="A64" s="7"/>
      <c r="E64" s="7"/>
      <c r="F64" s="7"/>
    </row>
    <row r="65" spans="1:6" x14ac:dyDescent="0.25">
      <c r="A65" s="7"/>
      <c r="E65" s="7"/>
      <c r="F65" s="7"/>
    </row>
    <row r="66" spans="1:6" x14ac:dyDescent="0.25">
      <c r="A66" s="7"/>
      <c r="E66" s="7"/>
      <c r="F66" s="7"/>
    </row>
    <row r="67" spans="1:6" x14ac:dyDescent="0.25">
      <c r="A67" s="7"/>
      <c r="E67" s="7"/>
      <c r="F67" s="7"/>
    </row>
    <row r="68" spans="1:6" x14ac:dyDescent="0.25">
      <c r="A68" s="7"/>
      <c r="E68" s="7"/>
      <c r="F68" s="7"/>
    </row>
    <row r="69" spans="1:6" x14ac:dyDescent="0.25">
      <c r="A69" s="7"/>
      <c r="E69" s="7"/>
      <c r="F69" s="7"/>
    </row>
    <row r="70" spans="1:6" x14ac:dyDescent="0.25">
      <c r="A70" s="7"/>
      <c r="E70" s="7"/>
      <c r="F70" s="7"/>
    </row>
    <row r="71" spans="1:6" x14ac:dyDescent="0.25">
      <c r="A71" s="7"/>
      <c r="E71" s="7"/>
      <c r="F71" s="7"/>
    </row>
    <row r="72" spans="1:6" x14ac:dyDescent="0.25">
      <c r="A72" s="7"/>
      <c r="E72" s="7"/>
      <c r="F72" s="7"/>
    </row>
    <row r="73" spans="1:6" x14ac:dyDescent="0.25">
      <c r="A73" s="7"/>
      <c r="E73" s="7"/>
      <c r="F73" s="7"/>
    </row>
    <row r="74" spans="1:6" x14ac:dyDescent="0.25">
      <c r="A74" s="7"/>
      <c r="E74" s="7"/>
      <c r="F74" s="7"/>
    </row>
    <row r="75" spans="1:6" x14ac:dyDescent="0.25">
      <c r="A75" s="7"/>
      <c r="E75" s="7"/>
      <c r="F75" s="7"/>
    </row>
    <row r="76" spans="1:6" x14ac:dyDescent="0.25">
      <c r="A76" s="7"/>
      <c r="E76" s="7"/>
      <c r="F76" s="7"/>
    </row>
    <row r="77" spans="1:6" x14ac:dyDescent="0.25">
      <c r="A77" s="7"/>
      <c r="E77" s="7"/>
      <c r="F77" s="7"/>
    </row>
    <row r="78" spans="1:6" x14ac:dyDescent="0.25">
      <c r="A78" s="7"/>
      <c r="E78" s="7"/>
      <c r="F78" s="7"/>
    </row>
    <row r="79" spans="1:6" x14ac:dyDescent="0.25">
      <c r="A79" s="7"/>
      <c r="E79" s="7"/>
      <c r="F79" s="7"/>
    </row>
    <row r="80" spans="1:6" x14ac:dyDescent="0.25">
      <c r="A80" s="7"/>
      <c r="E80" s="7"/>
      <c r="F80" s="7"/>
    </row>
    <row r="81" spans="1:6" x14ac:dyDescent="0.25">
      <c r="A81" s="7"/>
      <c r="E81" s="7"/>
      <c r="F81" s="7"/>
    </row>
    <row r="82" spans="1:6" x14ac:dyDescent="0.25">
      <c r="A82" s="7"/>
      <c r="E82" s="7"/>
      <c r="F82" s="7"/>
    </row>
    <row r="83" spans="1:6" x14ac:dyDescent="0.25">
      <c r="A83" s="7"/>
      <c r="E83" s="7"/>
      <c r="F83" s="7"/>
    </row>
    <row r="84" spans="1:6" x14ac:dyDescent="0.25">
      <c r="A84" s="7"/>
      <c r="E84" s="7"/>
      <c r="F84" s="7"/>
    </row>
    <row r="85" spans="1:6" x14ac:dyDescent="0.25">
      <c r="A85" s="7"/>
      <c r="E85" s="7"/>
      <c r="F85" s="7"/>
    </row>
    <row r="86" spans="1:6" x14ac:dyDescent="0.25">
      <c r="A86" s="7"/>
      <c r="E86" s="7"/>
      <c r="F86" s="7"/>
    </row>
    <row r="87" spans="1:6" x14ac:dyDescent="0.25">
      <c r="A87" s="7"/>
      <c r="E87" s="7"/>
      <c r="F87" s="7"/>
    </row>
    <row r="88" spans="1:6" x14ac:dyDescent="0.25">
      <c r="A88" s="7"/>
      <c r="E88" s="7"/>
      <c r="F88" s="7"/>
    </row>
    <row r="89" spans="1:6" x14ac:dyDescent="0.25">
      <c r="A89" s="7"/>
      <c r="E89" s="7"/>
      <c r="F89" s="7"/>
    </row>
    <row r="90" spans="1:6" x14ac:dyDescent="0.25">
      <c r="A90" s="7"/>
      <c r="E90" s="7"/>
      <c r="F90" s="7"/>
    </row>
    <row r="91" spans="1:6" x14ac:dyDescent="0.25">
      <c r="A91" s="7"/>
      <c r="E91" s="7"/>
      <c r="F91" s="7"/>
    </row>
    <row r="92" spans="1:6" x14ac:dyDescent="0.25">
      <c r="A92" s="7"/>
      <c r="E92" s="7"/>
      <c r="F92" s="7"/>
    </row>
    <row r="93" spans="1:6" x14ac:dyDescent="0.25">
      <c r="A93" s="7"/>
      <c r="E93" s="7"/>
      <c r="F93" s="7"/>
    </row>
    <row r="94" spans="1:6" x14ac:dyDescent="0.25">
      <c r="A94" s="7"/>
      <c r="E94" s="7"/>
      <c r="F94" s="7"/>
    </row>
    <row r="95" spans="1:6" x14ac:dyDescent="0.25">
      <c r="A95" s="7"/>
      <c r="E95" s="7"/>
      <c r="F95" s="7"/>
    </row>
    <row r="96" spans="1:6" x14ac:dyDescent="0.25">
      <c r="A96" s="7"/>
      <c r="E96" s="7"/>
      <c r="F96" s="7"/>
    </row>
    <row r="97" spans="1:6" x14ac:dyDescent="0.25">
      <c r="A97" s="7"/>
      <c r="E97" s="7"/>
      <c r="F97" s="7"/>
    </row>
    <row r="98" spans="1:6" x14ac:dyDescent="0.25">
      <c r="A98" s="7"/>
      <c r="E98" s="7"/>
      <c r="F98" s="7"/>
    </row>
    <row r="99" spans="1:6" x14ac:dyDescent="0.25">
      <c r="A99" s="7"/>
      <c r="E99" s="7"/>
      <c r="F99" s="7"/>
    </row>
    <row r="100" spans="1:6" x14ac:dyDescent="0.25">
      <c r="A100" s="7"/>
      <c r="E100" s="7"/>
      <c r="F100" s="7"/>
    </row>
    <row r="101" spans="1:6" x14ac:dyDescent="0.25">
      <c r="A101" s="7"/>
      <c r="E101" s="7"/>
      <c r="F101" s="7"/>
    </row>
    <row r="102" spans="1:6" x14ac:dyDescent="0.25">
      <c r="A102" s="7"/>
      <c r="E102" s="7"/>
      <c r="F102" s="7"/>
    </row>
    <row r="103" spans="1:6" x14ac:dyDescent="0.25">
      <c r="A103" s="7"/>
      <c r="E103" s="7"/>
      <c r="F103" s="7"/>
    </row>
    <row r="104" spans="1:6" x14ac:dyDescent="0.25">
      <c r="A104" s="7"/>
      <c r="E104" s="7"/>
      <c r="F104" s="7"/>
    </row>
    <row r="105" spans="1:6" x14ac:dyDescent="0.25">
      <c r="A105" s="7"/>
      <c r="E105" s="7"/>
      <c r="F105" s="7"/>
    </row>
    <row r="106" spans="1:6" x14ac:dyDescent="0.25">
      <c r="A106" s="7"/>
      <c r="E106" s="7"/>
      <c r="F106" s="7"/>
    </row>
    <row r="107" spans="1:6" x14ac:dyDescent="0.25">
      <c r="A107" s="7"/>
      <c r="E107" s="7"/>
      <c r="F107" s="7"/>
    </row>
    <row r="108" spans="1:6" x14ac:dyDescent="0.25">
      <c r="A108" s="7"/>
      <c r="E108" s="7"/>
      <c r="F108" s="7"/>
    </row>
    <row r="109" spans="1:6" x14ac:dyDescent="0.25">
      <c r="A109" s="7"/>
      <c r="E109" s="7"/>
      <c r="F109" s="7"/>
    </row>
    <row r="110" spans="1:6" x14ac:dyDescent="0.25">
      <c r="A110" s="7"/>
      <c r="E110" s="7"/>
      <c r="F110" s="7"/>
    </row>
    <row r="111" spans="1:6" x14ac:dyDescent="0.25">
      <c r="A111" s="7"/>
      <c r="E111" s="7"/>
      <c r="F111" s="7"/>
    </row>
    <row r="112" spans="1:6" x14ac:dyDescent="0.25">
      <c r="A112" s="7"/>
      <c r="E112" s="7"/>
      <c r="F112" s="7"/>
    </row>
    <row r="113" spans="1:6" x14ac:dyDescent="0.25">
      <c r="A113" s="7"/>
      <c r="E113" s="7"/>
      <c r="F113" s="7"/>
    </row>
    <row r="114" spans="1:6" x14ac:dyDescent="0.25">
      <c r="A114" s="7"/>
      <c r="E114" s="7"/>
      <c r="F114" s="7"/>
    </row>
    <row r="115" spans="1:6" x14ac:dyDescent="0.25">
      <c r="A115" s="7"/>
      <c r="E115" s="7"/>
      <c r="F115" s="7"/>
    </row>
    <row r="116" spans="1:6" x14ac:dyDescent="0.25">
      <c r="A116" s="7"/>
      <c r="E116" s="7"/>
      <c r="F116" s="7"/>
    </row>
    <row r="117" spans="1:6" x14ac:dyDescent="0.25">
      <c r="A117" s="7"/>
      <c r="E117" s="7"/>
      <c r="F117" s="7"/>
    </row>
    <row r="118" spans="1:6" x14ac:dyDescent="0.25">
      <c r="A118" s="7"/>
      <c r="E118" s="7"/>
      <c r="F118" s="7"/>
    </row>
    <row r="119" spans="1:6" x14ac:dyDescent="0.25">
      <c r="A119" s="7"/>
      <c r="E119" s="7"/>
      <c r="F119" s="7"/>
    </row>
    <row r="120" spans="1:6" x14ac:dyDescent="0.25">
      <c r="A120" s="7"/>
      <c r="E120" s="7"/>
      <c r="F120" s="7"/>
    </row>
    <row r="121" spans="1:6" x14ac:dyDescent="0.25">
      <c r="A121" s="7"/>
      <c r="E121" s="7"/>
      <c r="F121" s="7"/>
    </row>
    <row r="122" spans="1:6" x14ac:dyDescent="0.25">
      <c r="A122" s="7"/>
      <c r="E122" s="7"/>
      <c r="F122" s="7"/>
    </row>
    <row r="123" spans="1:6" x14ac:dyDescent="0.25">
      <c r="A123" s="7"/>
      <c r="E123" s="7"/>
      <c r="F123" s="7"/>
    </row>
    <row r="124" spans="1:6" x14ac:dyDescent="0.25">
      <c r="A124" s="7"/>
      <c r="E124" s="7"/>
      <c r="F124" s="7"/>
    </row>
    <row r="125" spans="1:6" x14ac:dyDescent="0.25">
      <c r="A125" s="7"/>
      <c r="E125" s="7"/>
      <c r="F125" s="7"/>
    </row>
    <row r="126" spans="1:6" x14ac:dyDescent="0.25">
      <c r="A126" s="7"/>
      <c r="E126" s="7"/>
      <c r="F126" s="7"/>
    </row>
    <row r="127" spans="1:6" x14ac:dyDescent="0.25">
      <c r="A127" s="7"/>
      <c r="E127" s="7"/>
      <c r="F127" s="7"/>
    </row>
    <row r="128" spans="1:6" x14ac:dyDescent="0.25">
      <c r="A128" s="7"/>
      <c r="E128" s="7"/>
      <c r="F128" s="7"/>
    </row>
    <row r="129" spans="1:6" x14ac:dyDescent="0.25">
      <c r="A129" s="7"/>
      <c r="E129" s="7"/>
      <c r="F129" s="7"/>
    </row>
    <row r="130" spans="1:6" x14ac:dyDescent="0.25">
      <c r="A130" s="7"/>
      <c r="E130" s="7"/>
      <c r="F130" s="7"/>
    </row>
    <row r="131" spans="1:6" x14ac:dyDescent="0.25">
      <c r="A131" s="7"/>
      <c r="E131" s="7"/>
      <c r="F131" s="7"/>
    </row>
    <row r="132" spans="1:6" x14ac:dyDescent="0.25">
      <c r="A132" s="7"/>
      <c r="E132" s="7"/>
      <c r="F132" s="7"/>
    </row>
    <row r="133" spans="1:6" x14ac:dyDescent="0.25">
      <c r="A133" s="7"/>
      <c r="E133" s="7"/>
      <c r="F133" s="7"/>
    </row>
    <row r="134" spans="1:6" x14ac:dyDescent="0.25">
      <c r="A134" s="7"/>
      <c r="E134" s="7"/>
      <c r="F134" s="7"/>
    </row>
    <row r="135" spans="1:6" x14ac:dyDescent="0.25">
      <c r="A135" s="7"/>
      <c r="E135" s="7"/>
      <c r="F135" s="7"/>
    </row>
    <row r="136" spans="1:6" x14ac:dyDescent="0.25">
      <c r="A136" s="7"/>
      <c r="E136" s="7"/>
      <c r="F136" s="7"/>
    </row>
    <row r="137" spans="1:6" x14ac:dyDescent="0.25">
      <c r="A137" s="7"/>
      <c r="E137" s="7"/>
      <c r="F137" s="7"/>
    </row>
    <row r="138" spans="1:6" x14ac:dyDescent="0.25">
      <c r="A138" s="7"/>
      <c r="E138" s="7"/>
      <c r="F138" s="7"/>
    </row>
    <row r="139" spans="1:6" x14ac:dyDescent="0.25">
      <c r="A139" s="7"/>
      <c r="E139" s="7"/>
      <c r="F139" s="7"/>
    </row>
    <row r="140" spans="1:6" x14ac:dyDescent="0.25">
      <c r="A140" s="7"/>
      <c r="E140" s="7"/>
      <c r="F140" s="7"/>
    </row>
    <row r="141" spans="1:6" x14ac:dyDescent="0.25">
      <c r="A141" s="7"/>
      <c r="E141" s="7"/>
      <c r="F141" s="7"/>
    </row>
    <row r="142" spans="1:6" x14ac:dyDescent="0.25">
      <c r="A142" s="7"/>
      <c r="E142" s="7"/>
      <c r="F142" s="7"/>
    </row>
    <row r="143" spans="1:6" x14ac:dyDescent="0.25">
      <c r="A143" s="7"/>
      <c r="E143" s="7"/>
      <c r="F143" s="7"/>
    </row>
    <row r="144" spans="1:6" x14ac:dyDescent="0.25">
      <c r="A144" s="7"/>
      <c r="E144" s="7"/>
      <c r="F144" s="7"/>
    </row>
    <row r="145" spans="1:6" x14ac:dyDescent="0.25">
      <c r="A145" s="7"/>
      <c r="E145" s="7"/>
      <c r="F145" s="7"/>
    </row>
    <row r="146" spans="1:6" x14ac:dyDescent="0.25">
      <c r="A146" s="7"/>
      <c r="E146" s="7"/>
      <c r="F146" s="7"/>
    </row>
    <row r="147" spans="1:6" x14ac:dyDescent="0.25">
      <c r="A147" s="7"/>
      <c r="E147" s="7"/>
      <c r="F147" s="7"/>
    </row>
    <row r="148" spans="1:6" x14ac:dyDescent="0.25">
      <c r="A148" s="7"/>
      <c r="E148" s="7"/>
      <c r="F148" s="7"/>
    </row>
    <row r="149" spans="1:6" x14ac:dyDescent="0.25">
      <c r="A149" s="7"/>
      <c r="E149" s="7"/>
      <c r="F149" s="7"/>
    </row>
    <row r="150" spans="1:6" x14ac:dyDescent="0.25">
      <c r="A150" s="7"/>
      <c r="E150" s="7"/>
      <c r="F150" s="7"/>
    </row>
    <row r="151" spans="1:6" x14ac:dyDescent="0.25">
      <c r="A151" s="7"/>
      <c r="E151" s="7"/>
      <c r="F151" s="7"/>
    </row>
    <row r="152" spans="1:6" x14ac:dyDescent="0.25">
      <c r="A152" s="7"/>
      <c r="E152" s="7"/>
      <c r="F152" s="7"/>
    </row>
    <row r="153" spans="1:6" x14ac:dyDescent="0.25">
      <c r="A153" s="7"/>
      <c r="E153" s="7"/>
      <c r="F153" s="7"/>
    </row>
    <row r="154" spans="1:6" x14ac:dyDescent="0.25">
      <c r="A154" s="7"/>
      <c r="E154" s="7"/>
      <c r="F154" s="7"/>
    </row>
    <row r="155" spans="1:6" x14ac:dyDescent="0.25">
      <c r="A155" s="7"/>
      <c r="E155" s="7"/>
      <c r="F155" s="7"/>
    </row>
    <row r="156" spans="1:6" x14ac:dyDescent="0.25">
      <c r="A156" s="7"/>
      <c r="E156" s="7"/>
      <c r="F156" s="7"/>
    </row>
    <row r="157" spans="1:6" x14ac:dyDescent="0.25">
      <c r="A157" s="7"/>
      <c r="E157" s="7"/>
      <c r="F157" s="7"/>
    </row>
    <row r="158" spans="1:6" x14ac:dyDescent="0.25">
      <c r="A158" s="7"/>
      <c r="E158" s="7"/>
      <c r="F158" s="7"/>
    </row>
    <row r="159" spans="1:6" x14ac:dyDescent="0.25">
      <c r="A159" s="7"/>
      <c r="E159" s="7"/>
      <c r="F159" s="7"/>
    </row>
    <row r="160" spans="1:6" x14ac:dyDescent="0.25">
      <c r="A160" s="7"/>
      <c r="E160" s="7"/>
      <c r="F160" s="7"/>
    </row>
    <row r="161" spans="1:6" x14ac:dyDescent="0.25">
      <c r="A161" s="7"/>
      <c r="E161" s="7"/>
      <c r="F161" s="7"/>
    </row>
    <row r="162" spans="1:6" x14ac:dyDescent="0.25">
      <c r="A162" s="7"/>
      <c r="E162" s="7"/>
      <c r="F162" s="7"/>
    </row>
    <row r="163" spans="1:6" x14ac:dyDescent="0.25">
      <c r="A163" s="7"/>
      <c r="E163" s="7"/>
      <c r="F163" s="7"/>
    </row>
    <row r="164" spans="1:6" x14ac:dyDescent="0.25">
      <c r="A164" s="7"/>
      <c r="E164" s="7"/>
      <c r="F164" s="7"/>
    </row>
    <row r="165" spans="1:6" x14ac:dyDescent="0.25">
      <c r="A165" s="7"/>
      <c r="E165" s="7"/>
      <c r="F165" s="7"/>
    </row>
    <row r="166" spans="1:6" x14ac:dyDescent="0.25">
      <c r="A166" s="7"/>
      <c r="E166" s="7"/>
      <c r="F166" s="7"/>
    </row>
    <row r="167" spans="1:6" x14ac:dyDescent="0.25">
      <c r="A167" s="7"/>
      <c r="E167" s="7"/>
      <c r="F167" s="7"/>
    </row>
    <row r="168" spans="1:6" x14ac:dyDescent="0.25">
      <c r="A168" s="7"/>
      <c r="E168" s="7"/>
      <c r="F168" s="7"/>
    </row>
    <row r="169" spans="1:6" x14ac:dyDescent="0.25">
      <c r="A169" s="7"/>
      <c r="E169" s="7"/>
      <c r="F169" s="7"/>
    </row>
    <row r="170" spans="1:6" x14ac:dyDescent="0.25">
      <c r="A170" s="7"/>
      <c r="E170" s="7"/>
      <c r="F170" s="7"/>
    </row>
    <row r="171" spans="1:6" x14ac:dyDescent="0.25">
      <c r="A171" s="7"/>
      <c r="E171" s="7"/>
      <c r="F171" s="7"/>
    </row>
    <row r="172" spans="1:6" x14ac:dyDescent="0.25">
      <c r="A172" s="7"/>
      <c r="E172" s="7"/>
      <c r="F172" s="7"/>
    </row>
    <row r="173" spans="1:6" x14ac:dyDescent="0.25">
      <c r="A173" s="7"/>
      <c r="E173" s="7"/>
      <c r="F173" s="7"/>
    </row>
    <row r="174" spans="1:6" x14ac:dyDescent="0.25">
      <c r="A174" s="7"/>
      <c r="E174" s="7"/>
      <c r="F174" s="7"/>
    </row>
    <row r="175" spans="1:6" x14ac:dyDescent="0.25">
      <c r="A175" s="7"/>
      <c r="E175" s="7"/>
      <c r="F175" s="7"/>
    </row>
    <row r="176" spans="1:6" x14ac:dyDescent="0.25">
      <c r="A176" s="7"/>
      <c r="E176" s="7"/>
      <c r="F176" s="7"/>
    </row>
    <row r="177" spans="1:6" x14ac:dyDescent="0.25">
      <c r="A177" s="7"/>
      <c r="E177" s="7"/>
      <c r="F177" s="7"/>
    </row>
    <row r="178" spans="1:6" x14ac:dyDescent="0.25">
      <c r="A178" s="7"/>
      <c r="E178" s="7"/>
      <c r="F178" s="7"/>
    </row>
    <row r="179" spans="1:6" x14ac:dyDescent="0.25">
      <c r="A179" s="7"/>
      <c r="E179" s="7"/>
      <c r="F179" s="7"/>
    </row>
    <row r="180" spans="1:6" x14ac:dyDescent="0.25">
      <c r="A180" s="7"/>
      <c r="E180" s="7"/>
      <c r="F180" s="7"/>
    </row>
    <row r="181" spans="1:6" x14ac:dyDescent="0.25">
      <c r="A181" s="7"/>
      <c r="E181" s="7"/>
      <c r="F181" s="7"/>
    </row>
    <row r="182" spans="1:6" x14ac:dyDescent="0.25">
      <c r="A182" s="7"/>
      <c r="E182" s="7"/>
      <c r="F182" s="7"/>
    </row>
    <row r="183" spans="1:6" x14ac:dyDescent="0.25">
      <c r="A183" s="7"/>
      <c r="E183" s="7"/>
      <c r="F183" s="7"/>
    </row>
    <row r="184" spans="1:6" x14ac:dyDescent="0.25">
      <c r="A184" s="7"/>
      <c r="E184" s="7"/>
      <c r="F184" s="7"/>
    </row>
    <row r="185" spans="1:6" x14ac:dyDescent="0.25">
      <c r="A185" s="7"/>
      <c r="E185" s="7"/>
      <c r="F185" s="7"/>
    </row>
    <row r="186" spans="1:6" x14ac:dyDescent="0.25">
      <c r="A186" s="7"/>
      <c r="E186" s="7"/>
      <c r="F186" s="7"/>
    </row>
    <row r="187" spans="1:6" x14ac:dyDescent="0.25">
      <c r="A187" s="7"/>
      <c r="E187" s="7"/>
      <c r="F187" s="7"/>
    </row>
    <row r="188" spans="1:6" x14ac:dyDescent="0.25">
      <c r="A188" s="7"/>
      <c r="E188" s="7"/>
      <c r="F188" s="7"/>
    </row>
    <row r="189" spans="1:6" x14ac:dyDescent="0.25">
      <c r="A189" s="7"/>
      <c r="E189" s="7"/>
      <c r="F189" s="7"/>
    </row>
    <row r="190" spans="1:6" x14ac:dyDescent="0.25">
      <c r="A190" s="7"/>
      <c r="E190" s="7"/>
      <c r="F190" s="7"/>
    </row>
    <row r="191" spans="1:6" x14ac:dyDescent="0.25">
      <c r="A191" s="7"/>
      <c r="E191" s="7"/>
      <c r="F191" s="7"/>
    </row>
    <row r="192" spans="1:6" x14ac:dyDescent="0.25">
      <c r="A192" s="7"/>
      <c r="E192" s="7"/>
      <c r="F192" s="7"/>
    </row>
    <row r="193" spans="1:6" x14ac:dyDescent="0.25">
      <c r="A193" s="7"/>
      <c r="E193" s="7"/>
      <c r="F193" s="7"/>
    </row>
    <row r="194" spans="1:6" x14ac:dyDescent="0.25">
      <c r="A194" s="7"/>
      <c r="E194" s="7"/>
      <c r="F194" s="7"/>
    </row>
    <row r="195" spans="1:6" x14ac:dyDescent="0.25">
      <c r="A195" s="7"/>
      <c r="E195" s="7"/>
      <c r="F195" s="7"/>
    </row>
    <row r="196" spans="1:6" x14ac:dyDescent="0.25">
      <c r="A196" s="7"/>
      <c r="E196" s="7"/>
      <c r="F196" s="7"/>
    </row>
    <row r="197" spans="1:6" x14ac:dyDescent="0.25">
      <c r="A197" s="7"/>
      <c r="E197" s="7"/>
      <c r="F197" s="7"/>
    </row>
    <row r="198" spans="1:6" x14ac:dyDescent="0.25">
      <c r="A198" s="7"/>
      <c r="E198" s="7"/>
      <c r="F198" s="7"/>
    </row>
    <row r="199" spans="1:6" x14ac:dyDescent="0.25">
      <c r="A199" s="7"/>
      <c r="E199" s="7"/>
      <c r="F199" s="7"/>
    </row>
    <row r="200" spans="1:6" x14ac:dyDescent="0.25">
      <c r="A200" s="7"/>
      <c r="E200" s="7"/>
      <c r="F200" s="7"/>
    </row>
    <row r="201" spans="1:6" x14ac:dyDescent="0.25">
      <c r="A201" s="7"/>
      <c r="E201" s="7"/>
      <c r="F201" s="7"/>
    </row>
    <row r="202" spans="1:6" x14ac:dyDescent="0.25">
      <c r="A202" s="7"/>
      <c r="E202" s="7"/>
      <c r="F202" s="7"/>
    </row>
    <row r="203" spans="1:6" x14ac:dyDescent="0.25">
      <c r="A203" s="7"/>
      <c r="E203" s="7"/>
      <c r="F203" s="7"/>
    </row>
    <row r="204" spans="1:6" x14ac:dyDescent="0.25">
      <c r="A204" s="7"/>
      <c r="E204" s="7"/>
      <c r="F204" s="7"/>
    </row>
    <row r="205" spans="1:6" x14ac:dyDescent="0.25">
      <c r="A205" s="7"/>
      <c r="E205" s="7"/>
      <c r="F205" s="7"/>
    </row>
    <row r="206" spans="1:6" x14ac:dyDescent="0.25">
      <c r="A206" s="7"/>
      <c r="E206" s="7"/>
      <c r="F206" s="7"/>
    </row>
    <row r="207" spans="1:6" x14ac:dyDescent="0.25">
      <c r="A207" s="7"/>
      <c r="E207" s="7"/>
      <c r="F207" s="7"/>
    </row>
    <row r="208" spans="1:6" x14ac:dyDescent="0.25">
      <c r="A208" s="7"/>
      <c r="E208" s="7"/>
      <c r="F208" s="7"/>
    </row>
    <row r="209" spans="1:6" x14ac:dyDescent="0.25">
      <c r="A209" s="7"/>
      <c r="E209" s="7"/>
      <c r="F209" s="7"/>
    </row>
    <row r="210" spans="1:6" x14ac:dyDescent="0.25">
      <c r="A210" s="7"/>
      <c r="E210" s="7"/>
      <c r="F210" s="7"/>
    </row>
    <row r="211" spans="1:6" x14ac:dyDescent="0.25">
      <c r="A211" s="7"/>
      <c r="E211" s="7"/>
      <c r="F211" s="7"/>
    </row>
    <row r="212" spans="1:6" x14ac:dyDescent="0.25">
      <c r="A212" s="7"/>
      <c r="E212" s="7"/>
      <c r="F212" s="7"/>
    </row>
    <row r="213" spans="1:6" x14ac:dyDescent="0.25">
      <c r="A213" s="7"/>
      <c r="E213" s="7"/>
      <c r="F213" s="7"/>
    </row>
    <row r="214" spans="1:6" x14ac:dyDescent="0.25">
      <c r="A214" s="7"/>
      <c r="E214" s="7"/>
      <c r="F214" s="7"/>
    </row>
    <row r="215" spans="1:6" x14ac:dyDescent="0.25">
      <c r="A215" s="7"/>
      <c r="E215" s="7"/>
      <c r="F215" s="7"/>
    </row>
    <row r="216" spans="1:6" x14ac:dyDescent="0.25">
      <c r="A216" s="7"/>
      <c r="E216" s="7"/>
      <c r="F216" s="7"/>
    </row>
    <row r="217" spans="1:6" x14ac:dyDescent="0.25">
      <c r="A217" s="7"/>
      <c r="E217" s="7"/>
      <c r="F217" s="7"/>
    </row>
    <row r="218" spans="1:6" x14ac:dyDescent="0.25">
      <c r="A218" s="7"/>
      <c r="E218" s="7"/>
      <c r="F218" s="7"/>
    </row>
    <row r="219" spans="1:6" x14ac:dyDescent="0.25">
      <c r="A219" s="7"/>
      <c r="E219" s="7"/>
      <c r="F219" s="7"/>
    </row>
    <row r="220" spans="1:6" x14ac:dyDescent="0.25">
      <c r="A220" s="7"/>
      <c r="E220" s="7"/>
      <c r="F220" s="7"/>
    </row>
    <row r="221" spans="1:6" x14ac:dyDescent="0.25">
      <c r="A221" s="7"/>
      <c r="E221" s="7"/>
      <c r="F221" s="7"/>
    </row>
    <row r="222" spans="1:6" x14ac:dyDescent="0.25">
      <c r="A222" s="7"/>
      <c r="E222" s="7"/>
      <c r="F222" s="7"/>
    </row>
    <row r="223" spans="1:6" x14ac:dyDescent="0.25">
      <c r="A223" s="7"/>
      <c r="E223" s="7"/>
      <c r="F223" s="7"/>
    </row>
    <row r="224" spans="1:6" x14ac:dyDescent="0.25">
      <c r="A224" s="7"/>
      <c r="E224" s="7"/>
      <c r="F224" s="7"/>
    </row>
    <row r="225" spans="1:6" x14ac:dyDescent="0.25">
      <c r="A225" s="7"/>
      <c r="E225" s="7"/>
      <c r="F225" s="7"/>
    </row>
    <row r="226" spans="1:6" x14ac:dyDescent="0.25">
      <c r="A226" s="7"/>
      <c r="E226" s="7"/>
      <c r="F226" s="7"/>
    </row>
    <row r="227" spans="1:6" x14ac:dyDescent="0.25">
      <c r="A227" s="7"/>
      <c r="E227" s="7"/>
      <c r="F227" s="7"/>
    </row>
    <row r="228" spans="1:6" x14ac:dyDescent="0.25">
      <c r="A228" s="7"/>
      <c r="E228" s="7"/>
      <c r="F228" s="7"/>
    </row>
    <row r="229" spans="1:6" x14ac:dyDescent="0.25">
      <c r="A229" s="7"/>
      <c r="E229" s="7"/>
      <c r="F229" s="7"/>
    </row>
    <row r="230" spans="1:6" x14ac:dyDescent="0.25">
      <c r="A230" s="7"/>
      <c r="E230" s="7"/>
      <c r="F230" s="7"/>
    </row>
    <row r="231" spans="1:6" x14ac:dyDescent="0.25">
      <c r="A231" s="7"/>
      <c r="E231" s="7"/>
      <c r="F231" s="7"/>
    </row>
    <row r="232" spans="1:6" x14ac:dyDescent="0.25">
      <c r="A232" s="7"/>
      <c r="E232" s="7"/>
      <c r="F232" s="7"/>
    </row>
    <row r="233" spans="1:6" x14ac:dyDescent="0.25">
      <c r="A233" s="7"/>
      <c r="E233" s="7"/>
      <c r="F233" s="7"/>
    </row>
    <row r="234" spans="1:6" x14ac:dyDescent="0.25">
      <c r="A234" s="7"/>
      <c r="E234" s="7"/>
      <c r="F234" s="7"/>
    </row>
    <row r="235" spans="1:6" x14ac:dyDescent="0.25">
      <c r="A235" s="7"/>
      <c r="E235" s="7"/>
      <c r="F235" s="7"/>
    </row>
    <row r="236" spans="1:6" x14ac:dyDescent="0.25">
      <c r="A236" s="7"/>
      <c r="E236" s="7"/>
      <c r="F236" s="7"/>
    </row>
    <row r="237" spans="1:6" x14ac:dyDescent="0.25">
      <c r="A237" s="7"/>
      <c r="E237" s="7"/>
      <c r="F237" s="7"/>
    </row>
    <row r="238" spans="1:6" x14ac:dyDescent="0.25">
      <c r="A238" s="7"/>
      <c r="E238" s="7"/>
      <c r="F238" s="7"/>
    </row>
    <row r="239" spans="1:6" x14ac:dyDescent="0.25">
      <c r="A239" s="7"/>
      <c r="E239" s="7"/>
      <c r="F239" s="7"/>
    </row>
    <row r="240" spans="1:6" x14ac:dyDescent="0.25">
      <c r="A240" s="7"/>
      <c r="E240" s="7"/>
      <c r="F240" s="7"/>
    </row>
    <row r="241" spans="1:6" x14ac:dyDescent="0.25">
      <c r="A241" s="7"/>
      <c r="E241" s="7"/>
      <c r="F241" s="7"/>
    </row>
    <row r="242" spans="1:6" x14ac:dyDescent="0.25">
      <c r="A242" s="7"/>
      <c r="E242" s="7"/>
      <c r="F242" s="7"/>
    </row>
    <row r="243" spans="1:6" x14ac:dyDescent="0.25">
      <c r="A243" s="7"/>
      <c r="E243" s="7"/>
      <c r="F243" s="7"/>
    </row>
    <row r="244" spans="1:6" x14ac:dyDescent="0.25">
      <c r="A244" s="7"/>
      <c r="E244" s="7"/>
      <c r="F244" s="7"/>
    </row>
    <row r="245" spans="1:6" x14ac:dyDescent="0.25">
      <c r="A245" s="7"/>
      <c r="E245" s="7"/>
      <c r="F245" s="7"/>
    </row>
    <row r="246" spans="1:6" x14ac:dyDescent="0.25">
      <c r="A246" s="7"/>
      <c r="E246" s="7"/>
      <c r="F246" s="7"/>
    </row>
    <row r="247" spans="1:6" x14ac:dyDescent="0.25">
      <c r="A247" s="7"/>
      <c r="E247" s="7"/>
      <c r="F247" s="7"/>
    </row>
    <row r="248" spans="1:6" x14ac:dyDescent="0.25">
      <c r="A248" s="7"/>
      <c r="E248" s="7"/>
      <c r="F248" s="7"/>
    </row>
    <row r="249" spans="1:6" x14ac:dyDescent="0.25">
      <c r="A249" s="7"/>
      <c r="E249" s="7"/>
      <c r="F249" s="7"/>
    </row>
    <row r="250" spans="1:6" x14ac:dyDescent="0.25">
      <c r="A250" s="7"/>
      <c r="E250" s="7"/>
      <c r="F250" s="7"/>
    </row>
    <row r="251" spans="1:6" x14ac:dyDescent="0.25">
      <c r="A251" s="7"/>
      <c r="E251" s="7"/>
      <c r="F251" s="7"/>
    </row>
    <row r="252" spans="1:6" x14ac:dyDescent="0.25">
      <c r="A252" s="7"/>
      <c r="E252" s="7"/>
      <c r="F252" s="7"/>
    </row>
    <row r="253" spans="1:6" x14ac:dyDescent="0.25">
      <c r="A253" s="7"/>
      <c r="E253" s="7"/>
      <c r="F253" s="7"/>
    </row>
    <row r="254" spans="1:6" x14ac:dyDescent="0.25">
      <c r="A254" s="7"/>
      <c r="E254" s="7"/>
      <c r="F254" s="7"/>
    </row>
    <row r="255" spans="1:6" x14ac:dyDescent="0.25">
      <c r="A255" s="7"/>
      <c r="E255" s="7"/>
      <c r="F255" s="7"/>
    </row>
    <row r="256" spans="1:6" x14ac:dyDescent="0.25">
      <c r="A256" s="7"/>
      <c r="E256" s="7"/>
      <c r="F256" s="7"/>
    </row>
    <row r="257" spans="1:6" x14ac:dyDescent="0.25">
      <c r="A257" s="7"/>
      <c r="E257" s="7"/>
      <c r="F257" s="7"/>
    </row>
    <row r="258" spans="1:6" x14ac:dyDescent="0.25">
      <c r="A258" s="7"/>
      <c r="E258" s="7"/>
      <c r="F258" s="7"/>
    </row>
    <row r="259" spans="1:6" x14ac:dyDescent="0.25">
      <c r="A259" s="7"/>
      <c r="E259" s="7"/>
      <c r="F259" s="7"/>
    </row>
    <row r="260" spans="1:6" x14ac:dyDescent="0.25">
      <c r="A260" s="7"/>
      <c r="E260" s="7"/>
      <c r="F260" s="7"/>
    </row>
    <row r="261" spans="1:6" x14ac:dyDescent="0.25">
      <c r="A261" s="7"/>
      <c r="E261" s="7"/>
      <c r="F261" s="7"/>
    </row>
    <row r="262" spans="1:6" x14ac:dyDescent="0.25">
      <c r="A262" s="7"/>
      <c r="E262" s="7"/>
      <c r="F262" s="7"/>
    </row>
    <row r="263" spans="1:6" x14ac:dyDescent="0.25">
      <c r="A263" s="7"/>
      <c r="E263" s="7"/>
      <c r="F263" s="7"/>
    </row>
    <row r="264" spans="1:6" x14ac:dyDescent="0.25">
      <c r="A264" s="7"/>
      <c r="E264" s="7"/>
      <c r="F264" s="7"/>
    </row>
    <row r="265" spans="1:6" x14ac:dyDescent="0.25">
      <c r="A265" s="7"/>
      <c r="E265" s="7"/>
      <c r="F265" s="7"/>
    </row>
    <row r="266" spans="1:6" x14ac:dyDescent="0.25">
      <c r="A266" s="7"/>
      <c r="E266" s="7"/>
      <c r="F266" s="7"/>
    </row>
    <row r="267" spans="1:6" x14ac:dyDescent="0.25">
      <c r="A267" s="7"/>
      <c r="E267" s="7"/>
      <c r="F267" s="7"/>
    </row>
    <row r="268" spans="1:6" x14ac:dyDescent="0.25">
      <c r="A268" s="7"/>
      <c r="E268" s="7"/>
      <c r="F268" s="7"/>
    </row>
    <row r="269" spans="1:6" x14ac:dyDescent="0.25">
      <c r="A269" s="7"/>
      <c r="E269" s="7"/>
      <c r="F269" s="7"/>
    </row>
    <row r="270" spans="1:6" x14ac:dyDescent="0.25">
      <c r="A270" s="7"/>
      <c r="E270" s="7"/>
      <c r="F270" s="7"/>
    </row>
    <row r="271" spans="1:6" x14ac:dyDescent="0.25">
      <c r="A271" s="7"/>
      <c r="E271" s="7"/>
      <c r="F271" s="7"/>
    </row>
    <row r="272" spans="1:6" x14ac:dyDescent="0.25">
      <c r="A272" s="7"/>
      <c r="E272" s="7"/>
      <c r="F272" s="7"/>
    </row>
    <row r="273" spans="1:6" x14ac:dyDescent="0.25">
      <c r="A273" s="7"/>
      <c r="E273" s="7"/>
      <c r="F273" s="7"/>
    </row>
    <row r="274" spans="1:6" x14ac:dyDescent="0.25">
      <c r="A274" s="7"/>
      <c r="E274" s="7"/>
      <c r="F274" s="7"/>
    </row>
    <row r="275" spans="1:6" x14ac:dyDescent="0.25">
      <c r="A275" s="7"/>
      <c r="E275" s="7"/>
      <c r="F275" s="7"/>
    </row>
    <row r="276" spans="1:6" x14ac:dyDescent="0.25">
      <c r="A276" s="7"/>
      <c r="E276" s="7"/>
      <c r="F276" s="7"/>
    </row>
    <row r="277" spans="1:6" x14ac:dyDescent="0.25">
      <c r="A277" s="7"/>
      <c r="E277" s="7"/>
      <c r="F277" s="7"/>
    </row>
    <row r="278" spans="1:6" x14ac:dyDescent="0.25">
      <c r="A278" s="7"/>
      <c r="E278" s="7"/>
      <c r="F278" s="7"/>
    </row>
    <row r="279" spans="1:6" x14ac:dyDescent="0.25">
      <c r="A279" s="7"/>
      <c r="E279" s="7"/>
      <c r="F279" s="7"/>
    </row>
    <row r="280" spans="1:6" x14ac:dyDescent="0.25">
      <c r="A280" s="7"/>
      <c r="E280" s="7"/>
      <c r="F280" s="7"/>
    </row>
    <row r="281" spans="1:6" x14ac:dyDescent="0.25">
      <c r="A281" s="7"/>
      <c r="E281" s="7"/>
      <c r="F281" s="7"/>
    </row>
    <row r="282" spans="1:6" x14ac:dyDescent="0.25">
      <c r="A282" s="7"/>
      <c r="E282" s="7"/>
      <c r="F282" s="7"/>
    </row>
    <row r="283" spans="1:6" x14ac:dyDescent="0.25">
      <c r="A283" s="7"/>
      <c r="E283" s="7"/>
      <c r="F283" s="7"/>
    </row>
    <row r="284" spans="1:6" x14ac:dyDescent="0.25">
      <c r="A284" s="7"/>
      <c r="E284" s="7"/>
      <c r="F284" s="7"/>
    </row>
    <row r="285" spans="1:6" x14ac:dyDescent="0.25">
      <c r="A285" s="7"/>
      <c r="E285" s="7"/>
      <c r="F285" s="7"/>
    </row>
    <row r="286" spans="1:6" x14ac:dyDescent="0.25">
      <c r="A286" s="7"/>
      <c r="E286" s="7"/>
      <c r="F286" s="7"/>
    </row>
    <row r="287" spans="1:6" x14ac:dyDescent="0.25">
      <c r="A287" s="7"/>
      <c r="E287" s="7"/>
      <c r="F287" s="7"/>
    </row>
    <row r="288" spans="1:6" x14ac:dyDescent="0.25">
      <c r="A288" s="7"/>
      <c r="E288" s="7"/>
      <c r="F288" s="7"/>
    </row>
    <row r="289" spans="1:6" x14ac:dyDescent="0.25">
      <c r="A289" s="7"/>
      <c r="E289" s="7"/>
      <c r="F289" s="7"/>
    </row>
    <row r="290" spans="1:6" x14ac:dyDescent="0.25">
      <c r="A290" s="7"/>
      <c r="E290" s="7"/>
      <c r="F290" s="7"/>
    </row>
    <row r="291" spans="1:6" x14ac:dyDescent="0.25">
      <c r="A291" s="7"/>
      <c r="E291" s="7"/>
      <c r="F291" s="7"/>
    </row>
    <row r="292" spans="1:6" x14ac:dyDescent="0.25">
      <c r="A292" s="7"/>
      <c r="E292" s="7"/>
      <c r="F292" s="7"/>
    </row>
    <row r="293" spans="1:6" x14ac:dyDescent="0.25">
      <c r="A293" s="7"/>
      <c r="E293" s="7"/>
      <c r="F293" s="7"/>
    </row>
    <row r="294" spans="1:6" x14ac:dyDescent="0.25">
      <c r="A294" s="7"/>
      <c r="E294" s="7"/>
      <c r="F294" s="7"/>
    </row>
    <row r="295" spans="1:6" x14ac:dyDescent="0.25">
      <c r="A295" s="7"/>
      <c r="E295" s="7"/>
      <c r="F295" s="7"/>
    </row>
    <row r="296" spans="1:6" x14ac:dyDescent="0.25">
      <c r="A296" s="7"/>
      <c r="E296" s="7"/>
      <c r="F296" s="7"/>
    </row>
    <row r="297" spans="1:6" x14ac:dyDescent="0.25">
      <c r="A297" s="7"/>
      <c r="E297" s="7"/>
      <c r="F297" s="7"/>
    </row>
    <row r="298" spans="1:6" x14ac:dyDescent="0.25">
      <c r="A298" s="7"/>
      <c r="E298" s="7"/>
      <c r="F298" s="7"/>
    </row>
    <row r="299" spans="1:6" x14ac:dyDescent="0.25">
      <c r="A299" s="7"/>
      <c r="E299" s="7"/>
      <c r="F299" s="7"/>
    </row>
    <row r="300" spans="1:6" x14ac:dyDescent="0.25">
      <c r="A300" s="7"/>
      <c r="E300" s="7"/>
      <c r="F300" s="7"/>
    </row>
    <row r="301" spans="1:6" x14ac:dyDescent="0.25">
      <c r="A301" s="7"/>
      <c r="E301" s="7"/>
      <c r="F301" s="7"/>
    </row>
    <row r="302" spans="1:6" x14ac:dyDescent="0.25">
      <c r="A302" s="7"/>
      <c r="E302" s="7"/>
      <c r="F302" s="7"/>
    </row>
    <row r="303" spans="1:6" x14ac:dyDescent="0.25">
      <c r="A303" s="7"/>
      <c r="E303" s="7"/>
      <c r="F303" s="7"/>
    </row>
    <row r="304" spans="1:6" x14ac:dyDescent="0.25">
      <c r="A304" s="7"/>
      <c r="E304" s="7"/>
      <c r="F304" s="7"/>
    </row>
    <row r="305" spans="1:6" x14ac:dyDescent="0.25">
      <c r="A305" s="7"/>
      <c r="E305" s="7"/>
      <c r="F305" s="7"/>
    </row>
    <row r="306" spans="1:6" x14ac:dyDescent="0.25">
      <c r="A306" s="7"/>
      <c r="E306" s="7"/>
      <c r="F306" s="7"/>
    </row>
    <row r="307" spans="1:6" x14ac:dyDescent="0.25">
      <c r="A307" s="7"/>
      <c r="E307" s="7"/>
      <c r="F307" s="7"/>
    </row>
    <row r="308" spans="1:6" x14ac:dyDescent="0.25">
      <c r="A308" s="7"/>
      <c r="E308" s="7"/>
      <c r="F308" s="7"/>
    </row>
    <row r="309" spans="1:6" x14ac:dyDescent="0.25">
      <c r="A309" s="7"/>
      <c r="E309" s="7"/>
      <c r="F309" s="7"/>
    </row>
    <row r="310" spans="1:6" x14ac:dyDescent="0.25">
      <c r="A310" s="7"/>
      <c r="E310" s="7"/>
      <c r="F310" s="7"/>
    </row>
    <row r="311" spans="1:6" x14ac:dyDescent="0.25">
      <c r="A311" s="7"/>
      <c r="E311" s="7"/>
      <c r="F311" s="7"/>
    </row>
    <row r="312" spans="1:6" x14ac:dyDescent="0.25">
      <c r="A312" s="7"/>
      <c r="E312" s="7"/>
      <c r="F312" s="7"/>
    </row>
    <row r="313" spans="1:6" x14ac:dyDescent="0.25">
      <c r="A313" s="7"/>
      <c r="E313" s="7"/>
      <c r="F313" s="7"/>
    </row>
    <row r="314" spans="1:6" x14ac:dyDescent="0.25">
      <c r="A314" s="7"/>
      <c r="E314" s="7"/>
      <c r="F314" s="7"/>
    </row>
    <row r="315" spans="1:6" x14ac:dyDescent="0.25">
      <c r="A315" s="7"/>
      <c r="E315" s="7"/>
      <c r="F315" s="7"/>
    </row>
    <row r="316" spans="1:6" x14ac:dyDescent="0.25">
      <c r="A316" s="7"/>
      <c r="E316" s="7"/>
      <c r="F316" s="7"/>
    </row>
    <row r="317" spans="1:6" x14ac:dyDescent="0.25">
      <c r="A317" s="7"/>
      <c r="E317" s="7"/>
      <c r="F317" s="7"/>
    </row>
    <row r="318" spans="1:6" x14ac:dyDescent="0.25">
      <c r="A318" s="7"/>
      <c r="E318" s="7"/>
      <c r="F318" s="7"/>
    </row>
    <row r="319" spans="1:6" x14ac:dyDescent="0.25">
      <c r="A319" s="7"/>
      <c r="E319" s="7"/>
      <c r="F319" s="7"/>
    </row>
    <row r="320" spans="1:6" x14ac:dyDescent="0.25">
      <c r="A320" s="7"/>
      <c r="E320" s="7"/>
      <c r="F320" s="7"/>
    </row>
    <row r="321" spans="1:6" x14ac:dyDescent="0.25">
      <c r="A321" s="7"/>
      <c r="E321" s="7"/>
      <c r="F321" s="7"/>
    </row>
    <row r="322" spans="1:6" x14ac:dyDescent="0.25">
      <c r="A322" s="7"/>
      <c r="E322" s="7"/>
      <c r="F322" s="7"/>
    </row>
    <row r="323" spans="1:6" x14ac:dyDescent="0.25">
      <c r="A323" s="7"/>
      <c r="E323" s="7"/>
      <c r="F323" s="7"/>
    </row>
    <row r="324" spans="1:6" x14ac:dyDescent="0.25">
      <c r="A324" s="7"/>
      <c r="E324" s="7"/>
      <c r="F324" s="7"/>
    </row>
    <row r="325" spans="1:6" x14ac:dyDescent="0.25">
      <c r="A325" s="7"/>
      <c r="E325" s="7"/>
      <c r="F325" s="7"/>
    </row>
    <row r="326" spans="1:6" x14ac:dyDescent="0.25">
      <c r="A326" s="7"/>
      <c r="E326" s="7"/>
      <c r="F326" s="7"/>
    </row>
    <row r="327" spans="1:6" x14ac:dyDescent="0.25">
      <c r="A327" s="7"/>
      <c r="E327" s="7"/>
      <c r="F327" s="7"/>
    </row>
    <row r="328" spans="1:6" x14ac:dyDescent="0.25">
      <c r="A328" s="7"/>
      <c r="E328" s="7"/>
      <c r="F328" s="7"/>
    </row>
    <row r="329" spans="1:6" x14ac:dyDescent="0.25">
      <c r="A329" s="7"/>
      <c r="E329" s="7"/>
      <c r="F329" s="7"/>
    </row>
    <row r="330" spans="1:6" x14ac:dyDescent="0.25">
      <c r="A330" s="7"/>
      <c r="E330" s="7"/>
      <c r="F330" s="7"/>
    </row>
    <row r="331" spans="1:6" x14ac:dyDescent="0.25">
      <c r="A331" s="7"/>
      <c r="E331" s="7"/>
      <c r="F331" s="7"/>
    </row>
    <row r="332" spans="1:6" x14ac:dyDescent="0.25">
      <c r="A332" s="7"/>
      <c r="E332" s="7"/>
      <c r="F332" s="7"/>
    </row>
    <row r="333" spans="1:6" x14ac:dyDescent="0.25">
      <c r="A333" s="7"/>
      <c r="E333" s="7"/>
      <c r="F333" s="7"/>
    </row>
    <row r="334" spans="1:6" x14ac:dyDescent="0.25">
      <c r="A334" s="7"/>
      <c r="E334" s="7"/>
      <c r="F334" s="7"/>
    </row>
    <row r="335" spans="1:6" x14ac:dyDescent="0.25">
      <c r="A335" s="7"/>
      <c r="E335" s="7"/>
      <c r="F335" s="7"/>
    </row>
    <row r="336" spans="1:6" x14ac:dyDescent="0.25">
      <c r="A336" s="7"/>
      <c r="E336" s="7"/>
      <c r="F336" s="7"/>
    </row>
    <row r="337" spans="1:6" x14ac:dyDescent="0.25">
      <c r="A337" s="7"/>
      <c r="E337" s="7"/>
      <c r="F337" s="7"/>
    </row>
    <row r="338" spans="1:6" x14ac:dyDescent="0.25">
      <c r="A338" s="7"/>
      <c r="E338" s="7"/>
      <c r="F338" s="7"/>
    </row>
    <row r="339" spans="1:6" x14ac:dyDescent="0.25">
      <c r="A339" s="7"/>
      <c r="E339" s="7"/>
      <c r="F339" s="7"/>
    </row>
    <row r="340" spans="1:6" x14ac:dyDescent="0.25">
      <c r="A340" s="7"/>
      <c r="E340" s="7"/>
      <c r="F340" s="7"/>
    </row>
    <row r="341" spans="1:6" x14ac:dyDescent="0.25">
      <c r="A341" s="7"/>
      <c r="E341" s="7"/>
      <c r="F341" s="7"/>
    </row>
    <row r="342" spans="1:6" x14ac:dyDescent="0.25">
      <c r="A342" s="7"/>
      <c r="E342" s="7"/>
      <c r="F342" s="7"/>
    </row>
    <row r="343" spans="1:6" x14ac:dyDescent="0.25">
      <c r="A343" s="7"/>
      <c r="E343" s="7"/>
      <c r="F343" s="7"/>
    </row>
    <row r="344" spans="1:6" x14ac:dyDescent="0.25">
      <c r="A344" s="7"/>
      <c r="E344" s="7"/>
      <c r="F344" s="7"/>
    </row>
    <row r="345" spans="1:6" x14ac:dyDescent="0.25">
      <c r="A345" s="7"/>
      <c r="E345" s="7"/>
      <c r="F345" s="7"/>
    </row>
    <row r="346" spans="1:6" x14ac:dyDescent="0.25">
      <c r="A346" s="7"/>
      <c r="E346" s="7"/>
      <c r="F346" s="7"/>
    </row>
    <row r="347" spans="1:6" x14ac:dyDescent="0.25">
      <c r="A347" s="7"/>
      <c r="E347" s="7"/>
      <c r="F347" s="7"/>
    </row>
    <row r="348" spans="1:6" x14ac:dyDescent="0.25">
      <c r="A348" s="7"/>
      <c r="E348" s="7"/>
      <c r="F348" s="7"/>
    </row>
    <row r="349" spans="1:6" x14ac:dyDescent="0.25">
      <c r="A349" s="7"/>
      <c r="E349" s="7"/>
      <c r="F349" s="7"/>
    </row>
    <row r="350" spans="1:6" x14ac:dyDescent="0.25">
      <c r="A350" s="7"/>
      <c r="E350" s="7"/>
      <c r="F350" s="7"/>
    </row>
    <row r="351" spans="1:6" x14ac:dyDescent="0.25">
      <c r="A351" s="7"/>
      <c r="E351" s="7"/>
      <c r="F351" s="7"/>
    </row>
    <row r="352" spans="1:6" x14ac:dyDescent="0.25">
      <c r="A352" s="7"/>
      <c r="E352" s="7"/>
      <c r="F352" s="7"/>
    </row>
    <row r="353" spans="1:6" x14ac:dyDescent="0.25">
      <c r="A353" s="7"/>
      <c r="E353" s="7"/>
      <c r="F353" s="7"/>
    </row>
    <row r="354" spans="1:6" x14ac:dyDescent="0.25">
      <c r="A354" s="7"/>
      <c r="E354" s="7"/>
      <c r="F354" s="7"/>
    </row>
    <row r="355" spans="1:6" x14ac:dyDescent="0.25">
      <c r="A355" s="7"/>
      <c r="E355" s="7"/>
      <c r="F355" s="7"/>
    </row>
    <row r="356" spans="1:6" x14ac:dyDescent="0.25">
      <c r="A356" s="7"/>
      <c r="E356" s="7"/>
      <c r="F356" s="7"/>
    </row>
    <row r="357" spans="1:6" x14ac:dyDescent="0.25">
      <c r="A357" s="7"/>
      <c r="E357" s="7"/>
      <c r="F357" s="7"/>
    </row>
    <row r="358" spans="1:6" x14ac:dyDescent="0.25">
      <c r="A358" s="7"/>
      <c r="E358" s="7"/>
      <c r="F358" s="7"/>
    </row>
    <row r="359" spans="1:6" x14ac:dyDescent="0.25">
      <c r="A359" s="7"/>
      <c r="E359" s="7"/>
      <c r="F359" s="7"/>
    </row>
    <row r="360" spans="1:6" x14ac:dyDescent="0.25">
      <c r="A360" s="7"/>
      <c r="E360" s="7"/>
      <c r="F360" s="7"/>
    </row>
    <row r="361" spans="1:6" x14ac:dyDescent="0.25">
      <c r="A361" s="7"/>
      <c r="E361" s="7"/>
      <c r="F361" s="7"/>
    </row>
    <row r="362" spans="1:6" x14ac:dyDescent="0.25">
      <c r="A362" s="7"/>
      <c r="E362" s="7"/>
      <c r="F362" s="7"/>
    </row>
    <row r="363" spans="1:6" x14ac:dyDescent="0.25">
      <c r="A363" s="7"/>
      <c r="E363" s="7"/>
      <c r="F363" s="7"/>
    </row>
    <row r="364" spans="1:6" x14ac:dyDescent="0.25">
      <c r="A364" s="7"/>
      <c r="E364" s="7"/>
      <c r="F364" s="7"/>
    </row>
    <row r="365" spans="1:6" x14ac:dyDescent="0.25">
      <c r="A365" s="7"/>
      <c r="E365" s="7"/>
      <c r="F365" s="7"/>
    </row>
    <row r="366" spans="1:6" x14ac:dyDescent="0.25">
      <c r="A366" s="7"/>
      <c r="E366" s="7"/>
      <c r="F366" s="7"/>
    </row>
    <row r="367" spans="1:6" x14ac:dyDescent="0.25">
      <c r="A367" s="7"/>
      <c r="E367" s="7"/>
      <c r="F367" s="7"/>
    </row>
    <row r="368" spans="1:6" x14ac:dyDescent="0.25">
      <c r="A368" s="7"/>
      <c r="E368" s="7"/>
      <c r="F368" s="7"/>
    </row>
    <row r="369" spans="1:6" x14ac:dyDescent="0.25">
      <c r="A369" s="7"/>
      <c r="E369" s="7"/>
      <c r="F369" s="7"/>
    </row>
    <row r="370" spans="1:6" x14ac:dyDescent="0.25">
      <c r="A370" s="7"/>
      <c r="E370" s="7"/>
      <c r="F370" s="7"/>
    </row>
    <row r="371" spans="1:6" x14ac:dyDescent="0.25">
      <c r="A371" s="7"/>
      <c r="E371" s="7"/>
      <c r="F371" s="7"/>
    </row>
    <row r="372" spans="1:6" x14ac:dyDescent="0.25">
      <c r="A372" s="7"/>
      <c r="E372" s="7"/>
      <c r="F372" s="7"/>
    </row>
    <row r="373" spans="1:6" x14ac:dyDescent="0.25">
      <c r="A373" s="7"/>
      <c r="E373" s="7"/>
      <c r="F373" s="7"/>
    </row>
    <row r="374" spans="1:6" x14ac:dyDescent="0.25">
      <c r="A374" s="7"/>
      <c r="E374" s="7"/>
      <c r="F374" s="7"/>
    </row>
    <row r="375" spans="1:6" x14ac:dyDescent="0.25">
      <c r="A375" s="7"/>
      <c r="E375" s="7"/>
      <c r="F375" s="7"/>
    </row>
    <row r="376" spans="1:6" x14ac:dyDescent="0.25">
      <c r="A376" s="7"/>
      <c r="E376" s="7"/>
      <c r="F376" s="7"/>
    </row>
    <row r="377" spans="1:6" x14ac:dyDescent="0.25">
      <c r="A377" s="7"/>
      <c r="E377" s="7"/>
      <c r="F377" s="7"/>
    </row>
    <row r="378" spans="1:6" x14ac:dyDescent="0.25">
      <c r="A378" s="7"/>
      <c r="E378" s="7"/>
      <c r="F378" s="7"/>
    </row>
    <row r="379" spans="1:6" x14ac:dyDescent="0.25">
      <c r="A379" s="7"/>
      <c r="E379" s="7"/>
      <c r="F379" s="7"/>
    </row>
    <row r="380" spans="1:6" x14ac:dyDescent="0.25">
      <c r="A380" s="7"/>
      <c r="E380" s="7"/>
      <c r="F380" s="7"/>
    </row>
    <row r="381" spans="1:6" x14ac:dyDescent="0.25">
      <c r="A381" s="7"/>
      <c r="E381" s="7"/>
      <c r="F381" s="7"/>
    </row>
    <row r="382" spans="1:6" x14ac:dyDescent="0.25">
      <c r="A382" s="7"/>
      <c r="E382" s="7"/>
      <c r="F382" s="7"/>
    </row>
    <row r="383" spans="1:6" x14ac:dyDescent="0.25">
      <c r="A383" s="7"/>
      <c r="E383" s="7"/>
      <c r="F383" s="7"/>
    </row>
    <row r="384" spans="1:6" x14ac:dyDescent="0.25">
      <c r="A384" s="7"/>
      <c r="E384" s="7"/>
      <c r="F384" s="7"/>
    </row>
    <row r="385" spans="1:6" x14ac:dyDescent="0.25">
      <c r="A385" s="7"/>
      <c r="E385" s="7"/>
      <c r="F385" s="7"/>
    </row>
    <row r="386" spans="1:6" x14ac:dyDescent="0.25">
      <c r="A386" s="7"/>
      <c r="E386" s="7"/>
      <c r="F386" s="7"/>
    </row>
    <row r="387" spans="1:6" x14ac:dyDescent="0.25">
      <c r="A387" s="7"/>
      <c r="E387" s="7"/>
      <c r="F387" s="7"/>
    </row>
    <row r="388" spans="1:6" x14ac:dyDescent="0.25">
      <c r="A388" s="7"/>
      <c r="E388" s="7"/>
      <c r="F388" s="7"/>
    </row>
    <row r="389" spans="1:6" x14ac:dyDescent="0.25">
      <c r="A389" s="7"/>
      <c r="E389" s="7"/>
      <c r="F389" s="7"/>
    </row>
    <row r="390" spans="1:6" x14ac:dyDescent="0.25">
      <c r="A390" s="7"/>
      <c r="E390" s="7"/>
      <c r="F390" s="7"/>
    </row>
    <row r="391" spans="1:6" x14ac:dyDescent="0.25">
      <c r="A391" s="7"/>
      <c r="E391" s="7"/>
      <c r="F391" s="7"/>
    </row>
    <row r="392" spans="1:6" x14ac:dyDescent="0.25">
      <c r="A392" s="7"/>
      <c r="E392" s="7"/>
      <c r="F392" s="7"/>
    </row>
    <row r="393" spans="1:6" x14ac:dyDescent="0.25">
      <c r="A393" s="7"/>
      <c r="E393" s="7"/>
      <c r="F393" s="7"/>
    </row>
    <row r="394" spans="1:6" x14ac:dyDescent="0.25">
      <c r="A394" s="7"/>
      <c r="E394" s="7"/>
      <c r="F394" s="7"/>
    </row>
    <row r="395" spans="1:6" x14ac:dyDescent="0.25">
      <c r="A395" s="7"/>
      <c r="E395" s="7"/>
      <c r="F395" s="7"/>
    </row>
    <row r="396" spans="1:6" x14ac:dyDescent="0.25">
      <c r="A396" s="7"/>
      <c r="E396" s="7"/>
      <c r="F396" s="7"/>
    </row>
    <row r="397" spans="1:6" x14ac:dyDescent="0.25">
      <c r="A397" s="7"/>
      <c r="E397" s="7"/>
      <c r="F397" s="7"/>
    </row>
    <row r="398" spans="1:6" x14ac:dyDescent="0.25">
      <c r="A398" s="7"/>
      <c r="E398" s="7"/>
      <c r="F398" s="7"/>
    </row>
    <row r="399" spans="1:6" x14ac:dyDescent="0.25">
      <c r="A399" s="7"/>
      <c r="E399" s="7"/>
      <c r="F399" s="7"/>
    </row>
    <row r="400" spans="1:6" x14ac:dyDescent="0.25">
      <c r="A400" s="7"/>
      <c r="E400" s="7"/>
      <c r="F400" s="7"/>
    </row>
    <row r="401" spans="1:6" x14ac:dyDescent="0.25">
      <c r="A401" s="7"/>
      <c r="E401" s="7"/>
      <c r="F401" s="7"/>
    </row>
    <row r="402" spans="1:6" x14ac:dyDescent="0.25">
      <c r="A402" s="7"/>
      <c r="E402" s="7"/>
      <c r="F402" s="7"/>
    </row>
    <row r="403" spans="1:6" x14ac:dyDescent="0.25">
      <c r="A403" s="7"/>
      <c r="E403" s="7"/>
      <c r="F403" s="7"/>
    </row>
    <row r="404" spans="1:6" x14ac:dyDescent="0.25">
      <c r="A404" s="7"/>
      <c r="E404" s="7"/>
      <c r="F404" s="7"/>
    </row>
    <row r="405" spans="1:6" x14ac:dyDescent="0.25">
      <c r="A405" s="7"/>
      <c r="E405" s="7"/>
      <c r="F405" s="7"/>
    </row>
    <row r="406" spans="1:6" x14ac:dyDescent="0.25">
      <c r="A406" s="7"/>
      <c r="E406" s="7"/>
      <c r="F406" s="7"/>
    </row>
    <row r="407" spans="1:6" x14ac:dyDescent="0.25">
      <c r="A407" s="7"/>
      <c r="E407" s="7"/>
      <c r="F407" s="7"/>
    </row>
    <row r="408" spans="1:6" x14ac:dyDescent="0.25">
      <c r="A408" s="7"/>
      <c r="E408" s="7"/>
      <c r="F408" s="7"/>
    </row>
    <row r="409" spans="1:6" x14ac:dyDescent="0.25">
      <c r="A409" s="7"/>
      <c r="E409" s="7"/>
      <c r="F409" s="7"/>
    </row>
    <row r="410" spans="1:6" x14ac:dyDescent="0.25">
      <c r="A410" s="7"/>
      <c r="E410" s="7"/>
      <c r="F410" s="7"/>
    </row>
    <row r="411" spans="1:6" x14ac:dyDescent="0.25">
      <c r="A411" s="7"/>
      <c r="E411" s="7"/>
      <c r="F411" s="7"/>
    </row>
    <row r="412" spans="1:6" x14ac:dyDescent="0.25">
      <c r="A412" s="7"/>
      <c r="E412" s="7"/>
      <c r="F412" s="7"/>
    </row>
    <row r="413" spans="1:6" x14ac:dyDescent="0.25">
      <c r="A413" s="7"/>
      <c r="E413" s="7"/>
      <c r="F413" s="7"/>
    </row>
    <row r="414" spans="1:6" x14ac:dyDescent="0.25">
      <c r="A414" s="7"/>
      <c r="E414" s="7"/>
      <c r="F414" s="7"/>
    </row>
    <row r="415" spans="1:6" x14ac:dyDescent="0.25">
      <c r="A415" s="7"/>
      <c r="E415" s="7"/>
      <c r="F415" s="7"/>
    </row>
    <row r="416" spans="1:6" x14ac:dyDescent="0.25">
      <c r="A416" s="7"/>
      <c r="E416" s="7"/>
      <c r="F416" s="7"/>
    </row>
    <row r="417" spans="1:6" x14ac:dyDescent="0.25">
      <c r="A417" s="7"/>
      <c r="E417" s="7"/>
      <c r="F417" s="7"/>
    </row>
    <row r="418" spans="1:6" x14ac:dyDescent="0.25">
      <c r="A418" s="7"/>
      <c r="E418" s="7"/>
      <c r="F418" s="7"/>
    </row>
    <row r="419" spans="1:6" x14ac:dyDescent="0.25">
      <c r="A419" s="7"/>
      <c r="E419" s="7"/>
      <c r="F419" s="7"/>
    </row>
    <row r="420" spans="1:6" x14ac:dyDescent="0.25">
      <c r="A420" s="7"/>
      <c r="E420" s="7"/>
      <c r="F420" s="7"/>
    </row>
    <row r="421" spans="1:6" x14ac:dyDescent="0.25">
      <c r="A421" s="7"/>
      <c r="E421" s="7"/>
      <c r="F421" s="7"/>
    </row>
    <row r="422" spans="1:6" x14ac:dyDescent="0.25">
      <c r="A422" s="7"/>
      <c r="E422" s="7"/>
      <c r="F422" s="7"/>
    </row>
    <row r="423" spans="1:6" x14ac:dyDescent="0.25">
      <c r="A423" s="7"/>
      <c r="E423" s="7"/>
      <c r="F423" s="7"/>
    </row>
    <row r="424" spans="1:6" x14ac:dyDescent="0.25">
      <c r="A424" s="7"/>
      <c r="E424" s="7"/>
      <c r="F424" s="7"/>
    </row>
    <row r="425" spans="1:6" x14ac:dyDescent="0.25">
      <c r="A425" s="7"/>
      <c r="E425" s="7"/>
      <c r="F425" s="7"/>
    </row>
    <row r="426" spans="1:6" x14ac:dyDescent="0.25">
      <c r="A426" s="7"/>
      <c r="E426" s="7"/>
      <c r="F426" s="7"/>
    </row>
    <row r="427" spans="1:6" x14ac:dyDescent="0.25">
      <c r="A427" s="7"/>
      <c r="E427" s="7"/>
      <c r="F427" s="7"/>
    </row>
    <row r="428" spans="1:6" x14ac:dyDescent="0.25">
      <c r="A428" s="7"/>
      <c r="E428" s="7"/>
      <c r="F428" s="7"/>
    </row>
    <row r="429" spans="1:6" x14ac:dyDescent="0.25">
      <c r="A429" s="7"/>
      <c r="E429" s="7"/>
      <c r="F429" s="7"/>
    </row>
    <row r="430" spans="1:6" x14ac:dyDescent="0.25">
      <c r="A430" s="7"/>
      <c r="E430" s="7"/>
      <c r="F430" s="7"/>
    </row>
    <row r="431" spans="1:6" x14ac:dyDescent="0.25">
      <c r="A431" s="7"/>
      <c r="E431" s="7"/>
      <c r="F431" s="7"/>
    </row>
    <row r="432" spans="1:6" x14ac:dyDescent="0.25">
      <c r="A432" s="7"/>
      <c r="E432" s="7"/>
      <c r="F432" s="7"/>
    </row>
    <row r="433" spans="1:6" x14ac:dyDescent="0.25">
      <c r="A433" s="7"/>
      <c r="E433" s="7"/>
      <c r="F433" s="7"/>
    </row>
    <row r="434" spans="1:6" x14ac:dyDescent="0.25">
      <c r="A434" s="7"/>
      <c r="E434" s="7"/>
      <c r="F434" s="7"/>
    </row>
    <row r="435" spans="1:6" x14ac:dyDescent="0.25">
      <c r="A435" s="7"/>
      <c r="E435" s="7"/>
      <c r="F435" s="7"/>
    </row>
    <row r="436" spans="1:6" x14ac:dyDescent="0.25">
      <c r="A436" s="7"/>
      <c r="E436" s="7"/>
      <c r="F436" s="7"/>
    </row>
    <row r="437" spans="1:6" x14ac:dyDescent="0.25">
      <c r="A437" s="7"/>
      <c r="E437" s="7"/>
      <c r="F437" s="7"/>
    </row>
    <row r="438" spans="1:6" x14ac:dyDescent="0.25">
      <c r="A438" s="7"/>
      <c r="E438" s="7"/>
      <c r="F438" s="7"/>
    </row>
    <row r="439" spans="1:6" x14ac:dyDescent="0.25">
      <c r="A439" s="7"/>
      <c r="E439" s="7"/>
      <c r="F439" s="7"/>
    </row>
    <row r="440" spans="1:6" x14ac:dyDescent="0.25">
      <c r="A440" s="7"/>
      <c r="E440" s="7"/>
      <c r="F440" s="7"/>
    </row>
    <row r="441" spans="1:6" x14ac:dyDescent="0.25">
      <c r="A441" s="7"/>
      <c r="E441" s="7"/>
      <c r="F441" s="7"/>
    </row>
    <row r="442" spans="1:6" x14ac:dyDescent="0.25">
      <c r="A442" s="7"/>
      <c r="E442" s="7"/>
      <c r="F442" s="7"/>
    </row>
    <row r="443" spans="1:6" x14ac:dyDescent="0.25">
      <c r="A443" s="7"/>
      <c r="E443" s="7"/>
      <c r="F443" s="7"/>
    </row>
    <row r="444" spans="1:6" x14ac:dyDescent="0.25">
      <c r="A444" s="7"/>
      <c r="E444" s="7"/>
      <c r="F444" s="7"/>
    </row>
    <row r="445" spans="1:6" x14ac:dyDescent="0.25">
      <c r="A445" s="7"/>
      <c r="E445" s="7"/>
      <c r="F445" s="7"/>
    </row>
    <row r="446" spans="1:6" x14ac:dyDescent="0.25">
      <c r="A446" s="7"/>
      <c r="E446" s="7"/>
      <c r="F446" s="7"/>
    </row>
    <row r="447" spans="1:6" x14ac:dyDescent="0.25">
      <c r="A447" s="7"/>
      <c r="E447" s="7"/>
      <c r="F447" s="7"/>
    </row>
    <row r="448" spans="1:6" x14ac:dyDescent="0.25">
      <c r="A448" s="7"/>
      <c r="E448" s="7"/>
      <c r="F448" s="7"/>
    </row>
    <row r="449" spans="1:6" x14ac:dyDescent="0.25">
      <c r="A449" s="7"/>
      <c r="E449" s="7"/>
      <c r="F449" s="7"/>
    </row>
    <row r="450" spans="1:6" x14ac:dyDescent="0.25">
      <c r="A450" s="7"/>
      <c r="E450" s="7"/>
      <c r="F450" s="7"/>
    </row>
    <row r="451" spans="1:6" x14ac:dyDescent="0.25">
      <c r="A451" s="7"/>
      <c r="E451" s="7"/>
      <c r="F451" s="7"/>
    </row>
    <row r="452" spans="1:6" x14ac:dyDescent="0.25">
      <c r="A452" s="7"/>
      <c r="E452" s="7"/>
      <c r="F452" s="7"/>
    </row>
    <row r="453" spans="1:6" x14ac:dyDescent="0.25">
      <c r="A453" s="7"/>
      <c r="E453" s="7"/>
      <c r="F453" s="7"/>
    </row>
    <row r="454" spans="1:6" x14ac:dyDescent="0.25">
      <c r="A454" s="7"/>
      <c r="E454" s="7"/>
      <c r="F454" s="7"/>
    </row>
    <row r="455" spans="1:6" x14ac:dyDescent="0.25">
      <c r="A455" s="7"/>
      <c r="E455" s="7"/>
      <c r="F455" s="7"/>
    </row>
    <row r="456" spans="1:6" x14ac:dyDescent="0.25">
      <c r="A456" s="7"/>
      <c r="E456" s="7"/>
      <c r="F456" s="7"/>
    </row>
    <row r="457" spans="1:6" x14ac:dyDescent="0.25">
      <c r="A457" s="7"/>
      <c r="E457" s="7"/>
      <c r="F457" s="7"/>
    </row>
    <row r="458" spans="1:6" x14ac:dyDescent="0.25">
      <c r="A458" s="7"/>
      <c r="E458" s="7"/>
      <c r="F458" s="7"/>
    </row>
    <row r="459" spans="1:6" x14ac:dyDescent="0.25">
      <c r="A459" s="7"/>
      <c r="E459" s="7"/>
      <c r="F459" s="7"/>
    </row>
    <row r="460" spans="1:6" x14ac:dyDescent="0.25">
      <c r="A460" s="7"/>
      <c r="E460" s="7"/>
      <c r="F460" s="7"/>
    </row>
    <row r="461" spans="1:6" x14ac:dyDescent="0.25">
      <c r="A461" s="7"/>
      <c r="E461" s="7"/>
      <c r="F461" s="7"/>
    </row>
    <row r="462" spans="1:6" x14ac:dyDescent="0.25">
      <c r="A462" s="7"/>
      <c r="E462" s="7"/>
      <c r="F462" s="7"/>
    </row>
    <row r="463" spans="1:6" x14ac:dyDescent="0.25">
      <c r="A463" s="7"/>
      <c r="E463" s="7"/>
      <c r="F463" s="7"/>
    </row>
    <row r="464" spans="1:6" x14ac:dyDescent="0.25">
      <c r="A464" s="7"/>
      <c r="E464" s="7"/>
      <c r="F464" s="7"/>
    </row>
    <row r="465" spans="1:6" x14ac:dyDescent="0.25">
      <c r="A465" s="7"/>
      <c r="E465" s="7"/>
      <c r="F465" s="7"/>
    </row>
    <row r="466" spans="1:6" x14ac:dyDescent="0.25">
      <c r="A466" s="7"/>
      <c r="E466" s="7"/>
      <c r="F466" s="7"/>
    </row>
    <row r="467" spans="1:6" x14ac:dyDescent="0.25">
      <c r="A467" s="7"/>
      <c r="E467" s="7"/>
      <c r="F467" s="7"/>
    </row>
    <row r="468" spans="1:6" x14ac:dyDescent="0.25">
      <c r="A468" s="7"/>
      <c r="E468" s="7"/>
      <c r="F468" s="7"/>
    </row>
    <row r="469" spans="1:6" x14ac:dyDescent="0.25">
      <c r="A469" s="7"/>
      <c r="E469" s="7"/>
      <c r="F469" s="7"/>
    </row>
    <row r="470" spans="1:6" x14ac:dyDescent="0.25">
      <c r="A470" s="7"/>
      <c r="E470" s="7"/>
      <c r="F470" s="7"/>
    </row>
    <row r="471" spans="1:6" x14ac:dyDescent="0.25">
      <c r="A471" s="7"/>
      <c r="E471" s="7"/>
      <c r="F471" s="7"/>
    </row>
    <row r="472" spans="1:6" x14ac:dyDescent="0.25">
      <c r="A472" s="7"/>
      <c r="E472" s="7"/>
      <c r="F472" s="7"/>
    </row>
    <row r="473" spans="1:6" x14ac:dyDescent="0.25">
      <c r="A473" s="7"/>
      <c r="E473" s="7"/>
      <c r="F473" s="7"/>
    </row>
    <row r="474" spans="1:6" x14ac:dyDescent="0.25">
      <c r="A474" s="7"/>
      <c r="E474" s="7"/>
      <c r="F474" s="7"/>
    </row>
    <row r="475" spans="1:6" x14ac:dyDescent="0.25">
      <c r="A475" s="7"/>
      <c r="E475" s="7"/>
      <c r="F475" s="7"/>
    </row>
    <row r="476" spans="1:6" x14ac:dyDescent="0.25">
      <c r="A476" s="7"/>
      <c r="E476" s="7"/>
      <c r="F476" s="7"/>
    </row>
    <row r="477" spans="1:6" x14ac:dyDescent="0.25">
      <c r="A477" s="7"/>
      <c r="E477" s="7"/>
      <c r="F477" s="7"/>
    </row>
    <row r="478" spans="1:6" x14ac:dyDescent="0.25">
      <c r="A478" s="7"/>
      <c r="E478" s="7"/>
      <c r="F478" s="7"/>
    </row>
    <row r="479" spans="1:6" x14ac:dyDescent="0.25">
      <c r="A479" s="7"/>
      <c r="E479" s="7"/>
      <c r="F479" s="7"/>
    </row>
    <row r="480" spans="1:6" x14ac:dyDescent="0.25">
      <c r="A480" s="7"/>
      <c r="E480" s="7"/>
      <c r="F480" s="7"/>
    </row>
    <row r="481" spans="1:6" x14ac:dyDescent="0.25">
      <c r="A481" s="7"/>
      <c r="E481" s="7"/>
      <c r="F481" s="7"/>
    </row>
    <row r="482" spans="1:6" x14ac:dyDescent="0.25">
      <c r="A482" s="7"/>
      <c r="E482" s="7"/>
      <c r="F482" s="7"/>
    </row>
    <row r="483" spans="1:6" x14ac:dyDescent="0.25">
      <c r="A483" s="7"/>
      <c r="E483" s="7"/>
      <c r="F483" s="7"/>
    </row>
    <row r="484" spans="1:6" x14ac:dyDescent="0.25">
      <c r="A484" s="7"/>
      <c r="E484" s="7"/>
      <c r="F484" s="7"/>
    </row>
    <row r="485" spans="1:6" x14ac:dyDescent="0.25">
      <c r="A485" s="7"/>
      <c r="E485" s="7"/>
      <c r="F485" s="7"/>
    </row>
    <row r="486" spans="1:6" x14ac:dyDescent="0.25">
      <c r="A486" s="7"/>
      <c r="E486" s="7"/>
      <c r="F486" s="7"/>
    </row>
    <row r="487" spans="1:6" x14ac:dyDescent="0.25">
      <c r="A487" s="7"/>
      <c r="E487" s="7"/>
      <c r="F487" s="7"/>
    </row>
    <row r="488" spans="1:6" x14ac:dyDescent="0.25">
      <c r="A488" s="7"/>
      <c r="E488" s="7"/>
      <c r="F488" s="7"/>
    </row>
    <row r="489" spans="1:6" x14ac:dyDescent="0.25">
      <c r="A489" s="7"/>
      <c r="E489" s="7"/>
      <c r="F489" s="7"/>
    </row>
    <row r="490" spans="1:6" x14ac:dyDescent="0.25">
      <c r="A490" s="7"/>
      <c r="E490" s="7"/>
      <c r="F490" s="7"/>
    </row>
    <row r="491" spans="1:6" x14ac:dyDescent="0.25">
      <c r="A491" s="7"/>
      <c r="E491" s="7"/>
      <c r="F491" s="7"/>
    </row>
    <row r="492" spans="1:6" x14ac:dyDescent="0.25">
      <c r="A492" s="7"/>
      <c r="E492" s="7"/>
      <c r="F492" s="7"/>
    </row>
    <row r="493" spans="1:6" x14ac:dyDescent="0.25">
      <c r="A493" s="7"/>
      <c r="E493" s="7"/>
      <c r="F493" s="7"/>
    </row>
    <row r="494" spans="1:6" x14ac:dyDescent="0.25">
      <c r="A494" s="7"/>
      <c r="E494" s="7"/>
      <c r="F494" s="7"/>
    </row>
    <row r="495" spans="1:6" x14ac:dyDescent="0.25">
      <c r="A495" s="7"/>
      <c r="E495" s="7"/>
      <c r="F495" s="7"/>
    </row>
    <row r="496" spans="1:6" x14ac:dyDescent="0.25">
      <c r="A496" s="7"/>
      <c r="E496" s="7"/>
      <c r="F496" s="7"/>
    </row>
    <row r="497" spans="1:6" x14ac:dyDescent="0.25">
      <c r="A497" s="7"/>
      <c r="E497" s="7"/>
      <c r="F497" s="7"/>
    </row>
    <row r="498" spans="1:6" x14ac:dyDescent="0.25">
      <c r="A498" s="7"/>
      <c r="E498" s="7"/>
      <c r="F498" s="7"/>
    </row>
    <row r="499" spans="1:6" x14ac:dyDescent="0.25">
      <c r="A499" s="7"/>
      <c r="E499" s="7"/>
      <c r="F499" s="7"/>
    </row>
    <row r="500" spans="1:6" x14ac:dyDescent="0.25">
      <c r="A500" s="7"/>
      <c r="E500" s="7"/>
      <c r="F500" s="7"/>
    </row>
    <row r="501" spans="1:6" x14ac:dyDescent="0.25">
      <c r="A501" s="7"/>
      <c r="E501" s="7"/>
      <c r="F501" s="7"/>
    </row>
    <row r="502" spans="1:6" x14ac:dyDescent="0.25">
      <c r="A502" s="7"/>
      <c r="E502" s="7"/>
      <c r="F502" s="7"/>
    </row>
    <row r="503" spans="1:6" x14ac:dyDescent="0.25">
      <c r="A503" s="7"/>
      <c r="E503" s="7"/>
      <c r="F503" s="7"/>
    </row>
    <row r="504" spans="1:6" x14ac:dyDescent="0.25">
      <c r="A504" s="7"/>
      <c r="E504" s="7"/>
      <c r="F504" s="7"/>
    </row>
    <row r="505" spans="1:6" x14ac:dyDescent="0.25">
      <c r="A505" s="7"/>
      <c r="E505" s="7"/>
      <c r="F505" s="7"/>
    </row>
    <row r="506" spans="1:6" x14ac:dyDescent="0.25">
      <c r="A506" s="7"/>
      <c r="E506" s="7"/>
      <c r="F506" s="7"/>
    </row>
    <row r="507" spans="1:6" x14ac:dyDescent="0.25">
      <c r="A507" s="7"/>
      <c r="E507" s="7"/>
      <c r="F507" s="7"/>
    </row>
    <row r="508" spans="1:6" x14ac:dyDescent="0.25">
      <c r="A508" s="7"/>
      <c r="E508" s="7"/>
      <c r="F508" s="7"/>
    </row>
    <row r="509" spans="1:6" x14ac:dyDescent="0.25">
      <c r="A509" s="7"/>
      <c r="E509" s="7"/>
      <c r="F509" s="7"/>
    </row>
    <row r="510" spans="1:6" x14ac:dyDescent="0.25">
      <c r="A510" s="7"/>
      <c r="E510" s="7"/>
      <c r="F510" s="7"/>
    </row>
    <row r="511" spans="1:6" x14ac:dyDescent="0.25">
      <c r="A511" s="7"/>
      <c r="E511" s="7"/>
      <c r="F511" s="7"/>
    </row>
    <row r="512" spans="1:6" x14ac:dyDescent="0.25">
      <c r="A512" s="7"/>
      <c r="E512" s="7"/>
      <c r="F512" s="7"/>
    </row>
    <row r="513" spans="1:6" x14ac:dyDescent="0.25">
      <c r="A513" s="7"/>
      <c r="E513" s="7"/>
      <c r="F513" s="7"/>
    </row>
    <row r="514" spans="1:6" x14ac:dyDescent="0.25">
      <c r="A514" s="7"/>
      <c r="E514" s="7"/>
      <c r="F514" s="7"/>
    </row>
    <row r="515" spans="1:6" x14ac:dyDescent="0.25">
      <c r="A515" s="7"/>
      <c r="E515" s="7"/>
      <c r="F515" s="7"/>
    </row>
    <row r="516" spans="1:6" x14ac:dyDescent="0.25">
      <c r="A516" s="7"/>
      <c r="E516" s="7"/>
      <c r="F516" s="7"/>
    </row>
    <row r="517" spans="1:6" x14ac:dyDescent="0.25">
      <c r="A517" s="7"/>
      <c r="E517" s="7"/>
      <c r="F517" s="7"/>
    </row>
    <row r="518" spans="1:6" x14ac:dyDescent="0.25">
      <c r="A518" s="7"/>
      <c r="E518" s="7"/>
      <c r="F518" s="7"/>
    </row>
    <row r="519" spans="1:6" x14ac:dyDescent="0.25">
      <c r="A519" s="7"/>
      <c r="E519" s="7"/>
      <c r="F519" s="7"/>
    </row>
    <row r="520" spans="1:6" x14ac:dyDescent="0.25">
      <c r="A520" s="7"/>
      <c r="E520" s="7"/>
      <c r="F520" s="7"/>
    </row>
    <row r="521" spans="1:6" x14ac:dyDescent="0.25">
      <c r="A521" s="7"/>
      <c r="E521" s="7"/>
      <c r="F521" s="7"/>
    </row>
    <row r="522" spans="1:6" x14ac:dyDescent="0.25">
      <c r="A522" s="7"/>
      <c r="E522" s="7"/>
      <c r="F522" s="7"/>
    </row>
    <row r="523" spans="1:6" x14ac:dyDescent="0.25">
      <c r="A523" s="7"/>
      <c r="E523" s="7"/>
      <c r="F523" s="7"/>
    </row>
    <row r="524" spans="1:6" x14ac:dyDescent="0.25">
      <c r="A524" s="7"/>
      <c r="E524" s="7"/>
      <c r="F524" s="7"/>
    </row>
    <row r="525" spans="1:6" x14ac:dyDescent="0.25">
      <c r="A525" s="7"/>
      <c r="E525" s="7"/>
      <c r="F525" s="7"/>
    </row>
    <row r="526" spans="1:6" x14ac:dyDescent="0.25">
      <c r="A526" s="7"/>
      <c r="E526" s="7"/>
      <c r="F526" s="7"/>
    </row>
    <row r="527" spans="1:6" x14ac:dyDescent="0.25">
      <c r="A527" s="7"/>
      <c r="E527" s="7"/>
      <c r="F527" s="7"/>
    </row>
    <row r="528" spans="1:6" x14ac:dyDescent="0.25">
      <c r="A528" s="7"/>
      <c r="E528" s="7"/>
      <c r="F528" s="7"/>
    </row>
    <row r="529" spans="1:6" x14ac:dyDescent="0.25">
      <c r="A529" s="7"/>
      <c r="E529" s="7"/>
      <c r="F529" s="7"/>
    </row>
    <row r="530" spans="1:6" x14ac:dyDescent="0.25">
      <c r="A530" s="7"/>
      <c r="E530" s="7"/>
      <c r="F530" s="7"/>
    </row>
    <row r="531" spans="1:6" x14ac:dyDescent="0.25">
      <c r="A531" s="7"/>
      <c r="E531" s="7"/>
      <c r="F531" s="7"/>
    </row>
    <row r="532" spans="1:6" x14ac:dyDescent="0.25">
      <c r="A532" s="7"/>
      <c r="E532" s="7"/>
      <c r="F532" s="7"/>
    </row>
    <row r="533" spans="1:6" x14ac:dyDescent="0.25">
      <c r="A533" s="7"/>
      <c r="E533" s="7"/>
      <c r="F533" s="7"/>
    </row>
    <row r="534" spans="1:6" x14ac:dyDescent="0.25">
      <c r="A534" s="7"/>
      <c r="E534" s="7"/>
      <c r="F534" s="7"/>
    </row>
    <row r="535" spans="1:6" x14ac:dyDescent="0.25">
      <c r="A535" s="7"/>
      <c r="E535" s="7"/>
      <c r="F535" s="7"/>
    </row>
    <row r="536" spans="1:6" x14ac:dyDescent="0.25">
      <c r="A536" s="7"/>
      <c r="E536" s="7"/>
      <c r="F536" s="7"/>
    </row>
    <row r="537" spans="1:6" x14ac:dyDescent="0.25">
      <c r="A537" s="7"/>
      <c r="E537" s="7"/>
      <c r="F537" s="7"/>
    </row>
    <row r="538" spans="1:6" x14ac:dyDescent="0.25">
      <c r="A538" s="7"/>
      <c r="E538" s="7"/>
      <c r="F538" s="7"/>
    </row>
    <row r="539" spans="1:6" x14ac:dyDescent="0.25">
      <c r="A539" s="7"/>
      <c r="E539" s="7"/>
      <c r="F539" s="7"/>
    </row>
    <row r="540" spans="1:6" x14ac:dyDescent="0.25">
      <c r="A540" s="7"/>
      <c r="E540" s="7"/>
      <c r="F540" s="7"/>
    </row>
    <row r="541" spans="1:6" x14ac:dyDescent="0.25">
      <c r="A541" s="7"/>
      <c r="E541" s="7"/>
      <c r="F541" s="7"/>
    </row>
    <row r="542" spans="1:6" x14ac:dyDescent="0.25">
      <c r="A542" s="7"/>
      <c r="E542" s="7"/>
      <c r="F542" s="7"/>
    </row>
    <row r="543" spans="1:6" x14ac:dyDescent="0.25">
      <c r="A543" s="7"/>
      <c r="E543" s="7"/>
      <c r="F543" s="7"/>
    </row>
    <row r="544" spans="1:6" x14ac:dyDescent="0.25">
      <c r="A544" s="7"/>
      <c r="E544" s="7"/>
      <c r="F544" s="7"/>
    </row>
    <row r="545" spans="1:6" x14ac:dyDescent="0.25">
      <c r="A545" s="7"/>
      <c r="E545" s="7"/>
      <c r="F545" s="7"/>
    </row>
    <row r="546" spans="1:6" x14ac:dyDescent="0.25">
      <c r="A546" s="7"/>
      <c r="E546" s="7"/>
      <c r="F546" s="7"/>
    </row>
    <row r="547" spans="1:6" x14ac:dyDescent="0.25">
      <c r="A547" s="7"/>
      <c r="E547" s="7"/>
      <c r="F547" s="7"/>
    </row>
    <row r="548" spans="1:6" x14ac:dyDescent="0.25">
      <c r="A548" s="7"/>
      <c r="E548" s="7"/>
      <c r="F548" s="7"/>
    </row>
    <row r="549" spans="1:6" x14ac:dyDescent="0.25">
      <c r="A549" s="7"/>
      <c r="E549" s="7"/>
      <c r="F549" s="7"/>
    </row>
    <row r="550" spans="1:6" x14ac:dyDescent="0.25">
      <c r="A550" s="7"/>
      <c r="E550" s="7"/>
      <c r="F550" s="7"/>
    </row>
    <row r="551" spans="1:6" x14ac:dyDescent="0.25">
      <c r="A551" s="7"/>
      <c r="E551" s="7"/>
      <c r="F551" s="7"/>
    </row>
    <row r="552" spans="1:6" x14ac:dyDescent="0.25">
      <c r="A552" s="7"/>
      <c r="E552" s="7"/>
      <c r="F552" s="7"/>
    </row>
    <row r="553" spans="1:6" x14ac:dyDescent="0.25">
      <c r="A553" s="7"/>
      <c r="E553" s="7"/>
      <c r="F553" s="7"/>
    </row>
    <row r="554" spans="1:6" x14ac:dyDescent="0.25">
      <c r="A554" s="7"/>
      <c r="E554" s="7"/>
      <c r="F554" s="7"/>
    </row>
    <row r="555" spans="1:6" x14ac:dyDescent="0.25">
      <c r="A555" s="7"/>
      <c r="E555" s="7"/>
      <c r="F555" s="7"/>
    </row>
    <row r="556" spans="1:6" x14ac:dyDescent="0.25">
      <c r="A556" s="7"/>
      <c r="E556" s="7"/>
      <c r="F556" s="7"/>
    </row>
    <row r="557" spans="1:6" x14ac:dyDescent="0.25">
      <c r="A557" s="7"/>
      <c r="E557" s="7"/>
      <c r="F557" s="7"/>
    </row>
    <row r="558" spans="1:6" x14ac:dyDescent="0.25">
      <c r="A558" s="7"/>
      <c r="E558" s="7"/>
      <c r="F558" s="7"/>
    </row>
    <row r="559" spans="1:6" x14ac:dyDescent="0.25">
      <c r="A559" s="7"/>
      <c r="E559" s="7"/>
      <c r="F559" s="7"/>
    </row>
    <row r="560" spans="1:6" x14ac:dyDescent="0.25">
      <c r="A560" s="7"/>
      <c r="E560" s="7"/>
      <c r="F560" s="7"/>
    </row>
    <row r="561" spans="1:6" x14ac:dyDescent="0.25">
      <c r="A561" s="7"/>
      <c r="E561" s="7"/>
      <c r="F561" s="7"/>
    </row>
    <row r="562" spans="1:6" x14ac:dyDescent="0.25">
      <c r="A562" s="7"/>
      <c r="E562" s="7"/>
      <c r="F562" s="7"/>
    </row>
    <row r="563" spans="1:6" x14ac:dyDescent="0.25">
      <c r="A563" s="7"/>
      <c r="E563" s="7"/>
      <c r="F563" s="7"/>
    </row>
    <row r="564" spans="1:6" x14ac:dyDescent="0.25">
      <c r="A564" s="7"/>
      <c r="E564" s="7"/>
      <c r="F564" s="7"/>
    </row>
    <row r="565" spans="1:6" x14ac:dyDescent="0.25">
      <c r="A565" s="7"/>
      <c r="E565" s="7"/>
      <c r="F565" s="7"/>
    </row>
    <row r="566" spans="1:6" x14ac:dyDescent="0.25">
      <c r="A566" s="7"/>
      <c r="E566" s="7"/>
      <c r="F566" s="7"/>
    </row>
    <row r="567" spans="1:6" x14ac:dyDescent="0.25">
      <c r="A567" s="7"/>
      <c r="E567" s="7"/>
      <c r="F567" s="7"/>
    </row>
    <row r="568" spans="1:6" x14ac:dyDescent="0.25">
      <c r="A568" s="7"/>
      <c r="E568" s="7"/>
      <c r="F568" s="7"/>
    </row>
    <row r="569" spans="1:6" x14ac:dyDescent="0.25">
      <c r="A569" s="7"/>
      <c r="E569" s="7"/>
      <c r="F569" s="7"/>
    </row>
    <row r="570" spans="1:6" x14ac:dyDescent="0.25">
      <c r="A570" s="7"/>
      <c r="E570" s="7"/>
      <c r="F570" s="7"/>
    </row>
    <row r="571" spans="1:6" x14ac:dyDescent="0.25">
      <c r="A571" s="7"/>
      <c r="E571" s="7"/>
      <c r="F571" s="7"/>
    </row>
    <row r="572" spans="1:6" x14ac:dyDescent="0.25">
      <c r="A572" s="7"/>
      <c r="E572" s="7"/>
      <c r="F572" s="7"/>
    </row>
    <row r="573" spans="1:6" x14ac:dyDescent="0.25">
      <c r="A573" s="7"/>
      <c r="E573" s="7"/>
      <c r="F573" s="7"/>
    </row>
    <row r="574" spans="1:6" x14ac:dyDescent="0.25">
      <c r="A574" s="7"/>
      <c r="E574" s="7"/>
      <c r="F574" s="7"/>
    </row>
    <row r="575" spans="1:6" x14ac:dyDescent="0.25">
      <c r="A575" s="7"/>
      <c r="E575" s="7"/>
      <c r="F575" s="7"/>
    </row>
    <row r="576" spans="1:6" x14ac:dyDescent="0.25">
      <c r="A576" s="7"/>
      <c r="E576" s="7"/>
      <c r="F576" s="7"/>
    </row>
    <row r="577" spans="1:6" x14ac:dyDescent="0.25">
      <c r="A577" s="7"/>
      <c r="E577" s="7"/>
      <c r="F577" s="7"/>
    </row>
    <row r="578" spans="1:6" x14ac:dyDescent="0.25">
      <c r="A578" s="7"/>
      <c r="E578" s="7"/>
      <c r="F578" s="7"/>
    </row>
    <row r="579" spans="1:6" x14ac:dyDescent="0.25">
      <c r="A579" s="7"/>
      <c r="E579" s="7"/>
      <c r="F579" s="7"/>
    </row>
    <row r="580" spans="1:6" x14ac:dyDescent="0.25">
      <c r="A580" s="7"/>
      <c r="E580" s="7"/>
      <c r="F580" s="7"/>
    </row>
    <row r="581" spans="1:6" x14ac:dyDescent="0.25">
      <c r="A581" s="7"/>
      <c r="E581" s="7"/>
      <c r="F581" s="7"/>
    </row>
    <row r="582" spans="1:6" x14ac:dyDescent="0.25">
      <c r="A582" s="7"/>
      <c r="E582" s="7"/>
      <c r="F582" s="7"/>
    </row>
    <row r="583" spans="1:6" x14ac:dyDescent="0.25">
      <c r="A583" s="7"/>
      <c r="E583" s="7"/>
      <c r="F583" s="7"/>
    </row>
    <row r="584" spans="1:6" x14ac:dyDescent="0.25">
      <c r="A584" s="7"/>
      <c r="E584" s="7"/>
      <c r="F584" s="7"/>
    </row>
    <row r="585" spans="1:6" x14ac:dyDescent="0.25">
      <c r="A585" s="7"/>
      <c r="E585" s="7"/>
      <c r="F585" s="7"/>
    </row>
    <row r="586" spans="1:6" x14ac:dyDescent="0.25">
      <c r="A586" s="7"/>
      <c r="E586" s="7"/>
      <c r="F586" s="7"/>
    </row>
    <row r="587" spans="1:6" x14ac:dyDescent="0.25">
      <c r="A587" s="7"/>
      <c r="E587" s="7"/>
      <c r="F587" s="7"/>
    </row>
    <row r="588" spans="1:6" x14ac:dyDescent="0.25">
      <c r="A588" s="7"/>
      <c r="E588" s="7"/>
      <c r="F588" s="7"/>
    </row>
    <row r="589" spans="1:6" x14ac:dyDescent="0.25">
      <c r="A589" s="7"/>
      <c r="E589" s="7"/>
      <c r="F589" s="7"/>
    </row>
    <row r="590" spans="1:6" x14ac:dyDescent="0.25">
      <c r="A590" s="7"/>
      <c r="E590" s="7"/>
      <c r="F590" s="7"/>
    </row>
    <row r="591" spans="1:6" x14ac:dyDescent="0.25">
      <c r="A591" s="7"/>
      <c r="E591" s="7"/>
      <c r="F591" s="7"/>
    </row>
    <row r="592" spans="1:6" x14ac:dyDescent="0.25">
      <c r="A592" s="7"/>
      <c r="E592" s="7"/>
      <c r="F592" s="7"/>
    </row>
    <row r="593" spans="1:6" x14ac:dyDescent="0.25">
      <c r="A593" s="7"/>
      <c r="E593" s="7"/>
      <c r="F593" s="7"/>
    </row>
    <row r="594" spans="1:6" x14ac:dyDescent="0.25">
      <c r="A594" s="7"/>
      <c r="E594" s="7"/>
      <c r="F594" s="7"/>
    </row>
    <row r="595" spans="1:6" x14ac:dyDescent="0.25">
      <c r="A595" s="7"/>
      <c r="E595" s="7"/>
      <c r="F595" s="7"/>
    </row>
    <row r="596" spans="1:6" x14ac:dyDescent="0.25">
      <c r="A596" s="7"/>
      <c r="E596" s="7"/>
      <c r="F596" s="7"/>
    </row>
    <row r="597" spans="1:6" x14ac:dyDescent="0.25">
      <c r="A597" s="7"/>
      <c r="E597" s="7"/>
      <c r="F597" s="7"/>
    </row>
    <row r="598" spans="1:6" x14ac:dyDescent="0.25">
      <c r="A598" s="7"/>
      <c r="E598" s="7"/>
      <c r="F598" s="7"/>
    </row>
    <row r="599" spans="1:6" x14ac:dyDescent="0.25">
      <c r="A599" s="7"/>
      <c r="E599" s="7"/>
      <c r="F599" s="7"/>
    </row>
    <row r="600" spans="1:6" x14ac:dyDescent="0.25">
      <c r="A600" s="7"/>
      <c r="E600" s="7"/>
      <c r="F600" s="7"/>
    </row>
    <row r="601" spans="1:6" x14ac:dyDescent="0.25">
      <c r="A601" s="7"/>
      <c r="E601" s="7"/>
      <c r="F601" s="7"/>
    </row>
    <row r="602" spans="1:6" x14ac:dyDescent="0.25">
      <c r="A602" s="7"/>
      <c r="E602" s="7"/>
      <c r="F602" s="7"/>
    </row>
    <row r="603" spans="1:6" x14ac:dyDescent="0.25">
      <c r="A603" s="7"/>
      <c r="E603" s="7"/>
      <c r="F603" s="7"/>
    </row>
    <row r="604" spans="1:6" x14ac:dyDescent="0.25">
      <c r="A604" s="7"/>
      <c r="E604" s="7"/>
      <c r="F604" s="7"/>
    </row>
    <row r="605" spans="1:6" x14ac:dyDescent="0.25">
      <c r="A605" s="7"/>
      <c r="E605" s="7"/>
      <c r="F605" s="7"/>
    </row>
    <row r="606" spans="1:6" x14ac:dyDescent="0.25">
      <c r="A606" s="7"/>
      <c r="E606" s="7"/>
      <c r="F606" s="7"/>
    </row>
    <row r="607" spans="1:6" x14ac:dyDescent="0.25">
      <c r="A607" s="7"/>
      <c r="E607" s="7"/>
      <c r="F607" s="7"/>
    </row>
    <row r="608" spans="1:6" x14ac:dyDescent="0.25">
      <c r="A608" s="7"/>
      <c r="E608" s="7"/>
      <c r="F608" s="7"/>
    </row>
    <row r="609" spans="1:6" x14ac:dyDescent="0.25">
      <c r="A609" s="7"/>
      <c r="E609" s="7"/>
      <c r="F609" s="7"/>
    </row>
    <row r="610" spans="1:6" x14ac:dyDescent="0.25">
      <c r="A610" s="7"/>
      <c r="E610" s="7"/>
      <c r="F610" s="7"/>
    </row>
    <row r="611" spans="1:6" x14ac:dyDescent="0.25">
      <c r="A611" s="7"/>
      <c r="E611" s="7"/>
      <c r="F611" s="7"/>
    </row>
    <row r="612" spans="1:6" x14ac:dyDescent="0.25">
      <c r="A612" s="7"/>
      <c r="E612" s="7"/>
      <c r="F612" s="7"/>
    </row>
    <row r="613" spans="1:6" x14ac:dyDescent="0.25">
      <c r="A613" s="7"/>
      <c r="E613" s="7"/>
      <c r="F613" s="7"/>
    </row>
    <row r="614" spans="1:6" x14ac:dyDescent="0.25">
      <c r="A614" s="7"/>
      <c r="E614" s="7"/>
      <c r="F614" s="7"/>
    </row>
    <row r="615" spans="1:6" x14ac:dyDescent="0.25">
      <c r="A615" s="7"/>
      <c r="E615" s="7"/>
      <c r="F615" s="7"/>
    </row>
    <row r="616" spans="1:6" x14ac:dyDescent="0.25">
      <c r="A616" s="7"/>
      <c r="E616" s="7"/>
      <c r="F616" s="7"/>
    </row>
    <row r="617" spans="1:6" x14ac:dyDescent="0.25">
      <c r="A617" s="7"/>
      <c r="E617" s="7"/>
      <c r="F617" s="7"/>
    </row>
    <row r="618" spans="1:6" x14ac:dyDescent="0.25">
      <c r="A618" s="7"/>
      <c r="E618" s="7"/>
      <c r="F618" s="7"/>
    </row>
    <row r="619" spans="1:6" x14ac:dyDescent="0.25">
      <c r="A619" s="7"/>
      <c r="E619" s="7"/>
      <c r="F619" s="7"/>
    </row>
    <row r="620" spans="1:6" x14ac:dyDescent="0.25">
      <c r="A620" s="7"/>
      <c r="E620" s="7"/>
      <c r="F620" s="7"/>
    </row>
    <row r="621" spans="1:6" x14ac:dyDescent="0.25">
      <c r="A621" s="7"/>
      <c r="E621" s="7"/>
      <c r="F621" s="7"/>
    </row>
    <row r="622" spans="1:6" x14ac:dyDescent="0.25">
      <c r="A622" s="7"/>
      <c r="E622" s="7"/>
      <c r="F622" s="7"/>
    </row>
    <row r="623" spans="1:6" x14ac:dyDescent="0.25">
      <c r="A623" s="7"/>
      <c r="E623" s="7"/>
      <c r="F623" s="7"/>
    </row>
    <row r="624" spans="1:6" x14ac:dyDescent="0.25">
      <c r="A624" s="7"/>
      <c r="E624" s="7"/>
      <c r="F624" s="7"/>
    </row>
    <row r="625" spans="1:6" x14ac:dyDescent="0.25">
      <c r="A625" s="7"/>
      <c r="E625" s="7"/>
      <c r="F625" s="7"/>
    </row>
    <row r="626" spans="1:6" x14ac:dyDescent="0.25">
      <c r="A626" s="7"/>
      <c r="E626" s="7"/>
      <c r="F626" s="7"/>
    </row>
    <row r="627" spans="1:6" x14ac:dyDescent="0.25">
      <c r="A627" s="7"/>
      <c r="E627" s="7"/>
      <c r="F627" s="7"/>
    </row>
    <row r="628" spans="1:6" x14ac:dyDescent="0.25">
      <c r="A628" s="7"/>
      <c r="E628" s="7"/>
      <c r="F628" s="7"/>
    </row>
    <row r="629" spans="1:6" x14ac:dyDescent="0.25">
      <c r="A629" s="7"/>
      <c r="E629" s="7"/>
      <c r="F629" s="7"/>
    </row>
    <row r="630" spans="1:6" x14ac:dyDescent="0.25">
      <c r="A630" s="7"/>
      <c r="E630" s="7"/>
      <c r="F630" s="7"/>
    </row>
    <row r="631" spans="1:6" x14ac:dyDescent="0.25">
      <c r="A631" s="7"/>
      <c r="E631" s="7"/>
      <c r="F631" s="7"/>
    </row>
    <row r="632" spans="1:6" x14ac:dyDescent="0.25">
      <c r="A632" s="7"/>
      <c r="E632" s="7"/>
      <c r="F632" s="7"/>
    </row>
    <row r="633" spans="1:6" x14ac:dyDescent="0.25">
      <c r="A633" s="7"/>
      <c r="E633" s="7"/>
      <c r="F633" s="7"/>
    </row>
    <row r="634" spans="1:6" x14ac:dyDescent="0.25">
      <c r="A634" s="7"/>
      <c r="E634" s="7"/>
      <c r="F634" s="7"/>
    </row>
    <row r="635" spans="1:6" x14ac:dyDescent="0.25">
      <c r="A635" s="7"/>
      <c r="E635" s="7"/>
      <c r="F635" s="7"/>
    </row>
    <row r="636" spans="1:6" x14ac:dyDescent="0.25">
      <c r="A636" s="7"/>
      <c r="E636" s="7"/>
      <c r="F636" s="7"/>
    </row>
    <row r="637" spans="1:6" x14ac:dyDescent="0.25">
      <c r="A637" s="7"/>
      <c r="E637" s="7"/>
      <c r="F637" s="7"/>
    </row>
    <row r="638" spans="1:6" x14ac:dyDescent="0.25">
      <c r="A638" s="7"/>
      <c r="E638" s="7"/>
      <c r="F638" s="7"/>
    </row>
    <row r="639" spans="1:6" x14ac:dyDescent="0.25">
      <c r="A639" s="7"/>
      <c r="E639" s="7"/>
      <c r="F639" s="7"/>
    </row>
    <row r="640" spans="1:6" x14ac:dyDescent="0.25">
      <c r="A640" s="7"/>
      <c r="E640" s="7"/>
      <c r="F640" s="7"/>
    </row>
    <row r="641" spans="1:6" x14ac:dyDescent="0.25">
      <c r="A641" s="7"/>
      <c r="E641" s="7"/>
      <c r="F641" s="7"/>
    </row>
    <row r="642" spans="1:6" x14ac:dyDescent="0.25">
      <c r="A642" s="7"/>
      <c r="E642" s="7"/>
      <c r="F642" s="7"/>
    </row>
    <row r="643" spans="1:6" x14ac:dyDescent="0.25">
      <c r="A643" s="7"/>
      <c r="E643" s="7"/>
      <c r="F643" s="7"/>
    </row>
    <row r="644" spans="1:6" x14ac:dyDescent="0.25">
      <c r="A644" s="7"/>
      <c r="E644" s="7"/>
      <c r="F644" s="7"/>
    </row>
    <row r="645" spans="1:6" x14ac:dyDescent="0.25">
      <c r="A645" s="7"/>
      <c r="E645" s="7"/>
      <c r="F645" s="7"/>
    </row>
    <row r="646" spans="1:6" x14ac:dyDescent="0.25">
      <c r="A646" s="7"/>
      <c r="E646" s="7"/>
      <c r="F646" s="7"/>
    </row>
    <row r="647" spans="1:6" x14ac:dyDescent="0.25">
      <c r="A647" s="7"/>
      <c r="E647" s="7"/>
      <c r="F647" s="7"/>
    </row>
    <row r="648" spans="1:6" x14ac:dyDescent="0.25">
      <c r="A648" s="7"/>
      <c r="E648" s="7"/>
      <c r="F648" s="7"/>
    </row>
    <row r="649" spans="1:6" x14ac:dyDescent="0.25">
      <c r="A649" s="7"/>
      <c r="E649" s="7"/>
      <c r="F649" s="7"/>
    </row>
    <row r="650" spans="1:6" x14ac:dyDescent="0.25">
      <c r="A650" s="7"/>
      <c r="E650" s="7"/>
      <c r="F650" s="7"/>
    </row>
    <row r="651" spans="1:6" x14ac:dyDescent="0.25">
      <c r="A651" s="7"/>
      <c r="E651" s="7"/>
      <c r="F651" s="7"/>
    </row>
    <row r="652" spans="1:6" x14ac:dyDescent="0.25">
      <c r="A652" s="7"/>
      <c r="E652" s="7"/>
      <c r="F652" s="7"/>
    </row>
    <row r="653" spans="1:6" x14ac:dyDescent="0.25">
      <c r="A653" s="7"/>
      <c r="E653" s="7"/>
      <c r="F653" s="7"/>
    </row>
    <row r="654" spans="1:6" x14ac:dyDescent="0.25">
      <c r="A654" s="7"/>
      <c r="E654" s="7"/>
      <c r="F654" s="7"/>
    </row>
    <row r="655" spans="1:6" x14ac:dyDescent="0.25">
      <c r="A655" s="7"/>
      <c r="E655" s="7"/>
      <c r="F655" s="7"/>
    </row>
    <row r="656" spans="1:6" x14ac:dyDescent="0.25">
      <c r="A656" s="7"/>
      <c r="E656" s="7"/>
      <c r="F656" s="7"/>
    </row>
    <row r="657" spans="1:6" x14ac:dyDescent="0.25">
      <c r="A657" s="7"/>
      <c r="E657" s="7"/>
      <c r="F657" s="7"/>
    </row>
    <row r="658" spans="1:6" x14ac:dyDescent="0.25">
      <c r="A658" s="7"/>
      <c r="E658" s="7"/>
      <c r="F658" s="7"/>
    </row>
    <row r="659" spans="1:6" x14ac:dyDescent="0.25">
      <c r="A659" s="7"/>
      <c r="E659" s="7"/>
      <c r="F659" s="7"/>
    </row>
    <row r="660" spans="1:6" x14ac:dyDescent="0.25">
      <c r="A660" s="7"/>
      <c r="E660" s="7"/>
      <c r="F660" s="7"/>
    </row>
    <row r="661" spans="1:6" x14ac:dyDescent="0.25">
      <c r="A661" s="7"/>
      <c r="E661" s="7"/>
      <c r="F661" s="7"/>
    </row>
    <row r="662" spans="1:6" x14ac:dyDescent="0.25">
      <c r="A662" s="7"/>
      <c r="E662" s="7"/>
      <c r="F662" s="7"/>
    </row>
    <row r="663" spans="1:6" x14ac:dyDescent="0.25">
      <c r="A663" s="7"/>
      <c r="E663" s="7"/>
      <c r="F663" s="7"/>
    </row>
    <row r="664" spans="1:6" x14ac:dyDescent="0.25">
      <c r="A664" s="7"/>
      <c r="E664" s="7"/>
      <c r="F664" s="7"/>
    </row>
    <row r="665" spans="1:6" x14ac:dyDescent="0.25">
      <c r="A665" s="7"/>
      <c r="E665" s="7"/>
      <c r="F665" s="7"/>
    </row>
    <row r="666" spans="1:6" x14ac:dyDescent="0.25">
      <c r="A666" s="7"/>
      <c r="E666" s="7"/>
      <c r="F666" s="7"/>
    </row>
    <row r="667" spans="1:6" x14ac:dyDescent="0.25">
      <c r="A667" s="7"/>
      <c r="E667" s="7"/>
      <c r="F667" s="7"/>
    </row>
    <row r="668" spans="1:6" x14ac:dyDescent="0.25">
      <c r="A668" s="7"/>
      <c r="E668" s="7"/>
      <c r="F668" s="7"/>
    </row>
    <row r="669" spans="1:6" x14ac:dyDescent="0.25">
      <c r="A669" s="7"/>
      <c r="E669" s="7"/>
      <c r="F669" s="7"/>
    </row>
    <row r="670" spans="1:6" x14ac:dyDescent="0.25">
      <c r="A670" s="7"/>
      <c r="E670" s="7"/>
      <c r="F670" s="7"/>
    </row>
    <row r="671" spans="1:6" x14ac:dyDescent="0.25">
      <c r="A671" s="7"/>
      <c r="E671" s="7"/>
      <c r="F671" s="7"/>
    </row>
    <row r="672" spans="1:6" x14ac:dyDescent="0.25">
      <c r="A672" s="7"/>
      <c r="E672" s="7"/>
      <c r="F672" s="7"/>
    </row>
    <row r="673" spans="1:6" x14ac:dyDescent="0.25">
      <c r="A673" s="7"/>
      <c r="E673" s="7"/>
      <c r="F673" s="7"/>
    </row>
    <row r="674" spans="1:6" x14ac:dyDescent="0.25">
      <c r="A674" s="7"/>
      <c r="E674" s="7"/>
      <c r="F674" s="7"/>
    </row>
    <row r="675" spans="1:6" x14ac:dyDescent="0.25">
      <c r="A675" s="7"/>
      <c r="E675" s="7"/>
      <c r="F675" s="7"/>
    </row>
    <row r="676" spans="1:6" x14ac:dyDescent="0.25">
      <c r="A676" s="7"/>
      <c r="E676" s="7"/>
      <c r="F676" s="7"/>
    </row>
    <row r="677" spans="1:6" x14ac:dyDescent="0.25">
      <c r="A677" s="7"/>
      <c r="E677" s="7"/>
      <c r="F677" s="7"/>
    </row>
    <row r="678" spans="1:6" x14ac:dyDescent="0.25">
      <c r="A678" s="7"/>
      <c r="E678" s="7"/>
      <c r="F678" s="7"/>
    </row>
    <row r="679" spans="1:6" x14ac:dyDescent="0.25">
      <c r="A679" s="7"/>
      <c r="E679" s="7"/>
      <c r="F679" s="7"/>
    </row>
    <row r="680" spans="1:6" x14ac:dyDescent="0.25">
      <c r="A680" s="7"/>
      <c r="E680" s="7"/>
      <c r="F680" s="7"/>
    </row>
    <row r="681" spans="1:6" x14ac:dyDescent="0.25">
      <c r="A681" s="7"/>
      <c r="E681" s="7"/>
      <c r="F681" s="7"/>
    </row>
    <row r="682" spans="1:6" x14ac:dyDescent="0.25">
      <c r="A682" s="7"/>
      <c r="E682" s="7"/>
      <c r="F682" s="7"/>
    </row>
    <row r="683" spans="1:6" x14ac:dyDescent="0.25">
      <c r="A683" s="7"/>
      <c r="E683" s="7"/>
      <c r="F683" s="7"/>
    </row>
    <row r="684" spans="1:6" x14ac:dyDescent="0.25">
      <c r="A684" s="7"/>
      <c r="E684" s="7"/>
      <c r="F684" s="7"/>
    </row>
    <row r="685" spans="1:6" x14ac:dyDescent="0.25">
      <c r="A685" s="7"/>
      <c r="E685" s="7"/>
      <c r="F685" s="7"/>
    </row>
    <row r="686" spans="1:6" x14ac:dyDescent="0.25">
      <c r="A686" s="7"/>
      <c r="E686" s="7"/>
      <c r="F686" s="7"/>
    </row>
    <row r="687" spans="1:6" x14ac:dyDescent="0.25">
      <c r="A687" s="7"/>
      <c r="E687" s="7"/>
      <c r="F687" s="7"/>
    </row>
    <row r="688" spans="1:6" x14ac:dyDescent="0.25">
      <c r="A688" s="7"/>
      <c r="E688" s="7"/>
      <c r="F688" s="7"/>
    </row>
    <row r="689" spans="1:6" x14ac:dyDescent="0.25">
      <c r="A689" s="7"/>
      <c r="E689" s="7"/>
      <c r="F689" s="7"/>
    </row>
    <row r="690" spans="1:6" x14ac:dyDescent="0.25">
      <c r="A690" s="7"/>
      <c r="E690" s="7"/>
      <c r="F690" s="7"/>
    </row>
    <row r="691" spans="1:6" x14ac:dyDescent="0.25">
      <c r="A691" s="7"/>
      <c r="E691" s="7"/>
      <c r="F691" s="7"/>
    </row>
    <row r="692" spans="1:6" x14ac:dyDescent="0.25">
      <c r="A692" s="7"/>
      <c r="E692" s="7"/>
      <c r="F692" s="7"/>
    </row>
    <row r="693" spans="1:6" x14ac:dyDescent="0.25">
      <c r="A693" s="7"/>
      <c r="E693" s="7"/>
      <c r="F693" s="7"/>
    </row>
    <row r="694" spans="1:6" x14ac:dyDescent="0.25">
      <c r="A694" s="7"/>
      <c r="E694" s="7"/>
      <c r="F694" s="7"/>
    </row>
    <row r="695" spans="1:6" x14ac:dyDescent="0.25">
      <c r="A695" s="7"/>
      <c r="E695" s="7"/>
      <c r="F695" s="7"/>
    </row>
    <row r="696" spans="1:6" x14ac:dyDescent="0.25">
      <c r="A696" s="7"/>
      <c r="E696" s="7"/>
      <c r="F696" s="7"/>
    </row>
    <row r="697" spans="1:6" x14ac:dyDescent="0.25">
      <c r="A697" s="7"/>
      <c r="E697" s="7"/>
      <c r="F697" s="7"/>
    </row>
    <row r="698" spans="1:6" x14ac:dyDescent="0.25">
      <c r="A698" s="7"/>
      <c r="E698" s="7"/>
      <c r="F698" s="7"/>
    </row>
    <row r="699" spans="1:6" x14ac:dyDescent="0.25">
      <c r="A699" s="7"/>
      <c r="E699" s="7"/>
      <c r="F699" s="7"/>
    </row>
    <row r="700" spans="1:6" x14ac:dyDescent="0.25">
      <c r="A700" s="7"/>
      <c r="E700" s="7"/>
      <c r="F700" s="7"/>
    </row>
    <row r="701" spans="1:6" x14ac:dyDescent="0.25">
      <c r="A701" s="7"/>
      <c r="E701" s="7"/>
      <c r="F701" s="7"/>
    </row>
    <row r="702" spans="1:6" x14ac:dyDescent="0.25">
      <c r="A702" s="7"/>
      <c r="E702" s="7"/>
      <c r="F702" s="7"/>
    </row>
    <row r="703" spans="1:6" x14ac:dyDescent="0.25">
      <c r="A703" s="7"/>
      <c r="E703" s="7"/>
      <c r="F703" s="7"/>
    </row>
    <row r="704" spans="1:6" x14ac:dyDescent="0.25">
      <c r="A704" s="7"/>
      <c r="E704" s="7"/>
      <c r="F704" s="7"/>
    </row>
    <row r="705" spans="1:6" x14ac:dyDescent="0.25">
      <c r="A705" s="7"/>
      <c r="E705" s="7"/>
      <c r="F705" s="7"/>
    </row>
    <row r="706" spans="1:6" x14ac:dyDescent="0.25">
      <c r="A706" s="7"/>
      <c r="E706" s="7"/>
      <c r="F706" s="7"/>
    </row>
    <row r="707" spans="1:6" x14ac:dyDescent="0.25">
      <c r="A707" s="7"/>
      <c r="E707" s="7"/>
      <c r="F707" s="7"/>
    </row>
    <row r="708" spans="1:6" x14ac:dyDescent="0.25">
      <c r="A708" s="7"/>
      <c r="E708" s="7"/>
      <c r="F708" s="7"/>
    </row>
    <row r="709" spans="1:6" x14ac:dyDescent="0.25">
      <c r="A709" s="7"/>
      <c r="E709" s="7"/>
      <c r="F709" s="7"/>
    </row>
    <row r="710" spans="1:6" x14ac:dyDescent="0.25">
      <c r="A710" s="7"/>
      <c r="E710" s="7"/>
      <c r="F710" s="7"/>
    </row>
    <row r="711" spans="1:6" x14ac:dyDescent="0.25">
      <c r="A711" s="7"/>
      <c r="E711" s="7"/>
      <c r="F711" s="7"/>
    </row>
    <row r="712" spans="1:6" x14ac:dyDescent="0.25">
      <c r="A712" s="7"/>
      <c r="E712" s="7"/>
      <c r="F712" s="7"/>
    </row>
    <row r="713" spans="1:6" x14ac:dyDescent="0.25">
      <c r="A713" s="7"/>
      <c r="E713" s="7"/>
      <c r="F713" s="7"/>
    </row>
    <row r="714" spans="1:6" x14ac:dyDescent="0.25">
      <c r="A714" s="7"/>
      <c r="E714" s="7"/>
      <c r="F714" s="7"/>
    </row>
    <row r="715" spans="1:6" x14ac:dyDescent="0.25">
      <c r="A715" s="7"/>
      <c r="E715" s="7"/>
      <c r="F715" s="7"/>
    </row>
    <row r="716" spans="1:6" x14ac:dyDescent="0.25">
      <c r="A716" s="7"/>
      <c r="E716" s="7"/>
      <c r="F716" s="7"/>
    </row>
    <row r="717" spans="1:6" x14ac:dyDescent="0.25">
      <c r="A717" s="7"/>
      <c r="E717" s="7"/>
      <c r="F717" s="7"/>
    </row>
    <row r="718" spans="1:6" x14ac:dyDescent="0.25">
      <c r="A718" s="7"/>
      <c r="E718" s="7"/>
      <c r="F718" s="7"/>
    </row>
    <row r="719" spans="1:6" x14ac:dyDescent="0.25">
      <c r="A719" s="7"/>
      <c r="E719" s="7"/>
      <c r="F719" s="7"/>
    </row>
    <row r="720" spans="1:6" x14ac:dyDescent="0.25">
      <c r="A720" s="7"/>
      <c r="E720" s="7"/>
      <c r="F720" s="7"/>
    </row>
    <row r="721" spans="1:6" x14ac:dyDescent="0.25">
      <c r="A721" s="7"/>
      <c r="E721" s="7"/>
      <c r="F721" s="7"/>
    </row>
    <row r="722" spans="1:6" x14ac:dyDescent="0.25">
      <c r="A722" s="7"/>
      <c r="E722" s="7"/>
      <c r="F722" s="7"/>
    </row>
    <row r="723" spans="1:6" x14ac:dyDescent="0.25">
      <c r="A723" s="7"/>
      <c r="E723" s="7"/>
      <c r="F723" s="7"/>
    </row>
    <row r="724" spans="1:6" x14ac:dyDescent="0.25">
      <c r="A724" s="7"/>
      <c r="E724" s="7"/>
      <c r="F724" s="7"/>
    </row>
    <row r="725" spans="1:6" x14ac:dyDescent="0.25">
      <c r="A725" s="7"/>
      <c r="E725" s="7"/>
      <c r="F725" s="7"/>
    </row>
    <row r="726" spans="1:6" x14ac:dyDescent="0.25">
      <c r="A726" s="7"/>
      <c r="E726" s="7"/>
      <c r="F726" s="7"/>
    </row>
    <row r="727" spans="1:6" x14ac:dyDescent="0.25">
      <c r="A727" s="7"/>
      <c r="E727" s="7"/>
      <c r="F727" s="7"/>
    </row>
    <row r="728" spans="1:6" x14ac:dyDescent="0.25">
      <c r="A728" s="7"/>
      <c r="E728" s="7"/>
      <c r="F728" s="7"/>
    </row>
    <row r="729" spans="1:6" x14ac:dyDescent="0.25">
      <c r="A729" s="7"/>
      <c r="E729" s="7"/>
      <c r="F729" s="7"/>
    </row>
    <row r="730" spans="1:6" x14ac:dyDescent="0.25">
      <c r="A730" s="7"/>
      <c r="E730" s="7"/>
      <c r="F730" s="7"/>
    </row>
    <row r="731" spans="1:6" x14ac:dyDescent="0.25">
      <c r="A731" s="7"/>
      <c r="E731" s="7"/>
      <c r="F731" s="7"/>
    </row>
    <row r="732" spans="1:6" x14ac:dyDescent="0.25">
      <c r="A732" s="7"/>
      <c r="E732" s="7"/>
      <c r="F732" s="7"/>
    </row>
    <row r="733" spans="1:6" x14ac:dyDescent="0.25">
      <c r="A733" s="7"/>
      <c r="E733" s="7"/>
      <c r="F733" s="7"/>
    </row>
    <row r="734" spans="1:6" x14ac:dyDescent="0.25">
      <c r="A734" s="7"/>
      <c r="E734" s="7"/>
      <c r="F734" s="7"/>
    </row>
    <row r="735" spans="1:6" x14ac:dyDescent="0.25">
      <c r="A735" s="7"/>
      <c r="E735" s="7"/>
      <c r="F735" s="7"/>
    </row>
    <row r="736" spans="1:6" x14ac:dyDescent="0.25">
      <c r="A736" s="7"/>
      <c r="E736" s="7"/>
      <c r="F736" s="7"/>
    </row>
    <row r="737" spans="1:6" x14ac:dyDescent="0.25">
      <c r="A737" s="7"/>
      <c r="E737" s="7"/>
      <c r="F737" s="7"/>
    </row>
    <row r="738" spans="1:6" x14ac:dyDescent="0.25">
      <c r="A738" s="7"/>
      <c r="E738" s="7"/>
      <c r="F738" s="7"/>
    </row>
    <row r="739" spans="1:6" x14ac:dyDescent="0.25">
      <c r="A739" s="7"/>
      <c r="E739" s="7"/>
      <c r="F739" s="7"/>
    </row>
    <row r="740" spans="1:6" x14ac:dyDescent="0.25">
      <c r="A740" s="7"/>
      <c r="E740" s="7"/>
      <c r="F740" s="7"/>
    </row>
    <row r="741" spans="1:6" x14ac:dyDescent="0.25">
      <c r="A741" s="7"/>
      <c r="E741" s="7"/>
      <c r="F741" s="7"/>
    </row>
    <row r="742" spans="1:6" x14ac:dyDescent="0.25">
      <c r="A742" s="7"/>
      <c r="E742" s="7"/>
      <c r="F742" s="7"/>
    </row>
    <row r="743" spans="1:6" x14ac:dyDescent="0.25">
      <c r="A743" s="7"/>
      <c r="E743" s="7"/>
      <c r="F743" s="7"/>
    </row>
    <row r="744" spans="1:6" x14ac:dyDescent="0.25">
      <c r="A744" s="7"/>
      <c r="E744" s="7"/>
      <c r="F744" s="7"/>
    </row>
    <row r="745" spans="1:6" x14ac:dyDescent="0.25">
      <c r="A745" s="7"/>
      <c r="E745" s="7"/>
      <c r="F745" s="7"/>
    </row>
    <row r="746" spans="1:6" x14ac:dyDescent="0.25">
      <c r="A746" s="7"/>
      <c r="E746" s="7"/>
      <c r="F746" s="7"/>
    </row>
    <row r="747" spans="1:6" x14ac:dyDescent="0.25">
      <c r="A747" s="7"/>
      <c r="E747" s="7"/>
      <c r="F747" s="7"/>
    </row>
    <row r="748" spans="1:6" x14ac:dyDescent="0.25">
      <c r="A748" s="7"/>
      <c r="E748" s="7"/>
      <c r="F748" s="7"/>
    </row>
    <row r="749" spans="1:6" x14ac:dyDescent="0.25">
      <c r="A749" s="7"/>
      <c r="E749" s="7"/>
      <c r="F749" s="7"/>
    </row>
    <row r="750" spans="1:6" x14ac:dyDescent="0.25">
      <c r="A750" s="7"/>
      <c r="E750" s="7"/>
      <c r="F750" s="7"/>
    </row>
    <row r="751" spans="1:6" x14ac:dyDescent="0.25">
      <c r="A751" s="7"/>
      <c r="E751" s="7"/>
      <c r="F751" s="7"/>
    </row>
    <row r="752" spans="1:6" x14ac:dyDescent="0.25">
      <c r="A752" s="7"/>
      <c r="E752" s="7"/>
      <c r="F752" s="7"/>
    </row>
    <row r="753" spans="1:6" x14ac:dyDescent="0.25">
      <c r="A753" s="7"/>
      <c r="E753" s="7"/>
      <c r="F753" s="7"/>
    </row>
    <row r="754" spans="1:6" x14ac:dyDescent="0.25">
      <c r="A754" s="7"/>
      <c r="E754" s="7"/>
      <c r="F754" s="7"/>
    </row>
    <row r="755" spans="1:6" x14ac:dyDescent="0.25">
      <c r="A755" s="7"/>
      <c r="E755" s="7"/>
      <c r="F755" s="7"/>
    </row>
    <row r="756" spans="1:6" x14ac:dyDescent="0.25">
      <c r="A756" s="7"/>
      <c r="E756" s="7"/>
      <c r="F756" s="7"/>
    </row>
    <row r="757" spans="1:6" x14ac:dyDescent="0.25">
      <c r="A757" s="7"/>
      <c r="E757" s="7"/>
      <c r="F757" s="7"/>
    </row>
    <row r="758" spans="1:6" x14ac:dyDescent="0.25">
      <c r="A758" s="7"/>
      <c r="E758" s="7"/>
      <c r="F758" s="7"/>
    </row>
    <row r="759" spans="1:6" x14ac:dyDescent="0.25">
      <c r="A759" s="7"/>
      <c r="E759" s="7"/>
      <c r="F759" s="7"/>
    </row>
    <row r="760" spans="1:6" x14ac:dyDescent="0.25">
      <c r="A760" s="7"/>
      <c r="E760" s="7"/>
      <c r="F760" s="7"/>
    </row>
    <row r="761" spans="1:6" x14ac:dyDescent="0.25">
      <c r="A761" s="7"/>
      <c r="E761" s="7"/>
      <c r="F761" s="7"/>
    </row>
    <row r="762" spans="1:6" x14ac:dyDescent="0.25">
      <c r="A762" s="7"/>
      <c r="E762" s="7"/>
      <c r="F762" s="7"/>
    </row>
    <row r="763" spans="1:6" x14ac:dyDescent="0.25">
      <c r="A763" s="7"/>
      <c r="E763" s="7"/>
      <c r="F763" s="7"/>
    </row>
    <row r="764" spans="1:6" x14ac:dyDescent="0.25">
      <c r="A764" s="7"/>
      <c r="E764" s="7"/>
      <c r="F764" s="7"/>
    </row>
    <row r="765" spans="1:6" x14ac:dyDescent="0.25">
      <c r="A765" s="7"/>
      <c r="E765" s="7"/>
      <c r="F765" s="7"/>
    </row>
    <row r="766" spans="1:6" x14ac:dyDescent="0.25">
      <c r="A766" s="7"/>
      <c r="E766" s="7"/>
      <c r="F766" s="7"/>
    </row>
    <row r="767" spans="1:6" x14ac:dyDescent="0.25">
      <c r="A767" s="7"/>
      <c r="E767" s="7"/>
      <c r="F767" s="7"/>
    </row>
    <row r="768" spans="1:6" x14ac:dyDescent="0.25">
      <c r="A768" s="7"/>
      <c r="E768" s="7"/>
      <c r="F768" s="7"/>
    </row>
    <row r="769" spans="1:6" x14ac:dyDescent="0.25">
      <c r="A769" s="7"/>
      <c r="E769" s="7"/>
      <c r="F769" s="7"/>
    </row>
    <row r="770" spans="1:6" x14ac:dyDescent="0.25">
      <c r="A770" s="7"/>
      <c r="E770" s="7"/>
      <c r="F770" s="7"/>
    </row>
    <row r="771" spans="1:6" x14ac:dyDescent="0.25">
      <c r="A771" s="7"/>
      <c r="E771" s="7"/>
      <c r="F771" s="7"/>
    </row>
    <row r="772" spans="1:6" x14ac:dyDescent="0.25">
      <c r="A772" s="7"/>
      <c r="E772" s="7"/>
      <c r="F772" s="7"/>
    </row>
    <row r="773" spans="1:6" x14ac:dyDescent="0.25">
      <c r="A773" s="7"/>
      <c r="E773" s="7"/>
      <c r="F773" s="7"/>
    </row>
    <row r="774" spans="1:6" x14ac:dyDescent="0.25">
      <c r="A774" s="7"/>
      <c r="E774" s="7"/>
      <c r="F774" s="7"/>
    </row>
    <row r="775" spans="1:6" x14ac:dyDescent="0.25">
      <c r="A775" s="7"/>
      <c r="E775" s="7"/>
      <c r="F775" s="7"/>
    </row>
    <row r="776" spans="1:6" x14ac:dyDescent="0.25">
      <c r="A776" s="7"/>
      <c r="E776" s="7"/>
      <c r="F776" s="7"/>
    </row>
    <row r="777" spans="1:6" x14ac:dyDescent="0.25">
      <c r="A777" s="7"/>
      <c r="E777" s="7"/>
      <c r="F777" s="7"/>
    </row>
    <row r="778" spans="1:6" x14ac:dyDescent="0.25">
      <c r="A778" s="7"/>
      <c r="E778" s="7"/>
      <c r="F778" s="7"/>
    </row>
    <row r="779" spans="1:6" x14ac:dyDescent="0.25">
      <c r="A779" s="7"/>
      <c r="E779" s="7"/>
      <c r="F779" s="7"/>
    </row>
    <row r="780" spans="1:6" x14ac:dyDescent="0.25">
      <c r="A780" s="7"/>
      <c r="E780" s="7"/>
      <c r="F780" s="7"/>
    </row>
    <row r="781" spans="1:6" x14ac:dyDescent="0.25">
      <c r="A781" s="7"/>
      <c r="E781" s="7"/>
      <c r="F781" s="7"/>
    </row>
    <row r="782" spans="1:6" x14ac:dyDescent="0.25">
      <c r="A782" s="7"/>
      <c r="E782" s="7"/>
      <c r="F782" s="7"/>
    </row>
    <row r="783" spans="1:6" x14ac:dyDescent="0.25">
      <c r="A783" s="7"/>
      <c r="E783" s="7"/>
      <c r="F783" s="7"/>
    </row>
    <row r="784" spans="1:6" x14ac:dyDescent="0.25">
      <c r="A784" s="7"/>
      <c r="E784" s="7"/>
      <c r="F784" s="7"/>
    </row>
    <row r="785" spans="1:6" x14ac:dyDescent="0.25">
      <c r="A785" s="7"/>
      <c r="E785" s="7"/>
      <c r="F785" s="7"/>
    </row>
    <row r="786" spans="1:6" x14ac:dyDescent="0.25">
      <c r="A786" s="7"/>
      <c r="E786" s="7"/>
      <c r="F786" s="7"/>
    </row>
    <row r="787" spans="1:6" x14ac:dyDescent="0.25">
      <c r="A787" s="7"/>
      <c r="E787" s="7"/>
      <c r="F787" s="7"/>
    </row>
    <row r="788" spans="1:6" x14ac:dyDescent="0.25">
      <c r="A788" s="7"/>
      <c r="E788" s="7"/>
      <c r="F788" s="7"/>
    </row>
    <row r="789" spans="1:6" x14ac:dyDescent="0.25">
      <c r="A789" s="7"/>
      <c r="E789" s="7"/>
      <c r="F789" s="7"/>
    </row>
    <row r="790" spans="1:6" x14ac:dyDescent="0.25">
      <c r="A790" s="7"/>
      <c r="E790" s="7"/>
      <c r="F790" s="7"/>
    </row>
    <row r="791" spans="1:6" x14ac:dyDescent="0.25">
      <c r="A791" s="7"/>
      <c r="E791" s="7"/>
      <c r="F791" s="7"/>
    </row>
    <row r="792" spans="1:6" x14ac:dyDescent="0.25">
      <c r="A792" s="7"/>
      <c r="E792" s="7"/>
      <c r="F792" s="7"/>
    </row>
    <row r="793" spans="1:6" x14ac:dyDescent="0.25">
      <c r="A793" s="7"/>
      <c r="E793" s="7"/>
      <c r="F793" s="7"/>
    </row>
    <row r="794" spans="1:6" x14ac:dyDescent="0.25">
      <c r="A794" s="7"/>
      <c r="E794" s="7"/>
      <c r="F794" s="7"/>
    </row>
    <row r="795" spans="1:6" x14ac:dyDescent="0.25">
      <c r="A795" s="7"/>
      <c r="E795" s="7"/>
      <c r="F795" s="7"/>
    </row>
    <row r="796" spans="1:6" x14ac:dyDescent="0.25">
      <c r="A796" s="7"/>
      <c r="E796" s="7"/>
      <c r="F796" s="7"/>
    </row>
    <row r="797" spans="1:6" x14ac:dyDescent="0.25">
      <c r="A797" s="7"/>
      <c r="E797" s="7"/>
      <c r="F797" s="7"/>
    </row>
    <row r="798" spans="1:6" x14ac:dyDescent="0.25">
      <c r="A798" s="7"/>
      <c r="E798" s="7"/>
      <c r="F798" s="7"/>
    </row>
    <row r="799" spans="1:6" x14ac:dyDescent="0.25">
      <c r="A799" s="7"/>
      <c r="E799" s="7"/>
      <c r="F799" s="7"/>
    </row>
    <row r="800" spans="1:6" x14ac:dyDescent="0.25">
      <c r="A800" s="7"/>
      <c r="E800" s="7"/>
      <c r="F800" s="7"/>
    </row>
    <row r="801" spans="1:6" x14ac:dyDescent="0.25">
      <c r="A801" s="7"/>
      <c r="E801" s="7"/>
      <c r="F801" s="7"/>
    </row>
    <row r="802" spans="1:6" x14ac:dyDescent="0.25">
      <c r="A802" s="7"/>
      <c r="E802" s="7"/>
      <c r="F802" s="7"/>
    </row>
    <row r="803" spans="1:6" x14ac:dyDescent="0.25">
      <c r="A803" s="7"/>
      <c r="E803" s="7"/>
      <c r="F803" s="7"/>
    </row>
    <row r="804" spans="1:6" x14ac:dyDescent="0.25">
      <c r="A804" s="7"/>
      <c r="E804" s="7"/>
      <c r="F804" s="7"/>
    </row>
    <row r="805" spans="1:6" x14ac:dyDescent="0.25">
      <c r="A805" s="7"/>
      <c r="E805" s="7"/>
      <c r="F805" s="7"/>
    </row>
    <row r="806" spans="1:6" x14ac:dyDescent="0.25">
      <c r="A806" s="7"/>
      <c r="E806" s="7"/>
      <c r="F806" s="7"/>
    </row>
    <row r="807" spans="1:6" x14ac:dyDescent="0.25">
      <c r="A807" s="7"/>
      <c r="E807" s="7"/>
      <c r="F807" s="7"/>
    </row>
    <row r="808" spans="1:6" x14ac:dyDescent="0.25">
      <c r="A808" s="7"/>
      <c r="E808" s="7"/>
      <c r="F808" s="7"/>
    </row>
    <row r="809" spans="1:6" x14ac:dyDescent="0.25">
      <c r="A809" s="7"/>
      <c r="E809" s="7"/>
      <c r="F809" s="7"/>
    </row>
    <row r="810" spans="1:6" x14ac:dyDescent="0.25">
      <c r="A810" s="7"/>
      <c r="E810" s="7"/>
      <c r="F810" s="7"/>
    </row>
    <row r="811" spans="1:6" x14ac:dyDescent="0.25">
      <c r="A811" s="7"/>
      <c r="E811" s="7"/>
      <c r="F811" s="7"/>
    </row>
    <row r="812" spans="1:6" x14ac:dyDescent="0.25">
      <c r="A812" s="7"/>
      <c r="E812" s="7"/>
      <c r="F812" s="7"/>
    </row>
    <row r="813" spans="1:6" x14ac:dyDescent="0.25">
      <c r="A813" s="7"/>
      <c r="E813" s="7"/>
      <c r="F813" s="7"/>
    </row>
    <row r="814" spans="1:6" x14ac:dyDescent="0.25">
      <c r="A814" s="7"/>
      <c r="E814" s="7"/>
      <c r="F814" s="7"/>
    </row>
    <row r="815" spans="1:6" x14ac:dyDescent="0.25">
      <c r="A815" s="7"/>
      <c r="E815" s="7"/>
      <c r="F815" s="7"/>
    </row>
    <row r="816" spans="1:6" x14ac:dyDescent="0.25">
      <c r="A816" s="7"/>
      <c r="E816" s="7"/>
      <c r="F816" s="7"/>
    </row>
    <row r="817" spans="1:6" x14ac:dyDescent="0.25">
      <c r="A817" s="7"/>
      <c r="E817" s="7"/>
      <c r="F817" s="7"/>
    </row>
    <row r="818" spans="1:6" x14ac:dyDescent="0.25">
      <c r="A818" s="7"/>
      <c r="E818" s="7"/>
      <c r="F818" s="7"/>
    </row>
    <row r="819" spans="1:6" x14ac:dyDescent="0.25">
      <c r="A819" s="7"/>
      <c r="E819" s="7"/>
      <c r="F819" s="7"/>
    </row>
    <row r="820" spans="1:6" x14ac:dyDescent="0.25">
      <c r="A820" s="7"/>
      <c r="E820" s="7"/>
      <c r="F820" s="7"/>
    </row>
    <row r="821" spans="1:6" x14ac:dyDescent="0.25">
      <c r="A821" s="7"/>
      <c r="E821" s="7"/>
      <c r="F821" s="7"/>
    </row>
    <row r="822" spans="1:6" x14ac:dyDescent="0.25">
      <c r="A822" s="7"/>
      <c r="E822" s="7"/>
      <c r="F822" s="7"/>
    </row>
    <row r="823" spans="1:6" x14ac:dyDescent="0.25">
      <c r="A823" s="7"/>
      <c r="E823" s="7"/>
      <c r="F823" s="7"/>
    </row>
    <row r="824" spans="1:6" x14ac:dyDescent="0.25">
      <c r="A824" s="7"/>
      <c r="E824" s="7"/>
      <c r="F824" s="7"/>
    </row>
    <row r="825" spans="1:6" x14ac:dyDescent="0.25">
      <c r="A825" s="7"/>
      <c r="E825" s="7"/>
      <c r="F825" s="7"/>
    </row>
    <row r="826" spans="1:6" x14ac:dyDescent="0.25">
      <c r="A826" s="7"/>
      <c r="E826" s="7"/>
      <c r="F826" s="7"/>
    </row>
    <row r="827" spans="1:6" x14ac:dyDescent="0.25">
      <c r="A827" s="7"/>
      <c r="E827" s="7"/>
      <c r="F827" s="7"/>
    </row>
    <row r="828" spans="1:6" x14ac:dyDescent="0.25">
      <c r="A828" s="7"/>
      <c r="E828" s="7"/>
      <c r="F828" s="7"/>
    </row>
    <row r="829" spans="1:6" x14ac:dyDescent="0.25">
      <c r="A829" s="7"/>
      <c r="E829" s="7"/>
      <c r="F829" s="7"/>
    </row>
    <row r="830" spans="1:6" x14ac:dyDescent="0.25">
      <c r="A830" s="7"/>
      <c r="E830" s="7"/>
      <c r="F830" s="7"/>
    </row>
    <row r="831" spans="1:6" x14ac:dyDescent="0.25">
      <c r="A831" s="7"/>
      <c r="E831" s="7"/>
      <c r="F831" s="7"/>
    </row>
    <row r="832" spans="1:6" x14ac:dyDescent="0.25">
      <c r="A832" s="7"/>
      <c r="E832" s="7"/>
      <c r="F832" s="7"/>
    </row>
    <row r="833" spans="1:6" x14ac:dyDescent="0.25">
      <c r="A833" s="7"/>
      <c r="E833" s="7"/>
      <c r="F833" s="7"/>
    </row>
    <row r="834" spans="1:6" x14ac:dyDescent="0.25">
      <c r="A834" s="7"/>
      <c r="E834" s="7"/>
      <c r="F834" s="7"/>
    </row>
    <row r="835" spans="1:6" x14ac:dyDescent="0.25">
      <c r="A835" s="7"/>
      <c r="E835" s="7"/>
      <c r="F835" s="7"/>
    </row>
    <row r="836" spans="1:6" x14ac:dyDescent="0.25">
      <c r="A836" s="7"/>
      <c r="E836" s="7"/>
      <c r="F836" s="7"/>
    </row>
    <row r="837" spans="1:6" x14ac:dyDescent="0.25">
      <c r="A837" s="7"/>
      <c r="E837" s="7"/>
      <c r="F837" s="7"/>
    </row>
    <row r="838" spans="1:6" x14ac:dyDescent="0.25">
      <c r="A838" s="7"/>
      <c r="E838" s="7"/>
      <c r="F838" s="7"/>
    </row>
    <row r="839" spans="1:6" x14ac:dyDescent="0.25">
      <c r="A839" s="7"/>
      <c r="E839" s="7"/>
      <c r="F839" s="7"/>
    </row>
    <row r="840" spans="1:6" x14ac:dyDescent="0.25">
      <c r="A840" s="7"/>
      <c r="E840" s="7"/>
      <c r="F840" s="7"/>
    </row>
    <row r="841" spans="1:6" x14ac:dyDescent="0.25">
      <c r="A841" s="7"/>
      <c r="E841" s="7"/>
      <c r="F841" s="7"/>
    </row>
    <row r="842" spans="1:6" x14ac:dyDescent="0.25">
      <c r="A842" s="7"/>
      <c r="E842" s="7"/>
      <c r="F842" s="7"/>
    </row>
    <row r="843" spans="1:6" x14ac:dyDescent="0.25">
      <c r="A843" s="7"/>
      <c r="E843" s="7"/>
      <c r="F843" s="7"/>
    </row>
    <row r="844" spans="1:6" x14ac:dyDescent="0.25">
      <c r="A844" s="7"/>
      <c r="E844" s="7"/>
      <c r="F844" s="7"/>
    </row>
    <row r="845" spans="1:6" x14ac:dyDescent="0.25">
      <c r="A845" s="7"/>
      <c r="E845" s="7"/>
      <c r="F845" s="7"/>
    </row>
    <row r="846" spans="1:6" x14ac:dyDescent="0.25">
      <c r="A846" s="7"/>
      <c r="E846" s="7"/>
      <c r="F846" s="7"/>
    </row>
    <row r="847" spans="1:6" x14ac:dyDescent="0.25">
      <c r="A847" s="7"/>
      <c r="E847" s="7"/>
      <c r="F847" s="7"/>
    </row>
    <row r="848" spans="1:6" x14ac:dyDescent="0.25">
      <c r="A848" s="7"/>
      <c r="E848" s="7"/>
      <c r="F848" s="7"/>
    </row>
    <row r="849" spans="1:6" x14ac:dyDescent="0.25">
      <c r="A849" s="7"/>
      <c r="E849" s="7"/>
      <c r="F849" s="7"/>
    </row>
    <row r="850" spans="1:6" x14ac:dyDescent="0.25">
      <c r="A850" s="7"/>
      <c r="E850" s="7"/>
      <c r="F850" s="7"/>
    </row>
    <row r="851" spans="1:6" x14ac:dyDescent="0.25">
      <c r="A851" s="7"/>
      <c r="E851" s="7"/>
      <c r="F851" s="7"/>
    </row>
    <row r="852" spans="1:6" x14ac:dyDescent="0.25">
      <c r="A852" s="7"/>
      <c r="E852" s="7"/>
      <c r="F852" s="7"/>
    </row>
    <row r="853" spans="1:6" x14ac:dyDescent="0.25">
      <c r="A853" s="7"/>
      <c r="E853" s="7"/>
      <c r="F853" s="7"/>
    </row>
    <row r="854" spans="1:6" x14ac:dyDescent="0.25">
      <c r="A854" s="7"/>
      <c r="E854" s="7"/>
      <c r="F854" s="7"/>
    </row>
    <row r="855" spans="1:6" x14ac:dyDescent="0.25">
      <c r="A855" s="7"/>
      <c r="E855" s="7"/>
      <c r="F855" s="7"/>
    </row>
    <row r="856" spans="1:6" x14ac:dyDescent="0.25">
      <c r="A856" s="7"/>
      <c r="E856" s="7"/>
      <c r="F856" s="7"/>
    </row>
    <row r="857" spans="1:6" x14ac:dyDescent="0.25">
      <c r="A857" s="7"/>
      <c r="E857" s="7"/>
      <c r="F857" s="7"/>
    </row>
    <row r="858" spans="1:6" x14ac:dyDescent="0.25">
      <c r="A858" s="7"/>
      <c r="E858" s="7"/>
      <c r="F858" s="7"/>
    </row>
    <row r="859" spans="1:6" x14ac:dyDescent="0.25">
      <c r="A859" s="7"/>
      <c r="E859" s="7"/>
      <c r="F859" s="7"/>
    </row>
    <row r="860" spans="1:6" x14ac:dyDescent="0.25">
      <c r="A860" s="7"/>
      <c r="E860" s="7"/>
      <c r="F860" s="7"/>
    </row>
    <row r="861" spans="1:6" x14ac:dyDescent="0.25">
      <c r="A861" s="7"/>
      <c r="E861" s="7"/>
      <c r="F861" s="7"/>
    </row>
    <row r="862" spans="1:6" x14ac:dyDescent="0.25">
      <c r="A862" s="7"/>
      <c r="E862" s="7"/>
      <c r="F862" s="7"/>
    </row>
    <row r="863" spans="1:6" x14ac:dyDescent="0.25">
      <c r="A863" s="7"/>
      <c r="E863" s="7"/>
      <c r="F863" s="7"/>
    </row>
    <row r="864" spans="1:6" x14ac:dyDescent="0.25">
      <c r="A864" s="7"/>
      <c r="E864" s="7"/>
      <c r="F864" s="7"/>
    </row>
    <row r="865" spans="1:6" x14ac:dyDescent="0.25">
      <c r="A865" s="7"/>
      <c r="E865" s="7"/>
      <c r="F865" s="7"/>
    </row>
    <row r="866" spans="1:6" x14ac:dyDescent="0.25">
      <c r="A866" s="7"/>
      <c r="E866" s="7"/>
      <c r="F866" s="7"/>
    </row>
    <row r="867" spans="1:6" x14ac:dyDescent="0.25">
      <c r="A867" s="7"/>
      <c r="E867" s="7"/>
      <c r="F867" s="7"/>
    </row>
    <row r="868" spans="1:6" x14ac:dyDescent="0.25">
      <c r="A868" s="7"/>
      <c r="E868" s="7"/>
      <c r="F868" s="7"/>
    </row>
    <row r="869" spans="1:6" x14ac:dyDescent="0.25">
      <c r="A869" s="7"/>
      <c r="E869" s="7"/>
      <c r="F869" s="7"/>
    </row>
    <row r="870" spans="1:6" x14ac:dyDescent="0.25">
      <c r="A870" s="7"/>
      <c r="E870" s="7"/>
      <c r="F870" s="7"/>
    </row>
    <row r="871" spans="1:6" x14ac:dyDescent="0.25">
      <c r="A871" s="7"/>
      <c r="E871" s="7"/>
      <c r="F871" s="7"/>
    </row>
    <row r="872" spans="1:6" x14ac:dyDescent="0.25">
      <c r="A872" s="7"/>
      <c r="E872" s="7"/>
      <c r="F872" s="7"/>
    </row>
    <row r="873" spans="1:6" x14ac:dyDescent="0.25">
      <c r="A873" s="7"/>
      <c r="E873" s="7"/>
      <c r="F873" s="7"/>
    </row>
    <row r="874" spans="1:6" x14ac:dyDescent="0.25">
      <c r="A874" s="7"/>
      <c r="E874" s="7"/>
      <c r="F874" s="7"/>
    </row>
    <row r="875" spans="1:6" x14ac:dyDescent="0.25">
      <c r="A875" s="7"/>
      <c r="E875" s="7"/>
      <c r="F875" s="7"/>
    </row>
    <row r="876" spans="1:6" x14ac:dyDescent="0.25">
      <c r="A876" s="7"/>
      <c r="E876" s="7"/>
      <c r="F876" s="7"/>
    </row>
    <row r="877" spans="1:6" x14ac:dyDescent="0.25">
      <c r="A877" s="7"/>
      <c r="E877" s="7"/>
      <c r="F877" s="7"/>
    </row>
    <row r="878" spans="1:6" x14ac:dyDescent="0.25">
      <c r="A878" s="7"/>
      <c r="E878" s="7"/>
      <c r="F878" s="7"/>
    </row>
    <row r="879" spans="1:6" x14ac:dyDescent="0.25">
      <c r="A879" s="7"/>
      <c r="E879" s="7"/>
      <c r="F879" s="7"/>
    </row>
    <row r="880" spans="1:6" x14ac:dyDescent="0.25">
      <c r="A880" s="7"/>
      <c r="E880" s="7"/>
      <c r="F880" s="7"/>
    </row>
    <row r="881" spans="1:6" x14ac:dyDescent="0.25">
      <c r="A881" s="7"/>
      <c r="E881" s="7"/>
      <c r="F881" s="7"/>
    </row>
    <row r="882" spans="1:6" x14ac:dyDescent="0.25">
      <c r="A882" s="7"/>
      <c r="E882" s="7"/>
      <c r="F882" s="7"/>
    </row>
    <row r="883" spans="1:6" x14ac:dyDescent="0.25">
      <c r="A883" s="7"/>
      <c r="E883" s="7"/>
      <c r="F883" s="7"/>
    </row>
    <row r="884" spans="1:6" x14ac:dyDescent="0.25">
      <c r="A884" s="7"/>
      <c r="E884" s="7"/>
      <c r="F884" s="7"/>
    </row>
    <row r="885" spans="1:6" x14ac:dyDescent="0.25">
      <c r="A885" s="7"/>
      <c r="E885" s="7"/>
      <c r="F885" s="7"/>
    </row>
    <row r="886" spans="1:6" x14ac:dyDescent="0.25">
      <c r="A886" s="7"/>
      <c r="E886" s="7"/>
      <c r="F886" s="7"/>
    </row>
    <row r="887" spans="1:6" x14ac:dyDescent="0.25">
      <c r="A887" s="7"/>
      <c r="E887" s="7"/>
      <c r="F887" s="7"/>
    </row>
    <row r="888" spans="1:6" x14ac:dyDescent="0.25">
      <c r="A888" s="7"/>
      <c r="E888" s="7"/>
      <c r="F888" s="7"/>
    </row>
    <row r="889" spans="1:6" x14ac:dyDescent="0.25">
      <c r="A889" s="7"/>
      <c r="E889" s="7"/>
      <c r="F889" s="7"/>
    </row>
    <row r="890" spans="1:6" x14ac:dyDescent="0.25">
      <c r="A890" s="7"/>
      <c r="E890" s="7"/>
      <c r="F890" s="7"/>
    </row>
    <row r="891" spans="1:6" x14ac:dyDescent="0.25">
      <c r="A891" s="7"/>
      <c r="E891" s="7"/>
      <c r="F891" s="7"/>
    </row>
    <row r="892" spans="1:6" x14ac:dyDescent="0.25">
      <c r="A892" s="7"/>
      <c r="E892" s="7"/>
      <c r="F892" s="7"/>
    </row>
    <row r="893" spans="1:6" x14ac:dyDescent="0.25">
      <c r="A893" s="7"/>
      <c r="E893" s="7"/>
      <c r="F893" s="7"/>
    </row>
    <row r="894" spans="1:6" x14ac:dyDescent="0.25">
      <c r="A894" s="7"/>
      <c r="E894" s="7"/>
      <c r="F894" s="7"/>
    </row>
    <row r="895" spans="1:6" x14ac:dyDescent="0.25">
      <c r="A895" s="7"/>
      <c r="E895" s="7"/>
      <c r="F895" s="7"/>
    </row>
    <row r="896" spans="1:6" x14ac:dyDescent="0.25">
      <c r="A896" s="7"/>
      <c r="E896" s="7"/>
      <c r="F896" s="7"/>
    </row>
    <row r="897" spans="1:6" x14ac:dyDescent="0.25">
      <c r="A897" s="7"/>
      <c r="E897" s="7"/>
      <c r="F897" s="7"/>
    </row>
    <row r="898" spans="1:6" x14ac:dyDescent="0.25">
      <c r="A898" s="7"/>
      <c r="E898" s="7"/>
      <c r="F898" s="7"/>
    </row>
    <row r="899" spans="1:6" x14ac:dyDescent="0.25">
      <c r="A899" s="7"/>
      <c r="E899" s="7"/>
      <c r="F899" s="7"/>
    </row>
    <row r="900" spans="1:6" x14ac:dyDescent="0.25">
      <c r="A900" s="7"/>
      <c r="E900" s="7"/>
      <c r="F900" s="7"/>
    </row>
    <row r="901" spans="1:6" x14ac:dyDescent="0.25">
      <c r="A901" s="7"/>
      <c r="E901" s="7"/>
      <c r="F901" s="7"/>
    </row>
    <row r="902" spans="1:6" x14ac:dyDescent="0.25">
      <c r="A902" s="7"/>
      <c r="E902" s="7"/>
      <c r="F902" s="7"/>
    </row>
    <row r="903" spans="1:6" x14ac:dyDescent="0.25">
      <c r="A903" s="7"/>
      <c r="E903" s="7"/>
      <c r="F903" s="7"/>
    </row>
    <row r="904" spans="1:6" x14ac:dyDescent="0.25">
      <c r="A904" s="7"/>
      <c r="E904" s="7"/>
      <c r="F904" s="7"/>
    </row>
    <row r="905" spans="1:6" x14ac:dyDescent="0.25">
      <c r="A905" s="7"/>
      <c r="E905" s="7"/>
      <c r="F905" s="7"/>
    </row>
    <row r="906" spans="1:6" x14ac:dyDescent="0.25">
      <c r="A906" s="7"/>
      <c r="E906" s="7"/>
      <c r="F906" s="7"/>
    </row>
    <row r="907" spans="1:6" x14ac:dyDescent="0.25">
      <c r="A907" s="7"/>
      <c r="E907" s="7"/>
      <c r="F907" s="7"/>
    </row>
    <row r="908" spans="1:6" x14ac:dyDescent="0.25">
      <c r="A908" s="7"/>
      <c r="E908" s="7"/>
      <c r="F908" s="7"/>
    </row>
    <row r="909" spans="1:6" x14ac:dyDescent="0.25">
      <c r="A909" s="7"/>
      <c r="E909" s="7"/>
      <c r="F909" s="7"/>
    </row>
    <row r="910" spans="1:6" x14ac:dyDescent="0.25">
      <c r="A910" s="7"/>
      <c r="E910" s="7"/>
      <c r="F910" s="7"/>
    </row>
    <row r="911" spans="1:6" x14ac:dyDescent="0.25">
      <c r="A911" s="7"/>
      <c r="E911" s="7"/>
      <c r="F911" s="7"/>
    </row>
    <row r="912" spans="1:6" x14ac:dyDescent="0.25">
      <c r="A912" s="7"/>
      <c r="E912" s="7"/>
      <c r="F912" s="7"/>
    </row>
    <row r="913" spans="1:6" x14ac:dyDescent="0.25">
      <c r="A913" s="7"/>
      <c r="E913" s="7"/>
      <c r="F913" s="7"/>
    </row>
    <row r="914" spans="1:6" x14ac:dyDescent="0.25">
      <c r="A914" s="7"/>
      <c r="E914" s="7"/>
      <c r="F914" s="7"/>
    </row>
    <row r="915" spans="1:6" x14ac:dyDescent="0.25">
      <c r="A915" s="7"/>
      <c r="E915" s="7"/>
      <c r="F915" s="7"/>
    </row>
    <row r="916" spans="1:6" x14ac:dyDescent="0.25">
      <c r="A916" s="7"/>
      <c r="E916" s="7"/>
      <c r="F916" s="7"/>
    </row>
    <row r="917" spans="1:6" x14ac:dyDescent="0.25">
      <c r="A917" s="7"/>
      <c r="E917" s="7"/>
      <c r="F917" s="7"/>
    </row>
    <row r="918" spans="1:6" x14ac:dyDescent="0.25">
      <c r="A918" s="7"/>
      <c r="E918" s="7"/>
      <c r="F918" s="7"/>
    </row>
    <row r="919" spans="1:6" x14ac:dyDescent="0.25">
      <c r="A919" s="7"/>
      <c r="E919" s="7"/>
      <c r="F919" s="7"/>
    </row>
    <row r="920" spans="1:6" x14ac:dyDescent="0.25">
      <c r="A920" s="7"/>
      <c r="E920" s="7"/>
      <c r="F920" s="7"/>
    </row>
    <row r="921" spans="1:6" x14ac:dyDescent="0.25">
      <c r="A921" s="7"/>
      <c r="E921" s="7"/>
      <c r="F921" s="7"/>
    </row>
    <row r="922" spans="1:6" x14ac:dyDescent="0.25">
      <c r="A922" s="7"/>
      <c r="E922" s="7"/>
      <c r="F922" s="7"/>
    </row>
    <row r="923" spans="1:6" x14ac:dyDescent="0.25">
      <c r="A923" s="7"/>
      <c r="E923" s="7"/>
      <c r="F923" s="7"/>
    </row>
    <row r="924" spans="1:6" x14ac:dyDescent="0.25">
      <c r="A924" s="7"/>
      <c r="E924" s="7"/>
      <c r="F924" s="7"/>
    </row>
    <row r="925" spans="1:6" x14ac:dyDescent="0.25">
      <c r="A925" s="7"/>
      <c r="E925" s="7"/>
      <c r="F925" s="7"/>
    </row>
    <row r="926" spans="1:6" x14ac:dyDescent="0.25">
      <c r="A926" s="7"/>
      <c r="E926" s="7"/>
      <c r="F926" s="7"/>
    </row>
    <row r="927" spans="1:6" x14ac:dyDescent="0.25">
      <c r="A927" s="7"/>
      <c r="E927" s="7"/>
      <c r="F927" s="7"/>
    </row>
    <row r="928" spans="1:6" x14ac:dyDescent="0.25">
      <c r="A928" s="7"/>
      <c r="E928" s="7"/>
      <c r="F928" s="7"/>
    </row>
    <row r="929" spans="1:6" x14ac:dyDescent="0.25">
      <c r="A929" s="7"/>
      <c r="E929" s="7"/>
      <c r="F929" s="7"/>
    </row>
    <row r="930" spans="1:6" x14ac:dyDescent="0.25">
      <c r="A930" s="7"/>
      <c r="E930" s="7"/>
      <c r="F930" s="7"/>
    </row>
    <row r="931" spans="1:6" x14ac:dyDescent="0.25">
      <c r="A931" s="7"/>
      <c r="E931" s="7"/>
      <c r="F931" s="7"/>
    </row>
    <row r="932" spans="1:6" x14ac:dyDescent="0.25">
      <c r="A932" s="7"/>
      <c r="E932" s="7"/>
      <c r="F932" s="7"/>
    </row>
    <row r="933" spans="1:6" x14ac:dyDescent="0.25">
      <c r="A933" s="7"/>
      <c r="E933" s="7"/>
      <c r="F933" s="7"/>
    </row>
    <row r="934" spans="1:6" x14ac:dyDescent="0.25">
      <c r="A934" s="7"/>
      <c r="E934" s="7"/>
      <c r="F934" s="7"/>
    </row>
    <row r="935" spans="1:6" x14ac:dyDescent="0.25">
      <c r="A935" s="7"/>
      <c r="E935" s="7"/>
      <c r="F935" s="7"/>
    </row>
    <row r="936" spans="1:6" x14ac:dyDescent="0.25">
      <c r="A936" s="7"/>
      <c r="E936" s="7"/>
      <c r="F936" s="7"/>
    </row>
    <row r="937" spans="1:6" x14ac:dyDescent="0.25">
      <c r="A937" s="7"/>
      <c r="E937" s="7"/>
      <c r="F937" s="7"/>
    </row>
    <row r="938" spans="1:6" x14ac:dyDescent="0.25">
      <c r="A938" s="7"/>
      <c r="E938" s="7"/>
      <c r="F938" s="7"/>
    </row>
    <row r="939" spans="1:6" x14ac:dyDescent="0.25">
      <c r="A939" s="7"/>
      <c r="E939" s="7"/>
      <c r="F939" s="7"/>
    </row>
    <row r="940" spans="1:6" x14ac:dyDescent="0.25">
      <c r="A940" s="7"/>
      <c r="E940" s="7"/>
      <c r="F940" s="7"/>
    </row>
    <row r="941" spans="1:6" x14ac:dyDescent="0.25">
      <c r="A941" s="7"/>
      <c r="E941" s="7"/>
      <c r="F941" s="7"/>
    </row>
    <row r="942" spans="1:6" x14ac:dyDescent="0.25">
      <c r="A942" s="7"/>
      <c r="E942" s="7"/>
      <c r="F942" s="7"/>
    </row>
    <row r="943" spans="1:6" x14ac:dyDescent="0.25">
      <c r="A943" s="7"/>
      <c r="E943" s="7"/>
      <c r="F943" s="7"/>
    </row>
    <row r="944" spans="1:6" x14ac:dyDescent="0.25">
      <c r="A944" s="7"/>
      <c r="E944" s="7"/>
      <c r="F944" s="7"/>
    </row>
    <row r="945" spans="1:6" x14ac:dyDescent="0.25">
      <c r="A945" s="7"/>
      <c r="E945" s="7"/>
      <c r="F945" s="7"/>
    </row>
    <row r="946" spans="1:6" x14ac:dyDescent="0.25">
      <c r="A946" s="7"/>
      <c r="E946" s="7"/>
      <c r="F946" s="7"/>
    </row>
    <row r="947" spans="1:6" x14ac:dyDescent="0.25">
      <c r="A947" s="7"/>
      <c r="E947" s="7"/>
      <c r="F947" s="7"/>
    </row>
    <row r="948" spans="1:6" x14ac:dyDescent="0.25">
      <c r="A948" s="7"/>
      <c r="E948" s="7"/>
      <c r="F948" s="7"/>
    </row>
    <row r="949" spans="1:6" x14ac:dyDescent="0.25">
      <c r="A949" s="7"/>
      <c r="E949" s="7"/>
      <c r="F949" s="7"/>
    </row>
    <row r="950" spans="1:6" x14ac:dyDescent="0.25">
      <c r="A950" s="7"/>
      <c r="E950" s="7"/>
      <c r="F950" s="7"/>
    </row>
    <row r="951" spans="1:6" x14ac:dyDescent="0.25">
      <c r="A951" s="7"/>
      <c r="E951" s="7"/>
      <c r="F951" s="7"/>
    </row>
    <row r="952" spans="1:6" x14ac:dyDescent="0.25">
      <c r="A952" s="7"/>
      <c r="E952" s="7"/>
      <c r="F952" s="7"/>
    </row>
    <row r="953" spans="1:6" x14ac:dyDescent="0.25">
      <c r="A953" s="7"/>
      <c r="E953" s="7"/>
      <c r="F953" s="7"/>
    </row>
    <row r="954" spans="1:6" x14ac:dyDescent="0.25">
      <c r="A954" s="7"/>
      <c r="E954" s="7"/>
      <c r="F954" s="7"/>
    </row>
    <row r="955" spans="1:6" x14ac:dyDescent="0.25">
      <c r="A955" s="7"/>
      <c r="E955" s="7"/>
      <c r="F955" s="7"/>
    </row>
    <row r="956" spans="1:6" x14ac:dyDescent="0.25">
      <c r="A956" s="7"/>
      <c r="E956" s="7"/>
      <c r="F956" s="7"/>
    </row>
    <row r="957" spans="1:6" x14ac:dyDescent="0.25">
      <c r="A957" s="7"/>
      <c r="E957" s="7"/>
      <c r="F957" s="7"/>
    </row>
    <row r="958" spans="1:6" x14ac:dyDescent="0.25">
      <c r="A958" s="7"/>
      <c r="E958" s="7"/>
      <c r="F958" s="7"/>
    </row>
    <row r="959" spans="1:6" x14ac:dyDescent="0.25">
      <c r="A959" s="7"/>
      <c r="E959" s="7"/>
      <c r="F959" s="7"/>
    </row>
    <row r="960" spans="1:6" x14ac:dyDescent="0.25">
      <c r="A960" s="7"/>
      <c r="E960" s="7"/>
      <c r="F960" s="7"/>
    </row>
    <row r="961" spans="1:6" x14ac:dyDescent="0.25">
      <c r="A961" s="7"/>
      <c r="E961" s="7"/>
      <c r="F961" s="7"/>
    </row>
    <row r="962" spans="1:6" x14ac:dyDescent="0.25">
      <c r="A962" s="7"/>
      <c r="E962" s="7"/>
      <c r="F962" s="7"/>
    </row>
    <row r="963" spans="1:6" x14ac:dyDescent="0.25">
      <c r="A963" s="7"/>
      <c r="E963" s="7"/>
      <c r="F963" s="7"/>
    </row>
    <row r="964" spans="1:6" x14ac:dyDescent="0.25">
      <c r="A964" s="7"/>
      <c r="E964" s="7"/>
      <c r="F964" s="7"/>
    </row>
    <row r="965" spans="1:6" x14ac:dyDescent="0.25">
      <c r="A965" s="7"/>
      <c r="E965" s="7"/>
      <c r="F965" s="7"/>
    </row>
    <row r="966" spans="1:6" x14ac:dyDescent="0.25">
      <c r="A966" s="7"/>
      <c r="E966" s="7"/>
      <c r="F966" s="7"/>
    </row>
    <row r="967" spans="1:6" x14ac:dyDescent="0.25">
      <c r="A967" s="7"/>
      <c r="E967" s="7"/>
      <c r="F967" s="7"/>
    </row>
    <row r="968" spans="1:6" x14ac:dyDescent="0.25">
      <c r="A968" s="7"/>
      <c r="E968" s="7"/>
      <c r="F968" s="7"/>
    </row>
    <row r="969" spans="1:6" x14ac:dyDescent="0.25">
      <c r="A969" s="7"/>
      <c r="E969" s="7"/>
      <c r="F969" s="7"/>
    </row>
    <row r="970" spans="1:6" x14ac:dyDescent="0.25">
      <c r="A970" s="7"/>
      <c r="E970" s="7"/>
      <c r="F970" s="7"/>
    </row>
    <row r="971" spans="1:6" x14ac:dyDescent="0.25">
      <c r="A971" s="7"/>
      <c r="E971" s="7"/>
      <c r="F971" s="7"/>
    </row>
    <row r="972" spans="1:6" x14ac:dyDescent="0.25">
      <c r="A972" s="7"/>
      <c r="E972" s="7"/>
      <c r="F972" s="7"/>
    </row>
    <row r="973" spans="1:6" x14ac:dyDescent="0.25">
      <c r="A973" s="7"/>
      <c r="E973" s="7"/>
      <c r="F973" s="7"/>
    </row>
    <row r="974" spans="1:6" x14ac:dyDescent="0.25">
      <c r="A974" s="7"/>
      <c r="E974" s="7"/>
      <c r="F974" s="7"/>
    </row>
    <row r="975" spans="1:6" x14ac:dyDescent="0.25">
      <c r="A975" s="7"/>
      <c r="E975" s="7"/>
      <c r="F975" s="7"/>
    </row>
    <row r="976" spans="1:6" x14ac:dyDescent="0.25">
      <c r="A976" s="7"/>
      <c r="E976" s="7"/>
      <c r="F976" s="7"/>
    </row>
    <row r="977" spans="1:6" x14ac:dyDescent="0.25">
      <c r="A977" s="7"/>
      <c r="E977" s="7"/>
      <c r="F977" s="7"/>
    </row>
    <row r="978" spans="1:6" x14ac:dyDescent="0.25">
      <c r="A978" s="7"/>
      <c r="E978" s="7"/>
      <c r="F978" s="7"/>
    </row>
    <row r="979" spans="1:6" x14ac:dyDescent="0.25">
      <c r="A979" s="7"/>
      <c r="E979" s="7"/>
      <c r="F979" s="7"/>
    </row>
    <row r="980" spans="1:6" x14ac:dyDescent="0.25">
      <c r="A980" s="7"/>
      <c r="E980" s="7"/>
      <c r="F980" s="7"/>
    </row>
    <row r="981" spans="1:6" x14ac:dyDescent="0.25">
      <c r="A981" s="7"/>
      <c r="E981" s="7"/>
      <c r="F981" s="7"/>
    </row>
    <row r="982" spans="1:6" x14ac:dyDescent="0.25">
      <c r="A982" s="7"/>
      <c r="E982" s="7"/>
      <c r="F982" s="7"/>
    </row>
    <row r="983" spans="1:6" x14ac:dyDescent="0.25">
      <c r="A983" s="7"/>
      <c r="E983" s="7"/>
      <c r="F983" s="7"/>
    </row>
    <row r="984" spans="1:6" x14ac:dyDescent="0.25">
      <c r="A984" s="7"/>
      <c r="E984" s="7"/>
      <c r="F984" s="7"/>
    </row>
    <row r="985" spans="1:6" x14ac:dyDescent="0.25">
      <c r="A985" s="7"/>
      <c r="E985" s="7"/>
      <c r="F985" s="7"/>
    </row>
    <row r="986" spans="1:6" x14ac:dyDescent="0.25">
      <c r="A986" s="7"/>
      <c r="E986" s="7"/>
      <c r="F986" s="7"/>
    </row>
    <row r="987" spans="1:6" x14ac:dyDescent="0.25">
      <c r="A987" s="7"/>
      <c r="E987" s="7"/>
      <c r="F987" s="7"/>
    </row>
    <row r="988" spans="1:6" x14ac:dyDescent="0.25">
      <c r="A988" s="7"/>
      <c r="E988" s="7"/>
      <c r="F988" s="7"/>
    </row>
    <row r="989" spans="1:6" x14ac:dyDescent="0.25">
      <c r="A989" s="7"/>
      <c r="E989" s="7"/>
      <c r="F989" s="7"/>
    </row>
    <row r="990" spans="1:6" x14ac:dyDescent="0.25">
      <c r="A990" s="7"/>
      <c r="E990" s="7"/>
      <c r="F990" s="7"/>
    </row>
    <row r="991" spans="1:6" x14ac:dyDescent="0.25">
      <c r="A991" s="7"/>
      <c r="E991" s="7"/>
      <c r="F991" s="7"/>
    </row>
    <row r="992" spans="1:6" x14ac:dyDescent="0.25">
      <c r="A992" s="7"/>
      <c r="E992" s="7"/>
      <c r="F992" s="7"/>
    </row>
    <row r="993" spans="1:6" x14ac:dyDescent="0.25">
      <c r="A993" s="7"/>
      <c r="E993" s="7"/>
      <c r="F993" s="7"/>
    </row>
    <row r="994" spans="1:6" x14ac:dyDescent="0.25">
      <c r="A994" s="7"/>
      <c r="E994" s="7"/>
      <c r="F994" s="7"/>
    </row>
    <row r="995" spans="1:6" x14ac:dyDescent="0.25">
      <c r="A995" s="7"/>
      <c r="E995" s="7"/>
      <c r="F995" s="7"/>
    </row>
    <row r="996" spans="1:6" x14ac:dyDescent="0.25">
      <c r="A996" s="7"/>
      <c r="E996" s="7"/>
      <c r="F996" s="7"/>
    </row>
    <row r="997" spans="1:6" x14ac:dyDescent="0.25">
      <c r="A997" s="7"/>
      <c r="E997" s="7"/>
      <c r="F997" s="7"/>
    </row>
    <row r="998" spans="1:6" x14ac:dyDescent="0.25">
      <c r="A998" s="7"/>
      <c r="E998" s="7"/>
      <c r="F998" s="7"/>
    </row>
    <row r="999" spans="1:6" x14ac:dyDescent="0.25">
      <c r="A999" s="7"/>
      <c r="E999" s="7"/>
      <c r="F999" s="7"/>
    </row>
    <row r="1000" spans="1:6" x14ac:dyDescent="0.25">
      <c r="A1000" s="7"/>
      <c r="E1000" s="7"/>
      <c r="F1000" s="7"/>
    </row>
    <row r="1001" spans="1:6" x14ac:dyDescent="0.25">
      <c r="A1001" s="7"/>
      <c r="E1001" s="7"/>
      <c r="F1001" s="7"/>
    </row>
    <row r="1002" spans="1:6" x14ac:dyDescent="0.25">
      <c r="A1002" s="7"/>
      <c r="E1002" s="7"/>
      <c r="F1002" s="7"/>
    </row>
  </sheetData>
  <mergeCells count="4">
    <mergeCell ref="A1:I1"/>
    <mergeCell ref="A2:I2"/>
    <mergeCell ref="B3:C3"/>
    <mergeCell ref="A16:I16"/>
  </mergeCells>
  <printOptions horizontalCentered="1" verticalCentered="1" gridLines="1"/>
  <pageMargins left="0.7" right="0.7" top="0.75" bottom="0.75" header="0" footer="0"/>
  <pageSetup pageOrder="overThenDown" orientation="landscape" cellComments="atEnd"/>
  <rowBreaks count="2" manualBreakCount="2">
    <brk man="1"/>
    <brk id="21" man="1"/>
  </rowBreaks>
  <colBreaks count="2" manualBreakCount="2">
    <brk man="1"/>
    <brk id="9"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outlinePr summaryBelow="0" summaryRight="0"/>
    <pageSetUpPr fitToPage="1"/>
  </sheetPr>
  <dimension ref="A1:Y1010"/>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46.33203125" customWidth="1"/>
    <col min="2" max="2" width="7.33203125" customWidth="1"/>
    <col min="3" max="4" width="7.88671875" customWidth="1"/>
    <col min="5" max="5" width="22.21875" customWidth="1"/>
    <col min="6" max="6" width="30.109375" customWidth="1"/>
    <col min="7" max="7" width="19.44140625" customWidth="1"/>
    <col min="8" max="8" width="14.6640625" customWidth="1"/>
  </cols>
  <sheetData>
    <row r="1" spans="1:25" ht="13.2" x14ac:dyDescent="0.25">
      <c r="A1" s="141" t="s">
        <v>734</v>
      </c>
      <c r="B1" s="142"/>
      <c r="C1" s="142"/>
      <c r="D1" s="142"/>
      <c r="E1" s="142"/>
      <c r="F1" s="142"/>
      <c r="G1" s="142"/>
      <c r="H1" s="142"/>
      <c r="I1" s="142"/>
      <c r="J1" s="142"/>
      <c r="K1" s="143"/>
    </row>
    <row r="2" spans="1:25" ht="13.2" x14ac:dyDescent="0.25">
      <c r="A2" s="144" t="s">
        <v>735</v>
      </c>
      <c r="B2" s="142"/>
      <c r="C2" s="142"/>
      <c r="D2" s="142"/>
      <c r="E2" s="142"/>
      <c r="F2" s="142"/>
      <c r="G2" s="142"/>
      <c r="H2" s="142"/>
      <c r="I2" s="142"/>
      <c r="J2" s="142"/>
      <c r="K2" s="143"/>
    </row>
    <row r="3" spans="1:25" ht="13.2" x14ac:dyDescent="0.25">
      <c r="A3" s="43" t="s">
        <v>374</v>
      </c>
      <c r="B3" s="145" t="s">
        <v>408</v>
      </c>
      <c r="C3" s="143"/>
      <c r="D3" s="49" t="s">
        <v>370</v>
      </c>
      <c r="E3" s="50" t="s">
        <v>371</v>
      </c>
      <c r="F3" s="109" t="s">
        <v>736</v>
      </c>
      <c r="G3" s="109" t="s">
        <v>736</v>
      </c>
      <c r="H3" s="51" t="s">
        <v>372</v>
      </c>
      <c r="I3" s="52" t="s">
        <v>373</v>
      </c>
      <c r="J3" s="53" t="s">
        <v>409</v>
      </c>
      <c r="K3" s="53" t="s">
        <v>410</v>
      </c>
      <c r="L3" s="7"/>
      <c r="M3" s="7"/>
      <c r="N3" s="7"/>
      <c r="O3" s="7"/>
      <c r="P3" s="7"/>
      <c r="Q3" s="7"/>
      <c r="R3" s="7"/>
      <c r="S3" s="7"/>
      <c r="T3" s="7"/>
      <c r="U3" s="7"/>
      <c r="V3" s="7"/>
      <c r="W3" s="7"/>
      <c r="X3" s="7"/>
      <c r="Y3" s="7"/>
    </row>
    <row r="4" spans="1:25" ht="13.2" x14ac:dyDescent="0.25">
      <c r="A4" s="41" t="s">
        <v>411</v>
      </c>
      <c r="B4" s="54">
        <f>SUM(B5:B14)/4</f>
        <v>1</v>
      </c>
      <c r="C4" s="55">
        <f>D4*B4</f>
        <v>0.7</v>
      </c>
      <c r="D4" s="56">
        <v>0.7</v>
      </c>
      <c r="E4" s="57"/>
      <c r="F4" s="57"/>
      <c r="G4" s="57"/>
      <c r="H4" s="57"/>
      <c r="I4" s="58"/>
      <c r="J4" s="58"/>
      <c r="K4" s="58"/>
    </row>
    <row r="5" spans="1:25" ht="13.2" x14ac:dyDescent="0.25">
      <c r="A5" s="42" t="s">
        <v>737</v>
      </c>
      <c r="B5" s="59">
        <v>1</v>
      </c>
      <c r="C5" s="60"/>
      <c r="D5" s="60"/>
      <c r="E5" s="42"/>
      <c r="F5" s="61"/>
      <c r="G5" s="61"/>
      <c r="H5" s="61"/>
      <c r="I5" s="59">
        <v>0.8</v>
      </c>
      <c r="J5" s="59">
        <v>0.8</v>
      </c>
      <c r="K5" s="59">
        <v>1</v>
      </c>
    </row>
    <row r="6" spans="1:25" ht="69.75" customHeight="1" x14ac:dyDescent="0.25">
      <c r="A6" s="66" t="s">
        <v>738</v>
      </c>
      <c r="B6" s="59"/>
      <c r="C6" s="60"/>
      <c r="D6" s="60"/>
      <c r="E6" s="68" t="s">
        <v>135</v>
      </c>
      <c r="F6" s="110" t="s">
        <v>739</v>
      </c>
      <c r="G6" s="110" t="s">
        <v>740</v>
      </c>
      <c r="H6" s="111" t="s">
        <v>741</v>
      </c>
      <c r="I6" s="112" t="s">
        <v>742</v>
      </c>
      <c r="J6" s="113"/>
      <c r="K6" s="113"/>
    </row>
    <row r="7" spans="1:25" ht="118.8" x14ac:dyDescent="0.25">
      <c r="A7" s="66" t="s">
        <v>743</v>
      </c>
      <c r="B7" s="59"/>
      <c r="C7" s="60"/>
      <c r="D7" s="60"/>
      <c r="E7" s="68" t="s">
        <v>261</v>
      </c>
      <c r="F7" s="110" t="s">
        <v>744</v>
      </c>
      <c r="G7" s="114"/>
      <c r="H7" s="111" t="s">
        <v>741</v>
      </c>
      <c r="I7" s="113"/>
      <c r="J7" s="113"/>
      <c r="K7" s="113"/>
    </row>
    <row r="8" spans="1:25" ht="13.2" x14ac:dyDescent="0.25">
      <c r="A8" s="42" t="s">
        <v>745</v>
      </c>
      <c r="B8" s="59">
        <v>1</v>
      </c>
      <c r="C8" s="60"/>
      <c r="D8" s="60"/>
      <c r="E8" s="42"/>
      <c r="F8" s="115"/>
      <c r="G8" s="61"/>
      <c r="H8" s="116"/>
      <c r="I8" s="117">
        <v>0.8</v>
      </c>
      <c r="J8" s="117">
        <v>0.8</v>
      </c>
      <c r="K8" s="117">
        <v>1</v>
      </c>
    </row>
    <row r="9" spans="1:25" ht="102.75" customHeight="1" x14ac:dyDescent="0.25">
      <c r="A9" s="66" t="s">
        <v>746</v>
      </c>
      <c r="B9" s="59"/>
      <c r="C9" s="60"/>
      <c r="D9" s="60"/>
      <c r="E9" s="68" t="s">
        <v>233</v>
      </c>
      <c r="F9" s="118" t="s">
        <v>747</v>
      </c>
      <c r="G9" s="119" t="s">
        <v>748</v>
      </c>
      <c r="H9" s="111" t="s">
        <v>741</v>
      </c>
      <c r="I9" s="113"/>
      <c r="J9" s="113"/>
      <c r="K9" s="113"/>
    </row>
    <row r="10" spans="1:25" ht="111.75" customHeight="1" x14ac:dyDescent="0.25">
      <c r="A10" s="66" t="s">
        <v>749</v>
      </c>
      <c r="B10" s="59"/>
      <c r="C10" s="60"/>
      <c r="D10" s="60"/>
      <c r="E10" s="68" t="s">
        <v>247</v>
      </c>
      <c r="F10" s="110" t="s">
        <v>750</v>
      </c>
      <c r="G10" s="110" t="s">
        <v>751</v>
      </c>
      <c r="H10" s="111" t="s">
        <v>741</v>
      </c>
      <c r="I10" s="113"/>
      <c r="J10" s="113"/>
      <c r="K10" s="113"/>
    </row>
    <row r="11" spans="1:25" ht="79.2" x14ac:dyDescent="0.25">
      <c r="A11" s="66" t="s">
        <v>752</v>
      </c>
      <c r="B11" s="59"/>
      <c r="C11" s="60"/>
      <c r="D11" s="60"/>
      <c r="E11" s="68" t="s">
        <v>270</v>
      </c>
      <c r="F11" s="110" t="s">
        <v>753</v>
      </c>
      <c r="G11" s="110" t="s">
        <v>754</v>
      </c>
      <c r="H11" s="111" t="s">
        <v>425</v>
      </c>
      <c r="I11" s="113"/>
      <c r="J11" s="113"/>
      <c r="K11" s="113"/>
    </row>
    <row r="12" spans="1:25" ht="26.4" x14ac:dyDescent="0.25">
      <c r="A12" s="42" t="s">
        <v>755</v>
      </c>
      <c r="B12" s="59">
        <v>1</v>
      </c>
      <c r="C12" s="60"/>
      <c r="D12" s="60"/>
      <c r="E12" s="42"/>
      <c r="F12" s="61"/>
      <c r="G12" s="61"/>
      <c r="H12" s="61"/>
      <c r="I12" s="59">
        <v>0.8</v>
      </c>
      <c r="J12" s="59">
        <v>0.8</v>
      </c>
      <c r="K12" s="59">
        <v>1</v>
      </c>
    </row>
    <row r="13" spans="1:25" ht="13.2" x14ac:dyDescent="0.25">
      <c r="A13" s="42" t="s">
        <v>756</v>
      </c>
      <c r="B13" s="59">
        <v>1</v>
      </c>
      <c r="C13" s="60"/>
      <c r="D13" s="60"/>
      <c r="E13" s="42"/>
      <c r="F13" s="61"/>
      <c r="G13" s="61"/>
      <c r="H13" s="61"/>
      <c r="I13" s="59">
        <v>0.8</v>
      </c>
      <c r="J13" s="59">
        <v>0.8</v>
      </c>
      <c r="K13" s="59">
        <v>1</v>
      </c>
    </row>
    <row r="14" spans="1:25" ht="13.2" x14ac:dyDescent="0.25">
      <c r="A14" s="42"/>
      <c r="B14" s="62"/>
      <c r="C14" s="60"/>
      <c r="D14" s="60"/>
      <c r="E14" s="42"/>
      <c r="F14" s="42"/>
      <c r="G14" s="42"/>
      <c r="H14" s="42"/>
      <c r="I14" s="60"/>
      <c r="J14" s="60"/>
      <c r="K14" s="60"/>
    </row>
    <row r="15" spans="1:25" ht="13.2" x14ac:dyDescent="0.25">
      <c r="A15" s="41" t="s">
        <v>415</v>
      </c>
      <c r="B15" s="54">
        <f>SUM(B16:B17)/2</f>
        <v>0.5</v>
      </c>
      <c r="C15" s="55">
        <f>D15*B15</f>
        <v>0.1</v>
      </c>
      <c r="D15" s="56">
        <v>0.2</v>
      </c>
      <c r="E15" s="57"/>
      <c r="F15" s="57"/>
      <c r="G15" s="57"/>
      <c r="H15" s="57"/>
      <c r="I15" s="58"/>
      <c r="J15" s="58"/>
      <c r="K15" s="58"/>
    </row>
    <row r="16" spans="1:25" ht="26.4" x14ac:dyDescent="0.25">
      <c r="A16" s="42" t="s">
        <v>757</v>
      </c>
      <c r="B16" s="59">
        <v>1</v>
      </c>
      <c r="C16" s="60"/>
      <c r="D16" s="60"/>
      <c r="E16" s="42" t="s">
        <v>758</v>
      </c>
      <c r="F16" s="42"/>
      <c r="G16" s="42"/>
      <c r="H16" s="42" t="s">
        <v>425</v>
      </c>
      <c r="I16" s="59">
        <v>1</v>
      </c>
      <c r="J16" s="59"/>
      <c r="K16" s="59"/>
    </row>
    <row r="17" spans="1:25" ht="13.2" x14ac:dyDescent="0.25">
      <c r="A17" s="42"/>
      <c r="B17" s="59"/>
      <c r="C17" s="60"/>
      <c r="D17" s="60"/>
      <c r="E17" s="42"/>
      <c r="F17" s="42"/>
      <c r="G17" s="42"/>
      <c r="H17" s="42"/>
      <c r="I17" s="59"/>
      <c r="J17" s="59"/>
      <c r="K17" s="59"/>
    </row>
    <row r="18" spans="1:25" ht="13.2" x14ac:dyDescent="0.25">
      <c r="A18" s="41" t="s">
        <v>385</v>
      </c>
      <c r="B18" s="54">
        <f>SUM(B19:B21)/2</f>
        <v>1</v>
      </c>
      <c r="C18" s="55">
        <f>D18*B18</f>
        <v>0.1</v>
      </c>
      <c r="D18" s="56">
        <v>0.1</v>
      </c>
      <c r="E18" s="57"/>
      <c r="F18" s="57"/>
      <c r="G18" s="57"/>
      <c r="H18" s="57"/>
      <c r="I18" s="58"/>
      <c r="J18" s="58"/>
      <c r="K18" s="58"/>
    </row>
    <row r="19" spans="1:25" ht="13.2" x14ac:dyDescent="0.25">
      <c r="A19" s="42" t="s">
        <v>386</v>
      </c>
      <c r="B19" s="59">
        <v>1</v>
      </c>
      <c r="C19" s="60"/>
      <c r="D19" s="53"/>
      <c r="E19" s="42"/>
      <c r="F19" s="42"/>
      <c r="G19" s="42"/>
      <c r="H19" s="42" t="s">
        <v>418</v>
      </c>
      <c r="I19" s="59">
        <v>0.8</v>
      </c>
      <c r="J19" s="59">
        <v>0.8</v>
      </c>
      <c r="K19" s="59">
        <v>1</v>
      </c>
    </row>
    <row r="20" spans="1:25" ht="52.8" x14ac:dyDescent="0.25">
      <c r="A20" s="42" t="s">
        <v>387</v>
      </c>
      <c r="B20" s="59">
        <v>0.5</v>
      </c>
      <c r="C20" s="60"/>
      <c r="D20" s="53"/>
      <c r="E20" s="42"/>
      <c r="F20" s="42"/>
      <c r="G20" s="42"/>
      <c r="H20" s="42" t="s">
        <v>419</v>
      </c>
      <c r="I20" s="59">
        <v>0.8</v>
      </c>
      <c r="J20" s="59">
        <v>0.8</v>
      </c>
      <c r="K20" s="59">
        <v>1</v>
      </c>
    </row>
    <row r="21" spans="1:25" ht="66" x14ac:dyDescent="0.25">
      <c r="A21" s="151" t="s">
        <v>506</v>
      </c>
      <c r="B21" s="148">
        <v>0.5</v>
      </c>
      <c r="C21" s="153"/>
      <c r="D21" s="153"/>
      <c r="E21" s="120" t="s">
        <v>759</v>
      </c>
      <c r="F21" s="70"/>
      <c r="G21" s="70"/>
      <c r="H21" s="70" t="s">
        <v>420</v>
      </c>
      <c r="I21" s="71">
        <v>1</v>
      </c>
      <c r="J21" s="71">
        <v>1</v>
      </c>
      <c r="K21" s="71">
        <v>1</v>
      </c>
      <c r="L21" s="72"/>
      <c r="M21" s="72"/>
      <c r="N21" s="72"/>
      <c r="O21" s="72"/>
      <c r="P21" s="72"/>
      <c r="Q21" s="72"/>
      <c r="R21" s="72"/>
      <c r="S21" s="72"/>
      <c r="T21" s="72"/>
      <c r="U21" s="72"/>
      <c r="V21" s="72"/>
      <c r="W21" s="72"/>
      <c r="X21" s="72"/>
      <c r="Y21" s="72"/>
    </row>
    <row r="22" spans="1:25" ht="118.8" x14ac:dyDescent="0.25">
      <c r="A22" s="147"/>
      <c r="B22" s="147"/>
      <c r="C22" s="147"/>
      <c r="D22" s="147"/>
      <c r="E22" s="120" t="s">
        <v>760</v>
      </c>
      <c r="F22" s="70"/>
      <c r="G22" s="70"/>
      <c r="H22" s="70" t="s">
        <v>420</v>
      </c>
      <c r="I22" s="71">
        <v>1</v>
      </c>
      <c r="J22" s="71">
        <v>1</v>
      </c>
      <c r="K22" s="71">
        <v>1</v>
      </c>
      <c r="L22" s="72"/>
      <c r="M22" s="72"/>
      <c r="N22" s="72"/>
      <c r="O22" s="72"/>
      <c r="P22" s="72"/>
      <c r="Q22" s="72"/>
      <c r="R22" s="72"/>
      <c r="S22" s="72"/>
      <c r="T22" s="72"/>
      <c r="U22" s="72"/>
      <c r="V22" s="72"/>
      <c r="W22" s="72"/>
      <c r="X22" s="72"/>
      <c r="Y22" s="72"/>
    </row>
    <row r="23" spans="1:25" ht="13.2" x14ac:dyDescent="0.25">
      <c r="A23" s="90"/>
      <c r="B23" s="71"/>
      <c r="C23" s="64">
        <f t="shared" ref="C23:D23" si="0">SUM(C4+C15+C18)</f>
        <v>0.89999999999999991</v>
      </c>
      <c r="D23" s="64">
        <f t="shared" si="0"/>
        <v>0.99999999999999989</v>
      </c>
      <c r="E23" s="70"/>
      <c r="F23" s="70"/>
      <c r="G23" s="70"/>
      <c r="H23" s="70"/>
      <c r="I23" s="71"/>
      <c r="J23" s="71"/>
      <c r="K23" s="71"/>
      <c r="L23" s="72"/>
      <c r="M23" s="72"/>
      <c r="N23" s="72"/>
      <c r="O23" s="72"/>
      <c r="P23" s="72"/>
      <c r="Q23" s="72"/>
      <c r="R23" s="72"/>
      <c r="S23" s="72"/>
      <c r="T23" s="72"/>
      <c r="U23" s="72"/>
      <c r="V23" s="72"/>
      <c r="W23" s="72"/>
      <c r="X23" s="72"/>
      <c r="Y23" s="72"/>
    </row>
    <row r="24" spans="1:25" ht="13.2" x14ac:dyDescent="0.25">
      <c r="A24" s="152" t="s">
        <v>761</v>
      </c>
      <c r="B24" s="142"/>
      <c r="C24" s="142"/>
      <c r="D24" s="142"/>
      <c r="E24" s="142"/>
      <c r="F24" s="142"/>
      <c r="G24" s="142"/>
      <c r="H24" s="142"/>
      <c r="I24" s="142"/>
      <c r="J24" s="142"/>
      <c r="K24" s="143"/>
    </row>
    <row r="25" spans="1:25" ht="52.8" x14ac:dyDescent="0.25">
      <c r="A25" s="66" t="s">
        <v>762</v>
      </c>
      <c r="B25" s="67" t="s">
        <v>423</v>
      </c>
      <c r="C25" s="64"/>
      <c r="D25" s="64"/>
      <c r="E25" s="68" t="s">
        <v>135</v>
      </c>
      <c r="F25" s="42"/>
      <c r="G25" s="42"/>
      <c r="H25" s="42" t="s">
        <v>425</v>
      </c>
      <c r="I25" s="42"/>
      <c r="J25" s="60"/>
      <c r="K25" s="60"/>
    </row>
    <row r="26" spans="1:25" ht="39.6" x14ac:dyDescent="0.25">
      <c r="A26" s="66" t="s">
        <v>763</v>
      </c>
      <c r="B26" s="67" t="s">
        <v>423</v>
      </c>
      <c r="C26" s="64"/>
      <c r="D26" s="64"/>
      <c r="E26" s="68" t="s">
        <v>233</v>
      </c>
      <c r="F26" s="42"/>
      <c r="G26" s="42"/>
      <c r="H26" s="42" t="s">
        <v>425</v>
      </c>
      <c r="I26" s="42"/>
      <c r="J26" s="60"/>
      <c r="K26" s="60"/>
    </row>
    <row r="27" spans="1:25" ht="52.8" x14ac:dyDescent="0.25">
      <c r="A27" s="66" t="s">
        <v>764</v>
      </c>
      <c r="B27" s="67" t="s">
        <v>427</v>
      </c>
      <c r="C27" s="64"/>
      <c r="D27" s="64"/>
      <c r="E27" s="68" t="s">
        <v>247</v>
      </c>
      <c r="F27" s="42"/>
      <c r="G27" s="42"/>
      <c r="H27" s="42" t="s">
        <v>425</v>
      </c>
      <c r="I27" s="42"/>
      <c r="J27" s="60"/>
      <c r="K27" s="60"/>
    </row>
    <row r="28" spans="1:25" ht="52.8" x14ac:dyDescent="0.25">
      <c r="A28" s="66" t="s">
        <v>765</v>
      </c>
      <c r="B28" s="67" t="s">
        <v>427</v>
      </c>
      <c r="C28" s="64"/>
      <c r="D28" s="64"/>
      <c r="E28" s="68" t="s">
        <v>270</v>
      </c>
      <c r="F28" s="42"/>
      <c r="G28" s="42"/>
      <c r="H28" s="42" t="s">
        <v>425</v>
      </c>
      <c r="I28" s="42"/>
      <c r="J28" s="60"/>
      <c r="K28" s="60"/>
    </row>
    <row r="29" spans="1:25" ht="39.6" x14ac:dyDescent="0.25">
      <c r="A29" s="66" t="s">
        <v>766</v>
      </c>
      <c r="B29" s="67" t="s">
        <v>423</v>
      </c>
      <c r="C29" s="64"/>
      <c r="D29" s="64"/>
      <c r="E29" s="68" t="s">
        <v>261</v>
      </c>
      <c r="F29" s="42"/>
      <c r="G29" s="42"/>
      <c r="H29" s="42" t="s">
        <v>425</v>
      </c>
      <c r="I29" s="42"/>
      <c r="J29" s="60"/>
      <c r="K29" s="60"/>
    </row>
    <row r="30" spans="1:25" ht="13.2" x14ac:dyDescent="0.25">
      <c r="A30" s="7"/>
      <c r="E30" s="7"/>
      <c r="F30" s="7"/>
      <c r="G30" s="7"/>
      <c r="H30" s="7"/>
    </row>
    <row r="31" spans="1:25" ht="13.2" x14ac:dyDescent="0.25">
      <c r="A31" s="7"/>
      <c r="E31" s="7"/>
      <c r="F31" s="7"/>
      <c r="G31" s="7"/>
      <c r="H31" s="7"/>
    </row>
    <row r="32" spans="1:25" ht="13.2" x14ac:dyDescent="0.25">
      <c r="A32" s="7"/>
      <c r="E32" s="7"/>
      <c r="F32" s="7"/>
      <c r="G32" s="7"/>
      <c r="H32" s="7"/>
    </row>
    <row r="33" spans="1:8" ht="13.2" x14ac:dyDescent="0.25">
      <c r="A33" s="7"/>
      <c r="E33" s="7"/>
      <c r="F33" s="7"/>
      <c r="G33" s="7"/>
      <c r="H33" s="7"/>
    </row>
    <row r="34" spans="1:8" ht="13.2" x14ac:dyDescent="0.25">
      <c r="A34" s="7"/>
      <c r="E34" s="7"/>
      <c r="F34" s="7"/>
      <c r="G34" s="7"/>
      <c r="H34" s="7"/>
    </row>
    <row r="35" spans="1:8" ht="13.2" x14ac:dyDescent="0.25">
      <c r="A35" s="7"/>
      <c r="E35" s="7"/>
      <c r="F35" s="7"/>
      <c r="G35" s="7"/>
      <c r="H35" s="7"/>
    </row>
    <row r="36" spans="1:8" ht="13.2" x14ac:dyDescent="0.25">
      <c r="A36" s="7"/>
      <c r="E36" s="7"/>
      <c r="F36" s="7"/>
      <c r="G36" s="7"/>
      <c r="H36" s="7"/>
    </row>
    <row r="37" spans="1:8" ht="13.2" x14ac:dyDescent="0.25">
      <c r="A37" s="7"/>
      <c r="E37" s="7"/>
      <c r="F37" s="7"/>
      <c r="G37" s="7"/>
      <c r="H37" s="7"/>
    </row>
    <row r="38" spans="1:8" ht="13.2" x14ac:dyDescent="0.25">
      <c r="A38" s="7"/>
      <c r="E38" s="7"/>
      <c r="F38" s="7"/>
      <c r="G38" s="7"/>
      <c r="H38" s="7"/>
    </row>
    <row r="39" spans="1:8" ht="13.2" x14ac:dyDescent="0.25">
      <c r="A39" s="7"/>
      <c r="E39" s="7"/>
      <c r="F39" s="7"/>
      <c r="G39" s="7"/>
      <c r="H39" s="7"/>
    </row>
    <row r="40" spans="1:8" ht="13.2" x14ac:dyDescent="0.25">
      <c r="A40" s="7"/>
      <c r="E40" s="7"/>
      <c r="F40" s="7"/>
      <c r="G40" s="7"/>
      <c r="H40" s="7"/>
    </row>
    <row r="41" spans="1:8" ht="13.2" x14ac:dyDescent="0.25">
      <c r="A41" s="7"/>
      <c r="E41" s="7"/>
      <c r="F41" s="7"/>
      <c r="G41" s="7"/>
      <c r="H41" s="7"/>
    </row>
    <row r="42" spans="1:8" ht="13.2" x14ac:dyDescent="0.25">
      <c r="A42" s="7"/>
      <c r="E42" s="7"/>
      <c r="F42" s="7"/>
      <c r="G42" s="7"/>
      <c r="H42" s="7"/>
    </row>
    <row r="43" spans="1:8" ht="13.2" x14ac:dyDescent="0.25">
      <c r="A43" s="7"/>
      <c r="E43" s="7"/>
      <c r="F43" s="7"/>
      <c r="G43" s="7"/>
      <c r="H43" s="7"/>
    </row>
    <row r="44" spans="1:8" ht="13.2" x14ac:dyDescent="0.25">
      <c r="A44" s="7"/>
      <c r="E44" s="7"/>
      <c r="F44" s="7"/>
      <c r="G44" s="7"/>
      <c r="H44" s="7"/>
    </row>
    <row r="45" spans="1:8" ht="13.2" x14ac:dyDescent="0.25">
      <c r="A45" s="7"/>
      <c r="E45" s="7"/>
      <c r="F45" s="7"/>
      <c r="G45" s="7"/>
      <c r="H45" s="7"/>
    </row>
    <row r="46" spans="1:8" ht="13.2" x14ac:dyDescent="0.25">
      <c r="A46" s="7"/>
      <c r="E46" s="7"/>
      <c r="F46" s="7"/>
      <c r="G46" s="7"/>
      <c r="H46" s="7"/>
    </row>
    <row r="47" spans="1:8" ht="13.2" x14ac:dyDescent="0.25">
      <c r="A47" s="7"/>
      <c r="E47" s="7"/>
      <c r="F47" s="7"/>
      <c r="G47" s="7"/>
      <c r="H47" s="7"/>
    </row>
    <row r="48" spans="1:8" ht="13.2" x14ac:dyDescent="0.25">
      <c r="A48" s="7"/>
      <c r="E48" s="7"/>
      <c r="F48" s="7"/>
      <c r="G48" s="7"/>
      <c r="H48" s="7"/>
    </row>
    <row r="49" spans="1:8" ht="13.2" x14ac:dyDescent="0.25">
      <c r="A49" s="7"/>
      <c r="E49" s="7"/>
      <c r="F49" s="7"/>
      <c r="G49" s="7"/>
      <c r="H49" s="7"/>
    </row>
    <row r="50" spans="1:8" ht="13.2" x14ac:dyDescent="0.25">
      <c r="A50" s="7"/>
      <c r="E50" s="7"/>
      <c r="F50" s="7"/>
      <c r="G50" s="7"/>
      <c r="H50" s="7"/>
    </row>
    <row r="51" spans="1:8" ht="13.2" x14ac:dyDescent="0.25">
      <c r="A51" s="7"/>
      <c r="E51" s="7"/>
      <c r="F51" s="7"/>
      <c r="G51" s="7"/>
      <c r="H51" s="7"/>
    </row>
    <row r="52" spans="1:8" ht="13.2" x14ac:dyDescent="0.25">
      <c r="A52" s="7"/>
      <c r="E52" s="7"/>
      <c r="F52" s="7"/>
      <c r="G52" s="7"/>
      <c r="H52" s="7"/>
    </row>
    <row r="53" spans="1:8" ht="13.2" x14ac:dyDescent="0.25">
      <c r="A53" s="7"/>
      <c r="E53" s="7"/>
      <c r="F53" s="7"/>
      <c r="G53" s="7"/>
      <c r="H53" s="7"/>
    </row>
    <row r="54" spans="1:8" ht="13.2" x14ac:dyDescent="0.25">
      <c r="A54" s="7"/>
      <c r="E54" s="7"/>
      <c r="F54" s="7"/>
      <c r="G54" s="7"/>
      <c r="H54" s="7"/>
    </row>
    <row r="55" spans="1:8" ht="13.2" x14ac:dyDescent="0.25">
      <c r="A55" s="7"/>
      <c r="E55" s="7"/>
      <c r="F55" s="7"/>
      <c r="G55" s="7"/>
      <c r="H55" s="7"/>
    </row>
    <row r="56" spans="1:8" ht="13.2" x14ac:dyDescent="0.25">
      <c r="A56" s="7"/>
      <c r="E56" s="7"/>
      <c r="F56" s="7"/>
      <c r="G56" s="7"/>
      <c r="H56" s="7"/>
    </row>
    <row r="57" spans="1:8" ht="13.2" x14ac:dyDescent="0.25">
      <c r="A57" s="7"/>
      <c r="E57" s="7"/>
      <c r="F57" s="7"/>
      <c r="G57" s="7"/>
      <c r="H57" s="7"/>
    </row>
    <row r="58" spans="1:8" ht="13.2" x14ac:dyDescent="0.25">
      <c r="A58" s="7"/>
      <c r="E58" s="7"/>
      <c r="F58" s="7"/>
      <c r="G58" s="7"/>
      <c r="H58" s="7"/>
    </row>
    <row r="59" spans="1:8" ht="13.2" x14ac:dyDescent="0.25">
      <c r="A59" s="7"/>
      <c r="E59" s="7"/>
      <c r="F59" s="7"/>
      <c r="G59" s="7"/>
      <c r="H59" s="7"/>
    </row>
    <row r="60" spans="1:8" ht="13.2" x14ac:dyDescent="0.25">
      <c r="A60" s="7"/>
      <c r="E60" s="7"/>
      <c r="F60" s="7"/>
      <c r="G60" s="7"/>
      <c r="H60" s="7"/>
    </row>
    <row r="61" spans="1:8" ht="13.2" x14ac:dyDescent="0.25">
      <c r="A61" s="7"/>
      <c r="E61" s="7"/>
      <c r="F61" s="7"/>
      <c r="G61" s="7"/>
      <c r="H61" s="7"/>
    </row>
    <row r="62" spans="1:8" ht="13.2" x14ac:dyDescent="0.25">
      <c r="A62" s="7"/>
      <c r="E62" s="7"/>
      <c r="F62" s="7"/>
      <c r="G62" s="7"/>
      <c r="H62" s="7"/>
    </row>
    <row r="63" spans="1:8" ht="13.2" x14ac:dyDescent="0.25">
      <c r="A63" s="7"/>
      <c r="E63" s="7"/>
      <c r="F63" s="7"/>
      <c r="G63" s="7"/>
      <c r="H63" s="7"/>
    </row>
    <row r="64" spans="1:8" ht="13.2" x14ac:dyDescent="0.25">
      <c r="A64" s="7"/>
      <c r="E64" s="7"/>
      <c r="F64" s="7"/>
      <c r="G64" s="7"/>
      <c r="H64" s="7"/>
    </row>
    <row r="65" spans="1:8" ht="13.2" x14ac:dyDescent="0.25">
      <c r="A65" s="7"/>
      <c r="E65" s="7"/>
      <c r="F65" s="7"/>
      <c r="G65" s="7"/>
      <c r="H65" s="7"/>
    </row>
    <row r="66" spans="1:8" ht="13.2" x14ac:dyDescent="0.25">
      <c r="A66" s="7"/>
      <c r="E66" s="7"/>
      <c r="F66" s="7"/>
      <c r="G66" s="7"/>
      <c r="H66" s="7"/>
    </row>
    <row r="67" spans="1:8" ht="13.2" x14ac:dyDescent="0.25">
      <c r="A67" s="7"/>
      <c r="E67" s="7"/>
      <c r="F67" s="7"/>
      <c r="G67" s="7"/>
      <c r="H67" s="7"/>
    </row>
    <row r="68" spans="1:8" ht="13.2" x14ac:dyDescent="0.25">
      <c r="A68" s="7"/>
      <c r="E68" s="7"/>
      <c r="F68" s="7"/>
      <c r="G68" s="7"/>
      <c r="H68" s="7"/>
    </row>
    <row r="69" spans="1:8" ht="13.2" x14ac:dyDescent="0.25">
      <c r="A69" s="7"/>
      <c r="E69" s="7"/>
      <c r="F69" s="7"/>
      <c r="G69" s="7"/>
      <c r="H69" s="7"/>
    </row>
    <row r="70" spans="1:8" ht="13.2" x14ac:dyDescent="0.25">
      <c r="A70" s="7"/>
      <c r="E70" s="7"/>
      <c r="F70" s="7"/>
      <c r="G70" s="7"/>
      <c r="H70" s="7"/>
    </row>
    <row r="71" spans="1:8" ht="13.2" x14ac:dyDescent="0.25">
      <c r="A71" s="7"/>
      <c r="E71" s="7"/>
      <c r="F71" s="7"/>
      <c r="G71" s="7"/>
      <c r="H71" s="7"/>
    </row>
    <row r="72" spans="1:8" ht="13.2" x14ac:dyDescent="0.25">
      <c r="A72" s="7"/>
      <c r="E72" s="7"/>
      <c r="F72" s="7"/>
      <c r="G72" s="7"/>
      <c r="H72" s="7"/>
    </row>
    <row r="73" spans="1:8" ht="13.2" x14ac:dyDescent="0.25">
      <c r="A73" s="7"/>
      <c r="E73" s="7"/>
      <c r="F73" s="7"/>
      <c r="G73" s="7"/>
      <c r="H73" s="7"/>
    </row>
    <row r="74" spans="1:8" ht="13.2" x14ac:dyDescent="0.25">
      <c r="A74" s="7"/>
      <c r="E74" s="7"/>
      <c r="F74" s="7"/>
      <c r="G74" s="7"/>
      <c r="H74" s="7"/>
    </row>
    <row r="75" spans="1:8" ht="13.2" x14ac:dyDescent="0.25">
      <c r="A75" s="7"/>
      <c r="E75" s="7"/>
      <c r="F75" s="7"/>
      <c r="G75" s="7"/>
      <c r="H75" s="7"/>
    </row>
    <row r="76" spans="1:8" ht="13.2" x14ac:dyDescent="0.25">
      <c r="A76" s="7"/>
      <c r="E76" s="7"/>
      <c r="F76" s="7"/>
      <c r="G76" s="7"/>
      <c r="H76" s="7"/>
    </row>
    <row r="77" spans="1:8" ht="13.2" x14ac:dyDescent="0.25">
      <c r="A77" s="7"/>
      <c r="E77" s="7"/>
      <c r="F77" s="7"/>
      <c r="G77" s="7"/>
      <c r="H77" s="7"/>
    </row>
    <row r="78" spans="1:8" ht="13.2" x14ac:dyDescent="0.25">
      <c r="A78" s="7"/>
      <c r="E78" s="7"/>
      <c r="F78" s="7"/>
      <c r="G78" s="7"/>
      <c r="H78" s="7"/>
    </row>
    <row r="79" spans="1:8" ht="13.2" x14ac:dyDescent="0.25">
      <c r="A79" s="7"/>
      <c r="E79" s="7"/>
      <c r="F79" s="7"/>
      <c r="G79" s="7"/>
      <c r="H79" s="7"/>
    </row>
    <row r="80" spans="1:8" ht="13.2" x14ac:dyDescent="0.25">
      <c r="A80" s="7"/>
      <c r="E80" s="7"/>
      <c r="F80" s="7"/>
      <c r="G80" s="7"/>
      <c r="H80" s="7"/>
    </row>
    <row r="81" spans="1:8" ht="13.2" x14ac:dyDescent="0.25">
      <c r="A81" s="7"/>
      <c r="E81" s="7"/>
      <c r="F81" s="7"/>
      <c r="G81" s="7"/>
      <c r="H81" s="7"/>
    </row>
    <row r="82" spans="1:8" ht="13.2" x14ac:dyDescent="0.25">
      <c r="A82" s="7"/>
      <c r="E82" s="7"/>
      <c r="F82" s="7"/>
      <c r="G82" s="7"/>
      <c r="H82" s="7"/>
    </row>
    <row r="83" spans="1:8" ht="13.2" x14ac:dyDescent="0.25">
      <c r="A83" s="7"/>
      <c r="E83" s="7"/>
      <c r="F83" s="7"/>
      <c r="G83" s="7"/>
      <c r="H83" s="7"/>
    </row>
    <row r="84" spans="1:8" ht="13.2" x14ac:dyDescent="0.25">
      <c r="A84" s="7"/>
      <c r="E84" s="7"/>
      <c r="F84" s="7"/>
      <c r="G84" s="7"/>
      <c r="H84" s="7"/>
    </row>
    <row r="85" spans="1:8" ht="13.2" x14ac:dyDescent="0.25">
      <c r="A85" s="7"/>
      <c r="E85" s="7"/>
      <c r="F85" s="7"/>
      <c r="G85" s="7"/>
      <c r="H85" s="7"/>
    </row>
    <row r="86" spans="1:8" ht="13.2" x14ac:dyDescent="0.25">
      <c r="A86" s="7"/>
      <c r="E86" s="7"/>
      <c r="F86" s="7"/>
      <c r="G86" s="7"/>
      <c r="H86" s="7"/>
    </row>
    <row r="87" spans="1:8" ht="13.2" x14ac:dyDescent="0.25">
      <c r="A87" s="7"/>
      <c r="E87" s="7"/>
      <c r="F87" s="7"/>
      <c r="G87" s="7"/>
      <c r="H87" s="7"/>
    </row>
    <row r="88" spans="1:8" ht="13.2" x14ac:dyDescent="0.25">
      <c r="A88" s="7"/>
      <c r="E88" s="7"/>
      <c r="F88" s="7"/>
      <c r="G88" s="7"/>
      <c r="H88" s="7"/>
    </row>
    <row r="89" spans="1:8" ht="13.2" x14ac:dyDescent="0.25">
      <c r="A89" s="7"/>
      <c r="E89" s="7"/>
      <c r="F89" s="7"/>
      <c r="G89" s="7"/>
      <c r="H89" s="7"/>
    </row>
    <row r="90" spans="1:8" ht="13.2" x14ac:dyDescent="0.25">
      <c r="A90" s="7"/>
      <c r="E90" s="7"/>
      <c r="F90" s="7"/>
      <c r="G90" s="7"/>
      <c r="H90" s="7"/>
    </row>
    <row r="91" spans="1:8" ht="13.2" x14ac:dyDescent="0.25">
      <c r="A91" s="7"/>
      <c r="E91" s="7"/>
      <c r="F91" s="7"/>
      <c r="G91" s="7"/>
      <c r="H91" s="7"/>
    </row>
    <row r="92" spans="1:8" ht="13.2" x14ac:dyDescent="0.25">
      <c r="A92" s="7"/>
      <c r="E92" s="7"/>
      <c r="F92" s="7"/>
      <c r="G92" s="7"/>
      <c r="H92" s="7"/>
    </row>
    <row r="93" spans="1:8" ht="13.2" x14ac:dyDescent="0.25">
      <c r="A93" s="7"/>
      <c r="E93" s="7"/>
      <c r="F93" s="7"/>
      <c r="G93" s="7"/>
      <c r="H93" s="7"/>
    </row>
    <row r="94" spans="1:8" ht="13.2" x14ac:dyDescent="0.25">
      <c r="A94" s="7"/>
      <c r="E94" s="7"/>
      <c r="F94" s="7"/>
      <c r="G94" s="7"/>
      <c r="H94" s="7"/>
    </row>
    <row r="95" spans="1:8" ht="13.2" x14ac:dyDescent="0.25">
      <c r="A95" s="7"/>
      <c r="E95" s="7"/>
      <c r="F95" s="7"/>
      <c r="G95" s="7"/>
      <c r="H95" s="7"/>
    </row>
    <row r="96" spans="1:8" ht="13.2" x14ac:dyDescent="0.25">
      <c r="A96" s="7"/>
      <c r="E96" s="7"/>
      <c r="F96" s="7"/>
      <c r="G96" s="7"/>
      <c r="H96" s="7"/>
    </row>
    <row r="97" spans="1:8" ht="13.2" x14ac:dyDescent="0.25">
      <c r="A97" s="7"/>
      <c r="E97" s="7"/>
      <c r="F97" s="7"/>
      <c r="G97" s="7"/>
      <c r="H97" s="7"/>
    </row>
    <row r="98" spans="1:8" ht="13.2" x14ac:dyDescent="0.25">
      <c r="A98" s="7"/>
      <c r="E98" s="7"/>
      <c r="F98" s="7"/>
      <c r="G98" s="7"/>
      <c r="H98" s="7"/>
    </row>
    <row r="99" spans="1:8" ht="13.2" x14ac:dyDescent="0.25">
      <c r="A99" s="7"/>
      <c r="E99" s="7"/>
      <c r="F99" s="7"/>
      <c r="G99" s="7"/>
      <c r="H99" s="7"/>
    </row>
    <row r="100" spans="1:8" ht="13.2" x14ac:dyDescent="0.25">
      <c r="A100" s="7"/>
      <c r="E100" s="7"/>
      <c r="F100" s="7"/>
      <c r="G100" s="7"/>
      <c r="H100" s="7"/>
    </row>
    <row r="101" spans="1:8" ht="13.2" x14ac:dyDescent="0.25">
      <c r="A101" s="7"/>
      <c r="E101" s="7"/>
      <c r="F101" s="7"/>
      <c r="G101" s="7"/>
      <c r="H101" s="7"/>
    </row>
    <row r="102" spans="1:8" ht="13.2" x14ac:dyDescent="0.25">
      <c r="A102" s="7"/>
      <c r="E102" s="7"/>
      <c r="F102" s="7"/>
      <c r="G102" s="7"/>
      <c r="H102" s="7"/>
    </row>
    <row r="103" spans="1:8" ht="13.2" x14ac:dyDescent="0.25">
      <c r="A103" s="7"/>
      <c r="E103" s="7"/>
      <c r="F103" s="7"/>
      <c r="G103" s="7"/>
      <c r="H103" s="7"/>
    </row>
    <row r="104" spans="1:8" ht="13.2" x14ac:dyDescent="0.25">
      <c r="A104" s="7"/>
      <c r="E104" s="7"/>
      <c r="F104" s="7"/>
      <c r="G104" s="7"/>
      <c r="H104" s="7"/>
    </row>
    <row r="105" spans="1:8" ht="13.2" x14ac:dyDescent="0.25">
      <c r="A105" s="7"/>
      <c r="E105" s="7"/>
      <c r="F105" s="7"/>
      <c r="G105" s="7"/>
      <c r="H105" s="7"/>
    </row>
    <row r="106" spans="1:8" ht="13.2" x14ac:dyDescent="0.25">
      <c r="A106" s="7"/>
      <c r="E106" s="7"/>
      <c r="F106" s="7"/>
      <c r="G106" s="7"/>
      <c r="H106" s="7"/>
    </row>
    <row r="107" spans="1:8" ht="13.2" x14ac:dyDescent="0.25">
      <c r="A107" s="7"/>
      <c r="E107" s="7"/>
      <c r="F107" s="7"/>
      <c r="G107" s="7"/>
      <c r="H107" s="7"/>
    </row>
    <row r="108" spans="1:8" ht="13.2" x14ac:dyDescent="0.25">
      <c r="A108" s="7"/>
      <c r="E108" s="7"/>
      <c r="F108" s="7"/>
      <c r="G108" s="7"/>
      <c r="H108" s="7"/>
    </row>
    <row r="109" spans="1:8" ht="13.2" x14ac:dyDescent="0.25">
      <c r="A109" s="7"/>
      <c r="E109" s="7"/>
      <c r="F109" s="7"/>
      <c r="G109" s="7"/>
      <c r="H109" s="7"/>
    </row>
    <row r="110" spans="1:8" ht="13.2" x14ac:dyDescent="0.25">
      <c r="A110" s="7"/>
      <c r="E110" s="7"/>
      <c r="F110" s="7"/>
      <c r="G110" s="7"/>
      <c r="H110" s="7"/>
    </row>
    <row r="111" spans="1:8" ht="13.2" x14ac:dyDescent="0.25">
      <c r="A111" s="7"/>
      <c r="E111" s="7"/>
      <c r="F111" s="7"/>
      <c r="G111" s="7"/>
      <c r="H111" s="7"/>
    </row>
    <row r="112" spans="1:8" ht="13.2" x14ac:dyDescent="0.25">
      <c r="A112" s="7"/>
      <c r="E112" s="7"/>
      <c r="F112" s="7"/>
      <c r="G112" s="7"/>
      <c r="H112" s="7"/>
    </row>
    <row r="113" spans="1:8" ht="13.2" x14ac:dyDescent="0.25">
      <c r="A113" s="7"/>
      <c r="E113" s="7"/>
      <c r="F113" s="7"/>
      <c r="G113" s="7"/>
      <c r="H113" s="7"/>
    </row>
    <row r="114" spans="1:8" ht="13.2" x14ac:dyDescent="0.25">
      <c r="A114" s="7"/>
      <c r="E114" s="7"/>
      <c r="F114" s="7"/>
      <c r="G114" s="7"/>
      <c r="H114" s="7"/>
    </row>
    <row r="115" spans="1:8" ht="13.2" x14ac:dyDescent="0.25">
      <c r="A115" s="7"/>
      <c r="E115" s="7"/>
      <c r="F115" s="7"/>
      <c r="G115" s="7"/>
      <c r="H115" s="7"/>
    </row>
    <row r="116" spans="1:8" ht="13.2" x14ac:dyDescent="0.25">
      <c r="A116" s="7"/>
      <c r="E116" s="7"/>
      <c r="F116" s="7"/>
      <c r="G116" s="7"/>
      <c r="H116" s="7"/>
    </row>
    <row r="117" spans="1:8" ht="13.2" x14ac:dyDescent="0.25">
      <c r="A117" s="7"/>
      <c r="E117" s="7"/>
      <c r="F117" s="7"/>
      <c r="G117" s="7"/>
      <c r="H117" s="7"/>
    </row>
    <row r="118" spans="1:8" ht="13.2" x14ac:dyDescent="0.25">
      <c r="A118" s="7"/>
      <c r="E118" s="7"/>
      <c r="F118" s="7"/>
      <c r="G118" s="7"/>
      <c r="H118" s="7"/>
    </row>
    <row r="119" spans="1:8" ht="13.2" x14ac:dyDescent="0.25">
      <c r="A119" s="7"/>
      <c r="E119" s="7"/>
      <c r="F119" s="7"/>
      <c r="G119" s="7"/>
      <c r="H119" s="7"/>
    </row>
    <row r="120" spans="1:8" ht="13.2" x14ac:dyDescent="0.25">
      <c r="A120" s="7"/>
      <c r="E120" s="7"/>
      <c r="F120" s="7"/>
      <c r="G120" s="7"/>
      <c r="H120" s="7"/>
    </row>
    <row r="121" spans="1:8" ht="13.2" x14ac:dyDescent="0.25">
      <c r="A121" s="7"/>
      <c r="E121" s="7"/>
      <c r="F121" s="7"/>
      <c r="G121" s="7"/>
      <c r="H121" s="7"/>
    </row>
    <row r="122" spans="1:8" ht="13.2" x14ac:dyDescent="0.25">
      <c r="A122" s="7"/>
      <c r="E122" s="7"/>
      <c r="F122" s="7"/>
      <c r="G122" s="7"/>
      <c r="H122" s="7"/>
    </row>
    <row r="123" spans="1:8" ht="13.2" x14ac:dyDescent="0.25">
      <c r="A123" s="7"/>
      <c r="E123" s="7"/>
      <c r="F123" s="7"/>
      <c r="G123" s="7"/>
      <c r="H123" s="7"/>
    </row>
    <row r="124" spans="1:8" ht="13.2" x14ac:dyDescent="0.25">
      <c r="A124" s="7"/>
      <c r="E124" s="7"/>
      <c r="F124" s="7"/>
      <c r="G124" s="7"/>
      <c r="H124" s="7"/>
    </row>
    <row r="125" spans="1:8" ht="13.2" x14ac:dyDescent="0.25">
      <c r="A125" s="7"/>
      <c r="E125" s="7"/>
      <c r="F125" s="7"/>
      <c r="G125" s="7"/>
      <c r="H125" s="7"/>
    </row>
    <row r="126" spans="1:8" ht="13.2" x14ac:dyDescent="0.25">
      <c r="A126" s="7"/>
      <c r="E126" s="7"/>
      <c r="F126" s="7"/>
      <c r="G126" s="7"/>
      <c r="H126" s="7"/>
    </row>
    <row r="127" spans="1:8" ht="13.2" x14ac:dyDescent="0.25">
      <c r="A127" s="7"/>
      <c r="E127" s="7"/>
      <c r="F127" s="7"/>
      <c r="G127" s="7"/>
      <c r="H127" s="7"/>
    </row>
    <row r="128" spans="1:8" ht="13.2" x14ac:dyDescent="0.25">
      <c r="A128" s="7"/>
      <c r="E128" s="7"/>
      <c r="F128" s="7"/>
      <c r="G128" s="7"/>
      <c r="H128" s="7"/>
    </row>
    <row r="129" spans="1:8" ht="13.2" x14ac:dyDescent="0.25">
      <c r="A129" s="7"/>
      <c r="E129" s="7"/>
      <c r="F129" s="7"/>
      <c r="G129" s="7"/>
      <c r="H129" s="7"/>
    </row>
    <row r="130" spans="1:8" ht="13.2" x14ac:dyDescent="0.25">
      <c r="A130" s="7"/>
      <c r="E130" s="7"/>
      <c r="F130" s="7"/>
      <c r="G130" s="7"/>
      <c r="H130" s="7"/>
    </row>
    <row r="131" spans="1:8" ht="13.2" x14ac:dyDescent="0.25">
      <c r="A131" s="7"/>
      <c r="E131" s="7"/>
      <c r="F131" s="7"/>
      <c r="G131" s="7"/>
      <c r="H131" s="7"/>
    </row>
    <row r="132" spans="1:8" ht="13.2" x14ac:dyDescent="0.25">
      <c r="A132" s="7"/>
      <c r="E132" s="7"/>
      <c r="F132" s="7"/>
      <c r="G132" s="7"/>
      <c r="H132" s="7"/>
    </row>
    <row r="133" spans="1:8" ht="13.2" x14ac:dyDescent="0.25">
      <c r="A133" s="7"/>
      <c r="E133" s="7"/>
      <c r="F133" s="7"/>
      <c r="G133" s="7"/>
      <c r="H133" s="7"/>
    </row>
    <row r="134" spans="1:8" ht="13.2" x14ac:dyDescent="0.25">
      <c r="A134" s="7"/>
      <c r="E134" s="7"/>
      <c r="F134" s="7"/>
      <c r="G134" s="7"/>
      <c r="H134" s="7"/>
    </row>
    <row r="135" spans="1:8" ht="13.2" x14ac:dyDescent="0.25">
      <c r="A135" s="7"/>
      <c r="E135" s="7"/>
      <c r="F135" s="7"/>
      <c r="G135" s="7"/>
      <c r="H135" s="7"/>
    </row>
    <row r="136" spans="1:8" ht="13.2" x14ac:dyDescent="0.25">
      <c r="A136" s="7"/>
      <c r="E136" s="7"/>
      <c r="F136" s="7"/>
      <c r="G136" s="7"/>
      <c r="H136" s="7"/>
    </row>
    <row r="137" spans="1:8" ht="13.2" x14ac:dyDescent="0.25">
      <c r="A137" s="7"/>
      <c r="E137" s="7"/>
      <c r="F137" s="7"/>
      <c r="G137" s="7"/>
      <c r="H137" s="7"/>
    </row>
    <row r="138" spans="1:8" ht="13.2" x14ac:dyDescent="0.25">
      <c r="A138" s="7"/>
      <c r="E138" s="7"/>
      <c r="F138" s="7"/>
      <c r="G138" s="7"/>
      <c r="H138" s="7"/>
    </row>
    <row r="139" spans="1:8" ht="13.2" x14ac:dyDescent="0.25">
      <c r="A139" s="7"/>
      <c r="E139" s="7"/>
      <c r="F139" s="7"/>
      <c r="G139" s="7"/>
      <c r="H139" s="7"/>
    </row>
    <row r="140" spans="1:8" ht="13.2" x14ac:dyDescent="0.25">
      <c r="A140" s="7"/>
      <c r="E140" s="7"/>
      <c r="F140" s="7"/>
      <c r="G140" s="7"/>
      <c r="H140" s="7"/>
    </row>
    <row r="141" spans="1:8" ht="13.2" x14ac:dyDescent="0.25">
      <c r="A141" s="7"/>
      <c r="E141" s="7"/>
      <c r="F141" s="7"/>
      <c r="G141" s="7"/>
      <c r="H141" s="7"/>
    </row>
    <row r="142" spans="1:8" ht="13.2" x14ac:dyDescent="0.25">
      <c r="A142" s="7"/>
      <c r="E142" s="7"/>
      <c r="F142" s="7"/>
      <c r="G142" s="7"/>
      <c r="H142" s="7"/>
    </row>
    <row r="143" spans="1:8" ht="13.2" x14ac:dyDescent="0.25">
      <c r="A143" s="7"/>
      <c r="E143" s="7"/>
      <c r="F143" s="7"/>
      <c r="G143" s="7"/>
      <c r="H143" s="7"/>
    </row>
    <row r="144" spans="1:8" ht="13.2" x14ac:dyDescent="0.25">
      <c r="A144" s="7"/>
      <c r="E144" s="7"/>
      <c r="F144" s="7"/>
      <c r="G144" s="7"/>
      <c r="H144" s="7"/>
    </row>
    <row r="145" spans="1:8" ht="13.2" x14ac:dyDescent="0.25">
      <c r="A145" s="7"/>
      <c r="E145" s="7"/>
      <c r="F145" s="7"/>
      <c r="G145" s="7"/>
      <c r="H145" s="7"/>
    </row>
    <row r="146" spans="1:8" ht="13.2" x14ac:dyDescent="0.25">
      <c r="A146" s="7"/>
      <c r="E146" s="7"/>
      <c r="F146" s="7"/>
      <c r="G146" s="7"/>
      <c r="H146" s="7"/>
    </row>
    <row r="147" spans="1:8" ht="13.2" x14ac:dyDescent="0.25">
      <c r="A147" s="7"/>
      <c r="E147" s="7"/>
      <c r="F147" s="7"/>
      <c r="G147" s="7"/>
      <c r="H147" s="7"/>
    </row>
    <row r="148" spans="1:8" ht="13.2" x14ac:dyDescent="0.25">
      <c r="A148" s="7"/>
      <c r="E148" s="7"/>
      <c r="F148" s="7"/>
      <c r="G148" s="7"/>
      <c r="H148" s="7"/>
    </row>
    <row r="149" spans="1:8" ht="13.2" x14ac:dyDescent="0.25">
      <c r="A149" s="7"/>
      <c r="E149" s="7"/>
      <c r="F149" s="7"/>
      <c r="G149" s="7"/>
      <c r="H149" s="7"/>
    </row>
    <row r="150" spans="1:8" ht="13.2" x14ac:dyDescent="0.25">
      <c r="A150" s="7"/>
      <c r="E150" s="7"/>
      <c r="F150" s="7"/>
      <c r="G150" s="7"/>
      <c r="H150" s="7"/>
    </row>
    <row r="151" spans="1:8" ht="13.2" x14ac:dyDescent="0.25">
      <c r="A151" s="7"/>
      <c r="E151" s="7"/>
      <c r="F151" s="7"/>
      <c r="G151" s="7"/>
      <c r="H151" s="7"/>
    </row>
    <row r="152" spans="1:8" ht="13.2" x14ac:dyDescent="0.25">
      <c r="A152" s="7"/>
      <c r="E152" s="7"/>
      <c r="F152" s="7"/>
      <c r="G152" s="7"/>
      <c r="H152" s="7"/>
    </row>
    <row r="153" spans="1:8" ht="13.2" x14ac:dyDescent="0.25">
      <c r="A153" s="7"/>
      <c r="E153" s="7"/>
      <c r="F153" s="7"/>
      <c r="G153" s="7"/>
      <c r="H153" s="7"/>
    </row>
    <row r="154" spans="1:8" ht="13.2" x14ac:dyDescent="0.25">
      <c r="A154" s="7"/>
      <c r="E154" s="7"/>
      <c r="F154" s="7"/>
      <c r="G154" s="7"/>
      <c r="H154" s="7"/>
    </row>
    <row r="155" spans="1:8" ht="13.2" x14ac:dyDescent="0.25">
      <c r="A155" s="7"/>
      <c r="E155" s="7"/>
      <c r="F155" s="7"/>
      <c r="G155" s="7"/>
      <c r="H155" s="7"/>
    </row>
    <row r="156" spans="1:8" ht="13.2" x14ac:dyDescent="0.25">
      <c r="A156" s="7"/>
      <c r="E156" s="7"/>
      <c r="F156" s="7"/>
      <c r="G156" s="7"/>
      <c r="H156" s="7"/>
    </row>
    <row r="157" spans="1:8" ht="13.2" x14ac:dyDescent="0.25">
      <c r="A157" s="7"/>
      <c r="E157" s="7"/>
      <c r="F157" s="7"/>
      <c r="G157" s="7"/>
      <c r="H157" s="7"/>
    </row>
    <row r="158" spans="1:8" ht="13.2" x14ac:dyDescent="0.25">
      <c r="A158" s="7"/>
      <c r="E158" s="7"/>
      <c r="F158" s="7"/>
      <c r="G158" s="7"/>
      <c r="H158" s="7"/>
    </row>
    <row r="159" spans="1:8" ht="13.2" x14ac:dyDescent="0.25">
      <c r="A159" s="7"/>
      <c r="E159" s="7"/>
      <c r="F159" s="7"/>
      <c r="G159" s="7"/>
      <c r="H159" s="7"/>
    </row>
    <row r="160" spans="1:8" ht="13.2" x14ac:dyDescent="0.25">
      <c r="A160" s="7"/>
      <c r="E160" s="7"/>
      <c r="F160" s="7"/>
      <c r="G160" s="7"/>
      <c r="H160" s="7"/>
    </row>
    <row r="161" spans="1:8" ht="13.2" x14ac:dyDescent="0.25">
      <c r="A161" s="7"/>
      <c r="E161" s="7"/>
      <c r="F161" s="7"/>
      <c r="G161" s="7"/>
      <c r="H161" s="7"/>
    </row>
    <row r="162" spans="1:8" ht="13.2" x14ac:dyDescent="0.25">
      <c r="A162" s="7"/>
      <c r="E162" s="7"/>
      <c r="F162" s="7"/>
      <c r="G162" s="7"/>
      <c r="H162" s="7"/>
    </row>
    <row r="163" spans="1:8" ht="13.2" x14ac:dyDescent="0.25">
      <c r="A163" s="7"/>
      <c r="E163" s="7"/>
      <c r="F163" s="7"/>
      <c r="G163" s="7"/>
      <c r="H163" s="7"/>
    </row>
    <row r="164" spans="1:8" ht="13.2" x14ac:dyDescent="0.25">
      <c r="A164" s="7"/>
      <c r="E164" s="7"/>
      <c r="F164" s="7"/>
      <c r="G164" s="7"/>
      <c r="H164" s="7"/>
    </row>
    <row r="165" spans="1:8" ht="13.2" x14ac:dyDescent="0.25">
      <c r="A165" s="7"/>
      <c r="E165" s="7"/>
      <c r="F165" s="7"/>
      <c r="G165" s="7"/>
      <c r="H165" s="7"/>
    </row>
    <row r="166" spans="1:8" ht="13.2" x14ac:dyDescent="0.25">
      <c r="A166" s="7"/>
      <c r="E166" s="7"/>
      <c r="F166" s="7"/>
      <c r="G166" s="7"/>
      <c r="H166" s="7"/>
    </row>
    <row r="167" spans="1:8" ht="13.2" x14ac:dyDescent="0.25">
      <c r="A167" s="7"/>
      <c r="E167" s="7"/>
      <c r="F167" s="7"/>
      <c r="G167" s="7"/>
      <c r="H167" s="7"/>
    </row>
    <row r="168" spans="1:8" ht="13.2" x14ac:dyDescent="0.25">
      <c r="A168" s="7"/>
      <c r="E168" s="7"/>
      <c r="F168" s="7"/>
      <c r="G168" s="7"/>
      <c r="H168" s="7"/>
    </row>
    <row r="169" spans="1:8" ht="13.2" x14ac:dyDescent="0.25">
      <c r="A169" s="7"/>
      <c r="E169" s="7"/>
      <c r="F169" s="7"/>
      <c r="G169" s="7"/>
      <c r="H169" s="7"/>
    </row>
    <row r="170" spans="1:8" ht="13.2" x14ac:dyDescent="0.25">
      <c r="A170" s="7"/>
      <c r="E170" s="7"/>
      <c r="F170" s="7"/>
      <c r="G170" s="7"/>
      <c r="H170" s="7"/>
    </row>
    <row r="171" spans="1:8" ht="13.2" x14ac:dyDescent="0.25">
      <c r="A171" s="7"/>
      <c r="E171" s="7"/>
      <c r="F171" s="7"/>
      <c r="G171" s="7"/>
      <c r="H171" s="7"/>
    </row>
    <row r="172" spans="1:8" ht="13.2" x14ac:dyDescent="0.25">
      <c r="A172" s="7"/>
      <c r="E172" s="7"/>
      <c r="F172" s="7"/>
      <c r="G172" s="7"/>
      <c r="H172" s="7"/>
    </row>
    <row r="173" spans="1:8" ht="13.2" x14ac:dyDescent="0.25">
      <c r="A173" s="7"/>
      <c r="E173" s="7"/>
      <c r="F173" s="7"/>
      <c r="G173" s="7"/>
      <c r="H173" s="7"/>
    </row>
    <row r="174" spans="1:8" ht="13.2" x14ac:dyDescent="0.25">
      <c r="A174" s="7"/>
      <c r="E174" s="7"/>
      <c r="F174" s="7"/>
      <c r="G174" s="7"/>
      <c r="H174" s="7"/>
    </row>
    <row r="175" spans="1:8" ht="13.2" x14ac:dyDescent="0.25">
      <c r="A175" s="7"/>
      <c r="E175" s="7"/>
      <c r="F175" s="7"/>
      <c r="G175" s="7"/>
      <c r="H175" s="7"/>
    </row>
    <row r="176" spans="1:8" ht="13.2" x14ac:dyDescent="0.25">
      <c r="A176" s="7"/>
      <c r="E176" s="7"/>
      <c r="F176" s="7"/>
      <c r="G176" s="7"/>
      <c r="H176" s="7"/>
    </row>
    <row r="177" spans="1:8" ht="13.2" x14ac:dyDescent="0.25">
      <c r="A177" s="7"/>
      <c r="E177" s="7"/>
      <c r="F177" s="7"/>
      <c r="G177" s="7"/>
      <c r="H177" s="7"/>
    </row>
    <row r="178" spans="1:8" ht="13.2" x14ac:dyDescent="0.25">
      <c r="A178" s="7"/>
      <c r="E178" s="7"/>
      <c r="F178" s="7"/>
      <c r="G178" s="7"/>
      <c r="H178" s="7"/>
    </row>
    <row r="179" spans="1:8" ht="13.2" x14ac:dyDescent="0.25">
      <c r="A179" s="7"/>
      <c r="E179" s="7"/>
      <c r="F179" s="7"/>
      <c r="G179" s="7"/>
      <c r="H179" s="7"/>
    </row>
    <row r="180" spans="1:8" ht="13.2" x14ac:dyDescent="0.25">
      <c r="A180" s="7"/>
      <c r="E180" s="7"/>
      <c r="F180" s="7"/>
      <c r="G180" s="7"/>
      <c r="H180" s="7"/>
    </row>
    <row r="181" spans="1:8" ht="13.2" x14ac:dyDescent="0.25">
      <c r="A181" s="7"/>
      <c r="E181" s="7"/>
      <c r="F181" s="7"/>
      <c r="G181" s="7"/>
      <c r="H181" s="7"/>
    </row>
    <row r="182" spans="1:8" ht="13.2" x14ac:dyDescent="0.25">
      <c r="A182" s="7"/>
      <c r="E182" s="7"/>
      <c r="F182" s="7"/>
      <c r="G182" s="7"/>
      <c r="H182" s="7"/>
    </row>
    <row r="183" spans="1:8" ht="13.2" x14ac:dyDescent="0.25">
      <c r="A183" s="7"/>
      <c r="E183" s="7"/>
      <c r="F183" s="7"/>
      <c r="G183" s="7"/>
      <c r="H183" s="7"/>
    </row>
    <row r="184" spans="1:8" ht="13.2" x14ac:dyDescent="0.25">
      <c r="A184" s="7"/>
      <c r="E184" s="7"/>
      <c r="F184" s="7"/>
      <c r="G184" s="7"/>
      <c r="H184" s="7"/>
    </row>
    <row r="185" spans="1:8" ht="13.2" x14ac:dyDescent="0.25">
      <c r="A185" s="7"/>
      <c r="E185" s="7"/>
      <c r="F185" s="7"/>
      <c r="G185" s="7"/>
      <c r="H185" s="7"/>
    </row>
    <row r="186" spans="1:8" ht="13.2" x14ac:dyDescent="0.25">
      <c r="A186" s="7"/>
      <c r="E186" s="7"/>
      <c r="F186" s="7"/>
      <c r="G186" s="7"/>
      <c r="H186" s="7"/>
    </row>
    <row r="187" spans="1:8" ht="13.2" x14ac:dyDescent="0.25">
      <c r="A187" s="7"/>
      <c r="E187" s="7"/>
      <c r="F187" s="7"/>
      <c r="G187" s="7"/>
      <c r="H187" s="7"/>
    </row>
    <row r="188" spans="1:8" ht="13.2" x14ac:dyDescent="0.25">
      <c r="A188" s="7"/>
      <c r="E188" s="7"/>
      <c r="F188" s="7"/>
      <c r="G188" s="7"/>
      <c r="H188" s="7"/>
    </row>
    <row r="189" spans="1:8" ht="13.2" x14ac:dyDescent="0.25">
      <c r="A189" s="7"/>
      <c r="E189" s="7"/>
      <c r="F189" s="7"/>
      <c r="G189" s="7"/>
      <c r="H189" s="7"/>
    </row>
    <row r="190" spans="1:8" ht="13.2" x14ac:dyDescent="0.25">
      <c r="A190" s="7"/>
      <c r="E190" s="7"/>
      <c r="F190" s="7"/>
      <c r="G190" s="7"/>
      <c r="H190" s="7"/>
    </row>
    <row r="191" spans="1:8" ht="13.2" x14ac:dyDescent="0.25">
      <c r="A191" s="7"/>
      <c r="E191" s="7"/>
      <c r="F191" s="7"/>
      <c r="G191" s="7"/>
      <c r="H191" s="7"/>
    </row>
    <row r="192" spans="1:8" ht="13.2" x14ac:dyDescent="0.25">
      <c r="A192" s="7"/>
      <c r="E192" s="7"/>
      <c r="F192" s="7"/>
      <c r="G192" s="7"/>
      <c r="H192" s="7"/>
    </row>
    <row r="193" spans="1:8" ht="13.2" x14ac:dyDescent="0.25">
      <c r="A193" s="7"/>
      <c r="E193" s="7"/>
      <c r="F193" s="7"/>
      <c r="G193" s="7"/>
      <c r="H193" s="7"/>
    </row>
    <row r="194" spans="1:8" ht="13.2" x14ac:dyDescent="0.25">
      <c r="A194" s="7"/>
      <c r="E194" s="7"/>
      <c r="F194" s="7"/>
      <c r="G194" s="7"/>
      <c r="H194" s="7"/>
    </row>
    <row r="195" spans="1:8" ht="13.2" x14ac:dyDescent="0.25">
      <c r="A195" s="7"/>
      <c r="E195" s="7"/>
      <c r="F195" s="7"/>
      <c r="G195" s="7"/>
      <c r="H195" s="7"/>
    </row>
    <row r="196" spans="1:8" ht="13.2" x14ac:dyDescent="0.25">
      <c r="A196" s="7"/>
      <c r="E196" s="7"/>
      <c r="F196" s="7"/>
      <c r="G196" s="7"/>
      <c r="H196" s="7"/>
    </row>
    <row r="197" spans="1:8" ht="13.2" x14ac:dyDescent="0.25">
      <c r="A197" s="7"/>
      <c r="E197" s="7"/>
      <c r="F197" s="7"/>
      <c r="G197" s="7"/>
      <c r="H197" s="7"/>
    </row>
    <row r="198" spans="1:8" ht="13.2" x14ac:dyDescent="0.25">
      <c r="A198" s="7"/>
      <c r="E198" s="7"/>
      <c r="F198" s="7"/>
      <c r="G198" s="7"/>
      <c r="H198" s="7"/>
    </row>
    <row r="199" spans="1:8" ht="13.2" x14ac:dyDescent="0.25">
      <c r="A199" s="7"/>
      <c r="E199" s="7"/>
      <c r="F199" s="7"/>
      <c r="G199" s="7"/>
      <c r="H199" s="7"/>
    </row>
    <row r="200" spans="1:8" ht="13.2" x14ac:dyDescent="0.25">
      <c r="A200" s="7"/>
      <c r="E200" s="7"/>
      <c r="F200" s="7"/>
      <c r="G200" s="7"/>
      <c r="H200" s="7"/>
    </row>
    <row r="201" spans="1:8" ht="13.2" x14ac:dyDescent="0.25">
      <c r="A201" s="7"/>
      <c r="E201" s="7"/>
      <c r="F201" s="7"/>
      <c r="G201" s="7"/>
      <c r="H201" s="7"/>
    </row>
    <row r="202" spans="1:8" ht="13.2" x14ac:dyDescent="0.25">
      <c r="A202" s="7"/>
      <c r="E202" s="7"/>
      <c r="F202" s="7"/>
      <c r="G202" s="7"/>
      <c r="H202" s="7"/>
    </row>
    <row r="203" spans="1:8" ht="13.2" x14ac:dyDescent="0.25">
      <c r="A203" s="7"/>
      <c r="E203" s="7"/>
      <c r="F203" s="7"/>
      <c r="G203" s="7"/>
      <c r="H203" s="7"/>
    </row>
    <row r="204" spans="1:8" ht="13.2" x14ac:dyDescent="0.25">
      <c r="A204" s="7"/>
      <c r="E204" s="7"/>
      <c r="F204" s="7"/>
      <c r="G204" s="7"/>
      <c r="H204" s="7"/>
    </row>
    <row r="205" spans="1:8" ht="13.2" x14ac:dyDescent="0.25">
      <c r="A205" s="7"/>
      <c r="E205" s="7"/>
      <c r="F205" s="7"/>
      <c r="G205" s="7"/>
      <c r="H205" s="7"/>
    </row>
    <row r="206" spans="1:8" ht="13.2" x14ac:dyDescent="0.25">
      <c r="A206" s="7"/>
      <c r="E206" s="7"/>
      <c r="F206" s="7"/>
      <c r="G206" s="7"/>
      <c r="H206" s="7"/>
    </row>
    <row r="207" spans="1:8" ht="13.2" x14ac:dyDescent="0.25">
      <c r="A207" s="7"/>
      <c r="E207" s="7"/>
      <c r="F207" s="7"/>
      <c r="G207" s="7"/>
      <c r="H207" s="7"/>
    </row>
    <row r="208" spans="1:8" ht="13.2" x14ac:dyDescent="0.25">
      <c r="A208" s="7"/>
      <c r="E208" s="7"/>
      <c r="F208" s="7"/>
      <c r="G208" s="7"/>
      <c r="H208" s="7"/>
    </row>
    <row r="209" spans="1:8" ht="13.2" x14ac:dyDescent="0.25">
      <c r="A209" s="7"/>
      <c r="E209" s="7"/>
      <c r="F209" s="7"/>
      <c r="G209" s="7"/>
      <c r="H209" s="7"/>
    </row>
    <row r="210" spans="1:8" ht="13.2" x14ac:dyDescent="0.25">
      <c r="A210" s="7"/>
      <c r="E210" s="7"/>
      <c r="F210" s="7"/>
      <c r="G210" s="7"/>
      <c r="H210" s="7"/>
    </row>
    <row r="211" spans="1:8" ht="13.2" x14ac:dyDescent="0.25">
      <c r="A211" s="7"/>
      <c r="E211" s="7"/>
      <c r="F211" s="7"/>
      <c r="G211" s="7"/>
      <c r="H211" s="7"/>
    </row>
    <row r="212" spans="1:8" ht="13.2" x14ac:dyDescent="0.25">
      <c r="A212" s="7"/>
      <c r="E212" s="7"/>
      <c r="F212" s="7"/>
      <c r="G212" s="7"/>
      <c r="H212" s="7"/>
    </row>
    <row r="213" spans="1:8" ht="13.2" x14ac:dyDescent="0.25">
      <c r="A213" s="7"/>
      <c r="E213" s="7"/>
      <c r="F213" s="7"/>
      <c r="G213" s="7"/>
      <c r="H213" s="7"/>
    </row>
    <row r="214" spans="1:8" ht="13.2" x14ac:dyDescent="0.25">
      <c r="A214" s="7"/>
      <c r="E214" s="7"/>
      <c r="F214" s="7"/>
      <c r="G214" s="7"/>
      <c r="H214" s="7"/>
    </row>
    <row r="215" spans="1:8" ht="13.2" x14ac:dyDescent="0.25">
      <c r="A215" s="7"/>
      <c r="E215" s="7"/>
      <c r="F215" s="7"/>
      <c r="G215" s="7"/>
      <c r="H215" s="7"/>
    </row>
    <row r="216" spans="1:8" ht="13.2" x14ac:dyDescent="0.25">
      <c r="A216" s="7"/>
      <c r="E216" s="7"/>
      <c r="F216" s="7"/>
      <c r="G216" s="7"/>
      <c r="H216" s="7"/>
    </row>
    <row r="217" spans="1:8" ht="13.2" x14ac:dyDescent="0.25">
      <c r="A217" s="7"/>
      <c r="E217" s="7"/>
      <c r="F217" s="7"/>
      <c r="G217" s="7"/>
      <c r="H217" s="7"/>
    </row>
    <row r="218" spans="1:8" ht="13.2" x14ac:dyDescent="0.25">
      <c r="A218" s="7"/>
      <c r="E218" s="7"/>
      <c r="F218" s="7"/>
      <c r="G218" s="7"/>
      <c r="H218" s="7"/>
    </row>
    <row r="219" spans="1:8" ht="13.2" x14ac:dyDescent="0.25">
      <c r="A219" s="7"/>
      <c r="E219" s="7"/>
      <c r="F219" s="7"/>
      <c r="G219" s="7"/>
      <c r="H219" s="7"/>
    </row>
    <row r="220" spans="1:8" ht="13.2" x14ac:dyDescent="0.25">
      <c r="A220" s="7"/>
      <c r="E220" s="7"/>
      <c r="F220" s="7"/>
      <c r="G220" s="7"/>
      <c r="H220" s="7"/>
    </row>
    <row r="221" spans="1:8" ht="13.2" x14ac:dyDescent="0.25">
      <c r="A221" s="7"/>
      <c r="E221" s="7"/>
      <c r="F221" s="7"/>
      <c r="G221" s="7"/>
      <c r="H221" s="7"/>
    </row>
    <row r="222" spans="1:8" ht="13.2" x14ac:dyDescent="0.25">
      <c r="A222" s="7"/>
      <c r="E222" s="7"/>
      <c r="F222" s="7"/>
      <c r="G222" s="7"/>
      <c r="H222" s="7"/>
    </row>
    <row r="223" spans="1:8" ht="13.2" x14ac:dyDescent="0.25">
      <c r="A223" s="7"/>
      <c r="E223" s="7"/>
      <c r="F223" s="7"/>
      <c r="G223" s="7"/>
      <c r="H223" s="7"/>
    </row>
    <row r="224" spans="1:8" ht="13.2" x14ac:dyDescent="0.25">
      <c r="A224" s="7"/>
      <c r="E224" s="7"/>
      <c r="F224" s="7"/>
      <c r="G224" s="7"/>
      <c r="H224" s="7"/>
    </row>
    <row r="225" spans="1:8" ht="13.2" x14ac:dyDescent="0.25">
      <c r="A225" s="7"/>
      <c r="E225" s="7"/>
      <c r="F225" s="7"/>
      <c r="G225" s="7"/>
      <c r="H225" s="7"/>
    </row>
    <row r="226" spans="1:8" ht="13.2" x14ac:dyDescent="0.25">
      <c r="A226" s="7"/>
      <c r="E226" s="7"/>
      <c r="F226" s="7"/>
      <c r="G226" s="7"/>
      <c r="H226" s="7"/>
    </row>
    <row r="227" spans="1:8" ht="13.2" x14ac:dyDescent="0.25">
      <c r="A227" s="7"/>
      <c r="E227" s="7"/>
      <c r="F227" s="7"/>
      <c r="G227" s="7"/>
      <c r="H227" s="7"/>
    </row>
    <row r="228" spans="1:8" ht="13.2" x14ac:dyDescent="0.25">
      <c r="A228" s="7"/>
      <c r="E228" s="7"/>
      <c r="F228" s="7"/>
      <c r="G228" s="7"/>
      <c r="H228" s="7"/>
    </row>
    <row r="229" spans="1:8" ht="13.2" x14ac:dyDescent="0.25">
      <c r="A229" s="7"/>
      <c r="E229" s="7"/>
      <c r="F229" s="7"/>
      <c r="G229" s="7"/>
      <c r="H229" s="7"/>
    </row>
    <row r="230" spans="1:8" ht="13.2" x14ac:dyDescent="0.25">
      <c r="A230" s="7"/>
      <c r="E230" s="7"/>
      <c r="F230" s="7"/>
      <c r="G230" s="7"/>
      <c r="H230" s="7"/>
    </row>
    <row r="231" spans="1:8" ht="13.2" x14ac:dyDescent="0.25">
      <c r="A231" s="7"/>
      <c r="E231" s="7"/>
      <c r="F231" s="7"/>
      <c r="G231" s="7"/>
      <c r="H231" s="7"/>
    </row>
    <row r="232" spans="1:8" ht="13.2" x14ac:dyDescent="0.25">
      <c r="A232" s="7"/>
      <c r="E232" s="7"/>
      <c r="F232" s="7"/>
      <c r="G232" s="7"/>
      <c r="H232" s="7"/>
    </row>
    <row r="233" spans="1:8" ht="13.2" x14ac:dyDescent="0.25">
      <c r="A233" s="7"/>
      <c r="E233" s="7"/>
      <c r="F233" s="7"/>
      <c r="G233" s="7"/>
      <c r="H233" s="7"/>
    </row>
    <row r="234" spans="1:8" ht="13.2" x14ac:dyDescent="0.25">
      <c r="A234" s="7"/>
      <c r="E234" s="7"/>
      <c r="F234" s="7"/>
      <c r="G234" s="7"/>
      <c r="H234" s="7"/>
    </row>
    <row r="235" spans="1:8" ht="13.2" x14ac:dyDescent="0.25">
      <c r="A235" s="7"/>
      <c r="E235" s="7"/>
      <c r="F235" s="7"/>
      <c r="G235" s="7"/>
      <c r="H235" s="7"/>
    </row>
    <row r="236" spans="1:8" ht="13.2" x14ac:dyDescent="0.25">
      <c r="A236" s="7"/>
      <c r="E236" s="7"/>
      <c r="F236" s="7"/>
      <c r="G236" s="7"/>
      <c r="H236" s="7"/>
    </row>
    <row r="237" spans="1:8" ht="13.2" x14ac:dyDescent="0.25">
      <c r="A237" s="7"/>
      <c r="E237" s="7"/>
      <c r="F237" s="7"/>
      <c r="G237" s="7"/>
      <c r="H237" s="7"/>
    </row>
    <row r="238" spans="1:8" ht="13.2" x14ac:dyDescent="0.25">
      <c r="A238" s="7"/>
      <c r="E238" s="7"/>
      <c r="F238" s="7"/>
      <c r="G238" s="7"/>
      <c r="H238" s="7"/>
    </row>
    <row r="239" spans="1:8" ht="13.2" x14ac:dyDescent="0.25">
      <c r="A239" s="7"/>
      <c r="E239" s="7"/>
      <c r="F239" s="7"/>
      <c r="G239" s="7"/>
      <c r="H239" s="7"/>
    </row>
    <row r="240" spans="1:8" ht="13.2" x14ac:dyDescent="0.25">
      <c r="A240" s="7"/>
      <c r="E240" s="7"/>
      <c r="F240" s="7"/>
      <c r="G240" s="7"/>
      <c r="H240" s="7"/>
    </row>
    <row r="241" spans="1:8" ht="13.2" x14ac:dyDescent="0.25">
      <c r="A241" s="7"/>
      <c r="E241" s="7"/>
      <c r="F241" s="7"/>
      <c r="G241" s="7"/>
      <c r="H241" s="7"/>
    </row>
    <row r="242" spans="1:8" ht="13.2" x14ac:dyDescent="0.25">
      <c r="A242" s="7"/>
      <c r="E242" s="7"/>
      <c r="F242" s="7"/>
      <c r="G242" s="7"/>
      <c r="H242" s="7"/>
    </row>
    <row r="243" spans="1:8" ht="13.2" x14ac:dyDescent="0.25">
      <c r="A243" s="7"/>
      <c r="E243" s="7"/>
      <c r="F243" s="7"/>
      <c r="G243" s="7"/>
      <c r="H243" s="7"/>
    </row>
    <row r="244" spans="1:8" ht="13.2" x14ac:dyDescent="0.25">
      <c r="A244" s="7"/>
      <c r="E244" s="7"/>
      <c r="F244" s="7"/>
      <c r="G244" s="7"/>
      <c r="H244" s="7"/>
    </row>
    <row r="245" spans="1:8" ht="13.2" x14ac:dyDescent="0.25">
      <c r="A245" s="7"/>
      <c r="E245" s="7"/>
      <c r="F245" s="7"/>
      <c r="G245" s="7"/>
      <c r="H245" s="7"/>
    </row>
    <row r="246" spans="1:8" ht="13.2" x14ac:dyDescent="0.25">
      <c r="A246" s="7"/>
      <c r="E246" s="7"/>
      <c r="F246" s="7"/>
      <c r="G246" s="7"/>
      <c r="H246" s="7"/>
    </row>
    <row r="247" spans="1:8" ht="13.2" x14ac:dyDescent="0.25">
      <c r="A247" s="7"/>
      <c r="E247" s="7"/>
      <c r="F247" s="7"/>
      <c r="G247" s="7"/>
      <c r="H247" s="7"/>
    </row>
    <row r="248" spans="1:8" ht="13.2" x14ac:dyDescent="0.25">
      <c r="A248" s="7"/>
      <c r="E248" s="7"/>
      <c r="F248" s="7"/>
      <c r="G248" s="7"/>
      <c r="H248" s="7"/>
    </row>
    <row r="249" spans="1:8" ht="13.2" x14ac:dyDescent="0.25">
      <c r="A249" s="7"/>
      <c r="E249" s="7"/>
      <c r="F249" s="7"/>
      <c r="G249" s="7"/>
      <c r="H249" s="7"/>
    </row>
    <row r="250" spans="1:8" ht="13.2" x14ac:dyDescent="0.25">
      <c r="A250" s="7"/>
      <c r="E250" s="7"/>
      <c r="F250" s="7"/>
      <c r="G250" s="7"/>
      <c r="H250" s="7"/>
    </row>
    <row r="251" spans="1:8" ht="13.2" x14ac:dyDescent="0.25">
      <c r="A251" s="7"/>
      <c r="E251" s="7"/>
      <c r="F251" s="7"/>
      <c r="G251" s="7"/>
      <c r="H251" s="7"/>
    </row>
    <row r="252" spans="1:8" ht="13.2" x14ac:dyDescent="0.25">
      <c r="A252" s="7"/>
      <c r="E252" s="7"/>
      <c r="F252" s="7"/>
      <c r="G252" s="7"/>
      <c r="H252" s="7"/>
    </row>
    <row r="253" spans="1:8" ht="13.2" x14ac:dyDescent="0.25">
      <c r="A253" s="7"/>
      <c r="E253" s="7"/>
      <c r="F253" s="7"/>
      <c r="G253" s="7"/>
      <c r="H253" s="7"/>
    </row>
    <row r="254" spans="1:8" ht="13.2" x14ac:dyDescent="0.25">
      <c r="A254" s="7"/>
      <c r="E254" s="7"/>
      <c r="F254" s="7"/>
      <c r="G254" s="7"/>
      <c r="H254" s="7"/>
    </row>
    <row r="255" spans="1:8" ht="13.2" x14ac:dyDescent="0.25">
      <c r="A255" s="7"/>
      <c r="E255" s="7"/>
      <c r="F255" s="7"/>
      <c r="G255" s="7"/>
      <c r="H255" s="7"/>
    </row>
    <row r="256" spans="1:8" ht="13.2" x14ac:dyDescent="0.25">
      <c r="A256" s="7"/>
      <c r="E256" s="7"/>
      <c r="F256" s="7"/>
      <c r="G256" s="7"/>
      <c r="H256" s="7"/>
    </row>
    <row r="257" spans="1:8" ht="13.2" x14ac:dyDescent="0.25">
      <c r="A257" s="7"/>
      <c r="E257" s="7"/>
      <c r="F257" s="7"/>
      <c r="G257" s="7"/>
      <c r="H257" s="7"/>
    </row>
    <row r="258" spans="1:8" ht="13.2" x14ac:dyDescent="0.25">
      <c r="A258" s="7"/>
      <c r="E258" s="7"/>
      <c r="F258" s="7"/>
      <c r="G258" s="7"/>
      <c r="H258" s="7"/>
    </row>
    <row r="259" spans="1:8" ht="13.2" x14ac:dyDescent="0.25">
      <c r="A259" s="7"/>
      <c r="E259" s="7"/>
      <c r="F259" s="7"/>
      <c r="G259" s="7"/>
      <c r="H259" s="7"/>
    </row>
    <row r="260" spans="1:8" ht="13.2" x14ac:dyDescent="0.25">
      <c r="A260" s="7"/>
      <c r="E260" s="7"/>
      <c r="F260" s="7"/>
      <c r="G260" s="7"/>
      <c r="H260" s="7"/>
    </row>
    <row r="261" spans="1:8" ht="13.2" x14ac:dyDescent="0.25">
      <c r="A261" s="7"/>
      <c r="E261" s="7"/>
      <c r="F261" s="7"/>
      <c r="G261" s="7"/>
      <c r="H261" s="7"/>
    </row>
    <row r="262" spans="1:8" ht="13.2" x14ac:dyDescent="0.25">
      <c r="A262" s="7"/>
      <c r="E262" s="7"/>
      <c r="F262" s="7"/>
      <c r="G262" s="7"/>
      <c r="H262" s="7"/>
    </row>
    <row r="263" spans="1:8" ht="13.2" x14ac:dyDescent="0.25">
      <c r="A263" s="7"/>
      <c r="E263" s="7"/>
      <c r="F263" s="7"/>
      <c r="G263" s="7"/>
      <c r="H263" s="7"/>
    </row>
    <row r="264" spans="1:8" ht="13.2" x14ac:dyDescent="0.25">
      <c r="A264" s="7"/>
      <c r="E264" s="7"/>
      <c r="F264" s="7"/>
      <c r="G264" s="7"/>
      <c r="H264" s="7"/>
    </row>
    <row r="265" spans="1:8" ht="13.2" x14ac:dyDescent="0.25">
      <c r="A265" s="7"/>
      <c r="E265" s="7"/>
      <c r="F265" s="7"/>
      <c r="G265" s="7"/>
      <c r="H265" s="7"/>
    </row>
    <row r="266" spans="1:8" ht="13.2" x14ac:dyDescent="0.25">
      <c r="A266" s="7"/>
      <c r="E266" s="7"/>
      <c r="F266" s="7"/>
      <c r="G266" s="7"/>
      <c r="H266" s="7"/>
    </row>
    <row r="267" spans="1:8" ht="13.2" x14ac:dyDescent="0.25">
      <c r="A267" s="7"/>
      <c r="E267" s="7"/>
      <c r="F267" s="7"/>
      <c r="G267" s="7"/>
      <c r="H267" s="7"/>
    </row>
    <row r="268" spans="1:8" ht="13.2" x14ac:dyDescent="0.25">
      <c r="A268" s="7"/>
      <c r="E268" s="7"/>
      <c r="F268" s="7"/>
      <c r="G268" s="7"/>
      <c r="H268" s="7"/>
    </row>
    <row r="269" spans="1:8" ht="13.2" x14ac:dyDescent="0.25">
      <c r="A269" s="7"/>
      <c r="E269" s="7"/>
      <c r="F269" s="7"/>
      <c r="G269" s="7"/>
      <c r="H269" s="7"/>
    </row>
    <row r="270" spans="1:8" ht="13.2" x14ac:dyDescent="0.25">
      <c r="A270" s="7"/>
      <c r="E270" s="7"/>
      <c r="F270" s="7"/>
      <c r="G270" s="7"/>
      <c r="H270" s="7"/>
    </row>
    <row r="271" spans="1:8" ht="13.2" x14ac:dyDescent="0.25">
      <c r="A271" s="7"/>
      <c r="E271" s="7"/>
      <c r="F271" s="7"/>
      <c r="G271" s="7"/>
      <c r="H271" s="7"/>
    </row>
    <row r="272" spans="1:8" ht="13.2" x14ac:dyDescent="0.25">
      <c r="A272" s="7"/>
      <c r="E272" s="7"/>
      <c r="F272" s="7"/>
      <c r="G272" s="7"/>
      <c r="H272" s="7"/>
    </row>
    <row r="273" spans="1:8" ht="13.2" x14ac:dyDescent="0.25">
      <c r="A273" s="7"/>
      <c r="E273" s="7"/>
      <c r="F273" s="7"/>
      <c r="G273" s="7"/>
      <c r="H273" s="7"/>
    </row>
    <row r="274" spans="1:8" ht="13.2" x14ac:dyDescent="0.25">
      <c r="A274" s="7"/>
      <c r="E274" s="7"/>
      <c r="F274" s="7"/>
      <c r="G274" s="7"/>
      <c r="H274" s="7"/>
    </row>
    <row r="275" spans="1:8" ht="13.2" x14ac:dyDescent="0.25">
      <c r="A275" s="7"/>
      <c r="E275" s="7"/>
      <c r="F275" s="7"/>
      <c r="G275" s="7"/>
      <c r="H275" s="7"/>
    </row>
    <row r="276" spans="1:8" ht="13.2" x14ac:dyDescent="0.25">
      <c r="A276" s="7"/>
      <c r="E276" s="7"/>
      <c r="F276" s="7"/>
      <c r="G276" s="7"/>
      <c r="H276" s="7"/>
    </row>
    <row r="277" spans="1:8" ht="13.2" x14ac:dyDescent="0.25">
      <c r="A277" s="7"/>
      <c r="E277" s="7"/>
      <c r="F277" s="7"/>
      <c r="G277" s="7"/>
      <c r="H277" s="7"/>
    </row>
    <row r="278" spans="1:8" ht="13.2" x14ac:dyDescent="0.25">
      <c r="A278" s="7"/>
      <c r="E278" s="7"/>
      <c r="F278" s="7"/>
      <c r="G278" s="7"/>
      <c r="H278" s="7"/>
    </row>
    <row r="279" spans="1:8" ht="13.2" x14ac:dyDescent="0.25">
      <c r="A279" s="7"/>
      <c r="E279" s="7"/>
      <c r="F279" s="7"/>
      <c r="G279" s="7"/>
      <c r="H279" s="7"/>
    </row>
    <row r="280" spans="1:8" ht="13.2" x14ac:dyDescent="0.25">
      <c r="A280" s="7"/>
      <c r="E280" s="7"/>
      <c r="F280" s="7"/>
      <c r="G280" s="7"/>
      <c r="H280" s="7"/>
    </row>
    <row r="281" spans="1:8" ht="13.2" x14ac:dyDescent="0.25">
      <c r="A281" s="7"/>
      <c r="E281" s="7"/>
      <c r="F281" s="7"/>
      <c r="G281" s="7"/>
      <c r="H281" s="7"/>
    </row>
    <row r="282" spans="1:8" ht="13.2" x14ac:dyDescent="0.25">
      <c r="A282" s="7"/>
      <c r="E282" s="7"/>
      <c r="F282" s="7"/>
      <c r="G282" s="7"/>
      <c r="H282" s="7"/>
    </row>
    <row r="283" spans="1:8" ht="13.2" x14ac:dyDescent="0.25">
      <c r="A283" s="7"/>
      <c r="E283" s="7"/>
      <c r="F283" s="7"/>
      <c r="G283" s="7"/>
      <c r="H283" s="7"/>
    </row>
    <row r="284" spans="1:8" ht="13.2" x14ac:dyDescent="0.25">
      <c r="A284" s="7"/>
      <c r="E284" s="7"/>
      <c r="F284" s="7"/>
      <c r="G284" s="7"/>
      <c r="H284" s="7"/>
    </row>
    <row r="285" spans="1:8" ht="13.2" x14ac:dyDescent="0.25">
      <c r="A285" s="7"/>
      <c r="E285" s="7"/>
      <c r="F285" s="7"/>
      <c r="G285" s="7"/>
      <c r="H285" s="7"/>
    </row>
    <row r="286" spans="1:8" ht="13.2" x14ac:dyDescent="0.25">
      <c r="A286" s="7"/>
      <c r="E286" s="7"/>
      <c r="F286" s="7"/>
      <c r="G286" s="7"/>
      <c r="H286" s="7"/>
    </row>
    <row r="287" spans="1:8" ht="13.2" x14ac:dyDescent="0.25">
      <c r="A287" s="7"/>
      <c r="E287" s="7"/>
      <c r="F287" s="7"/>
      <c r="G287" s="7"/>
      <c r="H287" s="7"/>
    </row>
    <row r="288" spans="1:8" ht="13.2" x14ac:dyDescent="0.25">
      <c r="A288" s="7"/>
      <c r="E288" s="7"/>
      <c r="F288" s="7"/>
      <c r="G288" s="7"/>
      <c r="H288" s="7"/>
    </row>
    <row r="289" spans="1:8" ht="13.2" x14ac:dyDescent="0.25">
      <c r="A289" s="7"/>
      <c r="E289" s="7"/>
      <c r="F289" s="7"/>
      <c r="G289" s="7"/>
      <c r="H289" s="7"/>
    </row>
    <row r="290" spans="1:8" ht="13.2" x14ac:dyDescent="0.25">
      <c r="A290" s="7"/>
      <c r="E290" s="7"/>
      <c r="F290" s="7"/>
      <c r="G290" s="7"/>
      <c r="H290" s="7"/>
    </row>
    <row r="291" spans="1:8" ht="13.2" x14ac:dyDescent="0.25">
      <c r="A291" s="7"/>
      <c r="E291" s="7"/>
      <c r="F291" s="7"/>
      <c r="G291" s="7"/>
      <c r="H291" s="7"/>
    </row>
    <row r="292" spans="1:8" ht="13.2" x14ac:dyDescent="0.25">
      <c r="A292" s="7"/>
      <c r="E292" s="7"/>
      <c r="F292" s="7"/>
      <c r="G292" s="7"/>
      <c r="H292" s="7"/>
    </row>
    <row r="293" spans="1:8" ht="13.2" x14ac:dyDescent="0.25">
      <c r="A293" s="7"/>
      <c r="E293" s="7"/>
      <c r="F293" s="7"/>
      <c r="G293" s="7"/>
      <c r="H293" s="7"/>
    </row>
    <row r="294" spans="1:8" ht="13.2" x14ac:dyDescent="0.25">
      <c r="A294" s="7"/>
      <c r="E294" s="7"/>
      <c r="F294" s="7"/>
      <c r="G294" s="7"/>
      <c r="H294" s="7"/>
    </row>
    <row r="295" spans="1:8" ht="13.2" x14ac:dyDescent="0.25">
      <c r="A295" s="7"/>
      <c r="E295" s="7"/>
      <c r="F295" s="7"/>
      <c r="G295" s="7"/>
      <c r="H295" s="7"/>
    </row>
    <row r="296" spans="1:8" ht="13.2" x14ac:dyDescent="0.25">
      <c r="A296" s="7"/>
      <c r="E296" s="7"/>
      <c r="F296" s="7"/>
      <c r="G296" s="7"/>
      <c r="H296" s="7"/>
    </row>
    <row r="297" spans="1:8" ht="13.2" x14ac:dyDescent="0.25">
      <c r="A297" s="7"/>
      <c r="E297" s="7"/>
      <c r="F297" s="7"/>
      <c r="G297" s="7"/>
      <c r="H297" s="7"/>
    </row>
    <row r="298" spans="1:8" ht="13.2" x14ac:dyDescent="0.25">
      <c r="A298" s="7"/>
      <c r="E298" s="7"/>
      <c r="F298" s="7"/>
      <c r="G298" s="7"/>
      <c r="H298" s="7"/>
    </row>
    <row r="299" spans="1:8" ht="13.2" x14ac:dyDescent="0.25">
      <c r="A299" s="7"/>
      <c r="E299" s="7"/>
      <c r="F299" s="7"/>
      <c r="G299" s="7"/>
      <c r="H299" s="7"/>
    </row>
    <row r="300" spans="1:8" ht="13.2" x14ac:dyDescent="0.25">
      <c r="A300" s="7"/>
      <c r="E300" s="7"/>
      <c r="F300" s="7"/>
      <c r="G300" s="7"/>
      <c r="H300" s="7"/>
    </row>
    <row r="301" spans="1:8" ht="13.2" x14ac:dyDescent="0.25">
      <c r="A301" s="7"/>
      <c r="E301" s="7"/>
      <c r="F301" s="7"/>
      <c r="G301" s="7"/>
      <c r="H301" s="7"/>
    </row>
    <row r="302" spans="1:8" ht="13.2" x14ac:dyDescent="0.25">
      <c r="A302" s="7"/>
      <c r="E302" s="7"/>
      <c r="F302" s="7"/>
      <c r="G302" s="7"/>
      <c r="H302" s="7"/>
    </row>
    <row r="303" spans="1:8" ht="13.2" x14ac:dyDescent="0.25">
      <c r="A303" s="7"/>
      <c r="E303" s="7"/>
      <c r="F303" s="7"/>
      <c r="G303" s="7"/>
      <c r="H303" s="7"/>
    </row>
    <row r="304" spans="1:8" ht="13.2" x14ac:dyDescent="0.25">
      <c r="A304" s="7"/>
      <c r="E304" s="7"/>
      <c r="F304" s="7"/>
      <c r="G304" s="7"/>
      <c r="H304" s="7"/>
    </row>
    <row r="305" spans="1:8" ht="13.2" x14ac:dyDescent="0.25">
      <c r="A305" s="7"/>
      <c r="E305" s="7"/>
      <c r="F305" s="7"/>
      <c r="G305" s="7"/>
      <c r="H305" s="7"/>
    </row>
    <row r="306" spans="1:8" ht="13.2" x14ac:dyDescent="0.25">
      <c r="A306" s="7"/>
      <c r="E306" s="7"/>
      <c r="F306" s="7"/>
      <c r="G306" s="7"/>
      <c r="H306" s="7"/>
    </row>
    <row r="307" spans="1:8" ht="13.2" x14ac:dyDescent="0.25">
      <c r="A307" s="7"/>
      <c r="E307" s="7"/>
      <c r="F307" s="7"/>
      <c r="G307" s="7"/>
      <c r="H307" s="7"/>
    </row>
    <row r="308" spans="1:8" ht="13.2" x14ac:dyDescent="0.25">
      <c r="A308" s="7"/>
      <c r="E308" s="7"/>
      <c r="F308" s="7"/>
      <c r="G308" s="7"/>
      <c r="H308" s="7"/>
    </row>
    <row r="309" spans="1:8" ht="13.2" x14ac:dyDescent="0.25">
      <c r="A309" s="7"/>
      <c r="E309" s="7"/>
      <c r="F309" s="7"/>
      <c r="G309" s="7"/>
      <c r="H309" s="7"/>
    </row>
    <row r="310" spans="1:8" ht="13.2" x14ac:dyDescent="0.25">
      <c r="A310" s="7"/>
      <c r="E310" s="7"/>
      <c r="F310" s="7"/>
      <c r="G310" s="7"/>
      <c r="H310" s="7"/>
    </row>
    <row r="311" spans="1:8" ht="13.2" x14ac:dyDescent="0.25">
      <c r="A311" s="7"/>
      <c r="E311" s="7"/>
      <c r="F311" s="7"/>
      <c r="G311" s="7"/>
      <c r="H311" s="7"/>
    </row>
    <row r="312" spans="1:8" ht="13.2" x14ac:dyDescent="0.25">
      <c r="A312" s="7"/>
      <c r="E312" s="7"/>
      <c r="F312" s="7"/>
      <c r="G312" s="7"/>
      <c r="H312" s="7"/>
    </row>
    <row r="313" spans="1:8" ht="13.2" x14ac:dyDescent="0.25">
      <c r="A313" s="7"/>
      <c r="E313" s="7"/>
      <c r="F313" s="7"/>
      <c r="G313" s="7"/>
      <c r="H313" s="7"/>
    </row>
    <row r="314" spans="1:8" ht="13.2" x14ac:dyDescent="0.25">
      <c r="A314" s="7"/>
      <c r="E314" s="7"/>
      <c r="F314" s="7"/>
      <c r="G314" s="7"/>
      <c r="H314" s="7"/>
    </row>
    <row r="315" spans="1:8" ht="13.2" x14ac:dyDescent="0.25">
      <c r="A315" s="7"/>
      <c r="E315" s="7"/>
      <c r="F315" s="7"/>
      <c r="G315" s="7"/>
      <c r="H315" s="7"/>
    </row>
    <row r="316" spans="1:8" ht="13.2" x14ac:dyDescent="0.25">
      <c r="A316" s="7"/>
      <c r="E316" s="7"/>
      <c r="F316" s="7"/>
      <c r="G316" s="7"/>
      <c r="H316" s="7"/>
    </row>
    <row r="317" spans="1:8" ht="13.2" x14ac:dyDescent="0.25">
      <c r="A317" s="7"/>
      <c r="E317" s="7"/>
      <c r="F317" s="7"/>
      <c r="G317" s="7"/>
      <c r="H317" s="7"/>
    </row>
    <row r="318" spans="1:8" ht="13.2" x14ac:dyDescent="0.25">
      <c r="A318" s="7"/>
      <c r="E318" s="7"/>
      <c r="F318" s="7"/>
      <c r="G318" s="7"/>
      <c r="H318" s="7"/>
    </row>
    <row r="319" spans="1:8" ht="13.2" x14ac:dyDescent="0.25">
      <c r="A319" s="7"/>
      <c r="E319" s="7"/>
      <c r="F319" s="7"/>
      <c r="G319" s="7"/>
      <c r="H319" s="7"/>
    </row>
    <row r="320" spans="1:8" ht="13.2" x14ac:dyDescent="0.25">
      <c r="A320" s="7"/>
      <c r="E320" s="7"/>
      <c r="F320" s="7"/>
      <c r="G320" s="7"/>
      <c r="H320" s="7"/>
    </row>
    <row r="321" spans="1:8" ht="13.2" x14ac:dyDescent="0.25">
      <c r="A321" s="7"/>
      <c r="E321" s="7"/>
      <c r="F321" s="7"/>
      <c r="G321" s="7"/>
      <c r="H321" s="7"/>
    </row>
    <row r="322" spans="1:8" ht="13.2" x14ac:dyDescent="0.25">
      <c r="A322" s="7"/>
      <c r="E322" s="7"/>
      <c r="F322" s="7"/>
      <c r="G322" s="7"/>
      <c r="H322" s="7"/>
    </row>
    <row r="323" spans="1:8" ht="13.2" x14ac:dyDescent="0.25">
      <c r="A323" s="7"/>
      <c r="E323" s="7"/>
      <c r="F323" s="7"/>
      <c r="G323" s="7"/>
      <c r="H323" s="7"/>
    </row>
    <row r="324" spans="1:8" ht="13.2" x14ac:dyDescent="0.25">
      <c r="A324" s="7"/>
      <c r="E324" s="7"/>
      <c r="F324" s="7"/>
      <c r="G324" s="7"/>
      <c r="H324" s="7"/>
    </row>
    <row r="325" spans="1:8" ht="13.2" x14ac:dyDescent="0.25">
      <c r="A325" s="7"/>
      <c r="E325" s="7"/>
      <c r="F325" s="7"/>
      <c r="G325" s="7"/>
      <c r="H325" s="7"/>
    </row>
    <row r="326" spans="1:8" ht="13.2" x14ac:dyDescent="0.25">
      <c r="A326" s="7"/>
      <c r="E326" s="7"/>
      <c r="F326" s="7"/>
      <c r="G326" s="7"/>
      <c r="H326" s="7"/>
    </row>
    <row r="327" spans="1:8" ht="13.2" x14ac:dyDescent="0.25">
      <c r="A327" s="7"/>
      <c r="E327" s="7"/>
      <c r="F327" s="7"/>
      <c r="G327" s="7"/>
      <c r="H327" s="7"/>
    </row>
    <row r="328" spans="1:8" ht="13.2" x14ac:dyDescent="0.25">
      <c r="A328" s="7"/>
      <c r="E328" s="7"/>
      <c r="F328" s="7"/>
      <c r="G328" s="7"/>
      <c r="H328" s="7"/>
    </row>
    <row r="329" spans="1:8" ht="13.2" x14ac:dyDescent="0.25">
      <c r="A329" s="7"/>
      <c r="E329" s="7"/>
      <c r="F329" s="7"/>
      <c r="G329" s="7"/>
      <c r="H329" s="7"/>
    </row>
    <row r="330" spans="1:8" ht="13.2" x14ac:dyDescent="0.25">
      <c r="A330" s="7"/>
      <c r="E330" s="7"/>
      <c r="F330" s="7"/>
      <c r="G330" s="7"/>
      <c r="H330" s="7"/>
    </row>
    <row r="331" spans="1:8" ht="13.2" x14ac:dyDescent="0.25">
      <c r="A331" s="7"/>
      <c r="E331" s="7"/>
      <c r="F331" s="7"/>
      <c r="G331" s="7"/>
      <c r="H331" s="7"/>
    </row>
    <row r="332" spans="1:8" ht="13.2" x14ac:dyDescent="0.25">
      <c r="A332" s="7"/>
      <c r="E332" s="7"/>
      <c r="F332" s="7"/>
      <c r="G332" s="7"/>
      <c r="H332" s="7"/>
    </row>
    <row r="333" spans="1:8" ht="13.2" x14ac:dyDescent="0.25">
      <c r="A333" s="7"/>
      <c r="E333" s="7"/>
      <c r="F333" s="7"/>
      <c r="G333" s="7"/>
      <c r="H333" s="7"/>
    </row>
    <row r="334" spans="1:8" ht="13.2" x14ac:dyDescent="0.25">
      <c r="A334" s="7"/>
      <c r="E334" s="7"/>
      <c r="F334" s="7"/>
      <c r="G334" s="7"/>
      <c r="H334" s="7"/>
    </row>
    <row r="335" spans="1:8" ht="13.2" x14ac:dyDescent="0.25">
      <c r="A335" s="7"/>
      <c r="E335" s="7"/>
      <c r="F335" s="7"/>
      <c r="G335" s="7"/>
      <c r="H335" s="7"/>
    </row>
    <row r="336" spans="1:8" ht="13.2" x14ac:dyDescent="0.25">
      <c r="A336" s="7"/>
      <c r="E336" s="7"/>
      <c r="F336" s="7"/>
      <c r="G336" s="7"/>
      <c r="H336" s="7"/>
    </row>
    <row r="337" spans="1:8" ht="13.2" x14ac:dyDescent="0.25">
      <c r="A337" s="7"/>
      <c r="E337" s="7"/>
      <c r="F337" s="7"/>
      <c r="G337" s="7"/>
      <c r="H337" s="7"/>
    </row>
    <row r="338" spans="1:8" ht="13.2" x14ac:dyDescent="0.25">
      <c r="A338" s="7"/>
      <c r="E338" s="7"/>
      <c r="F338" s="7"/>
      <c r="G338" s="7"/>
      <c r="H338" s="7"/>
    </row>
    <row r="339" spans="1:8" ht="13.2" x14ac:dyDescent="0.25">
      <c r="A339" s="7"/>
      <c r="E339" s="7"/>
      <c r="F339" s="7"/>
      <c r="G339" s="7"/>
      <c r="H339" s="7"/>
    </row>
    <row r="340" spans="1:8" ht="13.2" x14ac:dyDescent="0.25">
      <c r="A340" s="7"/>
      <c r="E340" s="7"/>
      <c r="F340" s="7"/>
      <c r="G340" s="7"/>
      <c r="H340" s="7"/>
    </row>
    <row r="341" spans="1:8" ht="13.2" x14ac:dyDescent="0.25">
      <c r="A341" s="7"/>
      <c r="E341" s="7"/>
      <c r="F341" s="7"/>
      <c r="G341" s="7"/>
      <c r="H341" s="7"/>
    </row>
    <row r="342" spans="1:8" ht="13.2" x14ac:dyDescent="0.25">
      <c r="A342" s="7"/>
      <c r="E342" s="7"/>
      <c r="F342" s="7"/>
      <c r="G342" s="7"/>
      <c r="H342" s="7"/>
    </row>
    <row r="343" spans="1:8" ht="13.2" x14ac:dyDescent="0.25">
      <c r="A343" s="7"/>
      <c r="E343" s="7"/>
      <c r="F343" s="7"/>
      <c r="G343" s="7"/>
      <c r="H343" s="7"/>
    </row>
    <row r="344" spans="1:8" ht="13.2" x14ac:dyDescent="0.25">
      <c r="A344" s="7"/>
      <c r="E344" s="7"/>
      <c r="F344" s="7"/>
      <c r="G344" s="7"/>
      <c r="H344" s="7"/>
    </row>
    <row r="345" spans="1:8" ht="13.2" x14ac:dyDescent="0.25">
      <c r="A345" s="7"/>
      <c r="E345" s="7"/>
      <c r="F345" s="7"/>
      <c r="G345" s="7"/>
      <c r="H345" s="7"/>
    </row>
    <row r="346" spans="1:8" ht="13.2" x14ac:dyDescent="0.25">
      <c r="A346" s="7"/>
      <c r="E346" s="7"/>
      <c r="F346" s="7"/>
      <c r="G346" s="7"/>
      <c r="H346" s="7"/>
    </row>
    <row r="347" spans="1:8" ht="13.2" x14ac:dyDescent="0.25">
      <c r="A347" s="7"/>
      <c r="E347" s="7"/>
      <c r="F347" s="7"/>
      <c r="G347" s="7"/>
      <c r="H347" s="7"/>
    </row>
    <row r="348" spans="1:8" ht="13.2" x14ac:dyDescent="0.25">
      <c r="A348" s="7"/>
      <c r="E348" s="7"/>
      <c r="F348" s="7"/>
      <c r="G348" s="7"/>
      <c r="H348" s="7"/>
    </row>
    <row r="349" spans="1:8" ht="13.2" x14ac:dyDescent="0.25">
      <c r="A349" s="7"/>
      <c r="E349" s="7"/>
      <c r="F349" s="7"/>
      <c r="G349" s="7"/>
      <c r="H349" s="7"/>
    </row>
    <row r="350" spans="1:8" ht="13.2" x14ac:dyDescent="0.25">
      <c r="A350" s="7"/>
      <c r="E350" s="7"/>
      <c r="F350" s="7"/>
      <c r="G350" s="7"/>
      <c r="H350" s="7"/>
    </row>
    <row r="351" spans="1:8" ht="13.2" x14ac:dyDescent="0.25">
      <c r="A351" s="7"/>
      <c r="E351" s="7"/>
      <c r="F351" s="7"/>
      <c r="G351" s="7"/>
      <c r="H351" s="7"/>
    </row>
    <row r="352" spans="1:8" ht="13.2" x14ac:dyDescent="0.25">
      <c r="A352" s="7"/>
      <c r="E352" s="7"/>
      <c r="F352" s="7"/>
      <c r="G352" s="7"/>
      <c r="H352" s="7"/>
    </row>
    <row r="353" spans="1:8" ht="13.2" x14ac:dyDescent="0.25">
      <c r="A353" s="7"/>
      <c r="E353" s="7"/>
      <c r="F353" s="7"/>
      <c r="G353" s="7"/>
      <c r="H353" s="7"/>
    </row>
    <row r="354" spans="1:8" ht="13.2" x14ac:dyDescent="0.25">
      <c r="A354" s="7"/>
      <c r="E354" s="7"/>
      <c r="F354" s="7"/>
      <c r="G354" s="7"/>
      <c r="H354" s="7"/>
    </row>
    <row r="355" spans="1:8" ht="13.2" x14ac:dyDescent="0.25">
      <c r="A355" s="7"/>
      <c r="E355" s="7"/>
      <c r="F355" s="7"/>
      <c r="G355" s="7"/>
      <c r="H355" s="7"/>
    </row>
    <row r="356" spans="1:8" ht="13.2" x14ac:dyDescent="0.25">
      <c r="A356" s="7"/>
      <c r="E356" s="7"/>
      <c r="F356" s="7"/>
      <c r="G356" s="7"/>
      <c r="H356" s="7"/>
    </row>
    <row r="357" spans="1:8" ht="13.2" x14ac:dyDescent="0.25">
      <c r="A357" s="7"/>
      <c r="E357" s="7"/>
      <c r="F357" s="7"/>
      <c r="G357" s="7"/>
      <c r="H357" s="7"/>
    </row>
    <row r="358" spans="1:8" ht="13.2" x14ac:dyDescent="0.25">
      <c r="A358" s="7"/>
      <c r="E358" s="7"/>
      <c r="F358" s="7"/>
      <c r="G358" s="7"/>
      <c r="H358" s="7"/>
    </row>
    <row r="359" spans="1:8" ht="13.2" x14ac:dyDescent="0.25">
      <c r="A359" s="7"/>
      <c r="E359" s="7"/>
      <c r="F359" s="7"/>
      <c r="G359" s="7"/>
      <c r="H359" s="7"/>
    </row>
    <row r="360" spans="1:8" ht="13.2" x14ac:dyDescent="0.25">
      <c r="A360" s="7"/>
      <c r="E360" s="7"/>
      <c r="F360" s="7"/>
      <c r="G360" s="7"/>
      <c r="H360" s="7"/>
    </row>
    <row r="361" spans="1:8" ht="13.2" x14ac:dyDescent="0.25">
      <c r="A361" s="7"/>
      <c r="E361" s="7"/>
      <c r="F361" s="7"/>
      <c r="G361" s="7"/>
      <c r="H361" s="7"/>
    </row>
    <row r="362" spans="1:8" ht="13.2" x14ac:dyDescent="0.25">
      <c r="A362" s="7"/>
      <c r="E362" s="7"/>
      <c r="F362" s="7"/>
      <c r="G362" s="7"/>
      <c r="H362" s="7"/>
    </row>
    <row r="363" spans="1:8" ht="13.2" x14ac:dyDescent="0.25">
      <c r="A363" s="7"/>
      <c r="E363" s="7"/>
      <c r="F363" s="7"/>
      <c r="G363" s="7"/>
      <c r="H363" s="7"/>
    </row>
    <row r="364" spans="1:8" ht="13.2" x14ac:dyDescent="0.25">
      <c r="A364" s="7"/>
      <c r="E364" s="7"/>
      <c r="F364" s="7"/>
      <c r="G364" s="7"/>
      <c r="H364" s="7"/>
    </row>
    <row r="365" spans="1:8" ht="13.2" x14ac:dyDescent="0.25">
      <c r="A365" s="7"/>
      <c r="E365" s="7"/>
      <c r="F365" s="7"/>
      <c r="G365" s="7"/>
      <c r="H365" s="7"/>
    </row>
    <row r="366" spans="1:8" ht="13.2" x14ac:dyDescent="0.25">
      <c r="A366" s="7"/>
      <c r="E366" s="7"/>
      <c r="F366" s="7"/>
      <c r="G366" s="7"/>
      <c r="H366" s="7"/>
    </row>
    <row r="367" spans="1:8" ht="13.2" x14ac:dyDescent="0.25">
      <c r="A367" s="7"/>
      <c r="E367" s="7"/>
      <c r="F367" s="7"/>
      <c r="G367" s="7"/>
      <c r="H367" s="7"/>
    </row>
    <row r="368" spans="1:8" ht="13.2" x14ac:dyDescent="0.25">
      <c r="A368" s="7"/>
      <c r="E368" s="7"/>
      <c r="F368" s="7"/>
      <c r="G368" s="7"/>
      <c r="H368" s="7"/>
    </row>
    <row r="369" spans="1:8" ht="13.2" x14ac:dyDescent="0.25">
      <c r="A369" s="7"/>
      <c r="E369" s="7"/>
      <c r="F369" s="7"/>
      <c r="G369" s="7"/>
      <c r="H369" s="7"/>
    </row>
    <row r="370" spans="1:8" ht="13.2" x14ac:dyDescent="0.25">
      <c r="A370" s="7"/>
      <c r="E370" s="7"/>
      <c r="F370" s="7"/>
      <c r="G370" s="7"/>
      <c r="H370" s="7"/>
    </row>
    <row r="371" spans="1:8" ht="13.2" x14ac:dyDescent="0.25">
      <c r="A371" s="7"/>
      <c r="E371" s="7"/>
      <c r="F371" s="7"/>
      <c r="G371" s="7"/>
      <c r="H371" s="7"/>
    </row>
    <row r="372" spans="1:8" ht="13.2" x14ac:dyDescent="0.25">
      <c r="A372" s="7"/>
      <c r="E372" s="7"/>
      <c r="F372" s="7"/>
      <c r="G372" s="7"/>
      <c r="H372" s="7"/>
    </row>
    <row r="373" spans="1:8" ht="13.2" x14ac:dyDescent="0.25">
      <c r="A373" s="7"/>
      <c r="E373" s="7"/>
      <c r="F373" s="7"/>
      <c r="G373" s="7"/>
      <c r="H373" s="7"/>
    </row>
    <row r="374" spans="1:8" ht="13.2" x14ac:dyDescent="0.25">
      <c r="A374" s="7"/>
      <c r="E374" s="7"/>
      <c r="F374" s="7"/>
      <c r="G374" s="7"/>
      <c r="H374" s="7"/>
    </row>
    <row r="375" spans="1:8" ht="13.2" x14ac:dyDescent="0.25">
      <c r="A375" s="7"/>
      <c r="E375" s="7"/>
      <c r="F375" s="7"/>
      <c r="G375" s="7"/>
      <c r="H375" s="7"/>
    </row>
    <row r="376" spans="1:8" ht="13.2" x14ac:dyDescent="0.25">
      <c r="A376" s="7"/>
      <c r="E376" s="7"/>
      <c r="F376" s="7"/>
      <c r="G376" s="7"/>
      <c r="H376" s="7"/>
    </row>
    <row r="377" spans="1:8" ht="13.2" x14ac:dyDescent="0.25">
      <c r="A377" s="7"/>
      <c r="E377" s="7"/>
      <c r="F377" s="7"/>
      <c r="G377" s="7"/>
      <c r="H377" s="7"/>
    </row>
    <row r="378" spans="1:8" ht="13.2" x14ac:dyDescent="0.25">
      <c r="A378" s="7"/>
      <c r="E378" s="7"/>
      <c r="F378" s="7"/>
      <c r="G378" s="7"/>
      <c r="H378" s="7"/>
    </row>
    <row r="379" spans="1:8" ht="13.2" x14ac:dyDescent="0.25">
      <c r="A379" s="7"/>
      <c r="E379" s="7"/>
      <c r="F379" s="7"/>
      <c r="G379" s="7"/>
      <c r="H379" s="7"/>
    </row>
    <row r="380" spans="1:8" ht="13.2" x14ac:dyDescent="0.25">
      <c r="A380" s="7"/>
      <c r="E380" s="7"/>
      <c r="F380" s="7"/>
      <c r="G380" s="7"/>
      <c r="H380" s="7"/>
    </row>
    <row r="381" spans="1:8" ht="13.2" x14ac:dyDescent="0.25">
      <c r="A381" s="7"/>
      <c r="E381" s="7"/>
      <c r="F381" s="7"/>
      <c r="G381" s="7"/>
      <c r="H381" s="7"/>
    </row>
    <row r="382" spans="1:8" ht="13.2" x14ac:dyDescent="0.25">
      <c r="A382" s="7"/>
      <c r="E382" s="7"/>
      <c r="F382" s="7"/>
      <c r="G382" s="7"/>
      <c r="H382" s="7"/>
    </row>
    <row r="383" spans="1:8" ht="13.2" x14ac:dyDescent="0.25">
      <c r="A383" s="7"/>
      <c r="E383" s="7"/>
      <c r="F383" s="7"/>
      <c r="G383" s="7"/>
      <c r="H383" s="7"/>
    </row>
    <row r="384" spans="1:8" ht="13.2" x14ac:dyDescent="0.25">
      <c r="A384" s="7"/>
      <c r="E384" s="7"/>
      <c r="F384" s="7"/>
      <c r="G384" s="7"/>
      <c r="H384" s="7"/>
    </row>
    <row r="385" spans="1:8" ht="13.2" x14ac:dyDescent="0.25">
      <c r="A385" s="7"/>
      <c r="E385" s="7"/>
      <c r="F385" s="7"/>
      <c r="G385" s="7"/>
      <c r="H385" s="7"/>
    </row>
    <row r="386" spans="1:8" ht="13.2" x14ac:dyDescent="0.25">
      <c r="A386" s="7"/>
      <c r="E386" s="7"/>
      <c r="F386" s="7"/>
      <c r="G386" s="7"/>
      <c r="H386" s="7"/>
    </row>
    <row r="387" spans="1:8" ht="13.2" x14ac:dyDescent="0.25">
      <c r="A387" s="7"/>
      <c r="E387" s="7"/>
      <c r="F387" s="7"/>
      <c r="G387" s="7"/>
      <c r="H387" s="7"/>
    </row>
    <row r="388" spans="1:8" ht="13.2" x14ac:dyDescent="0.25">
      <c r="A388" s="7"/>
      <c r="E388" s="7"/>
      <c r="F388" s="7"/>
      <c r="G388" s="7"/>
      <c r="H388" s="7"/>
    </row>
    <row r="389" spans="1:8" ht="13.2" x14ac:dyDescent="0.25">
      <c r="A389" s="7"/>
      <c r="E389" s="7"/>
      <c r="F389" s="7"/>
      <c r="G389" s="7"/>
      <c r="H389" s="7"/>
    </row>
    <row r="390" spans="1:8" ht="13.2" x14ac:dyDescent="0.25">
      <c r="A390" s="7"/>
      <c r="E390" s="7"/>
      <c r="F390" s="7"/>
      <c r="G390" s="7"/>
      <c r="H390" s="7"/>
    </row>
    <row r="391" spans="1:8" ht="13.2" x14ac:dyDescent="0.25">
      <c r="A391" s="7"/>
      <c r="E391" s="7"/>
      <c r="F391" s="7"/>
      <c r="G391" s="7"/>
      <c r="H391" s="7"/>
    </row>
    <row r="392" spans="1:8" ht="13.2" x14ac:dyDescent="0.25">
      <c r="A392" s="7"/>
      <c r="E392" s="7"/>
      <c r="F392" s="7"/>
      <c r="G392" s="7"/>
      <c r="H392" s="7"/>
    </row>
    <row r="393" spans="1:8" ht="13.2" x14ac:dyDescent="0.25">
      <c r="A393" s="7"/>
      <c r="E393" s="7"/>
      <c r="F393" s="7"/>
      <c r="G393" s="7"/>
      <c r="H393" s="7"/>
    </row>
    <row r="394" spans="1:8" ht="13.2" x14ac:dyDescent="0.25">
      <c r="A394" s="7"/>
      <c r="E394" s="7"/>
      <c r="F394" s="7"/>
      <c r="G394" s="7"/>
      <c r="H394" s="7"/>
    </row>
    <row r="395" spans="1:8" ht="13.2" x14ac:dyDescent="0.25">
      <c r="A395" s="7"/>
      <c r="E395" s="7"/>
      <c r="F395" s="7"/>
      <c r="G395" s="7"/>
      <c r="H395" s="7"/>
    </row>
    <row r="396" spans="1:8" ht="13.2" x14ac:dyDescent="0.25">
      <c r="A396" s="7"/>
      <c r="E396" s="7"/>
      <c r="F396" s="7"/>
      <c r="G396" s="7"/>
      <c r="H396" s="7"/>
    </row>
    <row r="397" spans="1:8" ht="13.2" x14ac:dyDescent="0.25">
      <c r="A397" s="7"/>
      <c r="E397" s="7"/>
      <c r="F397" s="7"/>
      <c r="G397" s="7"/>
      <c r="H397" s="7"/>
    </row>
    <row r="398" spans="1:8" ht="13.2" x14ac:dyDescent="0.25">
      <c r="A398" s="7"/>
      <c r="E398" s="7"/>
      <c r="F398" s="7"/>
      <c r="G398" s="7"/>
      <c r="H398" s="7"/>
    </row>
    <row r="399" spans="1:8" ht="13.2" x14ac:dyDescent="0.25">
      <c r="A399" s="7"/>
      <c r="E399" s="7"/>
      <c r="F399" s="7"/>
      <c r="G399" s="7"/>
      <c r="H399" s="7"/>
    </row>
    <row r="400" spans="1:8" ht="13.2" x14ac:dyDescent="0.25">
      <c r="A400" s="7"/>
      <c r="E400" s="7"/>
      <c r="F400" s="7"/>
      <c r="G400" s="7"/>
      <c r="H400" s="7"/>
    </row>
    <row r="401" spans="1:8" ht="13.2" x14ac:dyDescent="0.25">
      <c r="A401" s="7"/>
      <c r="E401" s="7"/>
      <c r="F401" s="7"/>
      <c r="G401" s="7"/>
      <c r="H401" s="7"/>
    </row>
    <row r="402" spans="1:8" ht="13.2" x14ac:dyDescent="0.25">
      <c r="A402" s="7"/>
      <c r="E402" s="7"/>
      <c r="F402" s="7"/>
      <c r="G402" s="7"/>
      <c r="H402" s="7"/>
    </row>
    <row r="403" spans="1:8" ht="13.2" x14ac:dyDescent="0.25">
      <c r="A403" s="7"/>
      <c r="E403" s="7"/>
      <c r="F403" s="7"/>
      <c r="G403" s="7"/>
      <c r="H403" s="7"/>
    </row>
    <row r="404" spans="1:8" ht="13.2" x14ac:dyDescent="0.25">
      <c r="A404" s="7"/>
      <c r="E404" s="7"/>
      <c r="F404" s="7"/>
      <c r="G404" s="7"/>
      <c r="H404" s="7"/>
    </row>
    <row r="405" spans="1:8" ht="13.2" x14ac:dyDescent="0.25">
      <c r="A405" s="7"/>
      <c r="E405" s="7"/>
      <c r="F405" s="7"/>
      <c r="G405" s="7"/>
      <c r="H405" s="7"/>
    </row>
    <row r="406" spans="1:8" ht="13.2" x14ac:dyDescent="0.25">
      <c r="A406" s="7"/>
      <c r="E406" s="7"/>
      <c r="F406" s="7"/>
      <c r="G406" s="7"/>
      <c r="H406" s="7"/>
    </row>
    <row r="407" spans="1:8" ht="13.2" x14ac:dyDescent="0.25">
      <c r="A407" s="7"/>
      <c r="E407" s="7"/>
      <c r="F407" s="7"/>
      <c r="G407" s="7"/>
      <c r="H407" s="7"/>
    </row>
    <row r="408" spans="1:8" ht="13.2" x14ac:dyDescent="0.25">
      <c r="A408" s="7"/>
      <c r="E408" s="7"/>
      <c r="F408" s="7"/>
      <c r="G408" s="7"/>
      <c r="H408" s="7"/>
    </row>
    <row r="409" spans="1:8" ht="13.2" x14ac:dyDescent="0.25">
      <c r="A409" s="7"/>
      <c r="E409" s="7"/>
      <c r="F409" s="7"/>
      <c r="G409" s="7"/>
      <c r="H409" s="7"/>
    </row>
    <row r="410" spans="1:8" ht="13.2" x14ac:dyDescent="0.25">
      <c r="A410" s="7"/>
      <c r="E410" s="7"/>
      <c r="F410" s="7"/>
      <c r="G410" s="7"/>
      <c r="H410" s="7"/>
    </row>
    <row r="411" spans="1:8" ht="13.2" x14ac:dyDescent="0.25">
      <c r="A411" s="7"/>
      <c r="E411" s="7"/>
      <c r="F411" s="7"/>
      <c r="G411" s="7"/>
      <c r="H411" s="7"/>
    </row>
    <row r="412" spans="1:8" ht="13.2" x14ac:dyDescent="0.25">
      <c r="A412" s="7"/>
      <c r="E412" s="7"/>
      <c r="F412" s="7"/>
      <c r="G412" s="7"/>
      <c r="H412" s="7"/>
    </row>
    <row r="413" spans="1:8" ht="13.2" x14ac:dyDescent="0.25">
      <c r="A413" s="7"/>
      <c r="E413" s="7"/>
      <c r="F413" s="7"/>
      <c r="G413" s="7"/>
      <c r="H413" s="7"/>
    </row>
    <row r="414" spans="1:8" ht="13.2" x14ac:dyDescent="0.25">
      <c r="A414" s="7"/>
      <c r="E414" s="7"/>
      <c r="F414" s="7"/>
      <c r="G414" s="7"/>
      <c r="H414" s="7"/>
    </row>
    <row r="415" spans="1:8" ht="13.2" x14ac:dyDescent="0.25">
      <c r="A415" s="7"/>
      <c r="E415" s="7"/>
      <c r="F415" s="7"/>
      <c r="G415" s="7"/>
      <c r="H415" s="7"/>
    </row>
    <row r="416" spans="1:8" ht="13.2" x14ac:dyDescent="0.25">
      <c r="A416" s="7"/>
      <c r="E416" s="7"/>
      <c r="F416" s="7"/>
      <c r="G416" s="7"/>
      <c r="H416" s="7"/>
    </row>
    <row r="417" spans="1:8" ht="13.2" x14ac:dyDescent="0.25">
      <c r="A417" s="7"/>
      <c r="E417" s="7"/>
      <c r="F417" s="7"/>
      <c r="G417" s="7"/>
      <c r="H417" s="7"/>
    </row>
    <row r="418" spans="1:8" ht="13.2" x14ac:dyDescent="0.25">
      <c r="A418" s="7"/>
      <c r="E418" s="7"/>
      <c r="F418" s="7"/>
      <c r="G418" s="7"/>
      <c r="H418" s="7"/>
    </row>
    <row r="419" spans="1:8" ht="13.2" x14ac:dyDescent="0.25">
      <c r="A419" s="7"/>
      <c r="E419" s="7"/>
      <c r="F419" s="7"/>
      <c r="G419" s="7"/>
      <c r="H419" s="7"/>
    </row>
    <row r="420" spans="1:8" ht="13.2" x14ac:dyDescent="0.25">
      <c r="A420" s="7"/>
      <c r="E420" s="7"/>
      <c r="F420" s="7"/>
      <c r="G420" s="7"/>
      <c r="H420" s="7"/>
    </row>
    <row r="421" spans="1:8" ht="13.2" x14ac:dyDescent="0.25">
      <c r="A421" s="7"/>
      <c r="E421" s="7"/>
      <c r="F421" s="7"/>
      <c r="G421" s="7"/>
      <c r="H421" s="7"/>
    </row>
    <row r="422" spans="1:8" ht="13.2" x14ac:dyDescent="0.25">
      <c r="A422" s="7"/>
      <c r="E422" s="7"/>
      <c r="F422" s="7"/>
      <c r="G422" s="7"/>
      <c r="H422" s="7"/>
    </row>
    <row r="423" spans="1:8" ht="13.2" x14ac:dyDescent="0.25">
      <c r="A423" s="7"/>
      <c r="E423" s="7"/>
      <c r="F423" s="7"/>
      <c r="G423" s="7"/>
      <c r="H423" s="7"/>
    </row>
    <row r="424" spans="1:8" ht="13.2" x14ac:dyDescent="0.25">
      <c r="A424" s="7"/>
      <c r="E424" s="7"/>
      <c r="F424" s="7"/>
      <c r="G424" s="7"/>
      <c r="H424" s="7"/>
    </row>
    <row r="425" spans="1:8" ht="13.2" x14ac:dyDescent="0.25">
      <c r="A425" s="7"/>
      <c r="E425" s="7"/>
      <c r="F425" s="7"/>
      <c r="G425" s="7"/>
      <c r="H425" s="7"/>
    </row>
    <row r="426" spans="1:8" ht="13.2" x14ac:dyDescent="0.25">
      <c r="A426" s="7"/>
      <c r="E426" s="7"/>
      <c r="F426" s="7"/>
      <c r="G426" s="7"/>
      <c r="H426" s="7"/>
    </row>
    <row r="427" spans="1:8" ht="13.2" x14ac:dyDescent="0.25">
      <c r="A427" s="7"/>
      <c r="E427" s="7"/>
      <c r="F427" s="7"/>
      <c r="G427" s="7"/>
      <c r="H427" s="7"/>
    </row>
    <row r="428" spans="1:8" ht="13.2" x14ac:dyDescent="0.25">
      <c r="A428" s="7"/>
      <c r="E428" s="7"/>
      <c r="F428" s="7"/>
      <c r="G428" s="7"/>
      <c r="H428" s="7"/>
    </row>
    <row r="429" spans="1:8" ht="13.2" x14ac:dyDescent="0.25">
      <c r="A429" s="7"/>
      <c r="E429" s="7"/>
      <c r="F429" s="7"/>
      <c r="G429" s="7"/>
      <c r="H429" s="7"/>
    </row>
    <row r="430" spans="1:8" ht="13.2" x14ac:dyDescent="0.25">
      <c r="A430" s="7"/>
      <c r="E430" s="7"/>
      <c r="F430" s="7"/>
      <c r="G430" s="7"/>
      <c r="H430" s="7"/>
    </row>
    <row r="431" spans="1:8" ht="13.2" x14ac:dyDescent="0.25">
      <c r="A431" s="7"/>
      <c r="E431" s="7"/>
      <c r="F431" s="7"/>
      <c r="G431" s="7"/>
      <c r="H431" s="7"/>
    </row>
    <row r="432" spans="1:8" ht="13.2" x14ac:dyDescent="0.25">
      <c r="A432" s="7"/>
      <c r="E432" s="7"/>
      <c r="F432" s="7"/>
      <c r="G432" s="7"/>
      <c r="H432" s="7"/>
    </row>
    <row r="433" spans="1:8" ht="13.2" x14ac:dyDescent="0.25">
      <c r="A433" s="7"/>
      <c r="E433" s="7"/>
      <c r="F433" s="7"/>
      <c r="G433" s="7"/>
      <c r="H433" s="7"/>
    </row>
    <row r="434" spans="1:8" ht="13.2" x14ac:dyDescent="0.25">
      <c r="A434" s="7"/>
      <c r="E434" s="7"/>
      <c r="F434" s="7"/>
      <c r="G434" s="7"/>
      <c r="H434" s="7"/>
    </row>
    <row r="435" spans="1:8" ht="13.2" x14ac:dyDescent="0.25">
      <c r="A435" s="7"/>
      <c r="E435" s="7"/>
      <c r="F435" s="7"/>
      <c r="G435" s="7"/>
      <c r="H435" s="7"/>
    </row>
    <row r="436" spans="1:8" ht="13.2" x14ac:dyDescent="0.25">
      <c r="A436" s="7"/>
      <c r="E436" s="7"/>
      <c r="F436" s="7"/>
      <c r="G436" s="7"/>
      <c r="H436" s="7"/>
    </row>
    <row r="437" spans="1:8" ht="13.2" x14ac:dyDescent="0.25">
      <c r="A437" s="7"/>
      <c r="E437" s="7"/>
      <c r="F437" s="7"/>
      <c r="G437" s="7"/>
      <c r="H437" s="7"/>
    </row>
    <row r="438" spans="1:8" ht="13.2" x14ac:dyDescent="0.25">
      <c r="A438" s="7"/>
      <c r="E438" s="7"/>
      <c r="F438" s="7"/>
      <c r="G438" s="7"/>
      <c r="H438" s="7"/>
    </row>
    <row r="439" spans="1:8" ht="13.2" x14ac:dyDescent="0.25">
      <c r="A439" s="7"/>
      <c r="E439" s="7"/>
      <c r="F439" s="7"/>
      <c r="G439" s="7"/>
      <c r="H439" s="7"/>
    </row>
    <row r="440" spans="1:8" ht="13.2" x14ac:dyDescent="0.25">
      <c r="A440" s="7"/>
      <c r="E440" s="7"/>
      <c r="F440" s="7"/>
      <c r="G440" s="7"/>
      <c r="H440" s="7"/>
    </row>
    <row r="441" spans="1:8" ht="13.2" x14ac:dyDescent="0.25">
      <c r="A441" s="7"/>
      <c r="E441" s="7"/>
      <c r="F441" s="7"/>
      <c r="G441" s="7"/>
      <c r="H441" s="7"/>
    </row>
    <row r="442" spans="1:8" ht="13.2" x14ac:dyDescent="0.25">
      <c r="A442" s="7"/>
      <c r="E442" s="7"/>
      <c r="F442" s="7"/>
      <c r="G442" s="7"/>
      <c r="H442" s="7"/>
    </row>
    <row r="443" spans="1:8" ht="13.2" x14ac:dyDescent="0.25">
      <c r="A443" s="7"/>
      <c r="E443" s="7"/>
      <c r="F443" s="7"/>
      <c r="G443" s="7"/>
      <c r="H443" s="7"/>
    </row>
    <row r="444" spans="1:8" ht="13.2" x14ac:dyDescent="0.25">
      <c r="A444" s="7"/>
      <c r="E444" s="7"/>
      <c r="F444" s="7"/>
      <c r="G444" s="7"/>
      <c r="H444" s="7"/>
    </row>
    <row r="445" spans="1:8" ht="13.2" x14ac:dyDescent="0.25">
      <c r="A445" s="7"/>
      <c r="E445" s="7"/>
      <c r="F445" s="7"/>
      <c r="G445" s="7"/>
      <c r="H445" s="7"/>
    </row>
    <row r="446" spans="1:8" ht="13.2" x14ac:dyDescent="0.25">
      <c r="A446" s="7"/>
      <c r="E446" s="7"/>
      <c r="F446" s="7"/>
      <c r="G446" s="7"/>
      <c r="H446" s="7"/>
    </row>
    <row r="447" spans="1:8" ht="13.2" x14ac:dyDescent="0.25">
      <c r="A447" s="7"/>
      <c r="E447" s="7"/>
      <c r="F447" s="7"/>
      <c r="G447" s="7"/>
      <c r="H447" s="7"/>
    </row>
    <row r="448" spans="1:8" ht="13.2" x14ac:dyDescent="0.25">
      <c r="A448" s="7"/>
      <c r="E448" s="7"/>
      <c r="F448" s="7"/>
      <c r="G448" s="7"/>
      <c r="H448" s="7"/>
    </row>
    <row r="449" spans="1:8" ht="13.2" x14ac:dyDescent="0.25">
      <c r="A449" s="7"/>
      <c r="E449" s="7"/>
      <c r="F449" s="7"/>
      <c r="G449" s="7"/>
      <c r="H449" s="7"/>
    </row>
    <row r="450" spans="1:8" ht="13.2" x14ac:dyDescent="0.25">
      <c r="A450" s="7"/>
      <c r="E450" s="7"/>
      <c r="F450" s="7"/>
      <c r="G450" s="7"/>
      <c r="H450" s="7"/>
    </row>
    <row r="451" spans="1:8" ht="13.2" x14ac:dyDescent="0.25">
      <c r="A451" s="7"/>
      <c r="E451" s="7"/>
      <c r="F451" s="7"/>
      <c r="G451" s="7"/>
      <c r="H451" s="7"/>
    </row>
    <row r="452" spans="1:8" ht="13.2" x14ac:dyDescent="0.25">
      <c r="A452" s="7"/>
      <c r="E452" s="7"/>
      <c r="F452" s="7"/>
      <c r="G452" s="7"/>
      <c r="H452" s="7"/>
    </row>
    <row r="453" spans="1:8" ht="13.2" x14ac:dyDescent="0.25">
      <c r="A453" s="7"/>
      <c r="E453" s="7"/>
      <c r="F453" s="7"/>
      <c r="G453" s="7"/>
      <c r="H453" s="7"/>
    </row>
    <row r="454" spans="1:8" ht="13.2" x14ac:dyDescent="0.25">
      <c r="A454" s="7"/>
      <c r="E454" s="7"/>
      <c r="F454" s="7"/>
      <c r="G454" s="7"/>
      <c r="H454" s="7"/>
    </row>
    <row r="455" spans="1:8" ht="13.2" x14ac:dyDescent="0.25">
      <c r="A455" s="7"/>
      <c r="E455" s="7"/>
      <c r="F455" s="7"/>
      <c r="G455" s="7"/>
      <c r="H455" s="7"/>
    </row>
    <row r="456" spans="1:8" ht="13.2" x14ac:dyDescent="0.25">
      <c r="A456" s="7"/>
      <c r="E456" s="7"/>
      <c r="F456" s="7"/>
      <c r="G456" s="7"/>
      <c r="H456" s="7"/>
    </row>
    <row r="457" spans="1:8" ht="13.2" x14ac:dyDescent="0.25">
      <c r="A457" s="7"/>
      <c r="E457" s="7"/>
      <c r="F457" s="7"/>
      <c r="G457" s="7"/>
      <c r="H457" s="7"/>
    </row>
    <row r="458" spans="1:8" ht="13.2" x14ac:dyDescent="0.25">
      <c r="A458" s="7"/>
      <c r="E458" s="7"/>
      <c r="F458" s="7"/>
      <c r="G458" s="7"/>
      <c r="H458" s="7"/>
    </row>
    <row r="459" spans="1:8" ht="13.2" x14ac:dyDescent="0.25">
      <c r="A459" s="7"/>
      <c r="E459" s="7"/>
      <c r="F459" s="7"/>
      <c r="G459" s="7"/>
      <c r="H459" s="7"/>
    </row>
    <row r="460" spans="1:8" ht="13.2" x14ac:dyDescent="0.25">
      <c r="A460" s="7"/>
      <c r="E460" s="7"/>
      <c r="F460" s="7"/>
      <c r="G460" s="7"/>
      <c r="H460" s="7"/>
    </row>
    <row r="461" spans="1:8" ht="13.2" x14ac:dyDescent="0.25">
      <c r="A461" s="7"/>
      <c r="E461" s="7"/>
      <c r="F461" s="7"/>
      <c r="G461" s="7"/>
      <c r="H461" s="7"/>
    </row>
    <row r="462" spans="1:8" ht="13.2" x14ac:dyDescent="0.25">
      <c r="A462" s="7"/>
      <c r="E462" s="7"/>
      <c r="F462" s="7"/>
      <c r="G462" s="7"/>
      <c r="H462" s="7"/>
    </row>
    <row r="463" spans="1:8" ht="13.2" x14ac:dyDescent="0.25">
      <c r="A463" s="7"/>
      <c r="E463" s="7"/>
      <c r="F463" s="7"/>
      <c r="G463" s="7"/>
      <c r="H463" s="7"/>
    </row>
    <row r="464" spans="1:8" ht="13.2" x14ac:dyDescent="0.25">
      <c r="A464" s="7"/>
      <c r="E464" s="7"/>
      <c r="F464" s="7"/>
      <c r="G464" s="7"/>
      <c r="H464" s="7"/>
    </row>
    <row r="465" spans="1:8" ht="13.2" x14ac:dyDescent="0.25">
      <c r="A465" s="7"/>
      <c r="E465" s="7"/>
      <c r="F465" s="7"/>
      <c r="G465" s="7"/>
      <c r="H465" s="7"/>
    </row>
    <row r="466" spans="1:8" ht="13.2" x14ac:dyDescent="0.25">
      <c r="A466" s="7"/>
      <c r="E466" s="7"/>
      <c r="F466" s="7"/>
      <c r="G466" s="7"/>
      <c r="H466" s="7"/>
    </row>
    <row r="467" spans="1:8" ht="13.2" x14ac:dyDescent="0.25">
      <c r="A467" s="7"/>
      <c r="E467" s="7"/>
      <c r="F467" s="7"/>
      <c r="G467" s="7"/>
      <c r="H467" s="7"/>
    </row>
    <row r="468" spans="1:8" ht="13.2" x14ac:dyDescent="0.25">
      <c r="A468" s="7"/>
      <c r="E468" s="7"/>
      <c r="F468" s="7"/>
      <c r="G468" s="7"/>
      <c r="H468" s="7"/>
    </row>
    <row r="469" spans="1:8" ht="13.2" x14ac:dyDescent="0.25">
      <c r="A469" s="7"/>
      <c r="E469" s="7"/>
      <c r="F469" s="7"/>
      <c r="G469" s="7"/>
      <c r="H469" s="7"/>
    </row>
    <row r="470" spans="1:8" ht="13.2" x14ac:dyDescent="0.25">
      <c r="A470" s="7"/>
      <c r="E470" s="7"/>
      <c r="F470" s="7"/>
      <c r="G470" s="7"/>
      <c r="H470" s="7"/>
    </row>
    <row r="471" spans="1:8" ht="13.2" x14ac:dyDescent="0.25">
      <c r="A471" s="7"/>
      <c r="E471" s="7"/>
      <c r="F471" s="7"/>
      <c r="G471" s="7"/>
      <c r="H471" s="7"/>
    </row>
    <row r="472" spans="1:8" ht="13.2" x14ac:dyDescent="0.25">
      <c r="A472" s="7"/>
      <c r="E472" s="7"/>
      <c r="F472" s="7"/>
      <c r="G472" s="7"/>
      <c r="H472" s="7"/>
    </row>
    <row r="473" spans="1:8" ht="13.2" x14ac:dyDescent="0.25">
      <c r="A473" s="7"/>
      <c r="E473" s="7"/>
      <c r="F473" s="7"/>
      <c r="G473" s="7"/>
      <c r="H473" s="7"/>
    </row>
    <row r="474" spans="1:8" ht="13.2" x14ac:dyDescent="0.25">
      <c r="A474" s="7"/>
      <c r="E474" s="7"/>
      <c r="F474" s="7"/>
      <c r="G474" s="7"/>
      <c r="H474" s="7"/>
    </row>
    <row r="475" spans="1:8" ht="13.2" x14ac:dyDescent="0.25">
      <c r="A475" s="7"/>
      <c r="E475" s="7"/>
      <c r="F475" s="7"/>
      <c r="G475" s="7"/>
      <c r="H475" s="7"/>
    </row>
    <row r="476" spans="1:8" ht="13.2" x14ac:dyDescent="0.25">
      <c r="A476" s="7"/>
      <c r="E476" s="7"/>
      <c r="F476" s="7"/>
      <c r="G476" s="7"/>
      <c r="H476" s="7"/>
    </row>
    <row r="477" spans="1:8" ht="13.2" x14ac:dyDescent="0.25">
      <c r="A477" s="7"/>
      <c r="E477" s="7"/>
      <c r="F477" s="7"/>
      <c r="G477" s="7"/>
      <c r="H477" s="7"/>
    </row>
    <row r="478" spans="1:8" ht="13.2" x14ac:dyDescent="0.25">
      <c r="A478" s="7"/>
      <c r="E478" s="7"/>
      <c r="F478" s="7"/>
      <c r="G478" s="7"/>
      <c r="H478" s="7"/>
    </row>
    <row r="479" spans="1:8" ht="13.2" x14ac:dyDescent="0.25">
      <c r="A479" s="7"/>
      <c r="E479" s="7"/>
      <c r="F479" s="7"/>
      <c r="G479" s="7"/>
      <c r="H479" s="7"/>
    </row>
    <row r="480" spans="1:8" ht="13.2" x14ac:dyDescent="0.25">
      <c r="A480" s="7"/>
      <c r="E480" s="7"/>
      <c r="F480" s="7"/>
      <c r="G480" s="7"/>
      <c r="H480" s="7"/>
    </row>
    <row r="481" spans="1:8" ht="13.2" x14ac:dyDescent="0.25">
      <c r="A481" s="7"/>
      <c r="E481" s="7"/>
      <c r="F481" s="7"/>
      <c r="G481" s="7"/>
      <c r="H481" s="7"/>
    </row>
    <row r="482" spans="1:8" ht="13.2" x14ac:dyDescent="0.25">
      <c r="A482" s="7"/>
      <c r="E482" s="7"/>
      <c r="F482" s="7"/>
      <c r="G482" s="7"/>
      <c r="H482" s="7"/>
    </row>
    <row r="483" spans="1:8" ht="13.2" x14ac:dyDescent="0.25">
      <c r="A483" s="7"/>
      <c r="E483" s="7"/>
      <c r="F483" s="7"/>
      <c r="G483" s="7"/>
      <c r="H483" s="7"/>
    </row>
    <row r="484" spans="1:8" ht="13.2" x14ac:dyDescent="0.25">
      <c r="A484" s="7"/>
      <c r="E484" s="7"/>
      <c r="F484" s="7"/>
      <c r="G484" s="7"/>
      <c r="H484" s="7"/>
    </row>
    <row r="485" spans="1:8" ht="13.2" x14ac:dyDescent="0.25">
      <c r="A485" s="7"/>
      <c r="E485" s="7"/>
      <c r="F485" s="7"/>
      <c r="G485" s="7"/>
      <c r="H485" s="7"/>
    </row>
    <row r="486" spans="1:8" ht="13.2" x14ac:dyDescent="0.25">
      <c r="A486" s="7"/>
      <c r="E486" s="7"/>
      <c r="F486" s="7"/>
      <c r="G486" s="7"/>
      <c r="H486" s="7"/>
    </row>
    <row r="487" spans="1:8" ht="13.2" x14ac:dyDescent="0.25">
      <c r="A487" s="7"/>
      <c r="E487" s="7"/>
      <c r="F487" s="7"/>
      <c r="G487" s="7"/>
      <c r="H487" s="7"/>
    </row>
    <row r="488" spans="1:8" ht="13.2" x14ac:dyDescent="0.25">
      <c r="A488" s="7"/>
      <c r="E488" s="7"/>
      <c r="F488" s="7"/>
      <c r="G488" s="7"/>
      <c r="H488" s="7"/>
    </row>
    <row r="489" spans="1:8" ht="13.2" x14ac:dyDescent="0.25">
      <c r="A489" s="7"/>
      <c r="E489" s="7"/>
      <c r="F489" s="7"/>
      <c r="G489" s="7"/>
      <c r="H489" s="7"/>
    </row>
    <row r="490" spans="1:8" ht="13.2" x14ac:dyDescent="0.25">
      <c r="A490" s="7"/>
      <c r="E490" s="7"/>
      <c r="F490" s="7"/>
      <c r="G490" s="7"/>
      <c r="H490" s="7"/>
    </row>
    <row r="491" spans="1:8" ht="13.2" x14ac:dyDescent="0.25">
      <c r="A491" s="7"/>
      <c r="E491" s="7"/>
      <c r="F491" s="7"/>
      <c r="G491" s="7"/>
      <c r="H491" s="7"/>
    </row>
    <row r="492" spans="1:8" ht="13.2" x14ac:dyDescent="0.25">
      <c r="A492" s="7"/>
      <c r="E492" s="7"/>
      <c r="F492" s="7"/>
      <c r="G492" s="7"/>
      <c r="H492" s="7"/>
    </row>
    <row r="493" spans="1:8" ht="13.2" x14ac:dyDescent="0.25">
      <c r="A493" s="7"/>
      <c r="E493" s="7"/>
      <c r="F493" s="7"/>
      <c r="G493" s="7"/>
      <c r="H493" s="7"/>
    </row>
    <row r="494" spans="1:8" ht="13.2" x14ac:dyDescent="0.25">
      <c r="A494" s="7"/>
      <c r="E494" s="7"/>
      <c r="F494" s="7"/>
      <c r="G494" s="7"/>
      <c r="H494" s="7"/>
    </row>
    <row r="495" spans="1:8" ht="13.2" x14ac:dyDescent="0.25">
      <c r="A495" s="7"/>
      <c r="E495" s="7"/>
      <c r="F495" s="7"/>
      <c r="G495" s="7"/>
      <c r="H495" s="7"/>
    </row>
    <row r="496" spans="1:8" ht="13.2" x14ac:dyDescent="0.25">
      <c r="A496" s="7"/>
      <c r="E496" s="7"/>
      <c r="F496" s="7"/>
      <c r="G496" s="7"/>
      <c r="H496" s="7"/>
    </row>
    <row r="497" spans="1:8" ht="13.2" x14ac:dyDescent="0.25">
      <c r="A497" s="7"/>
      <c r="E497" s="7"/>
      <c r="F497" s="7"/>
      <c r="G497" s="7"/>
      <c r="H497" s="7"/>
    </row>
    <row r="498" spans="1:8" ht="13.2" x14ac:dyDescent="0.25">
      <c r="A498" s="7"/>
      <c r="E498" s="7"/>
      <c r="F498" s="7"/>
      <c r="G498" s="7"/>
      <c r="H498" s="7"/>
    </row>
    <row r="499" spans="1:8" ht="13.2" x14ac:dyDescent="0.25">
      <c r="A499" s="7"/>
      <c r="E499" s="7"/>
      <c r="F499" s="7"/>
      <c r="G499" s="7"/>
      <c r="H499" s="7"/>
    </row>
    <row r="500" spans="1:8" ht="13.2" x14ac:dyDescent="0.25">
      <c r="A500" s="7"/>
      <c r="E500" s="7"/>
      <c r="F500" s="7"/>
      <c r="G500" s="7"/>
      <c r="H500" s="7"/>
    </row>
    <row r="501" spans="1:8" ht="13.2" x14ac:dyDescent="0.25">
      <c r="A501" s="7"/>
      <c r="E501" s="7"/>
      <c r="F501" s="7"/>
      <c r="G501" s="7"/>
      <c r="H501" s="7"/>
    </row>
    <row r="502" spans="1:8" ht="13.2" x14ac:dyDescent="0.25">
      <c r="A502" s="7"/>
      <c r="E502" s="7"/>
      <c r="F502" s="7"/>
      <c r="G502" s="7"/>
      <c r="H502" s="7"/>
    </row>
    <row r="503" spans="1:8" ht="13.2" x14ac:dyDescent="0.25">
      <c r="A503" s="7"/>
      <c r="E503" s="7"/>
      <c r="F503" s="7"/>
      <c r="G503" s="7"/>
      <c r="H503" s="7"/>
    </row>
    <row r="504" spans="1:8" ht="13.2" x14ac:dyDescent="0.25">
      <c r="A504" s="7"/>
      <c r="E504" s="7"/>
      <c r="F504" s="7"/>
      <c r="G504" s="7"/>
      <c r="H504" s="7"/>
    </row>
    <row r="505" spans="1:8" ht="13.2" x14ac:dyDescent="0.25">
      <c r="A505" s="7"/>
      <c r="E505" s="7"/>
      <c r="F505" s="7"/>
      <c r="G505" s="7"/>
      <c r="H505" s="7"/>
    </row>
    <row r="506" spans="1:8" ht="13.2" x14ac:dyDescent="0.25">
      <c r="A506" s="7"/>
      <c r="E506" s="7"/>
      <c r="F506" s="7"/>
      <c r="G506" s="7"/>
      <c r="H506" s="7"/>
    </row>
    <row r="507" spans="1:8" ht="13.2" x14ac:dyDescent="0.25">
      <c r="A507" s="7"/>
      <c r="E507" s="7"/>
      <c r="F507" s="7"/>
      <c r="G507" s="7"/>
      <c r="H507" s="7"/>
    </row>
    <row r="508" spans="1:8" ht="13.2" x14ac:dyDescent="0.25">
      <c r="A508" s="7"/>
      <c r="E508" s="7"/>
      <c r="F508" s="7"/>
      <c r="G508" s="7"/>
      <c r="H508" s="7"/>
    </row>
    <row r="509" spans="1:8" ht="13.2" x14ac:dyDescent="0.25">
      <c r="A509" s="7"/>
      <c r="E509" s="7"/>
      <c r="F509" s="7"/>
      <c r="G509" s="7"/>
      <c r="H509" s="7"/>
    </row>
    <row r="510" spans="1:8" ht="13.2" x14ac:dyDescent="0.25">
      <c r="A510" s="7"/>
      <c r="E510" s="7"/>
      <c r="F510" s="7"/>
      <c r="G510" s="7"/>
      <c r="H510" s="7"/>
    </row>
    <row r="511" spans="1:8" ht="13.2" x14ac:dyDescent="0.25">
      <c r="A511" s="7"/>
      <c r="E511" s="7"/>
      <c r="F511" s="7"/>
      <c r="G511" s="7"/>
      <c r="H511" s="7"/>
    </row>
    <row r="512" spans="1:8" ht="13.2" x14ac:dyDescent="0.25">
      <c r="A512" s="7"/>
      <c r="E512" s="7"/>
      <c r="F512" s="7"/>
      <c r="G512" s="7"/>
      <c r="H512" s="7"/>
    </row>
    <row r="513" spans="1:8" ht="13.2" x14ac:dyDescent="0.25">
      <c r="A513" s="7"/>
      <c r="E513" s="7"/>
      <c r="F513" s="7"/>
      <c r="G513" s="7"/>
      <c r="H513" s="7"/>
    </row>
    <row r="514" spans="1:8" ht="13.2" x14ac:dyDescent="0.25">
      <c r="A514" s="7"/>
      <c r="E514" s="7"/>
      <c r="F514" s="7"/>
      <c r="G514" s="7"/>
      <c r="H514" s="7"/>
    </row>
    <row r="515" spans="1:8" ht="13.2" x14ac:dyDescent="0.25">
      <c r="A515" s="7"/>
      <c r="E515" s="7"/>
      <c r="F515" s="7"/>
      <c r="G515" s="7"/>
      <c r="H515" s="7"/>
    </row>
    <row r="516" spans="1:8" ht="13.2" x14ac:dyDescent="0.25">
      <c r="A516" s="7"/>
      <c r="E516" s="7"/>
      <c r="F516" s="7"/>
      <c r="G516" s="7"/>
      <c r="H516" s="7"/>
    </row>
    <row r="517" spans="1:8" ht="13.2" x14ac:dyDescent="0.25">
      <c r="A517" s="7"/>
      <c r="E517" s="7"/>
      <c r="F517" s="7"/>
      <c r="G517" s="7"/>
      <c r="H517" s="7"/>
    </row>
    <row r="518" spans="1:8" ht="13.2" x14ac:dyDescent="0.25">
      <c r="A518" s="7"/>
      <c r="E518" s="7"/>
      <c r="F518" s="7"/>
      <c r="G518" s="7"/>
      <c r="H518" s="7"/>
    </row>
    <row r="519" spans="1:8" ht="13.2" x14ac:dyDescent="0.25">
      <c r="A519" s="7"/>
      <c r="E519" s="7"/>
      <c r="F519" s="7"/>
      <c r="G519" s="7"/>
      <c r="H519" s="7"/>
    </row>
    <row r="520" spans="1:8" ht="13.2" x14ac:dyDescent="0.25">
      <c r="A520" s="7"/>
      <c r="E520" s="7"/>
      <c r="F520" s="7"/>
      <c r="G520" s="7"/>
      <c r="H520" s="7"/>
    </row>
    <row r="521" spans="1:8" ht="13.2" x14ac:dyDescent="0.25">
      <c r="A521" s="7"/>
      <c r="E521" s="7"/>
      <c r="F521" s="7"/>
      <c r="G521" s="7"/>
      <c r="H521" s="7"/>
    </row>
    <row r="522" spans="1:8" ht="13.2" x14ac:dyDescent="0.25">
      <c r="A522" s="7"/>
      <c r="E522" s="7"/>
      <c r="F522" s="7"/>
      <c r="G522" s="7"/>
      <c r="H522" s="7"/>
    </row>
    <row r="523" spans="1:8" ht="13.2" x14ac:dyDescent="0.25">
      <c r="A523" s="7"/>
      <c r="E523" s="7"/>
      <c r="F523" s="7"/>
      <c r="G523" s="7"/>
      <c r="H523" s="7"/>
    </row>
    <row r="524" spans="1:8" ht="13.2" x14ac:dyDescent="0.25">
      <c r="A524" s="7"/>
      <c r="E524" s="7"/>
      <c r="F524" s="7"/>
      <c r="G524" s="7"/>
      <c r="H524" s="7"/>
    </row>
    <row r="525" spans="1:8" ht="13.2" x14ac:dyDescent="0.25">
      <c r="A525" s="7"/>
      <c r="E525" s="7"/>
      <c r="F525" s="7"/>
      <c r="G525" s="7"/>
      <c r="H525" s="7"/>
    </row>
    <row r="526" spans="1:8" ht="13.2" x14ac:dyDescent="0.25">
      <c r="A526" s="7"/>
      <c r="E526" s="7"/>
      <c r="F526" s="7"/>
      <c r="G526" s="7"/>
      <c r="H526" s="7"/>
    </row>
    <row r="527" spans="1:8" ht="13.2" x14ac:dyDescent="0.25">
      <c r="A527" s="7"/>
      <c r="E527" s="7"/>
      <c r="F527" s="7"/>
      <c r="G527" s="7"/>
      <c r="H527" s="7"/>
    </row>
    <row r="528" spans="1:8" ht="13.2" x14ac:dyDescent="0.25">
      <c r="A528" s="7"/>
      <c r="E528" s="7"/>
      <c r="F528" s="7"/>
      <c r="G528" s="7"/>
      <c r="H528" s="7"/>
    </row>
    <row r="529" spans="1:8" ht="13.2" x14ac:dyDescent="0.25">
      <c r="A529" s="7"/>
      <c r="E529" s="7"/>
      <c r="F529" s="7"/>
      <c r="G529" s="7"/>
      <c r="H529" s="7"/>
    </row>
    <row r="530" spans="1:8" ht="13.2" x14ac:dyDescent="0.25">
      <c r="A530" s="7"/>
      <c r="E530" s="7"/>
      <c r="F530" s="7"/>
      <c r="G530" s="7"/>
      <c r="H530" s="7"/>
    </row>
    <row r="531" spans="1:8" ht="13.2" x14ac:dyDescent="0.25">
      <c r="A531" s="7"/>
      <c r="E531" s="7"/>
      <c r="F531" s="7"/>
      <c r="G531" s="7"/>
      <c r="H531" s="7"/>
    </row>
    <row r="532" spans="1:8" ht="13.2" x14ac:dyDescent="0.25">
      <c r="A532" s="7"/>
      <c r="E532" s="7"/>
      <c r="F532" s="7"/>
      <c r="G532" s="7"/>
      <c r="H532" s="7"/>
    </row>
    <row r="533" spans="1:8" ht="13.2" x14ac:dyDescent="0.25">
      <c r="A533" s="7"/>
      <c r="E533" s="7"/>
      <c r="F533" s="7"/>
      <c r="G533" s="7"/>
      <c r="H533" s="7"/>
    </row>
    <row r="534" spans="1:8" ht="13.2" x14ac:dyDescent="0.25">
      <c r="A534" s="7"/>
      <c r="E534" s="7"/>
      <c r="F534" s="7"/>
      <c r="G534" s="7"/>
      <c r="H534" s="7"/>
    </row>
    <row r="535" spans="1:8" ht="13.2" x14ac:dyDescent="0.25">
      <c r="A535" s="7"/>
      <c r="E535" s="7"/>
      <c r="F535" s="7"/>
      <c r="G535" s="7"/>
      <c r="H535" s="7"/>
    </row>
    <row r="536" spans="1:8" ht="13.2" x14ac:dyDescent="0.25">
      <c r="A536" s="7"/>
      <c r="E536" s="7"/>
      <c r="F536" s="7"/>
      <c r="G536" s="7"/>
      <c r="H536" s="7"/>
    </row>
    <row r="537" spans="1:8" ht="13.2" x14ac:dyDescent="0.25">
      <c r="A537" s="7"/>
      <c r="E537" s="7"/>
      <c r="F537" s="7"/>
      <c r="G537" s="7"/>
      <c r="H537" s="7"/>
    </row>
    <row r="538" spans="1:8" ht="13.2" x14ac:dyDescent="0.25">
      <c r="A538" s="7"/>
      <c r="E538" s="7"/>
      <c r="F538" s="7"/>
      <c r="G538" s="7"/>
      <c r="H538" s="7"/>
    </row>
    <row r="539" spans="1:8" ht="13.2" x14ac:dyDescent="0.25">
      <c r="A539" s="7"/>
      <c r="E539" s="7"/>
      <c r="F539" s="7"/>
      <c r="G539" s="7"/>
      <c r="H539" s="7"/>
    </row>
    <row r="540" spans="1:8" ht="13.2" x14ac:dyDescent="0.25">
      <c r="A540" s="7"/>
      <c r="E540" s="7"/>
      <c r="F540" s="7"/>
      <c r="G540" s="7"/>
      <c r="H540" s="7"/>
    </row>
    <row r="541" spans="1:8" ht="13.2" x14ac:dyDescent="0.25">
      <c r="A541" s="7"/>
      <c r="E541" s="7"/>
      <c r="F541" s="7"/>
      <c r="G541" s="7"/>
      <c r="H541" s="7"/>
    </row>
    <row r="542" spans="1:8" ht="13.2" x14ac:dyDescent="0.25">
      <c r="A542" s="7"/>
      <c r="E542" s="7"/>
      <c r="F542" s="7"/>
      <c r="G542" s="7"/>
      <c r="H542" s="7"/>
    </row>
    <row r="543" spans="1:8" ht="13.2" x14ac:dyDescent="0.25">
      <c r="A543" s="7"/>
      <c r="E543" s="7"/>
      <c r="F543" s="7"/>
      <c r="G543" s="7"/>
      <c r="H543" s="7"/>
    </row>
    <row r="544" spans="1:8" ht="13.2" x14ac:dyDescent="0.25">
      <c r="A544" s="7"/>
      <c r="E544" s="7"/>
      <c r="F544" s="7"/>
      <c r="G544" s="7"/>
      <c r="H544" s="7"/>
    </row>
    <row r="545" spans="1:8" ht="13.2" x14ac:dyDescent="0.25">
      <c r="A545" s="7"/>
      <c r="E545" s="7"/>
      <c r="F545" s="7"/>
      <c r="G545" s="7"/>
      <c r="H545" s="7"/>
    </row>
    <row r="546" spans="1:8" ht="13.2" x14ac:dyDescent="0.25">
      <c r="A546" s="7"/>
      <c r="E546" s="7"/>
      <c r="F546" s="7"/>
      <c r="G546" s="7"/>
      <c r="H546" s="7"/>
    </row>
    <row r="547" spans="1:8" ht="13.2" x14ac:dyDescent="0.25">
      <c r="A547" s="7"/>
      <c r="E547" s="7"/>
      <c r="F547" s="7"/>
      <c r="G547" s="7"/>
      <c r="H547" s="7"/>
    </row>
    <row r="548" spans="1:8" ht="13.2" x14ac:dyDescent="0.25">
      <c r="A548" s="7"/>
      <c r="E548" s="7"/>
      <c r="F548" s="7"/>
      <c r="G548" s="7"/>
      <c r="H548" s="7"/>
    </row>
    <row r="549" spans="1:8" ht="13.2" x14ac:dyDescent="0.25">
      <c r="A549" s="7"/>
      <c r="E549" s="7"/>
      <c r="F549" s="7"/>
      <c r="G549" s="7"/>
      <c r="H549" s="7"/>
    </row>
    <row r="550" spans="1:8" ht="13.2" x14ac:dyDescent="0.25">
      <c r="A550" s="7"/>
      <c r="E550" s="7"/>
      <c r="F550" s="7"/>
      <c r="G550" s="7"/>
      <c r="H550" s="7"/>
    </row>
    <row r="551" spans="1:8" ht="13.2" x14ac:dyDescent="0.25">
      <c r="A551" s="7"/>
      <c r="E551" s="7"/>
      <c r="F551" s="7"/>
      <c r="G551" s="7"/>
      <c r="H551" s="7"/>
    </row>
    <row r="552" spans="1:8" ht="13.2" x14ac:dyDescent="0.25">
      <c r="A552" s="7"/>
      <c r="E552" s="7"/>
      <c r="F552" s="7"/>
      <c r="G552" s="7"/>
      <c r="H552" s="7"/>
    </row>
    <row r="553" spans="1:8" ht="13.2" x14ac:dyDescent="0.25">
      <c r="A553" s="7"/>
      <c r="E553" s="7"/>
      <c r="F553" s="7"/>
      <c r="G553" s="7"/>
      <c r="H553" s="7"/>
    </row>
    <row r="554" spans="1:8" ht="13.2" x14ac:dyDescent="0.25">
      <c r="A554" s="7"/>
      <c r="E554" s="7"/>
      <c r="F554" s="7"/>
      <c r="G554" s="7"/>
      <c r="H554" s="7"/>
    </row>
    <row r="555" spans="1:8" ht="13.2" x14ac:dyDescent="0.25">
      <c r="A555" s="7"/>
      <c r="E555" s="7"/>
      <c r="F555" s="7"/>
      <c r="G555" s="7"/>
      <c r="H555" s="7"/>
    </row>
    <row r="556" spans="1:8" ht="13.2" x14ac:dyDescent="0.25">
      <c r="A556" s="7"/>
      <c r="E556" s="7"/>
      <c r="F556" s="7"/>
      <c r="G556" s="7"/>
      <c r="H556" s="7"/>
    </row>
    <row r="557" spans="1:8" ht="13.2" x14ac:dyDescent="0.25">
      <c r="A557" s="7"/>
      <c r="E557" s="7"/>
      <c r="F557" s="7"/>
      <c r="G557" s="7"/>
      <c r="H557" s="7"/>
    </row>
    <row r="558" spans="1:8" ht="13.2" x14ac:dyDescent="0.25">
      <c r="A558" s="7"/>
      <c r="E558" s="7"/>
      <c r="F558" s="7"/>
      <c r="G558" s="7"/>
      <c r="H558" s="7"/>
    </row>
    <row r="559" spans="1:8" ht="13.2" x14ac:dyDescent="0.25">
      <c r="A559" s="7"/>
      <c r="E559" s="7"/>
      <c r="F559" s="7"/>
      <c r="G559" s="7"/>
      <c r="H559" s="7"/>
    </row>
    <row r="560" spans="1:8" ht="13.2" x14ac:dyDescent="0.25">
      <c r="A560" s="7"/>
      <c r="E560" s="7"/>
      <c r="F560" s="7"/>
      <c r="G560" s="7"/>
      <c r="H560" s="7"/>
    </row>
    <row r="561" spans="1:8" ht="13.2" x14ac:dyDescent="0.25">
      <c r="A561" s="7"/>
      <c r="E561" s="7"/>
      <c r="F561" s="7"/>
      <c r="G561" s="7"/>
      <c r="H561" s="7"/>
    </row>
    <row r="562" spans="1:8" ht="13.2" x14ac:dyDescent="0.25">
      <c r="A562" s="7"/>
      <c r="E562" s="7"/>
      <c r="F562" s="7"/>
      <c r="G562" s="7"/>
      <c r="H562" s="7"/>
    </row>
    <row r="563" spans="1:8" ht="13.2" x14ac:dyDescent="0.25">
      <c r="A563" s="7"/>
      <c r="E563" s="7"/>
      <c r="F563" s="7"/>
      <c r="G563" s="7"/>
      <c r="H563" s="7"/>
    </row>
    <row r="564" spans="1:8" ht="13.2" x14ac:dyDescent="0.25">
      <c r="A564" s="7"/>
      <c r="E564" s="7"/>
      <c r="F564" s="7"/>
      <c r="G564" s="7"/>
      <c r="H564" s="7"/>
    </row>
    <row r="565" spans="1:8" ht="13.2" x14ac:dyDescent="0.25">
      <c r="A565" s="7"/>
      <c r="E565" s="7"/>
      <c r="F565" s="7"/>
      <c r="G565" s="7"/>
      <c r="H565" s="7"/>
    </row>
    <row r="566" spans="1:8" ht="13.2" x14ac:dyDescent="0.25">
      <c r="A566" s="7"/>
      <c r="E566" s="7"/>
      <c r="F566" s="7"/>
      <c r="G566" s="7"/>
      <c r="H566" s="7"/>
    </row>
    <row r="567" spans="1:8" ht="13.2" x14ac:dyDescent="0.25">
      <c r="A567" s="7"/>
      <c r="E567" s="7"/>
      <c r="F567" s="7"/>
      <c r="G567" s="7"/>
      <c r="H567" s="7"/>
    </row>
    <row r="568" spans="1:8" ht="13.2" x14ac:dyDescent="0.25">
      <c r="A568" s="7"/>
      <c r="E568" s="7"/>
      <c r="F568" s="7"/>
      <c r="G568" s="7"/>
      <c r="H568" s="7"/>
    </row>
    <row r="569" spans="1:8" ht="13.2" x14ac:dyDescent="0.25">
      <c r="A569" s="7"/>
      <c r="E569" s="7"/>
      <c r="F569" s="7"/>
      <c r="G569" s="7"/>
      <c r="H569" s="7"/>
    </row>
    <row r="570" spans="1:8" ht="13.2" x14ac:dyDescent="0.25">
      <c r="A570" s="7"/>
      <c r="E570" s="7"/>
      <c r="F570" s="7"/>
      <c r="G570" s="7"/>
      <c r="H570" s="7"/>
    </row>
    <row r="571" spans="1:8" ht="13.2" x14ac:dyDescent="0.25">
      <c r="A571" s="7"/>
      <c r="E571" s="7"/>
      <c r="F571" s="7"/>
      <c r="G571" s="7"/>
      <c r="H571" s="7"/>
    </row>
    <row r="572" spans="1:8" ht="13.2" x14ac:dyDescent="0.25">
      <c r="A572" s="7"/>
      <c r="E572" s="7"/>
      <c r="F572" s="7"/>
      <c r="G572" s="7"/>
      <c r="H572" s="7"/>
    </row>
    <row r="573" spans="1:8" ht="13.2" x14ac:dyDescent="0.25">
      <c r="A573" s="7"/>
      <c r="E573" s="7"/>
      <c r="F573" s="7"/>
      <c r="G573" s="7"/>
      <c r="H573" s="7"/>
    </row>
    <row r="574" spans="1:8" ht="13.2" x14ac:dyDescent="0.25">
      <c r="A574" s="7"/>
      <c r="E574" s="7"/>
      <c r="F574" s="7"/>
      <c r="G574" s="7"/>
      <c r="H574" s="7"/>
    </row>
    <row r="575" spans="1:8" ht="13.2" x14ac:dyDescent="0.25">
      <c r="A575" s="7"/>
      <c r="E575" s="7"/>
      <c r="F575" s="7"/>
      <c r="G575" s="7"/>
      <c r="H575" s="7"/>
    </row>
    <row r="576" spans="1:8" ht="13.2" x14ac:dyDescent="0.25">
      <c r="A576" s="7"/>
      <c r="E576" s="7"/>
      <c r="F576" s="7"/>
      <c r="G576" s="7"/>
      <c r="H576" s="7"/>
    </row>
    <row r="577" spans="1:8" ht="13.2" x14ac:dyDescent="0.25">
      <c r="A577" s="7"/>
      <c r="E577" s="7"/>
      <c r="F577" s="7"/>
      <c r="G577" s="7"/>
      <c r="H577" s="7"/>
    </row>
    <row r="578" spans="1:8" ht="13.2" x14ac:dyDescent="0.25">
      <c r="A578" s="7"/>
      <c r="E578" s="7"/>
      <c r="F578" s="7"/>
      <c r="G578" s="7"/>
      <c r="H578" s="7"/>
    </row>
    <row r="579" spans="1:8" ht="13.2" x14ac:dyDescent="0.25">
      <c r="A579" s="7"/>
      <c r="E579" s="7"/>
      <c r="F579" s="7"/>
      <c r="G579" s="7"/>
      <c r="H579" s="7"/>
    </row>
    <row r="580" spans="1:8" ht="13.2" x14ac:dyDescent="0.25">
      <c r="A580" s="7"/>
      <c r="E580" s="7"/>
      <c r="F580" s="7"/>
      <c r="G580" s="7"/>
      <c r="H580" s="7"/>
    </row>
    <row r="581" spans="1:8" ht="13.2" x14ac:dyDescent="0.25">
      <c r="A581" s="7"/>
      <c r="E581" s="7"/>
      <c r="F581" s="7"/>
      <c r="G581" s="7"/>
      <c r="H581" s="7"/>
    </row>
    <row r="582" spans="1:8" ht="13.2" x14ac:dyDescent="0.25">
      <c r="A582" s="7"/>
      <c r="E582" s="7"/>
      <c r="F582" s="7"/>
      <c r="G582" s="7"/>
      <c r="H582" s="7"/>
    </row>
    <row r="583" spans="1:8" ht="13.2" x14ac:dyDescent="0.25">
      <c r="A583" s="7"/>
      <c r="E583" s="7"/>
      <c r="F583" s="7"/>
      <c r="G583" s="7"/>
      <c r="H583" s="7"/>
    </row>
    <row r="584" spans="1:8" ht="13.2" x14ac:dyDescent="0.25">
      <c r="A584" s="7"/>
      <c r="E584" s="7"/>
      <c r="F584" s="7"/>
      <c r="G584" s="7"/>
      <c r="H584" s="7"/>
    </row>
    <row r="585" spans="1:8" ht="13.2" x14ac:dyDescent="0.25">
      <c r="A585" s="7"/>
      <c r="E585" s="7"/>
      <c r="F585" s="7"/>
      <c r="G585" s="7"/>
      <c r="H585" s="7"/>
    </row>
    <row r="586" spans="1:8" ht="13.2" x14ac:dyDescent="0.25">
      <c r="A586" s="7"/>
      <c r="E586" s="7"/>
      <c r="F586" s="7"/>
      <c r="G586" s="7"/>
      <c r="H586" s="7"/>
    </row>
    <row r="587" spans="1:8" ht="13.2" x14ac:dyDescent="0.25">
      <c r="A587" s="7"/>
      <c r="E587" s="7"/>
      <c r="F587" s="7"/>
      <c r="G587" s="7"/>
      <c r="H587" s="7"/>
    </row>
    <row r="588" spans="1:8" ht="13.2" x14ac:dyDescent="0.25">
      <c r="A588" s="7"/>
      <c r="E588" s="7"/>
      <c r="F588" s="7"/>
      <c r="G588" s="7"/>
      <c r="H588" s="7"/>
    </row>
    <row r="589" spans="1:8" ht="13.2" x14ac:dyDescent="0.25">
      <c r="A589" s="7"/>
      <c r="E589" s="7"/>
      <c r="F589" s="7"/>
      <c r="G589" s="7"/>
      <c r="H589" s="7"/>
    </row>
    <row r="590" spans="1:8" ht="13.2" x14ac:dyDescent="0.25">
      <c r="A590" s="7"/>
      <c r="E590" s="7"/>
      <c r="F590" s="7"/>
      <c r="G590" s="7"/>
      <c r="H590" s="7"/>
    </row>
    <row r="591" spans="1:8" ht="13.2" x14ac:dyDescent="0.25">
      <c r="A591" s="7"/>
      <c r="E591" s="7"/>
      <c r="F591" s="7"/>
      <c r="G591" s="7"/>
      <c r="H591" s="7"/>
    </row>
    <row r="592" spans="1:8" ht="13.2" x14ac:dyDescent="0.25">
      <c r="A592" s="7"/>
      <c r="E592" s="7"/>
      <c r="F592" s="7"/>
      <c r="G592" s="7"/>
      <c r="H592" s="7"/>
    </row>
    <row r="593" spans="1:8" ht="13.2" x14ac:dyDescent="0.25">
      <c r="A593" s="7"/>
      <c r="E593" s="7"/>
      <c r="F593" s="7"/>
      <c r="G593" s="7"/>
      <c r="H593" s="7"/>
    </row>
    <row r="594" spans="1:8" ht="13.2" x14ac:dyDescent="0.25">
      <c r="A594" s="7"/>
      <c r="E594" s="7"/>
      <c r="F594" s="7"/>
      <c r="G594" s="7"/>
      <c r="H594" s="7"/>
    </row>
    <row r="595" spans="1:8" ht="13.2" x14ac:dyDescent="0.25">
      <c r="A595" s="7"/>
      <c r="E595" s="7"/>
      <c r="F595" s="7"/>
      <c r="G595" s="7"/>
      <c r="H595" s="7"/>
    </row>
    <row r="596" spans="1:8" ht="13.2" x14ac:dyDescent="0.25">
      <c r="A596" s="7"/>
      <c r="E596" s="7"/>
      <c r="F596" s="7"/>
      <c r="G596" s="7"/>
      <c r="H596" s="7"/>
    </row>
    <row r="597" spans="1:8" ht="13.2" x14ac:dyDescent="0.25">
      <c r="A597" s="7"/>
      <c r="E597" s="7"/>
      <c r="F597" s="7"/>
      <c r="G597" s="7"/>
      <c r="H597" s="7"/>
    </row>
    <row r="598" spans="1:8" ht="13.2" x14ac:dyDescent="0.25">
      <c r="A598" s="7"/>
      <c r="E598" s="7"/>
      <c r="F598" s="7"/>
      <c r="G598" s="7"/>
      <c r="H598" s="7"/>
    </row>
    <row r="599" spans="1:8" ht="13.2" x14ac:dyDescent="0.25">
      <c r="A599" s="7"/>
      <c r="E599" s="7"/>
      <c r="F599" s="7"/>
      <c r="G599" s="7"/>
      <c r="H599" s="7"/>
    </row>
    <row r="600" spans="1:8" ht="13.2" x14ac:dyDescent="0.25">
      <c r="A600" s="7"/>
      <c r="E600" s="7"/>
      <c r="F600" s="7"/>
      <c r="G600" s="7"/>
      <c r="H600" s="7"/>
    </row>
    <row r="601" spans="1:8" ht="13.2" x14ac:dyDescent="0.25">
      <c r="A601" s="7"/>
      <c r="E601" s="7"/>
      <c r="F601" s="7"/>
      <c r="G601" s="7"/>
      <c r="H601" s="7"/>
    </row>
    <row r="602" spans="1:8" ht="13.2" x14ac:dyDescent="0.25">
      <c r="A602" s="7"/>
      <c r="E602" s="7"/>
      <c r="F602" s="7"/>
      <c r="G602" s="7"/>
      <c r="H602" s="7"/>
    </row>
    <row r="603" spans="1:8" ht="13.2" x14ac:dyDescent="0.25">
      <c r="A603" s="7"/>
      <c r="E603" s="7"/>
      <c r="F603" s="7"/>
      <c r="G603" s="7"/>
      <c r="H603" s="7"/>
    </row>
    <row r="604" spans="1:8" ht="13.2" x14ac:dyDescent="0.25">
      <c r="A604" s="7"/>
      <c r="E604" s="7"/>
      <c r="F604" s="7"/>
      <c r="G604" s="7"/>
      <c r="H604" s="7"/>
    </row>
    <row r="605" spans="1:8" ht="13.2" x14ac:dyDescent="0.25">
      <c r="A605" s="7"/>
      <c r="E605" s="7"/>
      <c r="F605" s="7"/>
      <c r="G605" s="7"/>
      <c r="H605" s="7"/>
    </row>
    <row r="606" spans="1:8" ht="13.2" x14ac:dyDescent="0.25">
      <c r="A606" s="7"/>
      <c r="E606" s="7"/>
      <c r="F606" s="7"/>
      <c r="G606" s="7"/>
      <c r="H606" s="7"/>
    </row>
    <row r="607" spans="1:8" ht="13.2" x14ac:dyDescent="0.25">
      <c r="A607" s="7"/>
      <c r="E607" s="7"/>
      <c r="F607" s="7"/>
      <c r="G607" s="7"/>
      <c r="H607" s="7"/>
    </row>
    <row r="608" spans="1:8" ht="13.2" x14ac:dyDescent="0.25">
      <c r="A608" s="7"/>
      <c r="E608" s="7"/>
      <c r="F608" s="7"/>
      <c r="G608" s="7"/>
      <c r="H608" s="7"/>
    </row>
    <row r="609" spans="1:8" ht="13.2" x14ac:dyDescent="0.25">
      <c r="A609" s="7"/>
      <c r="E609" s="7"/>
      <c r="F609" s="7"/>
      <c r="G609" s="7"/>
      <c r="H609" s="7"/>
    </row>
    <row r="610" spans="1:8" ht="13.2" x14ac:dyDescent="0.25">
      <c r="A610" s="7"/>
      <c r="E610" s="7"/>
      <c r="F610" s="7"/>
      <c r="G610" s="7"/>
      <c r="H610" s="7"/>
    </row>
    <row r="611" spans="1:8" ht="13.2" x14ac:dyDescent="0.25">
      <c r="A611" s="7"/>
      <c r="E611" s="7"/>
      <c r="F611" s="7"/>
      <c r="G611" s="7"/>
      <c r="H611" s="7"/>
    </row>
    <row r="612" spans="1:8" ht="13.2" x14ac:dyDescent="0.25">
      <c r="A612" s="7"/>
      <c r="E612" s="7"/>
      <c r="F612" s="7"/>
      <c r="G612" s="7"/>
      <c r="H612" s="7"/>
    </row>
    <row r="613" spans="1:8" ht="13.2" x14ac:dyDescent="0.25">
      <c r="A613" s="7"/>
      <c r="E613" s="7"/>
      <c r="F613" s="7"/>
      <c r="G613" s="7"/>
      <c r="H613" s="7"/>
    </row>
    <row r="614" spans="1:8" ht="13.2" x14ac:dyDescent="0.25">
      <c r="A614" s="7"/>
      <c r="E614" s="7"/>
      <c r="F614" s="7"/>
      <c r="G614" s="7"/>
      <c r="H614" s="7"/>
    </row>
    <row r="615" spans="1:8" ht="13.2" x14ac:dyDescent="0.25">
      <c r="A615" s="7"/>
      <c r="E615" s="7"/>
      <c r="F615" s="7"/>
      <c r="G615" s="7"/>
      <c r="H615" s="7"/>
    </row>
    <row r="616" spans="1:8" ht="13.2" x14ac:dyDescent="0.25">
      <c r="A616" s="7"/>
      <c r="E616" s="7"/>
      <c r="F616" s="7"/>
      <c r="G616" s="7"/>
      <c r="H616" s="7"/>
    </row>
    <row r="617" spans="1:8" ht="13.2" x14ac:dyDescent="0.25">
      <c r="A617" s="7"/>
      <c r="E617" s="7"/>
      <c r="F617" s="7"/>
      <c r="G617" s="7"/>
      <c r="H617" s="7"/>
    </row>
    <row r="618" spans="1:8" ht="13.2" x14ac:dyDescent="0.25">
      <c r="A618" s="7"/>
      <c r="E618" s="7"/>
      <c r="F618" s="7"/>
      <c r="G618" s="7"/>
      <c r="H618" s="7"/>
    </row>
    <row r="619" spans="1:8" ht="13.2" x14ac:dyDescent="0.25">
      <c r="A619" s="7"/>
      <c r="E619" s="7"/>
      <c r="F619" s="7"/>
      <c r="G619" s="7"/>
      <c r="H619" s="7"/>
    </row>
    <row r="620" spans="1:8" ht="13.2" x14ac:dyDescent="0.25">
      <c r="A620" s="7"/>
      <c r="E620" s="7"/>
      <c r="F620" s="7"/>
      <c r="G620" s="7"/>
      <c r="H620" s="7"/>
    </row>
    <row r="621" spans="1:8" ht="13.2" x14ac:dyDescent="0.25">
      <c r="A621" s="7"/>
      <c r="E621" s="7"/>
      <c r="F621" s="7"/>
      <c r="G621" s="7"/>
      <c r="H621" s="7"/>
    </row>
    <row r="622" spans="1:8" ht="13.2" x14ac:dyDescent="0.25">
      <c r="A622" s="7"/>
      <c r="E622" s="7"/>
      <c r="F622" s="7"/>
      <c r="G622" s="7"/>
      <c r="H622" s="7"/>
    </row>
    <row r="623" spans="1:8" ht="13.2" x14ac:dyDescent="0.25">
      <c r="A623" s="7"/>
      <c r="E623" s="7"/>
      <c r="F623" s="7"/>
      <c r="G623" s="7"/>
      <c r="H623" s="7"/>
    </row>
    <row r="624" spans="1:8" ht="13.2" x14ac:dyDescent="0.25">
      <c r="A624" s="7"/>
      <c r="E624" s="7"/>
      <c r="F624" s="7"/>
      <c r="G624" s="7"/>
      <c r="H624" s="7"/>
    </row>
    <row r="625" spans="1:8" ht="13.2" x14ac:dyDescent="0.25">
      <c r="A625" s="7"/>
      <c r="E625" s="7"/>
      <c r="F625" s="7"/>
      <c r="G625" s="7"/>
      <c r="H625" s="7"/>
    </row>
    <row r="626" spans="1:8" ht="13.2" x14ac:dyDescent="0.25">
      <c r="A626" s="7"/>
      <c r="E626" s="7"/>
      <c r="F626" s="7"/>
      <c r="G626" s="7"/>
      <c r="H626" s="7"/>
    </row>
    <row r="627" spans="1:8" ht="13.2" x14ac:dyDescent="0.25">
      <c r="A627" s="7"/>
      <c r="E627" s="7"/>
      <c r="F627" s="7"/>
      <c r="G627" s="7"/>
      <c r="H627" s="7"/>
    </row>
    <row r="628" spans="1:8" ht="13.2" x14ac:dyDescent="0.25">
      <c r="A628" s="7"/>
      <c r="E628" s="7"/>
      <c r="F628" s="7"/>
      <c r="G628" s="7"/>
      <c r="H628" s="7"/>
    </row>
    <row r="629" spans="1:8" ht="13.2" x14ac:dyDescent="0.25">
      <c r="A629" s="7"/>
      <c r="E629" s="7"/>
      <c r="F629" s="7"/>
      <c r="G629" s="7"/>
      <c r="H629" s="7"/>
    </row>
    <row r="630" spans="1:8" ht="13.2" x14ac:dyDescent="0.25">
      <c r="A630" s="7"/>
      <c r="E630" s="7"/>
      <c r="F630" s="7"/>
      <c r="G630" s="7"/>
      <c r="H630" s="7"/>
    </row>
    <row r="631" spans="1:8" ht="13.2" x14ac:dyDescent="0.25">
      <c r="A631" s="7"/>
      <c r="E631" s="7"/>
      <c r="F631" s="7"/>
      <c r="G631" s="7"/>
      <c r="H631" s="7"/>
    </row>
    <row r="632" spans="1:8" ht="13.2" x14ac:dyDescent="0.25">
      <c r="A632" s="7"/>
      <c r="E632" s="7"/>
      <c r="F632" s="7"/>
      <c r="G632" s="7"/>
      <c r="H632" s="7"/>
    </row>
    <row r="633" spans="1:8" ht="13.2" x14ac:dyDescent="0.25">
      <c r="A633" s="7"/>
      <c r="E633" s="7"/>
      <c r="F633" s="7"/>
      <c r="G633" s="7"/>
      <c r="H633" s="7"/>
    </row>
    <row r="634" spans="1:8" ht="13.2" x14ac:dyDescent="0.25">
      <c r="A634" s="7"/>
      <c r="E634" s="7"/>
      <c r="F634" s="7"/>
      <c r="G634" s="7"/>
      <c r="H634" s="7"/>
    </row>
    <row r="635" spans="1:8" ht="13.2" x14ac:dyDescent="0.25">
      <c r="A635" s="7"/>
      <c r="E635" s="7"/>
      <c r="F635" s="7"/>
      <c r="G635" s="7"/>
      <c r="H635" s="7"/>
    </row>
    <row r="636" spans="1:8" ht="13.2" x14ac:dyDescent="0.25">
      <c r="A636" s="7"/>
      <c r="E636" s="7"/>
      <c r="F636" s="7"/>
      <c r="G636" s="7"/>
      <c r="H636" s="7"/>
    </row>
    <row r="637" spans="1:8" ht="13.2" x14ac:dyDescent="0.25">
      <c r="A637" s="7"/>
      <c r="E637" s="7"/>
      <c r="F637" s="7"/>
      <c r="G637" s="7"/>
      <c r="H637" s="7"/>
    </row>
    <row r="638" spans="1:8" ht="13.2" x14ac:dyDescent="0.25">
      <c r="A638" s="7"/>
      <c r="E638" s="7"/>
      <c r="F638" s="7"/>
      <c r="G638" s="7"/>
      <c r="H638" s="7"/>
    </row>
    <row r="639" spans="1:8" ht="13.2" x14ac:dyDescent="0.25">
      <c r="A639" s="7"/>
      <c r="E639" s="7"/>
      <c r="F639" s="7"/>
      <c r="G639" s="7"/>
      <c r="H639" s="7"/>
    </row>
    <row r="640" spans="1:8" ht="13.2" x14ac:dyDescent="0.25">
      <c r="A640" s="7"/>
      <c r="E640" s="7"/>
      <c r="F640" s="7"/>
      <c r="G640" s="7"/>
      <c r="H640" s="7"/>
    </row>
    <row r="641" spans="1:8" ht="13.2" x14ac:dyDescent="0.25">
      <c r="A641" s="7"/>
      <c r="E641" s="7"/>
      <c r="F641" s="7"/>
      <c r="G641" s="7"/>
      <c r="H641" s="7"/>
    </row>
    <row r="642" spans="1:8" ht="13.2" x14ac:dyDescent="0.25">
      <c r="A642" s="7"/>
      <c r="E642" s="7"/>
      <c r="F642" s="7"/>
      <c r="G642" s="7"/>
      <c r="H642" s="7"/>
    </row>
    <row r="643" spans="1:8" ht="13.2" x14ac:dyDescent="0.25">
      <c r="A643" s="7"/>
      <c r="E643" s="7"/>
      <c r="F643" s="7"/>
      <c r="G643" s="7"/>
      <c r="H643" s="7"/>
    </row>
    <row r="644" spans="1:8" ht="13.2" x14ac:dyDescent="0.25">
      <c r="A644" s="7"/>
      <c r="E644" s="7"/>
      <c r="F644" s="7"/>
      <c r="G644" s="7"/>
      <c r="H644" s="7"/>
    </row>
    <row r="645" spans="1:8" ht="13.2" x14ac:dyDescent="0.25">
      <c r="A645" s="7"/>
      <c r="E645" s="7"/>
      <c r="F645" s="7"/>
      <c r="G645" s="7"/>
      <c r="H645" s="7"/>
    </row>
    <row r="646" spans="1:8" ht="13.2" x14ac:dyDescent="0.25">
      <c r="A646" s="7"/>
      <c r="E646" s="7"/>
      <c r="F646" s="7"/>
      <c r="G646" s="7"/>
      <c r="H646" s="7"/>
    </row>
    <row r="647" spans="1:8" ht="13.2" x14ac:dyDescent="0.25">
      <c r="A647" s="7"/>
      <c r="E647" s="7"/>
      <c r="F647" s="7"/>
      <c r="G647" s="7"/>
      <c r="H647" s="7"/>
    </row>
    <row r="648" spans="1:8" ht="13.2" x14ac:dyDescent="0.25">
      <c r="A648" s="7"/>
      <c r="E648" s="7"/>
      <c r="F648" s="7"/>
      <c r="G648" s="7"/>
      <c r="H648" s="7"/>
    </row>
    <row r="649" spans="1:8" ht="13.2" x14ac:dyDescent="0.25">
      <c r="A649" s="7"/>
      <c r="E649" s="7"/>
      <c r="F649" s="7"/>
      <c r="G649" s="7"/>
      <c r="H649" s="7"/>
    </row>
    <row r="650" spans="1:8" ht="13.2" x14ac:dyDescent="0.25">
      <c r="A650" s="7"/>
      <c r="E650" s="7"/>
      <c r="F650" s="7"/>
      <c r="G650" s="7"/>
      <c r="H650" s="7"/>
    </row>
    <row r="651" spans="1:8" ht="13.2" x14ac:dyDescent="0.25">
      <c r="A651" s="7"/>
      <c r="E651" s="7"/>
      <c r="F651" s="7"/>
      <c r="G651" s="7"/>
      <c r="H651" s="7"/>
    </row>
    <row r="652" spans="1:8" ht="13.2" x14ac:dyDescent="0.25">
      <c r="A652" s="7"/>
      <c r="E652" s="7"/>
      <c r="F652" s="7"/>
      <c r="G652" s="7"/>
      <c r="H652" s="7"/>
    </row>
    <row r="653" spans="1:8" ht="13.2" x14ac:dyDescent="0.25">
      <c r="A653" s="7"/>
      <c r="E653" s="7"/>
      <c r="F653" s="7"/>
      <c r="G653" s="7"/>
      <c r="H653" s="7"/>
    </row>
    <row r="654" spans="1:8" ht="13.2" x14ac:dyDescent="0.25">
      <c r="A654" s="7"/>
      <c r="E654" s="7"/>
      <c r="F654" s="7"/>
      <c r="G654" s="7"/>
      <c r="H654" s="7"/>
    </row>
    <row r="655" spans="1:8" ht="13.2" x14ac:dyDescent="0.25">
      <c r="A655" s="7"/>
      <c r="E655" s="7"/>
      <c r="F655" s="7"/>
      <c r="G655" s="7"/>
      <c r="H655" s="7"/>
    </row>
    <row r="656" spans="1:8" ht="13.2" x14ac:dyDescent="0.25">
      <c r="A656" s="7"/>
      <c r="E656" s="7"/>
      <c r="F656" s="7"/>
      <c r="G656" s="7"/>
      <c r="H656" s="7"/>
    </row>
    <row r="657" spans="1:8" ht="13.2" x14ac:dyDescent="0.25">
      <c r="A657" s="7"/>
      <c r="E657" s="7"/>
      <c r="F657" s="7"/>
      <c r="G657" s="7"/>
      <c r="H657" s="7"/>
    </row>
    <row r="658" spans="1:8" ht="13.2" x14ac:dyDescent="0.25">
      <c r="A658" s="7"/>
      <c r="E658" s="7"/>
      <c r="F658" s="7"/>
      <c r="G658" s="7"/>
      <c r="H658" s="7"/>
    </row>
    <row r="659" spans="1:8" ht="13.2" x14ac:dyDescent="0.25">
      <c r="A659" s="7"/>
      <c r="E659" s="7"/>
      <c r="F659" s="7"/>
      <c r="G659" s="7"/>
      <c r="H659" s="7"/>
    </row>
    <row r="660" spans="1:8" ht="13.2" x14ac:dyDescent="0.25">
      <c r="A660" s="7"/>
      <c r="E660" s="7"/>
      <c r="F660" s="7"/>
      <c r="G660" s="7"/>
      <c r="H660" s="7"/>
    </row>
    <row r="661" spans="1:8" ht="13.2" x14ac:dyDescent="0.25">
      <c r="A661" s="7"/>
      <c r="E661" s="7"/>
      <c r="F661" s="7"/>
      <c r="G661" s="7"/>
      <c r="H661" s="7"/>
    </row>
    <row r="662" spans="1:8" ht="13.2" x14ac:dyDescent="0.25">
      <c r="A662" s="7"/>
      <c r="E662" s="7"/>
      <c r="F662" s="7"/>
      <c r="G662" s="7"/>
      <c r="H662" s="7"/>
    </row>
    <row r="663" spans="1:8" ht="13.2" x14ac:dyDescent="0.25">
      <c r="A663" s="7"/>
      <c r="E663" s="7"/>
      <c r="F663" s="7"/>
      <c r="G663" s="7"/>
      <c r="H663" s="7"/>
    </row>
    <row r="664" spans="1:8" ht="13.2" x14ac:dyDescent="0.25">
      <c r="A664" s="7"/>
      <c r="E664" s="7"/>
      <c r="F664" s="7"/>
      <c r="G664" s="7"/>
      <c r="H664" s="7"/>
    </row>
    <row r="665" spans="1:8" ht="13.2" x14ac:dyDescent="0.25">
      <c r="A665" s="7"/>
      <c r="E665" s="7"/>
      <c r="F665" s="7"/>
      <c r="G665" s="7"/>
      <c r="H665" s="7"/>
    </row>
    <row r="666" spans="1:8" ht="13.2" x14ac:dyDescent="0.25">
      <c r="A666" s="7"/>
      <c r="E666" s="7"/>
      <c r="F666" s="7"/>
      <c r="G666" s="7"/>
      <c r="H666" s="7"/>
    </row>
    <row r="667" spans="1:8" ht="13.2" x14ac:dyDescent="0.25">
      <c r="A667" s="7"/>
      <c r="E667" s="7"/>
      <c r="F667" s="7"/>
      <c r="G667" s="7"/>
      <c r="H667" s="7"/>
    </row>
    <row r="668" spans="1:8" ht="13.2" x14ac:dyDescent="0.25">
      <c r="A668" s="7"/>
      <c r="E668" s="7"/>
      <c r="F668" s="7"/>
      <c r="G668" s="7"/>
      <c r="H668" s="7"/>
    </row>
    <row r="669" spans="1:8" ht="13.2" x14ac:dyDescent="0.25">
      <c r="A669" s="7"/>
      <c r="E669" s="7"/>
      <c r="F669" s="7"/>
      <c r="G669" s="7"/>
      <c r="H669" s="7"/>
    </row>
    <row r="670" spans="1:8" ht="13.2" x14ac:dyDescent="0.25">
      <c r="A670" s="7"/>
      <c r="E670" s="7"/>
      <c r="F670" s="7"/>
      <c r="G670" s="7"/>
      <c r="H670" s="7"/>
    </row>
    <row r="671" spans="1:8" ht="13.2" x14ac:dyDescent="0.25">
      <c r="A671" s="7"/>
      <c r="E671" s="7"/>
      <c r="F671" s="7"/>
      <c r="G671" s="7"/>
      <c r="H671" s="7"/>
    </row>
    <row r="672" spans="1:8" ht="13.2" x14ac:dyDescent="0.25">
      <c r="A672" s="7"/>
      <c r="E672" s="7"/>
      <c r="F672" s="7"/>
      <c r="G672" s="7"/>
      <c r="H672" s="7"/>
    </row>
    <row r="673" spans="1:8" ht="13.2" x14ac:dyDescent="0.25">
      <c r="A673" s="7"/>
      <c r="E673" s="7"/>
      <c r="F673" s="7"/>
      <c r="G673" s="7"/>
      <c r="H673" s="7"/>
    </row>
    <row r="674" spans="1:8" ht="13.2" x14ac:dyDescent="0.25">
      <c r="A674" s="7"/>
      <c r="E674" s="7"/>
      <c r="F674" s="7"/>
      <c r="G674" s="7"/>
      <c r="H674" s="7"/>
    </row>
    <row r="675" spans="1:8" ht="13.2" x14ac:dyDescent="0.25">
      <c r="A675" s="7"/>
      <c r="E675" s="7"/>
      <c r="F675" s="7"/>
      <c r="G675" s="7"/>
      <c r="H675" s="7"/>
    </row>
    <row r="676" spans="1:8" ht="13.2" x14ac:dyDescent="0.25">
      <c r="A676" s="7"/>
      <c r="E676" s="7"/>
      <c r="F676" s="7"/>
      <c r="G676" s="7"/>
      <c r="H676" s="7"/>
    </row>
    <row r="677" spans="1:8" ht="13.2" x14ac:dyDescent="0.25">
      <c r="A677" s="7"/>
      <c r="E677" s="7"/>
      <c r="F677" s="7"/>
      <c r="G677" s="7"/>
      <c r="H677" s="7"/>
    </row>
    <row r="678" spans="1:8" ht="13.2" x14ac:dyDescent="0.25">
      <c r="A678" s="7"/>
      <c r="E678" s="7"/>
      <c r="F678" s="7"/>
      <c r="G678" s="7"/>
      <c r="H678" s="7"/>
    </row>
    <row r="679" spans="1:8" ht="13.2" x14ac:dyDescent="0.25">
      <c r="A679" s="7"/>
      <c r="E679" s="7"/>
      <c r="F679" s="7"/>
      <c r="G679" s="7"/>
      <c r="H679" s="7"/>
    </row>
    <row r="680" spans="1:8" ht="13.2" x14ac:dyDescent="0.25">
      <c r="A680" s="7"/>
      <c r="E680" s="7"/>
      <c r="F680" s="7"/>
      <c r="G680" s="7"/>
      <c r="H680" s="7"/>
    </row>
    <row r="681" spans="1:8" ht="13.2" x14ac:dyDescent="0.25">
      <c r="A681" s="7"/>
      <c r="E681" s="7"/>
      <c r="F681" s="7"/>
      <c r="G681" s="7"/>
      <c r="H681" s="7"/>
    </row>
    <row r="682" spans="1:8" ht="13.2" x14ac:dyDescent="0.25">
      <c r="A682" s="7"/>
      <c r="E682" s="7"/>
      <c r="F682" s="7"/>
      <c r="G682" s="7"/>
      <c r="H682" s="7"/>
    </row>
    <row r="683" spans="1:8" ht="13.2" x14ac:dyDescent="0.25">
      <c r="A683" s="7"/>
      <c r="E683" s="7"/>
      <c r="F683" s="7"/>
      <c r="G683" s="7"/>
      <c r="H683" s="7"/>
    </row>
    <row r="684" spans="1:8" ht="13.2" x14ac:dyDescent="0.25">
      <c r="A684" s="7"/>
      <c r="E684" s="7"/>
      <c r="F684" s="7"/>
      <c r="G684" s="7"/>
      <c r="H684" s="7"/>
    </row>
    <row r="685" spans="1:8" ht="13.2" x14ac:dyDescent="0.25">
      <c r="A685" s="7"/>
      <c r="E685" s="7"/>
      <c r="F685" s="7"/>
      <c r="G685" s="7"/>
      <c r="H685" s="7"/>
    </row>
    <row r="686" spans="1:8" ht="13.2" x14ac:dyDescent="0.25">
      <c r="A686" s="7"/>
      <c r="E686" s="7"/>
      <c r="F686" s="7"/>
      <c r="G686" s="7"/>
      <c r="H686" s="7"/>
    </row>
    <row r="687" spans="1:8" ht="13.2" x14ac:dyDescent="0.25">
      <c r="A687" s="7"/>
      <c r="E687" s="7"/>
      <c r="F687" s="7"/>
      <c r="G687" s="7"/>
      <c r="H687" s="7"/>
    </row>
    <row r="688" spans="1:8" ht="13.2" x14ac:dyDescent="0.25">
      <c r="A688" s="7"/>
      <c r="E688" s="7"/>
      <c r="F688" s="7"/>
      <c r="G688" s="7"/>
      <c r="H688" s="7"/>
    </row>
    <row r="689" spans="1:8" ht="13.2" x14ac:dyDescent="0.25">
      <c r="A689" s="7"/>
      <c r="E689" s="7"/>
      <c r="F689" s="7"/>
      <c r="G689" s="7"/>
      <c r="H689" s="7"/>
    </row>
    <row r="690" spans="1:8" ht="13.2" x14ac:dyDescent="0.25">
      <c r="A690" s="7"/>
      <c r="E690" s="7"/>
      <c r="F690" s="7"/>
      <c r="G690" s="7"/>
      <c r="H690" s="7"/>
    </row>
    <row r="691" spans="1:8" ht="13.2" x14ac:dyDescent="0.25">
      <c r="A691" s="7"/>
      <c r="E691" s="7"/>
      <c r="F691" s="7"/>
      <c r="G691" s="7"/>
      <c r="H691" s="7"/>
    </row>
    <row r="692" spans="1:8" ht="13.2" x14ac:dyDescent="0.25">
      <c r="A692" s="7"/>
      <c r="E692" s="7"/>
      <c r="F692" s="7"/>
      <c r="G692" s="7"/>
      <c r="H692" s="7"/>
    </row>
    <row r="693" spans="1:8" ht="13.2" x14ac:dyDescent="0.25">
      <c r="A693" s="7"/>
      <c r="E693" s="7"/>
      <c r="F693" s="7"/>
      <c r="G693" s="7"/>
      <c r="H693" s="7"/>
    </row>
    <row r="694" spans="1:8" ht="13.2" x14ac:dyDescent="0.25">
      <c r="A694" s="7"/>
      <c r="E694" s="7"/>
      <c r="F694" s="7"/>
      <c r="G694" s="7"/>
      <c r="H694" s="7"/>
    </row>
    <row r="695" spans="1:8" ht="13.2" x14ac:dyDescent="0.25">
      <c r="A695" s="7"/>
      <c r="E695" s="7"/>
      <c r="F695" s="7"/>
      <c r="G695" s="7"/>
      <c r="H695" s="7"/>
    </row>
    <row r="696" spans="1:8" ht="13.2" x14ac:dyDescent="0.25">
      <c r="A696" s="7"/>
      <c r="E696" s="7"/>
      <c r="F696" s="7"/>
      <c r="G696" s="7"/>
      <c r="H696" s="7"/>
    </row>
    <row r="697" spans="1:8" ht="13.2" x14ac:dyDescent="0.25">
      <c r="A697" s="7"/>
      <c r="E697" s="7"/>
      <c r="F697" s="7"/>
      <c r="G697" s="7"/>
      <c r="H697" s="7"/>
    </row>
    <row r="698" spans="1:8" ht="13.2" x14ac:dyDescent="0.25">
      <c r="A698" s="7"/>
      <c r="E698" s="7"/>
      <c r="F698" s="7"/>
      <c r="G698" s="7"/>
      <c r="H698" s="7"/>
    </row>
    <row r="699" spans="1:8" ht="13.2" x14ac:dyDescent="0.25">
      <c r="A699" s="7"/>
      <c r="E699" s="7"/>
      <c r="F699" s="7"/>
      <c r="G699" s="7"/>
      <c r="H699" s="7"/>
    </row>
    <row r="700" spans="1:8" ht="13.2" x14ac:dyDescent="0.25">
      <c r="A700" s="7"/>
      <c r="E700" s="7"/>
      <c r="F700" s="7"/>
      <c r="G700" s="7"/>
      <c r="H700" s="7"/>
    </row>
    <row r="701" spans="1:8" ht="13.2" x14ac:dyDescent="0.25">
      <c r="A701" s="7"/>
      <c r="E701" s="7"/>
      <c r="F701" s="7"/>
      <c r="G701" s="7"/>
      <c r="H701" s="7"/>
    </row>
    <row r="702" spans="1:8" ht="13.2" x14ac:dyDescent="0.25">
      <c r="A702" s="7"/>
      <c r="E702" s="7"/>
      <c r="F702" s="7"/>
      <c r="G702" s="7"/>
      <c r="H702" s="7"/>
    </row>
    <row r="703" spans="1:8" ht="13.2" x14ac:dyDescent="0.25">
      <c r="A703" s="7"/>
      <c r="E703" s="7"/>
      <c r="F703" s="7"/>
      <c r="G703" s="7"/>
      <c r="H703" s="7"/>
    </row>
    <row r="704" spans="1:8" ht="13.2" x14ac:dyDescent="0.25">
      <c r="A704" s="7"/>
      <c r="E704" s="7"/>
      <c r="F704" s="7"/>
      <c r="G704" s="7"/>
      <c r="H704" s="7"/>
    </row>
    <row r="705" spans="1:8" ht="13.2" x14ac:dyDescent="0.25">
      <c r="A705" s="7"/>
      <c r="E705" s="7"/>
      <c r="F705" s="7"/>
      <c r="G705" s="7"/>
      <c r="H705" s="7"/>
    </row>
    <row r="706" spans="1:8" ht="13.2" x14ac:dyDescent="0.25">
      <c r="A706" s="7"/>
      <c r="E706" s="7"/>
      <c r="F706" s="7"/>
      <c r="G706" s="7"/>
      <c r="H706" s="7"/>
    </row>
    <row r="707" spans="1:8" ht="13.2" x14ac:dyDescent="0.25">
      <c r="A707" s="7"/>
      <c r="E707" s="7"/>
      <c r="F707" s="7"/>
      <c r="G707" s="7"/>
      <c r="H707" s="7"/>
    </row>
    <row r="708" spans="1:8" ht="13.2" x14ac:dyDescent="0.25">
      <c r="A708" s="7"/>
      <c r="E708" s="7"/>
      <c r="F708" s="7"/>
      <c r="G708" s="7"/>
      <c r="H708" s="7"/>
    </row>
    <row r="709" spans="1:8" ht="13.2" x14ac:dyDescent="0.25">
      <c r="A709" s="7"/>
      <c r="E709" s="7"/>
      <c r="F709" s="7"/>
      <c r="G709" s="7"/>
      <c r="H709" s="7"/>
    </row>
    <row r="710" spans="1:8" ht="13.2" x14ac:dyDescent="0.25">
      <c r="A710" s="7"/>
      <c r="E710" s="7"/>
      <c r="F710" s="7"/>
      <c r="G710" s="7"/>
      <c r="H710" s="7"/>
    </row>
    <row r="711" spans="1:8" ht="13.2" x14ac:dyDescent="0.25">
      <c r="A711" s="7"/>
      <c r="E711" s="7"/>
      <c r="F711" s="7"/>
      <c r="G711" s="7"/>
      <c r="H711" s="7"/>
    </row>
    <row r="712" spans="1:8" ht="13.2" x14ac:dyDescent="0.25">
      <c r="A712" s="7"/>
      <c r="E712" s="7"/>
      <c r="F712" s="7"/>
      <c r="G712" s="7"/>
      <c r="H712" s="7"/>
    </row>
    <row r="713" spans="1:8" ht="13.2" x14ac:dyDescent="0.25">
      <c r="A713" s="7"/>
      <c r="E713" s="7"/>
      <c r="F713" s="7"/>
      <c r="G713" s="7"/>
      <c r="H713" s="7"/>
    </row>
    <row r="714" spans="1:8" ht="13.2" x14ac:dyDescent="0.25">
      <c r="A714" s="7"/>
      <c r="E714" s="7"/>
      <c r="F714" s="7"/>
      <c r="G714" s="7"/>
      <c r="H714" s="7"/>
    </row>
    <row r="715" spans="1:8" ht="13.2" x14ac:dyDescent="0.25">
      <c r="A715" s="7"/>
      <c r="E715" s="7"/>
      <c r="F715" s="7"/>
      <c r="G715" s="7"/>
      <c r="H715" s="7"/>
    </row>
    <row r="716" spans="1:8" ht="13.2" x14ac:dyDescent="0.25">
      <c r="A716" s="7"/>
      <c r="E716" s="7"/>
      <c r="F716" s="7"/>
      <c r="G716" s="7"/>
      <c r="H716" s="7"/>
    </row>
    <row r="717" spans="1:8" ht="13.2" x14ac:dyDescent="0.25">
      <c r="A717" s="7"/>
      <c r="E717" s="7"/>
      <c r="F717" s="7"/>
      <c r="G717" s="7"/>
      <c r="H717" s="7"/>
    </row>
    <row r="718" spans="1:8" ht="13.2" x14ac:dyDescent="0.25">
      <c r="A718" s="7"/>
      <c r="E718" s="7"/>
      <c r="F718" s="7"/>
      <c r="G718" s="7"/>
      <c r="H718" s="7"/>
    </row>
    <row r="719" spans="1:8" ht="13.2" x14ac:dyDescent="0.25">
      <c r="A719" s="7"/>
      <c r="E719" s="7"/>
      <c r="F719" s="7"/>
      <c r="G719" s="7"/>
      <c r="H719" s="7"/>
    </row>
    <row r="720" spans="1:8" ht="13.2" x14ac:dyDescent="0.25">
      <c r="A720" s="7"/>
      <c r="E720" s="7"/>
      <c r="F720" s="7"/>
      <c r="G720" s="7"/>
      <c r="H720" s="7"/>
    </row>
    <row r="721" spans="1:8" ht="13.2" x14ac:dyDescent="0.25">
      <c r="A721" s="7"/>
      <c r="E721" s="7"/>
      <c r="F721" s="7"/>
      <c r="G721" s="7"/>
      <c r="H721" s="7"/>
    </row>
    <row r="722" spans="1:8" ht="13.2" x14ac:dyDescent="0.25">
      <c r="A722" s="7"/>
      <c r="E722" s="7"/>
      <c r="F722" s="7"/>
      <c r="G722" s="7"/>
      <c r="H722" s="7"/>
    </row>
    <row r="723" spans="1:8" ht="13.2" x14ac:dyDescent="0.25">
      <c r="A723" s="7"/>
      <c r="E723" s="7"/>
      <c r="F723" s="7"/>
      <c r="G723" s="7"/>
      <c r="H723" s="7"/>
    </row>
    <row r="724" spans="1:8" ht="13.2" x14ac:dyDescent="0.25">
      <c r="A724" s="7"/>
      <c r="E724" s="7"/>
      <c r="F724" s="7"/>
      <c r="G724" s="7"/>
      <c r="H724" s="7"/>
    </row>
    <row r="725" spans="1:8" ht="13.2" x14ac:dyDescent="0.25">
      <c r="A725" s="7"/>
      <c r="E725" s="7"/>
      <c r="F725" s="7"/>
      <c r="G725" s="7"/>
      <c r="H725" s="7"/>
    </row>
    <row r="726" spans="1:8" ht="13.2" x14ac:dyDescent="0.25">
      <c r="A726" s="7"/>
      <c r="E726" s="7"/>
      <c r="F726" s="7"/>
      <c r="G726" s="7"/>
      <c r="H726" s="7"/>
    </row>
    <row r="727" spans="1:8" ht="13.2" x14ac:dyDescent="0.25">
      <c r="A727" s="7"/>
      <c r="E727" s="7"/>
      <c r="F727" s="7"/>
      <c r="G727" s="7"/>
      <c r="H727" s="7"/>
    </row>
    <row r="728" spans="1:8" ht="13.2" x14ac:dyDescent="0.25">
      <c r="A728" s="7"/>
      <c r="E728" s="7"/>
      <c r="F728" s="7"/>
      <c r="G728" s="7"/>
      <c r="H728" s="7"/>
    </row>
    <row r="729" spans="1:8" ht="13.2" x14ac:dyDescent="0.25">
      <c r="A729" s="7"/>
      <c r="E729" s="7"/>
      <c r="F729" s="7"/>
      <c r="G729" s="7"/>
      <c r="H729" s="7"/>
    </row>
    <row r="730" spans="1:8" ht="13.2" x14ac:dyDescent="0.25">
      <c r="A730" s="7"/>
      <c r="E730" s="7"/>
      <c r="F730" s="7"/>
      <c r="G730" s="7"/>
      <c r="H730" s="7"/>
    </row>
    <row r="731" spans="1:8" ht="13.2" x14ac:dyDescent="0.25">
      <c r="A731" s="7"/>
      <c r="E731" s="7"/>
      <c r="F731" s="7"/>
      <c r="G731" s="7"/>
      <c r="H731" s="7"/>
    </row>
    <row r="732" spans="1:8" ht="13.2" x14ac:dyDescent="0.25">
      <c r="A732" s="7"/>
      <c r="E732" s="7"/>
      <c r="F732" s="7"/>
      <c r="G732" s="7"/>
      <c r="H732" s="7"/>
    </row>
    <row r="733" spans="1:8" ht="13.2" x14ac:dyDescent="0.25">
      <c r="A733" s="7"/>
      <c r="E733" s="7"/>
      <c r="F733" s="7"/>
      <c r="G733" s="7"/>
      <c r="H733" s="7"/>
    </row>
    <row r="734" spans="1:8" ht="13.2" x14ac:dyDescent="0.25">
      <c r="A734" s="7"/>
      <c r="E734" s="7"/>
      <c r="F734" s="7"/>
      <c r="G734" s="7"/>
      <c r="H734" s="7"/>
    </row>
    <row r="735" spans="1:8" ht="13.2" x14ac:dyDescent="0.25">
      <c r="A735" s="7"/>
      <c r="E735" s="7"/>
      <c r="F735" s="7"/>
      <c r="G735" s="7"/>
      <c r="H735" s="7"/>
    </row>
    <row r="736" spans="1:8" ht="13.2" x14ac:dyDescent="0.25">
      <c r="A736" s="7"/>
      <c r="E736" s="7"/>
      <c r="F736" s="7"/>
      <c r="G736" s="7"/>
      <c r="H736" s="7"/>
    </row>
    <row r="737" spans="1:8" ht="13.2" x14ac:dyDescent="0.25">
      <c r="A737" s="7"/>
      <c r="E737" s="7"/>
      <c r="F737" s="7"/>
      <c r="G737" s="7"/>
      <c r="H737" s="7"/>
    </row>
    <row r="738" spans="1:8" ht="13.2" x14ac:dyDescent="0.25">
      <c r="A738" s="7"/>
      <c r="E738" s="7"/>
      <c r="F738" s="7"/>
      <c r="G738" s="7"/>
      <c r="H738" s="7"/>
    </row>
    <row r="739" spans="1:8" ht="13.2" x14ac:dyDescent="0.25">
      <c r="A739" s="7"/>
      <c r="E739" s="7"/>
      <c r="F739" s="7"/>
      <c r="G739" s="7"/>
      <c r="H739" s="7"/>
    </row>
    <row r="740" spans="1:8" ht="13.2" x14ac:dyDescent="0.25">
      <c r="A740" s="7"/>
      <c r="E740" s="7"/>
      <c r="F740" s="7"/>
      <c r="G740" s="7"/>
      <c r="H740" s="7"/>
    </row>
    <row r="741" spans="1:8" ht="13.2" x14ac:dyDescent="0.25">
      <c r="A741" s="7"/>
      <c r="E741" s="7"/>
      <c r="F741" s="7"/>
      <c r="G741" s="7"/>
      <c r="H741" s="7"/>
    </row>
    <row r="742" spans="1:8" ht="13.2" x14ac:dyDescent="0.25">
      <c r="A742" s="7"/>
      <c r="E742" s="7"/>
      <c r="F742" s="7"/>
      <c r="G742" s="7"/>
      <c r="H742" s="7"/>
    </row>
    <row r="743" spans="1:8" ht="13.2" x14ac:dyDescent="0.25">
      <c r="A743" s="7"/>
      <c r="E743" s="7"/>
      <c r="F743" s="7"/>
      <c r="G743" s="7"/>
      <c r="H743" s="7"/>
    </row>
    <row r="744" spans="1:8" ht="13.2" x14ac:dyDescent="0.25">
      <c r="A744" s="7"/>
      <c r="E744" s="7"/>
      <c r="F744" s="7"/>
      <c r="G744" s="7"/>
      <c r="H744" s="7"/>
    </row>
    <row r="745" spans="1:8" ht="13.2" x14ac:dyDescent="0.25">
      <c r="A745" s="7"/>
      <c r="E745" s="7"/>
      <c r="F745" s="7"/>
      <c r="G745" s="7"/>
      <c r="H745" s="7"/>
    </row>
    <row r="746" spans="1:8" ht="13.2" x14ac:dyDescent="0.25">
      <c r="A746" s="7"/>
      <c r="E746" s="7"/>
      <c r="F746" s="7"/>
      <c r="G746" s="7"/>
      <c r="H746" s="7"/>
    </row>
    <row r="747" spans="1:8" ht="13.2" x14ac:dyDescent="0.25">
      <c r="A747" s="7"/>
      <c r="E747" s="7"/>
      <c r="F747" s="7"/>
      <c r="G747" s="7"/>
      <c r="H747" s="7"/>
    </row>
    <row r="748" spans="1:8" ht="13.2" x14ac:dyDescent="0.25">
      <c r="A748" s="7"/>
      <c r="E748" s="7"/>
      <c r="F748" s="7"/>
      <c r="G748" s="7"/>
      <c r="H748" s="7"/>
    </row>
    <row r="749" spans="1:8" ht="13.2" x14ac:dyDescent="0.25">
      <c r="A749" s="7"/>
      <c r="E749" s="7"/>
      <c r="F749" s="7"/>
      <c r="G749" s="7"/>
      <c r="H749" s="7"/>
    </row>
    <row r="750" spans="1:8" ht="13.2" x14ac:dyDescent="0.25">
      <c r="A750" s="7"/>
      <c r="E750" s="7"/>
      <c r="F750" s="7"/>
      <c r="G750" s="7"/>
      <c r="H750" s="7"/>
    </row>
    <row r="751" spans="1:8" ht="13.2" x14ac:dyDescent="0.25">
      <c r="A751" s="7"/>
      <c r="E751" s="7"/>
      <c r="F751" s="7"/>
      <c r="G751" s="7"/>
      <c r="H751" s="7"/>
    </row>
    <row r="752" spans="1:8" ht="13.2" x14ac:dyDescent="0.25">
      <c r="A752" s="7"/>
      <c r="E752" s="7"/>
      <c r="F752" s="7"/>
      <c r="G752" s="7"/>
      <c r="H752" s="7"/>
    </row>
    <row r="753" spans="1:8" ht="13.2" x14ac:dyDescent="0.25">
      <c r="A753" s="7"/>
      <c r="E753" s="7"/>
      <c r="F753" s="7"/>
      <c r="G753" s="7"/>
      <c r="H753" s="7"/>
    </row>
    <row r="754" spans="1:8" ht="13.2" x14ac:dyDescent="0.25">
      <c r="A754" s="7"/>
      <c r="E754" s="7"/>
      <c r="F754" s="7"/>
      <c r="G754" s="7"/>
      <c r="H754" s="7"/>
    </row>
    <row r="755" spans="1:8" ht="13.2" x14ac:dyDescent="0.25">
      <c r="A755" s="7"/>
      <c r="E755" s="7"/>
      <c r="F755" s="7"/>
      <c r="G755" s="7"/>
      <c r="H755" s="7"/>
    </row>
    <row r="756" spans="1:8" ht="13.2" x14ac:dyDescent="0.25">
      <c r="A756" s="7"/>
      <c r="E756" s="7"/>
      <c r="F756" s="7"/>
      <c r="G756" s="7"/>
      <c r="H756" s="7"/>
    </row>
    <row r="757" spans="1:8" ht="13.2" x14ac:dyDescent="0.25">
      <c r="A757" s="7"/>
      <c r="E757" s="7"/>
      <c r="F757" s="7"/>
      <c r="G757" s="7"/>
      <c r="H757" s="7"/>
    </row>
    <row r="758" spans="1:8" ht="13.2" x14ac:dyDescent="0.25">
      <c r="A758" s="7"/>
      <c r="E758" s="7"/>
      <c r="F758" s="7"/>
      <c r="G758" s="7"/>
      <c r="H758" s="7"/>
    </row>
    <row r="759" spans="1:8" ht="13.2" x14ac:dyDescent="0.25">
      <c r="A759" s="7"/>
      <c r="E759" s="7"/>
      <c r="F759" s="7"/>
      <c r="G759" s="7"/>
      <c r="H759" s="7"/>
    </row>
    <row r="760" spans="1:8" ht="13.2" x14ac:dyDescent="0.25">
      <c r="A760" s="7"/>
      <c r="E760" s="7"/>
      <c r="F760" s="7"/>
      <c r="G760" s="7"/>
      <c r="H760" s="7"/>
    </row>
    <row r="761" spans="1:8" ht="13.2" x14ac:dyDescent="0.25">
      <c r="A761" s="7"/>
      <c r="E761" s="7"/>
      <c r="F761" s="7"/>
      <c r="G761" s="7"/>
      <c r="H761" s="7"/>
    </row>
    <row r="762" spans="1:8" ht="13.2" x14ac:dyDescent="0.25">
      <c r="A762" s="7"/>
      <c r="E762" s="7"/>
      <c r="F762" s="7"/>
      <c r="G762" s="7"/>
      <c r="H762" s="7"/>
    </row>
    <row r="763" spans="1:8" ht="13.2" x14ac:dyDescent="0.25">
      <c r="A763" s="7"/>
      <c r="E763" s="7"/>
      <c r="F763" s="7"/>
      <c r="G763" s="7"/>
      <c r="H763" s="7"/>
    </row>
    <row r="764" spans="1:8" ht="13.2" x14ac:dyDescent="0.25">
      <c r="A764" s="7"/>
      <c r="E764" s="7"/>
      <c r="F764" s="7"/>
      <c r="G764" s="7"/>
      <c r="H764" s="7"/>
    </row>
    <row r="765" spans="1:8" ht="13.2" x14ac:dyDescent="0.25">
      <c r="A765" s="7"/>
      <c r="E765" s="7"/>
      <c r="F765" s="7"/>
      <c r="G765" s="7"/>
      <c r="H765" s="7"/>
    </row>
    <row r="766" spans="1:8" ht="13.2" x14ac:dyDescent="0.25">
      <c r="A766" s="7"/>
      <c r="E766" s="7"/>
      <c r="F766" s="7"/>
      <c r="G766" s="7"/>
      <c r="H766" s="7"/>
    </row>
    <row r="767" spans="1:8" ht="13.2" x14ac:dyDescent="0.25">
      <c r="A767" s="7"/>
      <c r="E767" s="7"/>
      <c r="F767" s="7"/>
      <c r="G767" s="7"/>
      <c r="H767" s="7"/>
    </row>
    <row r="768" spans="1:8" ht="13.2" x14ac:dyDescent="0.25">
      <c r="A768" s="7"/>
      <c r="E768" s="7"/>
      <c r="F768" s="7"/>
      <c r="G768" s="7"/>
      <c r="H768" s="7"/>
    </row>
    <row r="769" spans="1:8" ht="13.2" x14ac:dyDescent="0.25">
      <c r="A769" s="7"/>
      <c r="E769" s="7"/>
      <c r="F769" s="7"/>
      <c r="G769" s="7"/>
      <c r="H769" s="7"/>
    </row>
    <row r="770" spans="1:8" ht="13.2" x14ac:dyDescent="0.25">
      <c r="A770" s="7"/>
      <c r="E770" s="7"/>
      <c r="F770" s="7"/>
      <c r="G770" s="7"/>
      <c r="H770" s="7"/>
    </row>
    <row r="771" spans="1:8" ht="13.2" x14ac:dyDescent="0.25">
      <c r="A771" s="7"/>
      <c r="E771" s="7"/>
      <c r="F771" s="7"/>
      <c r="G771" s="7"/>
      <c r="H771" s="7"/>
    </row>
    <row r="772" spans="1:8" ht="13.2" x14ac:dyDescent="0.25">
      <c r="A772" s="7"/>
      <c r="E772" s="7"/>
      <c r="F772" s="7"/>
      <c r="G772" s="7"/>
      <c r="H772" s="7"/>
    </row>
    <row r="773" spans="1:8" ht="13.2" x14ac:dyDescent="0.25">
      <c r="A773" s="7"/>
      <c r="E773" s="7"/>
      <c r="F773" s="7"/>
      <c r="G773" s="7"/>
      <c r="H773" s="7"/>
    </row>
    <row r="774" spans="1:8" ht="13.2" x14ac:dyDescent="0.25">
      <c r="A774" s="7"/>
      <c r="E774" s="7"/>
      <c r="F774" s="7"/>
      <c r="G774" s="7"/>
      <c r="H774" s="7"/>
    </row>
    <row r="775" spans="1:8" ht="13.2" x14ac:dyDescent="0.25">
      <c r="A775" s="7"/>
      <c r="E775" s="7"/>
      <c r="F775" s="7"/>
      <c r="G775" s="7"/>
      <c r="H775" s="7"/>
    </row>
    <row r="776" spans="1:8" ht="13.2" x14ac:dyDescent="0.25">
      <c r="A776" s="7"/>
      <c r="E776" s="7"/>
      <c r="F776" s="7"/>
      <c r="G776" s="7"/>
      <c r="H776" s="7"/>
    </row>
    <row r="777" spans="1:8" ht="13.2" x14ac:dyDescent="0.25">
      <c r="A777" s="7"/>
      <c r="E777" s="7"/>
      <c r="F777" s="7"/>
      <c r="G777" s="7"/>
      <c r="H777" s="7"/>
    </row>
    <row r="778" spans="1:8" ht="13.2" x14ac:dyDescent="0.25">
      <c r="A778" s="7"/>
      <c r="E778" s="7"/>
      <c r="F778" s="7"/>
      <c r="G778" s="7"/>
      <c r="H778" s="7"/>
    </row>
    <row r="779" spans="1:8" ht="13.2" x14ac:dyDescent="0.25">
      <c r="A779" s="7"/>
      <c r="E779" s="7"/>
      <c r="F779" s="7"/>
      <c r="G779" s="7"/>
      <c r="H779" s="7"/>
    </row>
    <row r="780" spans="1:8" ht="13.2" x14ac:dyDescent="0.25">
      <c r="A780" s="7"/>
      <c r="E780" s="7"/>
      <c r="F780" s="7"/>
      <c r="G780" s="7"/>
      <c r="H780" s="7"/>
    </row>
    <row r="781" spans="1:8" ht="13.2" x14ac:dyDescent="0.25">
      <c r="A781" s="7"/>
      <c r="E781" s="7"/>
      <c r="F781" s="7"/>
      <c r="G781" s="7"/>
      <c r="H781" s="7"/>
    </row>
    <row r="782" spans="1:8" ht="13.2" x14ac:dyDescent="0.25">
      <c r="A782" s="7"/>
      <c r="E782" s="7"/>
      <c r="F782" s="7"/>
      <c r="G782" s="7"/>
      <c r="H782" s="7"/>
    </row>
    <row r="783" spans="1:8" ht="13.2" x14ac:dyDescent="0.25">
      <c r="A783" s="7"/>
      <c r="E783" s="7"/>
      <c r="F783" s="7"/>
      <c r="G783" s="7"/>
      <c r="H783" s="7"/>
    </row>
    <row r="784" spans="1:8" ht="13.2" x14ac:dyDescent="0.25">
      <c r="A784" s="7"/>
      <c r="E784" s="7"/>
      <c r="F784" s="7"/>
      <c r="G784" s="7"/>
      <c r="H784" s="7"/>
    </row>
    <row r="785" spans="1:8" ht="13.2" x14ac:dyDescent="0.25">
      <c r="A785" s="7"/>
      <c r="E785" s="7"/>
      <c r="F785" s="7"/>
      <c r="G785" s="7"/>
      <c r="H785" s="7"/>
    </row>
    <row r="786" spans="1:8" ht="13.2" x14ac:dyDescent="0.25">
      <c r="A786" s="7"/>
      <c r="E786" s="7"/>
      <c r="F786" s="7"/>
      <c r="G786" s="7"/>
      <c r="H786" s="7"/>
    </row>
    <row r="787" spans="1:8" ht="13.2" x14ac:dyDescent="0.25">
      <c r="A787" s="7"/>
      <c r="E787" s="7"/>
      <c r="F787" s="7"/>
      <c r="G787" s="7"/>
      <c r="H787" s="7"/>
    </row>
    <row r="788" spans="1:8" ht="13.2" x14ac:dyDescent="0.25">
      <c r="A788" s="7"/>
      <c r="E788" s="7"/>
      <c r="F788" s="7"/>
      <c r="G788" s="7"/>
      <c r="H788" s="7"/>
    </row>
    <row r="789" spans="1:8" ht="13.2" x14ac:dyDescent="0.25">
      <c r="A789" s="7"/>
      <c r="E789" s="7"/>
      <c r="F789" s="7"/>
      <c r="G789" s="7"/>
      <c r="H789" s="7"/>
    </row>
    <row r="790" spans="1:8" ht="13.2" x14ac:dyDescent="0.25">
      <c r="A790" s="7"/>
      <c r="E790" s="7"/>
      <c r="F790" s="7"/>
      <c r="G790" s="7"/>
      <c r="H790" s="7"/>
    </row>
    <row r="791" spans="1:8" ht="13.2" x14ac:dyDescent="0.25">
      <c r="A791" s="7"/>
      <c r="E791" s="7"/>
      <c r="F791" s="7"/>
      <c r="G791" s="7"/>
      <c r="H791" s="7"/>
    </row>
    <row r="792" spans="1:8" ht="13.2" x14ac:dyDescent="0.25">
      <c r="A792" s="7"/>
      <c r="E792" s="7"/>
      <c r="F792" s="7"/>
      <c r="G792" s="7"/>
      <c r="H792" s="7"/>
    </row>
    <row r="793" spans="1:8" ht="13.2" x14ac:dyDescent="0.25">
      <c r="A793" s="7"/>
      <c r="E793" s="7"/>
      <c r="F793" s="7"/>
      <c r="G793" s="7"/>
      <c r="H793" s="7"/>
    </row>
    <row r="794" spans="1:8" ht="13.2" x14ac:dyDescent="0.25">
      <c r="A794" s="7"/>
      <c r="E794" s="7"/>
      <c r="F794" s="7"/>
      <c r="G794" s="7"/>
      <c r="H794" s="7"/>
    </row>
    <row r="795" spans="1:8" ht="13.2" x14ac:dyDescent="0.25">
      <c r="A795" s="7"/>
      <c r="E795" s="7"/>
      <c r="F795" s="7"/>
      <c r="G795" s="7"/>
      <c r="H795" s="7"/>
    </row>
    <row r="796" spans="1:8" ht="13.2" x14ac:dyDescent="0.25">
      <c r="A796" s="7"/>
      <c r="E796" s="7"/>
      <c r="F796" s="7"/>
      <c r="G796" s="7"/>
      <c r="H796" s="7"/>
    </row>
    <row r="797" spans="1:8" ht="13.2" x14ac:dyDescent="0.25">
      <c r="A797" s="7"/>
      <c r="E797" s="7"/>
      <c r="F797" s="7"/>
      <c r="G797" s="7"/>
      <c r="H797" s="7"/>
    </row>
    <row r="798" spans="1:8" ht="13.2" x14ac:dyDescent="0.25">
      <c r="A798" s="7"/>
      <c r="E798" s="7"/>
      <c r="F798" s="7"/>
      <c r="G798" s="7"/>
      <c r="H798" s="7"/>
    </row>
    <row r="799" spans="1:8" ht="13.2" x14ac:dyDescent="0.25">
      <c r="A799" s="7"/>
      <c r="E799" s="7"/>
      <c r="F799" s="7"/>
      <c r="G799" s="7"/>
      <c r="H799" s="7"/>
    </row>
    <row r="800" spans="1:8" ht="13.2" x14ac:dyDescent="0.25">
      <c r="A800" s="7"/>
      <c r="E800" s="7"/>
      <c r="F800" s="7"/>
      <c r="G800" s="7"/>
      <c r="H800" s="7"/>
    </row>
    <row r="801" spans="1:8" ht="13.2" x14ac:dyDescent="0.25">
      <c r="A801" s="7"/>
      <c r="E801" s="7"/>
      <c r="F801" s="7"/>
      <c r="G801" s="7"/>
      <c r="H801" s="7"/>
    </row>
    <row r="802" spans="1:8" ht="13.2" x14ac:dyDescent="0.25">
      <c r="A802" s="7"/>
      <c r="E802" s="7"/>
      <c r="F802" s="7"/>
      <c r="G802" s="7"/>
      <c r="H802" s="7"/>
    </row>
    <row r="803" spans="1:8" ht="13.2" x14ac:dyDescent="0.25">
      <c r="A803" s="7"/>
      <c r="E803" s="7"/>
      <c r="F803" s="7"/>
      <c r="G803" s="7"/>
      <c r="H803" s="7"/>
    </row>
    <row r="804" spans="1:8" ht="13.2" x14ac:dyDescent="0.25">
      <c r="A804" s="7"/>
      <c r="E804" s="7"/>
      <c r="F804" s="7"/>
      <c r="G804" s="7"/>
      <c r="H804" s="7"/>
    </row>
    <row r="805" spans="1:8" ht="13.2" x14ac:dyDescent="0.25">
      <c r="A805" s="7"/>
      <c r="E805" s="7"/>
      <c r="F805" s="7"/>
      <c r="G805" s="7"/>
      <c r="H805" s="7"/>
    </row>
    <row r="806" spans="1:8" ht="13.2" x14ac:dyDescent="0.25">
      <c r="A806" s="7"/>
      <c r="E806" s="7"/>
      <c r="F806" s="7"/>
      <c r="G806" s="7"/>
      <c r="H806" s="7"/>
    </row>
    <row r="807" spans="1:8" ht="13.2" x14ac:dyDescent="0.25">
      <c r="A807" s="7"/>
      <c r="E807" s="7"/>
      <c r="F807" s="7"/>
      <c r="G807" s="7"/>
      <c r="H807" s="7"/>
    </row>
    <row r="808" spans="1:8" ht="13.2" x14ac:dyDescent="0.25">
      <c r="A808" s="7"/>
      <c r="E808" s="7"/>
      <c r="F808" s="7"/>
      <c r="G808" s="7"/>
      <c r="H808" s="7"/>
    </row>
    <row r="809" spans="1:8" ht="13.2" x14ac:dyDescent="0.25">
      <c r="A809" s="7"/>
      <c r="E809" s="7"/>
      <c r="F809" s="7"/>
      <c r="G809" s="7"/>
      <c r="H809" s="7"/>
    </row>
    <row r="810" spans="1:8" ht="13.2" x14ac:dyDescent="0.25">
      <c r="A810" s="7"/>
      <c r="E810" s="7"/>
      <c r="F810" s="7"/>
      <c r="G810" s="7"/>
      <c r="H810" s="7"/>
    </row>
    <row r="811" spans="1:8" ht="13.2" x14ac:dyDescent="0.25">
      <c r="A811" s="7"/>
      <c r="E811" s="7"/>
      <c r="F811" s="7"/>
      <c r="G811" s="7"/>
      <c r="H811" s="7"/>
    </row>
    <row r="812" spans="1:8" ht="13.2" x14ac:dyDescent="0.25">
      <c r="A812" s="7"/>
      <c r="E812" s="7"/>
      <c r="F812" s="7"/>
      <c r="G812" s="7"/>
      <c r="H812" s="7"/>
    </row>
    <row r="813" spans="1:8" ht="13.2" x14ac:dyDescent="0.25">
      <c r="A813" s="7"/>
      <c r="E813" s="7"/>
      <c r="F813" s="7"/>
      <c r="G813" s="7"/>
      <c r="H813" s="7"/>
    </row>
    <row r="814" spans="1:8" ht="13.2" x14ac:dyDescent="0.25">
      <c r="A814" s="7"/>
      <c r="E814" s="7"/>
      <c r="F814" s="7"/>
      <c r="G814" s="7"/>
      <c r="H814" s="7"/>
    </row>
    <row r="815" spans="1:8" ht="13.2" x14ac:dyDescent="0.25">
      <c r="A815" s="7"/>
      <c r="E815" s="7"/>
      <c r="F815" s="7"/>
      <c r="G815" s="7"/>
      <c r="H815" s="7"/>
    </row>
    <row r="816" spans="1:8" ht="13.2" x14ac:dyDescent="0.25">
      <c r="A816" s="7"/>
      <c r="E816" s="7"/>
      <c r="F816" s="7"/>
      <c r="G816" s="7"/>
      <c r="H816" s="7"/>
    </row>
    <row r="817" spans="1:8" ht="13.2" x14ac:dyDescent="0.25">
      <c r="A817" s="7"/>
      <c r="E817" s="7"/>
      <c r="F817" s="7"/>
      <c r="G817" s="7"/>
      <c r="H817" s="7"/>
    </row>
    <row r="818" spans="1:8" ht="13.2" x14ac:dyDescent="0.25">
      <c r="A818" s="7"/>
      <c r="E818" s="7"/>
      <c r="F818" s="7"/>
      <c r="G818" s="7"/>
      <c r="H818" s="7"/>
    </row>
    <row r="819" spans="1:8" ht="13.2" x14ac:dyDescent="0.25">
      <c r="A819" s="7"/>
      <c r="E819" s="7"/>
      <c r="F819" s="7"/>
      <c r="G819" s="7"/>
      <c r="H819" s="7"/>
    </row>
    <row r="820" spans="1:8" ht="13.2" x14ac:dyDescent="0.25">
      <c r="A820" s="7"/>
      <c r="E820" s="7"/>
      <c r="F820" s="7"/>
      <c r="G820" s="7"/>
      <c r="H820" s="7"/>
    </row>
    <row r="821" spans="1:8" ht="13.2" x14ac:dyDescent="0.25">
      <c r="A821" s="7"/>
      <c r="E821" s="7"/>
      <c r="F821" s="7"/>
      <c r="G821" s="7"/>
      <c r="H821" s="7"/>
    </row>
    <row r="822" spans="1:8" ht="13.2" x14ac:dyDescent="0.25">
      <c r="A822" s="7"/>
      <c r="E822" s="7"/>
      <c r="F822" s="7"/>
      <c r="G822" s="7"/>
      <c r="H822" s="7"/>
    </row>
    <row r="823" spans="1:8" ht="13.2" x14ac:dyDescent="0.25">
      <c r="A823" s="7"/>
      <c r="E823" s="7"/>
      <c r="F823" s="7"/>
      <c r="G823" s="7"/>
      <c r="H823" s="7"/>
    </row>
    <row r="824" spans="1:8" ht="13.2" x14ac:dyDescent="0.25">
      <c r="A824" s="7"/>
      <c r="E824" s="7"/>
      <c r="F824" s="7"/>
      <c r="G824" s="7"/>
      <c r="H824" s="7"/>
    </row>
    <row r="825" spans="1:8" ht="13.2" x14ac:dyDescent="0.25">
      <c r="A825" s="7"/>
      <c r="E825" s="7"/>
      <c r="F825" s="7"/>
      <c r="G825" s="7"/>
      <c r="H825" s="7"/>
    </row>
    <row r="826" spans="1:8" ht="13.2" x14ac:dyDescent="0.25">
      <c r="A826" s="7"/>
      <c r="E826" s="7"/>
      <c r="F826" s="7"/>
      <c r="G826" s="7"/>
      <c r="H826" s="7"/>
    </row>
    <row r="827" spans="1:8" ht="13.2" x14ac:dyDescent="0.25">
      <c r="A827" s="7"/>
      <c r="E827" s="7"/>
      <c r="F827" s="7"/>
      <c r="G827" s="7"/>
      <c r="H827" s="7"/>
    </row>
    <row r="828" spans="1:8" ht="13.2" x14ac:dyDescent="0.25">
      <c r="A828" s="7"/>
      <c r="E828" s="7"/>
      <c r="F828" s="7"/>
      <c r="G828" s="7"/>
      <c r="H828" s="7"/>
    </row>
    <row r="829" spans="1:8" ht="13.2" x14ac:dyDescent="0.25">
      <c r="A829" s="7"/>
      <c r="E829" s="7"/>
      <c r="F829" s="7"/>
      <c r="G829" s="7"/>
      <c r="H829" s="7"/>
    </row>
    <row r="830" spans="1:8" ht="13.2" x14ac:dyDescent="0.25">
      <c r="A830" s="7"/>
      <c r="E830" s="7"/>
      <c r="F830" s="7"/>
      <c r="G830" s="7"/>
      <c r="H830" s="7"/>
    </row>
    <row r="831" spans="1:8" ht="13.2" x14ac:dyDescent="0.25">
      <c r="A831" s="7"/>
      <c r="E831" s="7"/>
      <c r="F831" s="7"/>
      <c r="G831" s="7"/>
      <c r="H831" s="7"/>
    </row>
    <row r="832" spans="1:8" ht="13.2" x14ac:dyDescent="0.25">
      <c r="A832" s="7"/>
      <c r="E832" s="7"/>
      <c r="F832" s="7"/>
      <c r="G832" s="7"/>
      <c r="H832" s="7"/>
    </row>
    <row r="833" spans="1:8" ht="13.2" x14ac:dyDescent="0.25">
      <c r="A833" s="7"/>
      <c r="E833" s="7"/>
      <c r="F833" s="7"/>
      <c r="G833" s="7"/>
      <c r="H833" s="7"/>
    </row>
    <row r="834" spans="1:8" ht="13.2" x14ac:dyDescent="0.25">
      <c r="A834" s="7"/>
      <c r="E834" s="7"/>
      <c r="F834" s="7"/>
      <c r="G834" s="7"/>
      <c r="H834" s="7"/>
    </row>
    <row r="835" spans="1:8" ht="13.2" x14ac:dyDescent="0.25">
      <c r="A835" s="7"/>
      <c r="E835" s="7"/>
      <c r="F835" s="7"/>
      <c r="G835" s="7"/>
      <c r="H835" s="7"/>
    </row>
    <row r="836" spans="1:8" ht="13.2" x14ac:dyDescent="0.25">
      <c r="A836" s="7"/>
      <c r="E836" s="7"/>
      <c r="F836" s="7"/>
      <c r="G836" s="7"/>
      <c r="H836" s="7"/>
    </row>
    <row r="837" spans="1:8" ht="13.2" x14ac:dyDescent="0.25">
      <c r="A837" s="7"/>
      <c r="E837" s="7"/>
      <c r="F837" s="7"/>
      <c r="G837" s="7"/>
      <c r="H837" s="7"/>
    </row>
    <row r="838" spans="1:8" ht="13.2" x14ac:dyDescent="0.25">
      <c r="A838" s="7"/>
      <c r="E838" s="7"/>
      <c r="F838" s="7"/>
      <c r="G838" s="7"/>
      <c r="H838" s="7"/>
    </row>
    <row r="839" spans="1:8" ht="13.2" x14ac:dyDescent="0.25">
      <c r="A839" s="7"/>
      <c r="E839" s="7"/>
      <c r="F839" s="7"/>
      <c r="G839" s="7"/>
      <c r="H839" s="7"/>
    </row>
    <row r="840" spans="1:8" ht="13.2" x14ac:dyDescent="0.25">
      <c r="A840" s="7"/>
      <c r="E840" s="7"/>
      <c r="F840" s="7"/>
      <c r="G840" s="7"/>
      <c r="H840" s="7"/>
    </row>
    <row r="841" spans="1:8" ht="13.2" x14ac:dyDescent="0.25">
      <c r="A841" s="7"/>
      <c r="E841" s="7"/>
      <c r="F841" s="7"/>
      <c r="G841" s="7"/>
      <c r="H841" s="7"/>
    </row>
    <row r="842" spans="1:8" ht="13.2" x14ac:dyDescent="0.25">
      <c r="A842" s="7"/>
      <c r="E842" s="7"/>
      <c r="F842" s="7"/>
      <c r="G842" s="7"/>
      <c r="H842" s="7"/>
    </row>
    <row r="843" spans="1:8" ht="13.2" x14ac:dyDescent="0.25">
      <c r="A843" s="7"/>
      <c r="E843" s="7"/>
      <c r="F843" s="7"/>
      <c r="G843" s="7"/>
      <c r="H843" s="7"/>
    </row>
    <row r="844" spans="1:8" ht="13.2" x14ac:dyDescent="0.25">
      <c r="A844" s="7"/>
      <c r="E844" s="7"/>
      <c r="F844" s="7"/>
      <c r="G844" s="7"/>
      <c r="H844" s="7"/>
    </row>
    <row r="845" spans="1:8" ht="13.2" x14ac:dyDescent="0.25">
      <c r="A845" s="7"/>
      <c r="E845" s="7"/>
      <c r="F845" s="7"/>
      <c r="G845" s="7"/>
      <c r="H845" s="7"/>
    </row>
    <row r="846" spans="1:8" ht="13.2" x14ac:dyDescent="0.25">
      <c r="A846" s="7"/>
      <c r="E846" s="7"/>
      <c r="F846" s="7"/>
      <c r="G846" s="7"/>
      <c r="H846" s="7"/>
    </row>
    <row r="847" spans="1:8" ht="13.2" x14ac:dyDescent="0.25">
      <c r="A847" s="7"/>
      <c r="E847" s="7"/>
      <c r="F847" s="7"/>
      <c r="G847" s="7"/>
      <c r="H847" s="7"/>
    </row>
    <row r="848" spans="1:8" ht="13.2" x14ac:dyDescent="0.25">
      <c r="A848" s="7"/>
      <c r="E848" s="7"/>
      <c r="F848" s="7"/>
      <c r="G848" s="7"/>
      <c r="H848" s="7"/>
    </row>
    <row r="849" spans="1:8" ht="13.2" x14ac:dyDescent="0.25">
      <c r="A849" s="7"/>
      <c r="E849" s="7"/>
      <c r="F849" s="7"/>
      <c r="G849" s="7"/>
      <c r="H849" s="7"/>
    </row>
    <row r="850" spans="1:8" ht="13.2" x14ac:dyDescent="0.25">
      <c r="A850" s="7"/>
      <c r="E850" s="7"/>
      <c r="F850" s="7"/>
      <c r="G850" s="7"/>
      <c r="H850" s="7"/>
    </row>
    <row r="851" spans="1:8" ht="13.2" x14ac:dyDescent="0.25">
      <c r="A851" s="7"/>
      <c r="E851" s="7"/>
      <c r="F851" s="7"/>
      <c r="G851" s="7"/>
      <c r="H851" s="7"/>
    </row>
    <row r="852" spans="1:8" ht="13.2" x14ac:dyDescent="0.25">
      <c r="A852" s="7"/>
      <c r="E852" s="7"/>
      <c r="F852" s="7"/>
      <c r="G852" s="7"/>
      <c r="H852" s="7"/>
    </row>
    <row r="853" spans="1:8" ht="13.2" x14ac:dyDescent="0.25">
      <c r="A853" s="7"/>
      <c r="E853" s="7"/>
      <c r="F853" s="7"/>
      <c r="G853" s="7"/>
      <c r="H853" s="7"/>
    </row>
    <row r="854" spans="1:8" ht="13.2" x14ac:dyDescent="0.25">
      <c r="A854" s="7"/>
      <c r="E854" s="7"/>
      <c r="F854" s="7"/>
      <c r="G854" s="7"/>
      <c r="H854" s="7"/>
    </row>
    <row r="855" spans="1:8" ht="13.2" x14ac:dyDescent="0.25">
      <c r="A855" s="7"/>
      <c r="E855" s="7"/>
      <c r="F855" s="7"/>
      <c r="G855" s="7"/>
      <c r="H855" s="7"/>
    </row>
    <row r="856" spans="1:8" ht="13.2" x14ac:dyDescent="0.25">
      <c r="A856" s="7"/>
      <c r="E856" s="7"/>
      <c r="F856" s="7"/>
      <c r="G856" s="7"/>
      <c r="H856" s="7"/>
    </row>
    <row r="857" spans="1:8" ht="13.2" x14ac:dyDescent="0.25">
      <c r="A857" s="7"/>
      <c r="E857" s="7"/>
      <c r="F857" s="7"/>
      <c r="G857" s="7"/>
      <c r="H857" s="7"/>
    </row>
    <row r="858" spans="1:8" ht="13.2" x14ac:dyDescent="0.25">
      <c r="A858" s="7"/>
      <c r="E858" s="7"/>
      <c r="F858" s="7"/>
      <c r="G858" s="7"/>
      <c r="H858" s="7"/>
    </row>
    <row r="859" spans="1:8" ht="13.2" x14ac:dyDescent="0.25">
      <c r="A859" s="7"/>
      <c r="E859" s="7"/>
      <c r="F859" s="7"/>
      <c r="G859" s="7"/>
      <c r="H859" s="7"/>
    </row>
    <row r="860" spans="1:8" ht="13.2" x14ac:dyDescent="0.25">
      <c r="A860" s="7"/>
      <c r="E860" s="7"/>
      <c r="F860" s="7"/>
      <c r="G860" s="7"/>
      <c r="H860" s="7"/>
    </row>
    <row r="861" spans="1:8" ht="13.2" x14ac:dyDescent="0.25">
      <c r="A861" s="7"/>
      <c r="E861" s="7"/>
      <c r="F861" s="7"/>
      <c r="G861" s="7"/>
      <c r="H861" s="7"/>
    </row>
    <row r="862" spans="1:8" ht="13.2" x14ac:dyDescent="0.25">
      <c r="A862" s="7"/>
      <c r="E862" s="7"/>
      <c r="F862" s="7"/>
      <c r="G862" s="7"/>
      <c r="H862" s="7"/>
    </row>
    <row r="863" spans="1:8" ht="13.2" x14ac:dyDescent="0.25">
      <c r="A863" s="7"/>
      <c r="E863" s="7"/>
      <c r="F863" s="7"/>
      <c r="G863" s="7"/>
      <c r="H863" s="7"/>
    </row>
    <row r="864" spans="1:8" ht="13.2" x14ac:dyDescent="0.25">
      <c r="A864" s="7"/>
      <c r="E864" s="7"/>
      <c r="F864" s="7"/>
      <c r="G864" s="7"/>
      <c r="H864" s="7"/>
    </row>
    <row r="865" spans="1:8" ht="13.2" x14ac:dyDescent="0.25">
      <c r="A865" s="7"/>
      <c r="E865" s="7"/>
      <c r="F865" s="7"/>
      <c r="G865" s="7"/>
      <c r="H865" s="7"/>
    </row>
    <row r="866" spans="1:8" ht="13.2" x14ac:dyDescent="0.25">
      <c r="A866" s="7"/>
      <c r="E866" s="7"/>
      <c r="F866" s="7"/>
      <c r="G866" s="7"/>
      <c r="H866" s="7"/>
    </row>
    <row r="867" spans="1:8" ht="13.2" x14ac:dyDescent="0.25">
      <c r="A867" s="7"/>
      <c r="E867" s="7"/>
      <c r="F867" s="7"/>
      <c r="G867" s="7"/>
      <c r="H867" s="7"/>
    </row>
    <row r="868" spans="1:8" ht="13.2" x14ac:dyDescent="0.25">
      <c r="A868" s="7"/>
      <c r="E868" s="7"/>
      <c r="F868" s="7"/>
      <c r="G868" s="7"/>
      <c r="H868" s="7"/>
    </row>
    <row r="869" spans="1:8" ht="13.2" x14ac:dyDescent="0.25">
      <c r="A869" s="7"/>
      <c r="E869" s="7"/>
      <c r="F869" s="7"/>
      <c r="G869" s="7"/>
      <c r="H869" s="7"/>
    </row>
    <row r="870" spans="1:8" ht="13.2" x14ac:dyDescent="0.25">
      <c r="A870" s="7"/>
      <c r="E870" s="7"/>
      <c r="F870" s="7"/>
      <c r="G870" s="7"/>
      <c r="H870" s="7"/>
    </row>
    <row r="871" spans="1:8" ht="13.2" x14ac:dyDescent="0.25">
      <c r="A871" s="7"/>
      <c r="E871" s="7"/>
      <c r="F871" s="7"/>
      <c r="G871" s="7"/>
      <c r="H871" s="7"/>
    </row>
    <row r="872" spans="1:8" ht="13.2" x14ac:dyDescent="0.25">
      <c r="A872" s="7"/>
      <c r="E872" s="7"/>
      <c r="F872" s="7"/>
      <c r="G872" s="7"/>
      <c r="H872" s="7"/>
    </row>
    <row r="873" spans="1:8" ht="13.2" x14ac:dyDescent="0.25">
      <c r="A873" s="7"/>
      <c r="E873" s="7"/>
      <c r="F873" s="7"/>
      <c r="G873" s="7"/>
      <c r="H873" s="7"/>
    </row>
    <row r="874" spans="1:8" ht="13.2" x14ac:dyDescent="0.25">
      <c r="A874" s="7"/>
      <c r="E874" s="7"/>
      <c r="F874" s="7"/>
      <c r="G874" s="7"/>
      <c r="H874" s="7"/>
    </row>
    <row r="875" spans="1:8" ht="13.2" x14ac:dyDescent="0.25">
      <c r="A875" s="7"/>
      <c r="E875" s="7"/>
      <c r="F875" s="7"/>
      <c r="G875" s="7"/>
      <c r="H875" s="7"/>
    </row>
    <row r="876" spans="1:8" ht="13.2" x14ac:dyDescent="0.25">
      <c r="A876" s="7"/>
      <c r="E876" s="7"/>
      <c r="F876" s="7"/>
      <c r="G876" s="7"/>
      <c r="H876" s="7"/>
    </row>
    <row r="877" spans="1:8" ht="13.2" x14ac:dyDescent="0.25">
      <c r="A877" s="7"/>
      <c r="E877" s="7"/>
      <c r="F877" s="7"/>
      <c r="G877" s="7"/>
      <c r="H877" s="7"/>
    </row>
    <row r="878" spans="1:8" ht="13.2" x14ac:dyDescent="0.25">
      <c r="A878" s="7"/>
      <c r="E878" s="7"/>
      <c r="F878" s="7"/>
      <c r="G878" s="7"/>
      <c r="H878" s="7"/>
    </row>
    <row r="879" spans="1:8" ht="13.2" x14ac:dyDescent="0.25">
      <c r="A879" s="7"/>
      <c r="E879" s="7"/>
      <c r="F879" s="7"/>
      <c r="G879" s="7"/>
      <c r="H879" s="7"/>
    </row>
    <row r="880" spans="1:8" ht="13.2" x14ac:dyDescent="0.25">
      <c r="A880" s="7"/>
      <c r="E880" s="7"/>
      <c r="F880" s="7"/>
      <c r="G880" s="7"/>
      <c r="H880" s="7"/>
    </row>
    <row r="881" spans="1:8" ht="13.2" x14ac:dyDescent="0.25">
      <c r="A881" s="7"/>
      <c r="E881" s="7"/>
      <c r="F881" s="7"/>
      <c r="G881" s="7"/>
      <c r="H881" s="7"/>
    </row>
    <row r="882" spans="1:8" ht="13.2" x14ac:dyDescent="0.25">
      <c r="A882" s="7"/>
      <c r="E882" s="7"/>
      <c r="F882" s="7"/>
      <c r="G882" s="7"/>
      <c r="H882" s="7"/>
    </row>
    <row r="883" spans="1:8" ht="13.2" x14ac:dyDescent="0.25">
      <c r="A883" s="7"/>
      <c r="E883" s="7"/>
      <c r="F883" s="7"/>
      <c r="G883" s="7"/>
      <c r="H883" s="7"/>
    </row>
    <row r="884" spans="1:8" ht="13.2" x14ac:dyDescent="0.25">
      <c r="A884" s="7"/>
      <c r="E884" s="7"/>
      <c r="F884" s="7"/>
      <c r="G884" s="7"/>
      <c r="H884" s="7"/>
    </row>
    <row r="885" spans="1:8" ht="13.2" x14ac:dyDescent="0.25">
      <c r="A885" s="7"/>
      <c r="E885" s="7"/>
      <c r="F885" s="7"/>
      <c r="G885" s="7"/>
      <c r="H885" s="7"/>
    </row>
    <row r="886" spans="1:8" ht="13.2" x14ac:dyDescent="0.25">
      <c r="A886" s="7"/>
      <c r="E886" s="7"/>
      <c r="F886" s="7"/>
      <c r="G886" s="7"/>
      <c r="H886" s="7"/>
    </row>
    <row r="887" spans="1:8" ht="13.2" x14ac:dyDescent="0.25">
      <c r="A887" s="7"/>
      <c r="E887" s="7"/>
      <c r="F887" s="7"/>
      <c r="G887" s="7"/>
      <c r="H887" s="7"/>
    </row>
    <row r="888" spans="1:8" ht="13.2" x14ac:dyDescent="0.25">
      <c r="A888" s="7"/>
      <c r="E888" s="7"/>
      <c r="F888" s="7"/>
      <c r="G888" s="7"/>
      <c r="H888" s="7"/>
    </row>
    <row r="889" spans="1:8" ht="13.2" x14ac:dyDescent="0.25">
      <c r="A889" s="7"/>
      <c r="E889" s="7"/>
      <c r="F889" s="7"/>
      <c r="G889" s="7"/>
      <c r="H889" s="7"/>
    </row>
    <row r="890" spans="1:8" ht="13.2" x14ac:dyDescent="0.25">
      <c r="A890" s="7"/>
      <c r="E890" s="7"/>
      <c r="F890" s="7"/>
      <c r="G890" s="7"/>
      <c r="H890" s="7"/>
    </row>
    <row r="891" spans="1:8" ht="13.2" x14ac:dyDescent="0.25">
      <c r="A891" s="7"/>
      <c r="E891" s="7"/>
      <c r="F891" s="7"/>
      <c r="G891" s="7"/>
      <c r="H891" s="7"/>
    </row>
    <row r="892" spans="1:8" ht="13.2" x14ac:dyDescent="0.25">
      <c r="A892" s="7"/>
      <c r="E892" s="7"/>
      <c r="F892" s="7"/>
      <c r="G892" s="7"/>
      <c r="H892" s="7"/>
    </row>
    <row r="893" spans="1:8" ht="13.2" x14ac:dyDescent="0.25">
      <c r="A893" s="7"/>
      <c r="E893" s="7"/>
      <c r="F893" s="7"/>
      <c r="G893" s="7"/>
      <c r="H893" s="7"/>
    </row>
    <row r="894" spans="1:8" ht="13.2" x14ac:dyDescent="0.25">
      <c r="A894" s="7"/>
      <c r="E894" s="7"/>
      <c r="F894" s="7"/>
      <c r="G894" s="7"/>
      <c r="H894" s="7"/>
    </row>
    <row r="895" spans="1:8" ht="13.2" x14ac:dyDescent="0.25">
      <c r="A895" s="7"/>
      <c r="E895" s="7"/>
      <c r="F895" s="7"/>
      <c r="G895" s="7"/>
      <c r="H895" s="7"/>
    </row>
    <row r="896" spans="1:8" ht="13.2" x14ac:dyDescent="0.25">
      <c r="A896" s="7"/>
      <c r="E896" s="7"/>
      <c r="F896" s="7"/>
      <c r="G896" s="7"/>
      <c r="H896" s="7"/>
    </row>
    <row r="897" spans="1:8" ht="13.2" x14ac:dyDescent="0.25">
      <c r="A897" s="7"/>
      <c r="E897" s="7"/>
      <c r="F897" s="7"/>
      <c r="G897" s="7"/>
      <c r="H897" s="7"/>
    </row>
    <row r="898" spans="1:8" ht="13.2" x14ac:dyDescent="0.25">
      <c r="A898" s="7"/>
      <c r="E898" s="7"/>
      <c r="F898" s="7"/>
      <c r="G898" s="7"/>
      <c r="H898" s="7"/>
    </row>
    <row r="899" spans="1:8" ht="13.2" x14ac:dyDescent="0.25">
      <c r="A899" s="7"/>
      <c r="E899" s="7"/>
      <c r="F899" s="7"/>
      <c r="G899" s="7"/>
      <c r="H899" s="7"/>
    </row>
    <row r="900" spans="1:8" ht="13.2" x14ac:dyDescent="0.25">
      <c r="A900" s="7"/>
      <c r="E900" s="7"/>
      <c r="F900" s="7"/>
      <c r="G900" s="7"/>
      <c r="H900" s="7"/>
    </row>
    <row r="901" spans="1:8" ht="13.2" x14ac:dyDescent="0.25">
      <c r="A901" s="7"/>
      <c r="E901" s="7"/>
      <c r="F901" s="7"/>
      <c r="G901" s="7"/>
      <c r="H901" s="7"/>
    </row>
    <row r="902" spans="1:8" ht="13.2" x14ac:dyDescent="0.25">
      <c r="A902" s="7"/>
      <c r="E902" s="7"/>
      <c r="F902" s="7"/>
      <c r="G902" s="7"/>
      <c r="H902" s="7"/>
    </row>
    <row r="903" spans="1:8" ht="13.2" x14ac:dyDescent="0.25">
      <c r="A903" s="7"/>
      <c r="E903" s="7"/>
      <c r="F903" s="7"/>
      <c r="G903" s="7"/>
      <c r="H903" s="7"/>
    </row>
    <row r="904" spans="1:8" ht="13.2" x14ac:dyDescent="0.25">
      <c r="A904" s="7"/>
      <c r="E904" s="7"/>
      <c r="F904" s="7"/>
      <c r="G904" s="7"/>
      <c r="H904" s="7"/>
    </row>
    <row r="905" spans="1:8" ht="13.2" x14ac:dyDescent="0.25">
      <c r="A905" s="7"/>
      <c r="E905" s="7"/>
      <c r="F905" s="7"/>
      <c r="G905" s="7"/>
      <c r="H905" s="7"/>
    </row>
    <row r="906" spans="1:8" ht="13.2" x14ac:dyDescent="0.25">
      <c r="A906" s="7"/>
      <c r="E906" s="7"/>
      <c r="F906" s="7"/>
      <c r="G906" s="7"/>
      <c r="H906" s="7"/>
    </row>
    <row r="907" spans="1:8" ht="13.2" x14ac:dyDescent="0.25">
      <c r="A907" s="7"/>
      <c r="E907" s="7"/>
      <c r="F907" s="7"/>
      <c r="G907" s="7"/>
      <c r="H907" s="7"/>
    </row>
    <row r="908" spans="1:8" ht="13.2" x14ac:dyDescent="0.25">
      <c r="A908" s="7"/>
      <c r="E908" s="7"/>
      <c r="F908" s="7"/>
      <c r="G908" s="7"/>
      <c r="H908" s="7"/>
    </row>
    <row r="909" spans="1:8" ht="13.2" x14ac:dyDescent="0.25">
      <c r="A909" s="7"/>
      <c r="E909" s="7"/>
      <c r="F909" s="7"/>
      <c r="G909" s="7"/>
      <c r="H909" s="7"/>
    </row>
    <row r="910" spans="1:8" ht="13.2" x14ac:dyDescent="0.25">
      <c r="A910" s="7"/>
      <c r="E910" s="7"/>
      <c r="F910" s="7"/>
      <c r="G910" s="7"/>
      <c r="H910" s="7"/>
    </row>
    <row r="911" spans="1:8" ht="13.2" x14ac:dyDescent="0.25">
      <c r="A911" s="7"/>
      <c r="E911" s="7"/>
      <c r="F911" s="7"/>
      <c r="G911" s="7"/>
      <c r="H911" s="7"/>
    </row>
    <row r="912" spans="1:8" ht="13.2" x14ac:dyDescent="0.25">
      <c r="A912" s="7"/>
      <c r="E912" s="7"/>
      <c r="F912" s="7"/>
      <c r="G912" s="7"/>
      <c r="H912" s="7"/>
    </row>
    <row r="913" spans="1:8" ht="13.2" x14ac:dyDescent="0.25">
      <c r="A913" s="7"/>
      <c r="E913" s="7"/>
      <c r="F913" s="7"/>
      <c r="G913" s="7"/>
      <c r="H913" s="7"/>
    </row>
    <row r="914" spans="1:8" ht="13.2" x14ac:dyDescent="0.25">
      <c r="A914" s="7"/>
      <c r="E914" s="7"/>
      <c r="F914" s="7"/>
      <c r="G914" s="7"/>
      <c r="H914" s="7"/>
    </row>
    <row r="915" spans="1:8" ht="13.2" x14ac:dyDescent="0.25">
      <c r="A915" s="7"/>
      <c r="E915" s="7"/>
      <c r="F915" s="7"/>
      <c r="G915" s="7"/>
      <c r="H915" s="7"/>
    </row>
    <row r="916" spans="1:8" ht="13.2" x14ac:dyDescent="0.25">
      <c r="A916" s="7"/>
      <c r="E916" s="7"/>
      <c r="F916" s="7"/>
      <c r="G916" s="7"/>
      <c r="H916" s="7"/>
    </row>
    <row r="917" spans="1:8" ht="13.2" x14ac:dyDescent="0.25">
      <c r="A917" s="7"/>
      <c r="E917" s="7"/>
      <c r="F917" s="7"/>
      <c r="G917" s="7"/>
      <c r="H917" s="7"/>
    </row>
    <row r="918" spans="1:8" ht="13.2" x14ac:dyDescent="0.25">
      <c r="A918" s="7"/>
      <c r="E918" s="7"/>
      <c r="F918" s="7"/>
      <c r="G918" s="7"/>
      <c r="H918" s="7"/>
    </row>
    <row r="919" spans="1:8" ht="13.2" x14ac:dyDescent="0.25">
      <c r="A919" s="7"/>
      <c r="E919" s="7"/>
      <c r="F919" s="7"/>
      <c r="G919" s="7"/>
      <c r="H919" s="7"/>
    </row>
    <row r="920" spans="1:8" ht="13.2" x14ac:dyDescent="0.25">
      <c r="A920" s="7"/>
      <c r="E920" s="7"/>
      <c r="F920" s="7"/>
      <c r="G920" s="7"/>
      <c r="H920" s="7"/>
    </row>
    <row r="921" spans="1:8" ht="13.2" x14ac:dyDescent="0.25">
      <c r="A921" s="7"/>
      <c r="E921" s="7"/>
      <c r="F921" s="7"/>
      <c r="G921" s="7"/>
      <c r="H921" s="7"/>
    </row>
    <row r="922" spans="1:8" ht="13.2" x14ac:dyDescent="0.25">
      <c r="A922" s="7"/>
      <c r="E922" s="7"/>
      <c r="F922" s="7"/>
      <c r="G922" s="7"/>
      <c r="H922" s="7"/>
    </row>
    <row r="923" spans="1:8" ht="13.2" x14ac:dyDescent="0.25">
      <c r="A923" s="7"/>
      <c r="E923" s="7"/>
      <c r="F923" s="7"/>
      <c r="G923" s="7"/>
      <c r="H923" s="7"/>
    </row>
    <row r="924" spans="1:8" ht="13.2" x14ac:dyDescent="0.25">
      <c r="A924" s="7"/>
      <c r="E924" s="7"/>
      <c r="F924" s="7"/>
      <c r="G924" s="7"/>
      <c r="H924" s="7"/>
    </row>
    <row r="925" spans="1:8" ht="13.2" x14ac:dyDescent="0.25">
      <c r="A925" s="7"/>
      <c r="E925" s="7"/>
      <c r="F925" s="7"/>
      <c r="G925" s="7"/>
      <c r="H925" s="7"/>
    </row>
    <row r="926" spans="1:8" ht="13.2" x14ac:dyDescent="0.25">
      <c r="A926" s="7"/>
      <c r="E926" s="7"/>
      <c r="F926" s="7"/>
      <c r="G926" s="7"/>
      <c r="H926" s="7"/>
    </row>
    <row r="927" spans="1:8" ht="13.2" x14ac:dyDescent="0.25">
      <c r="A927" s="7"/>
      <c r="E927" s="7"/>
      <c r="F927" s="7"/>
      <c r="G927" s="7"/>
      <c r="H927" s="7"/>
    </row>
    <row r="928" spans="1:8" ht="13.2" x14ac:dyDescent="0.25">
      <c r="A928" s="7"/>
      <c r="E928" s="7"/>
      <c r="F928" s="7"/>
      <c r="G928" s="7"/>
      <c r="H928" s="7"/>
    </row>
    <row r="929" spans="1:8" ht="13.2" x14ac:dyDescent="0.25">
      <c r="A929" s="7"/>
      <c r="E929" s="7"/>
      <c r="F929" s="7"/>
      <c r="G929" s="7"/>
      <c r="H929" s="7"/>
    </row>
    <row r="930" spans="1:8" ht="13.2" x14ac:dyDescent="0.25">
      <c r="A930" s="7"/>
      <c r="E930" s="7"/>
      <c r="F930" s="7"/>
      <c r="G930" s="7"/>
      <c r="H930" s="7"/>
    </row>
    <row r="931" spans="1:8" ht="13.2" x14ac:dyDescent="0.25">
      <c r="A931" s="7"/>
      <c r="E931" s="7"/>
      <c r="F931" s="7"/>
      <c r="G931" s="7"/>
      <c r="H931" s="7"/>
    </row>
    <row r="932" spans="1:8" ht="13.2" x14ac:dyDescent="0.25">
      <c r="A932" s="7"/>
      <c r="E932" s="7"/>
      <c r="F932" s="7"/>
      <c r="G932" s="7"/>
      <c r="H932" s="7"/>
    </row>
    <row r="933" spans="1:8" ht="13.2" x14ac:dyDescent="0.25">
      <c r="A933" s="7"/>
      <c r="E933" s="7"/>
      <c r="F933" s="7"/>
      <c r="G933" s="7"/>
      <c r="H933" s="7"/>
    </row>
    <row r="934" spans="1:8" ht="13.2" x14ac:dyDescent="0.25">
      <c r="A934" s="7"/>
      <c r="E934" s="7"/>
      <c r="F934" s="7"/>
      <c r="G934" s="7"/>
      <c r="H934" s="7"/>
    </row>
    <row r="935" spans="1:8" ht="13.2" x14ac:dyDescent="0.25">
      <c r="A935" s="7"/>
      <c r="E935" s="7"/>
      <c r="F935" s="7"/>
      <c r="G935" s="7"/>
      <c r="H935" s="7"/>
    </row>
    <row r="936" spans="1:8" ht="13.2" x14ac:dyDescent="0.25">
      <c r="A936" s="7"/>
      <c r="E936" s="7"/>
      <c r="F936" s="7"/>
      <c r="G936" s="7"/>
      <c r="H936" s="7"/>
    </row>
    <row r="937" spans="1:8" ht="13.2" x14ac:dyDescent="0.25">
      <c r="A937" s="7"/>
      <c r="E937" s="7"/>
      <c r="F937" s="7"/>
      <c r="G937" s="7"/>
      <c r="H937" s="7"/>
    </row>
    <row r="938" spans="1:8" ht="13.2" x14ac:dyDescent="0.25">
      <c r="A938" s="7"/>
      <c r="E938" s="7"/>
      <c r="F938" s="7"/>
      <c r="G938" s="7"/>
      <c r="H938" s="7"/>
    </row>
    <row r="939" spans="1:8" ht="13.2" x14ac:dyDescent="0.25">
      <c r="A939" s="7"/>
      <c r="E939" s="7"/>
      <c r="F939" s="7"/>
      <c r="G939" s="7"/>
      <c r="H939" s="7"/>
    </row>
    <row r="940" spans="1:8" ht="13.2" x14ac:dyDescent="0.25">
      <c r="A940" s="7"/>
      <c r="E940" s="7"/>
      <c r="F940" s="7"/>
      <c r="G940" s="7"/>
      <c r="H940" s="7"/>
    </row>
    <row r="941" spans="1:8" ht="13.2" x14ac:dyDescent="0.25">
      <c r="A941" s="7"/>
      <c r="E941" s="7"/>
      <c r="F941" s="7"/>
      <c r="G941" s="7"/>
      <c r="H941" s="7"/>
    </row>
    <row r="942" spans="1:8" ht="13.2" x14ac:dyDescent="0.25">
      <c r="A942" s="7"/>
      <c r="E942" s="7"/>
      <c r="F942" s="7"/>
      <c r="G942" s="7"/>
      <c r="H942" s="7"/>
    </row>
    <row r="943" spans="1:8" ht="13.2" x14ac:dyDescent="0.25">
      <c r="A943" s="7"/>
      <c r="E943" s="7"/>
      <c r="F943" s="7"/>
      <c r="G943" s="7"/>
      <c r="H943" s="7"/>
    </row>
    <row r="944" spans="1:8" ht="13.2" x14ac:dyDescent="0.25">
      <c r="A944" s="7"/>
      <c r="E944" s="7"/>
      <c r="F944" s="7"/>
      <c r="G944" s="7"/>
      <c r="H944" s="7"/>
    </row>
    <row r="945" spans="1:8" ht="13.2" x14ac:dyDescent="0.25">
      <c r="A945" s="7"/>
      <c r="E945" s="7"/>
      <c r="F945" s="7"/>
      <c r="G945" s="7"/>
      <c r="H945" s="7"/>
    </row>
    <row r="946" spans="1:8" ht="13.2" x14ac:dyDescent="0.25">
      <c r="A946" s="7"/>
      <c r="E946" s="7"/>
      <c r="F946" s="7"/>
      <c r="G946" s="7"/>
      <c r="H946" s="7"/>
    </row>
    <row r="947" spans="1:8" ht="13.2" x14ac:dyDescent="0.25">
      <c r="A947" s="7"/>
      <c r="E947" s="7"/>
      <c r="F947" s="7"/>
      <c r="G947" s="7"/>
      <c r="H947" s="7"/>
    </row>
    <row r="948" spans="1:8" ht="13.2" x14ac:dyDescent="0.25">
      <c r="A948" s="7"/>
      <c r="E948" s="7"/>
      <c r="F948" s="7"/>
      <c r="G948" s="7"/>
      <c r="H948" s="7"/>
    </row>
    <row r="949" spans="1:8" ht="13.2" x14ac:dyDescent="0.25">
      <c r="A949" s="7"/>
      <c r="E949" s="7"/>
      <c r="F949" s="7"/>
      <c r="G949" s="7"/>
      <c r="H949" s="7"/>
    </row>
    <row r="950" spans="1:8" ht="13.2" x14ac:dyDescent="0.25">
      <c r="A950" s="7"/>
      <c r="E950" s="7"/>
      <c r="F950" s="7"/>
      <c r="G950" s="7"/>
      <c r="H950" s="7"/>
    </row>
    <row r="951" spans="1:8" ht="13.2" x14ac:dyDescent="0.25">
      <c r="A951" s="7"/>
      <c r="E951" s="7"/>
      <c r="F951" s="7"/>
      <c r="G951" s="7"/>
      <c r="H951" s="7"/>
    </row>
    <row r="952" spans="1:8" ht="13.2" x14ac:dyDescent="0.25">
      <c r="A952" s="7"/>
      <c r="E952" s="7"/>
      <c r="F952" s="7"/>
      <c r="G952" s="7"/>
      <c r="H952" s="7"/>
    </row>
    <row r="953" spans="1:8" ht="13.2" x14ac:dyDescent="0.25">
      <c r="A953" s="7"/>
      <c r="E953" s="7"/>
      <c r="F953" s="7"/>
      <c r="G953" s="7"/>
      <c r="H953" s="7"/>
    </row>
    <row r="954" spans="1:8" ht="13.2" x14ac:dyDescent="0.25">
      <c r="A954" s="7"/>
      <c r="E954" s="7"/>
      <c r="F954" s="7"/>
      <c r="G954" s="7"/>
      <c r="H954" s="7"/>
    </row>
    <row r="955" spans="1:8" ht="13.2" x14ac:dyDescent="0.25">
      <c r="A955" s="7"/>
      <c r="E955" s="7"/>
      <c r="F955" s="7"/>
      <c r="G955" s="7"/>
      <c r="H955" s="7"/>
    </row>
    <row r="956" spans="1:8" ht="13.2" x14ac:dyDescent="0.25">
      <c r="A956" s="7"/>
      <c r="E956" s="7"/>
      <c r="F956" s="7"/>
      <c r="G956" s="7"/>
      <c r="H956" s="7"/>
    </row>
    <row r="957" spans="1:8" ht="13.2" x14ac:dyDescent="0.25">
      <c r="A957" s="7"/>
      <c r="E957" s="7"/>
      <c r="F957" s="7"/>
      <c r="G957" s="7"/>
      <c r="H957" s="7"/>
    </row>
    <row r="958" spans="1:8" ht="13.2" x14ac:dyDescent="0.25">
      <c r="A958" s="7"/>
      <c r="E958" s="7"/>
      <c r="F958" s="7"/>
      <c r="G958" s="7"/>
      <c r="H958" s="7"/>
    </row>
    <row r="959" spans="1:8" ht="13.2" x14ac:dyDescent="0.25">
      <c r="A959" s="7"/>
      <c r="E959" s="7"/>
      <c r="F959" s="7"/>
      <c r="G959" s="7"/>
      <c r="H959" s="7"/>
    </row>
    <row r="960" spans="1:8" ht="13.2" x14ac:dyDescent="0.25">
      <c r="A960" s="7"/>
      <c r="E960" s="7"/>
      <c r="F960" s="7"/>
      <c r="G960" s="7"/>
      <c r="H960" s="7"/>
    </row>
    <row r="961" spans="1:8" ht="13.2" x14ac:dyDescent="0.25">
      <c r="A961" s="7"/>
      <c r="E961" s="7"/>
      <c r="F961" s="7"/>
      <c r="G961" s="7"/>
      <c r="H961" s="7"/>
    </row>
    <row r="962" spans="1:8" ht="13.2" x14ac:dyDescent="0.25">
      <c r="A962" s="7"/>
      <c r="E962" s="7"/>
      <c r="F962" s="7"/>
      <c r="G962" s="7"/>
      <c r="H962" s="7"/>
    </row>
    <row r="963" spans="1:8" ht="13.2" x14ac:dyDescent="0.25">
      <c r="A963" s="7"/>
      <c r="E963" s="7"/>
      <c r="F963" s="7"/>
      <c r="G963" s="7"/>
      <c r="H963" s="7"/>
    </row>
    <row r="964" spans="1:8" ht="13.2" x14ac:dyDescent="0.25">
      <c r="A964" s="7"/>
      <c r="E964" s="7"/>
      <c r="F964" s="7"/>
      <c r="G964" s="7"/>
      <c r="H964" s="7"/>
    </row>
    <row r="965" spans="1:8" ht="13.2" x14ac:dyDescent="0.25">
      <c r="A965" s="7"/>
      <c r="E965" s="7"/>
      <c r="F965" s="7"/>
      <c r="G965" s="7"/>
      <c r="H965" s="7"/>
    </row>
    <row r="966" spans="1:8" ht="13.2" x14ac:dyDescent="0.25">
      <c r="A966" s="7"/>
      <c r="E966" s="7"/>
      <c r="F966" s="7"/>
      <c r="G966" s="7"/>
      <c r="H966" s="7"/>
    </row>
    <row r="967" spans="1:8" ht="13.2" x14ac:dyDescent="0.25">
      <c r="A967" s="7"/>
      <c r="E967" s="7"/>
      <c r="F967" s="7"/>
      <c r="G967" s="7"/>
      <c r="H967" s="7"/>
    </row>
    <row r="968" spans="1:8" ht="13.2" x14ac:dyDescent="0.25">
      <c r="A968" s="7"/>
      <c r="E968" s="7"/>
      <c r="F968" s="7"/>
      <c r="G968" s="7"/>
      <c r="H968" s="7"/>
    </row>
    <row r="969" spans="1:8" ht="13.2" x14ac:dyDescent="0.25">
      <c r="A969" s="7"/>
      <c r="E969" s="7"/>
      <c r="F969" s="7"/>
      <c r="G969" s="7"/>
      <c r="H969" s="7"/>
    </row>
    <row r="970" spans="1:8" ht="13.2" x14ac:dyDescent="0.25">
      <c r="A970" s="7"/>
      <c r="E970" s="7"/>
      <c r="F970" s="7"/>
      <c r="G970" s="7"/>
      <c r="H970" s="7"/>
    </row>
    <row r="971" spans="1:8" ht="13.2" x14ac:dyDescent="0.25">
      <c r="A971" s="7"/>
      <c r="E971" s="7"/>
      <c r="F971" s="7"/>
      <c r="G971" s="7"/>
      <c r="H971" s="7"/>
    </row>
    <row r="972" spans="1:8" ht="13.2" x14ac:dyDescent="0.25">
      <c r="A972" s="7"/>
      <c r="E972" s="7"/>
      <c r="F972" s="7"/>
      <c r="G972" s="7"/>
      <c r="H972" s="7"/>
    </row>
    <row r="973" spans="1:8" ht="13.2" x14ac:dyDescent="0.25">
      <c r="A973" s="7"/>
      <c r="E973" s="7"/>
      <c r="F973" s="7"/>
      <c r="G973" s="7"/>
      <c r="H973" s="7"/>
    </row>
    <row r="974" spans="1:8" ht="13.2" x14ac:dyDescent="0.25">
      <c r="A974" s="7"/>
      <c r="E974" s="7"/>
      <c r="F974" s="7"/>
      <c r="G974" s="7"/>
      <c r="H974" s="7"/>
    </row>
    <row r="975" spans="1:8" ht="13.2" x14ac:dyDescent="0.25">
      <c r="A975" s="7"/>
      <c r="E975" s="7"/>
      <c r="F975" s="7"/>
      <c r="G975" s="7"/>
      <c r="H975" s="7"/>
    </row>
    <row r="976" spans="1:8" ht="13.2" x14ac:dyDescent="0.25">
      <c r="A976" s="7"/>
      <c r="E976" s="7"/>
      <c r="F976" s="7"/>
      <c r="G976" s="7"/>
      <c r="H976" s="7"/>
    </row>
    <row r="977" spans="1:8" ht="13.2" x14ac:dyDescent="0.25">
      <c r="A977" s="7"/>
      <c r="E977" s="7"/>
      <c r="F977" s="7"/>
      <c r="G977" s="7"/>
      <c r="H977" s="7"/>
    </row>
    <row r="978" spans="1:8" ht="13.2" x14ac:dyDescent="0.25">
      <c r="A978" s="7"/>
      <c r="E978" s="7"/>
      <c r="F978" s="7"/>
      <c r="G978" s="7"/>
      <c r="H978" s="7"/>
    </row>
    <row r="979" spans="1:8" ht="13.2" x14ac:dyDescent="0.25">
      <c r="A979" s="7"/>
      <c r="E979" s="7"/>
      <c r="F979" s="7"/>
      <c r="G979" s="7"/>
      <c r="H979" s="7"/>
    </row>
    <row r="980" spans="1:8" ht="13.2" x14ac:dyDescent="0.25">
      <c r="A980" s="7"/>
      <c r="E980" s="7"/>
      <c r="F980" s="7"/>
      <c r="G980" s="7"/>
      <c r="H980" s="7"/>
    </row>
    <row r="981" spans="1:8" ht="13.2" x14ac:dyDescent="0.25">
      <c r="A981" s="7"/>
      <c r="E981" s="7"/>
      <c r="F981" s="7"/>
      <c r="G981" s="7"/>
      <c r="H981" s="7"/>
    </row>
    <row r="982" spans="1:8" ht="13.2" x14ac:dyDescent="0.25">
      <c r="A982" s="7"/>
      <c r="E982" s="7"/>
      <c r="F982" s="7"/>
      <c r="G982" s="7"/>
      <c r="H982" s="7"/>
    </row>
    <row r="983" spans="1:8" ht="13.2" x14ac:dyDescent="0.25">
      <c r="A983" s="7"/>
      <c r="E983" s="7"/>
      <c r="F983" s="7"/>
      <c r="G983" s="7"/>
      <c r="H983" s="7"/>
    </row>
    <row r="984" spans="1:8" ht="13.2" x14ac:dyDescent="0.25">
      <c r="A984" s="7"/>
      <c r="E984" s="7"/>
      <c r="F984" s="7"/>
      <c r="G984" s="7"/>
      <c r="H984" s="7"/>
    </row>
    <row r="985" spans="1:8" ht="13.2" x14ac:dyDescent="0.25">
      <c r="A985" s="7"/>
      <c r="E985" s="7"/>
      <c r="F985" s="7"/>
      <c r="G985" s="7"/>
      <c r="H985" s="7"/>
    </row>
    <row r="986" spans="1:8" ht="13.2" x14ac:dyDescent="0.25">
      <c r="A986" s="7"/>
      <c r="E986" s="7"/>
      <c r="F986" s="7"/>
      <c r="G986" s="7"/>
      <c r="H986" s="7"/>
    </row>
    <row r="987" spans="1:8" ht="13.2" x14ac:dyDescent="0.25">
      <c r="A987" s="7"/>
      <c r="E987" s="7"/>
      <c r="F987" s="7"/>
      <c r="G987" s="7"/>
      <c r="H987" s="7"/>
    </row>
    <row r="988" spans="1:8" ht="13.2" x14ac:dyDescent="0.25">
      <c r="A988" s="7"/>
      <c r="E988" s="7"/>
      <c r="F988" s="7"/>
      <c r="G988" s="7"/>
      <c r="H988" s="7"/>
    </row>
    <row r="989" spans="1:8" ht="13.2" x14ac:dyDescent="0.25">
      <c r="A989" s="7"/>
      <c r="E989" s="7"/>
      <c r="F989" s="7"/>
      <c r="G989" s="7"/>
      <c r="H989" s="7"/>
    </row>
    <row r="990" spans="1:8" ht="13.2" x14ac:dyDescent="0.25">
      <c r="A990" s="7"/>
      <c r="E990" s="7"/>
      <c r="F990" s="7"/>
      <c r="G990" s="7"/>
      <c r="H990" s="7"/>
    </row>
    <row r="991" spans="1:8" ht="13.2" x14ac:dyDescent="0.25">
      <c r="A991" s="7"/>
      <c r="E991" s="7"/>
      <c r="F991" s="7"/>
      <c r="G991" s="7"/>
      <c r="H991" s="7"/>
    </row>
    <row r="992" spans="1:8" ht="13.2" x14ac:dyDescent="0.25">
      <c r="A992" s="7"/>
      <c r="E992" s="7"/>
      <c r="F992" s="7"/>
      <c r="G992" s="7"/>
      <c r="H992" s="7"/>
    </row>
    <row r="993" spans="1:8" ht="13.2" x14ac:dyDescent="0.25">
      <c r="A993" s="7"/>
      <c r="E993" s="7"/>
      <c r="F993" s="7"/>
      <c r="G993" s="7"/>
      <c r="H993" s="7"/>
    </row>
    <row r="994" spans="1:8" ht="13.2" x14ac:dyDescent="0.25">
      <c r="A994" s="7"/>
      <c r="E994" s="7"/>
      <c r="F994" s="7"/>
      <c r="G994" s="7"/>
      <c r="H994" s="7"/>
    </row>
    <row r="995" spans="1:8" ht="13.2" x14ac:dyDescent="0.25">
      <c r="A995" s="7"/>
      <c r="E995" s="7"/>
      <c r="F995" s="7"/>
      <c r="G995" s="7"/>
      <c r="H995" s="7"/>
    </row>
    <row r="996" spans="1:8" ht="13.2" x14ac:dyDescent="0.25">
      <c r="A996" s="7"/>
      <c r="E996" s="7"/>
      <c r="F996" s="7"/>
      <c r="G996" s="7"/>
      <c r="H996" s="7"/>
    </row>
    <row r="997" spans="1:8" ht="13.2" x14ac:dyDescent="0.25">
      <c r="A997" s="7"/>
      <c r="E997" s="7"/>
      <c r="F997" s="7"/>
      <c r="G997" s="7"/>
      <c r="H997" s="7"/>
    </row>
    <row r="998" spans="1:8" ht="13.2" x14ac:dyDescent="0.25">
      <c r="A998" s="7"/>
      <c r="E998" s="7"/>
      <c r="F998" s="7"/>
      <c r="G998" s="7"/>
      <c r="H998" s="7"/>
    </row>
    <row r="999" spans="1:8" ht="13.2" x14ac:dyDescent="0.25">
      <c r="A999" s="7"/>
      <c r="E999" s="7"/>
      <c r="F999" s="7"/>
      <c r="G999" s="7"/>
      <c r="H999" s="7"/>
    </row>
    <row r="1000" spans="1:8" ht="13.2" x14ac:dyDescent="0.25">
      <c r="A1000" s="7"/>
      <c r="E1000" s="7"/>
      <c r="F1000" s="7"/>
      <c r="G1000" s="7"/>
      <c r="H1000" s="7"/>
    </row>
    <row r="1001" spans="1:8" ht="13.2" x14ac:dyDescent="0.25">
      <c r="A1001" s="7"/>
      <c r="E1001" s="7"/>
      <c r="F1001" s="7"/>
      <c r="G1001" s="7"/>
      <c r="H1001" s="7"/>
    </row>
    <row r="1002" spans="1:8" ht="13.2" x14ac:dyDescent="0.25">
      <c r="A1002" s="7"/>
      <c r="E1002" s="7"/>
      <c r="F1002" s="7"/>
      <c r="G1002" s="7"/>
      <c r="H1002" s="7"/>
    </row>
    <row r="1003" spans="1:8" ht="13.2" x14ac:dyDescent="0.25">
      <c r="A1003" s="7"/>
      <c r="E1003" s="7"/>
      <c r="F1003" s="7"/>
      <c r="G1003" s="7"/>
      <c r="H1003" s="7"/>
    </row>
    <row r="1004" spans="1:8" ht="13.2" x14ac:dyDescent="0.25">
      <c r="A1004" s="7"/>
      <c r="E1004" s="7"/>
      <c r="F1004" s="7"/>
      <c r="G1004" s="7"/>
      <c r="H1004" s="7"/>
    </row>
    <row r="1005" spans="1:8" ht="13.2" x14ac:dyDescent="0.25">
      <c r="A1005" s="7"/>
      <c r="E1005" s="7"/>
      <c r="F1005" s="7"/>
      <c r="G1005" s="7"/>
      <c r="H1005" s="7"/>
    </row>
    <row r="1006" spans="1:8" ht="13.2" x14ac:dyDescent="0.25">
      <c r="A1006" s="7"/>
      <c r="E1006" s="7"/>
      <c r="F1006" s="7"/>
      <c r="G1006" s="7"/>
      <c r="H1006" s="7"/>
    </row>
    <row r="1007" spans="1:8" ht="13.2" x14ac:dyDescent="0.25">
      <c r="A1007" s="7"/>
      <c r="E1007" s="7"/>
      <c r="F1007" s="7"/>
      <c r="G1007" s="7"/>
      <c r="H1007" s="7"/>
    </row>
    <row r="1008" spans="1:8" ht="13.2" x14ac:dyDescent="0.25">
      <c r="A1008" s="7"/>
      <c r="E1008" s="7"/>
      <c r="F1008" s="7"/>
      <c r="G1008" s="7"/>
      <c r="H1008" s="7"/>
    </row>
    <row r="1009" spans="1:8" ht="13.2" x14ac:dyDescent="0.25">
      <c r="A1009" s="7"/>
      <c r="E1009" s="7"/>
      <c r="F1009" s="7"/>
      <c r="G1009" s="7"/>
      <c r="H1009" s="7"/>
    </row>
    <row r="1010" spans="1:8" ht="13.2" x14ac:dyDescent="0.25">
      <c r="A1010" s="7"/>
      <c r="E1010" s="7"/>
      <c r="F1010" s="7"/>
      <c r="G1010" s="7"/>
      <c r="H1010" s="7"/>
    </row>
  </sheetData>
  <mergeCells count="8">
    <mergeCell ref="A24:K24"/>
    <mergeCell ref="A1:K1"/>
    <mergeCell ref="A2:K2"/>
    <mergeCell ref="B3:C3"/>
    <mergeCell ref="A21:A22"/>
    <mergeCell ref="B21:B22"/>
    <mergeCell ref="C21:C22"/>
    <mergeCell ref="D21:D22"/>
  </mergeCells>
  <printOptions horizontalCentered="1" verticalCentered="1" gridLines="1"/>
  <pageMargins left="0.25" right="0.25" top="0.75" bottom="0.75" header="0" footer="0"/>
  <pageSetup fitToHeight="0" pageOrder="overThenDown" orientation="landscape" cellComments="atEnd"/>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outlinePr summaryBelow="0" summaryRight="0"/>
    <pageSetUpPr fitToPage="1"/>
  </sheetPr>
  <dimension ref="A1:W1000"/>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46.33203125" customWidth="1"/>
    <col min="2" max="2" width="7.33203125" customWidth="1"/>
    <col min="3" max="4" width="7.88671875" customWidth="1"/>
    <col min="5" max="5" width="22.21875" customWidth="1"/>
    <col min="6" max="6" width="14.6640625" customWidth="1"/>
  </cols>
  <sheetData>
    <row r="1" spans="1:23" x14ac:dyDescent="0.25">
      <c r="A1" s="141" t="s">
        <v>767</v>
      </c>
      <c r="B1" s="142"/>
      <c r="C1" s="142"/>
      <c r="D1" s="142"/>
      <c r="E1" s="142"/>
      <c r="F1" s="142"/>
      <c r="G1" s="142"/>
      <c r="H1" s="142"/>
      <c r="I1" s="143"/>
    </row>
    <row r="2" spans="1:23" x14ac:dyDescent="0.25">
      <c r="A2" s="144" t="s">
        <v>768</v>
      </c>
      <c r="B2" s="142"/>
      <c r="C2" s="142"/>
      <c r="D2" s="142"/>
      <c r="E2" s="142"/>
      <c r="F2" s="142"/>
      <c r="G2" s="142"/>
      <c r="H2" s="142"/>
      <c r="I2" s="143"/>
    </row>
    <row r="3" spans="1:23" x14ac:dyDescent="0.25">
      <c r="A3" s="43" t="s">
        <v>374</v>
      </c>
      <c r="B3" s="145" t="s">
        <v>408</v>
      </c>
      <c r="C3" s="143"/>
      <c r="D3" s="49" t="s">
        <v>370</v>
      </c>
      <c r="E3" s="50" t="s">
        <v>371</v>
      </c>
      <c r="F3" s="51" t="s">
        <v>372</v>
      </c>
      <c r="G3" s="52" t="s">
        <v>373</v>
      </c>
      <c r="H3" s="53" t="s">
        <v>409</v>
      </c>
      <c r="I3" s="53" t="s">
        <v>410</v>
      </c>
      <c r="J3" s="7"/>
      <c r="K3" s="7"/>
      <c r="L3" s="7"/>
      <c r="M3" s="7"/>
      <c r="N3" s="7"/>
      <c r="O3" s="7"/>
      <c r="P3" s="7"/>
      <c r="Q3" s="7"/>
      <c r="R3" s="7"/>
      <c r="S3" s="7"/>
      <c r="T3" s="7"/>
      <c r="U3" s="7"/>
      <c r="V3" s="7"/>
      <c r="W3" s="7"/>
    </row>
    <row r="4" spans="1:23" x14ac:dyDescent="0.25">
      <c r="A4" s="41" t="s">
        <v>411</v>
      </c>
      <c r="B4" s="54">
        <f>SUM(B5:B7)/4</f>
        <v>0.75</v>
      </c>
      <c r="C4" s="55">
        <f>D4*B4</f>
        <v>0.52499999999999991</v>
      </c>
      <c r="D4" s="56">
        <v>0.7</v>
      </c>
      <c r="E4" s="57"/>
      <c r="F4" s="57"/>
      <c r="G4" s="58"/>
      <c r="H4" s="58"/>
      <c r="I4" s="58"/>
    </row>
    <row r="5" spans="1:23" x14ac:dyDescent="0.25">
      <c r="A5" s="42" t="s">
        <v>769</v>
      </c>
      <c r="B5" s="59">
        <v>1</v>
      </c>
      <c r="C5" s="60"/>
      <c r="D5" s="60"/>
      <c r="E5" s="42"/>
      <c r="F5" s="61"/>
      <c r="G5" s="59">
        <v>1</v>
      </c>
      <c r="H5" s="59">
        <v>0.8</v>
      </c>
      <c r="I5" s="59">
        <v>1</v>
      </c>
    </row>
    <row r="6" spans="1:23" x14ac:dyDescent="0.25">
      <c r="A6" s="42" t="s">
        <v>770</v>
      </c>
      <c r="B6" s="59">
        <v>1</v>
      </c>
      <c r="C6" s="60"/>
      <c r="D6" s="60"/>
      <c r="E6" s="42"/>
      <c r="F6" s="61"/>
      <c r="G6" s="59">
        <v>1</v>
      </c>
      <c r="H6" s="59">
        <v>0.8</v>
      </c>
      <c r="I6" s="59">
        <v>1</v>
      </c>
    </row>
    <row r="7" spans="1:23" x14ac:dyDescent="0.25">
      <c r="A7" s="42" t="s">
        <v>771</v>
      </c>
      <c r="B7" s="59">
        <v>1</v>
      </c>
      <c r="C7" s="60"/>
      <c r="D7" s="60"/>
      <c r="E7" s="42"/>
      <c r="F7" s="61"/>
      <c r="G7" s="59">
        <v>1</v>
      </c>
      <c r="H7" s="59">
        <v>0.8</v>
      </c>
      <c r="I7" s="59">
        <v>1</v>
      </c>
    </row>
    <row r="8" spans="1:23" x14ac:dyDescent="0.25">
      <c r="A8" s="41" t="s">
        <v>415</v>
      </c>
      <c r="B8" s="54">
        <f>SUM(B9:B10)/1</f>
        <v>1</v>
      </c>
      <c r="C8" s="55">
        <f>D8*B8</f>
        <v>0.2</v>
      </c>
      <c r="D8" s="56">
        <v>0.2</v>
      </c>
      <c r="E8" s="57"/>
      <c r="F8" s="57"/>
      <c r="G8" s="58"/>
      <c r="H8" s="58"/>
      <c r="I8" s="58"/>
    </row>
    <row r="9" spans="1:23" x14ac:dyDescent="0.25">
      <c r="A9" s="42" t="s">
        <v>772</v>
      </c>
      <c r="B9" s="59">
        <v>1</v>
      </c>
      <c r="C9" s="60"/>
      <c r="D9" s="60"/>
      <c r="E9" s="42" t="s">
        <v>773</v>
      </c>
      <c r="F9" s="42" t="s">
        <v>425</v>
      </c>
      <c r="G9" s="59">
        <v>1</v>
      </c>
      <c r="H9" s="59"/>
      <c r="I9" s="59"/>
    </row>
    <row r="10" spans="1:23" x14ac:dyDescent="0.25">
      <c r="A10" s="43"/>
      <c r="B10" s="62"/>
      <c r="C10" s="60"/>
      <c r="D10" s="60"/>
      <c r="E10" s="42"/>
      <c r="F10" s="61"/>
      <c r="G10" s="59"/>
      <c r="H10" s="59"/>
      <c r="I10" s="59"/>
    </row>
    <row r="11" spans="1:23" x14ac:dyDescent="0.25">
      <c r="A11" s="41" t="s">
        <v>385</v>
      </c>
      <c r="B11" s="54">
        <f>SUM(B12:B13)/2</f>
        <v>1</v>
      </c>
      <c r="C11" s="55">
        <f>D11*B11</f>
        <v>0.1</v>
      </c>
      <c r="D11" s="56">
        <v>0.1</v>
      </c>
      <c r="E11" s="57"/>
      <c r="F11" s="57"/>
      <c r="G11" s="58"/>
      <c r="H11" s="58"/>
      <c r="I11" s="58"/>
    </row>
    <row r="12" spans="1:23" x14ac:dyDescent="0.25">
      <c r="A12" s="42" t="s">
        <v>386</v>
      </c>
      <c r="B12" s="59">
        <v>1</v>
      </c>
      <c r="C12" s="60"/>
      <c r="D12" s="53"/>
      <c r="E12" s="42"/>
      <c r="F12" s="42" t="s">
        <v>418</v>
      </c>
      <c r="G12" s="59">
        <v>0.8</v>
      </c>
      <c r="H12" s="59">
        <v>0.8</v>
      </c>
      <c r="I12" s="59">
        <v>1</v>
      </c>
    </row>
    <row r="13" spans="1:23" x14ac:dyDescent="0.25">
      <c r="A13" s="42" t="s">
        <v>387</v>
      </c>
      <c r="B13" s="59">
        <v>1</v>
      </c>
      <c r="C13" s="60"/>
      <c r="D13" s="53"/>
      <c r="E13" s="42"/>
      <c r="F13" s="42" t="s">
        <v>419</v>
      </c>
      <c r="G13" s="59">
        <v>0.8</v>
      </c>
      <c r="H13" s="59">
        <v>0.8</v>
      </c>
      <c r="I13" s="59">
        <v>1</v>
      </c>
    </row>
    <row r="14" spans="1:23" x14ac:dyDescent="0.25">
      <c r="A14" s="42"/>
      <c r="B14" s="60"/>
      <c r="C14" s="64">
        <f t="shared" ref="C14:D14" si="0">SUM(C4+C8+C11)</f>
        <v>0.82499999999999984</v>
      </c>
      <c r="D14" s="64">
        <f t="shared" si="0"/>
        <v>0.99999999999999989</v>
      </c>
      <c r="E14" s="42"/>
      <c r="F14" s="42"/>
      <c r="G14" s="60"/>
      <c r="H14" s="60"/>
      <c r="I14" s="60"/>
    </row>
    <row r="15" spans="1:23" x14ac:dyDescent="0.25">
      <c r="A15" s="152" t="s">
        <v>774</v>
      </c>
      <c r="B15" s="142"/>
      <c r="C15" s="142"/>
      <c r="D15" s="142"/>
      <c r="E15" s="142"/>
      <c r="F15" s="142"/>
      <c r="G15" s="142"/>
      <c r="H15" s="142"/>
      <c r="I15" s="143"/>
    </row>
    <row r="16" spans="1:23" x14ac:dyDescent="0.25">
      <c r="A16" s="66" t="s">
        <v>775</v>
      </c>
      <c r="B16" s="67" t="s">
        <v>423</v>
      </c>
      <c r="C16" s="64"/>
      <c r="D16" s="64"/>
      <c r="E16" s="68" t="s">
        <v>776</v>
      </c>
      <c r="F16" s="42" t="s">
        <v>425</v>
      </c>
      <c r="G16" s="42"/>
      <c r="H16" s="60"/>
      <c r="I16" s="60"/>
    </row>
    <row r="17" spans="1:9" x14ac:dyDescent="0.25">
      <c r="A17" s="66"/>
      <c r="B17" s="67"/>
      <c r="C17" s="64"/>
      <c r="D17" s="64"/>
      <c r="E17" s="68"/>
      <c r="F17" s="42"/>
      <c r="G17" s="69"/>
      <c r="H17" s="60"/>
      <c r="I17" s="60"/>
    </row>
    <row r="18" spans="1:9" x14ac:dyDescent="0.25">
      <c r="A18" s="7"/>
      <c r="E18" s="7"/>
      <c r="F18" s="7"/>
    </row>
    <row r="19" spans="1:9" x14ac:dyDescent="0.25">
      <c r="A19" s="7"/>
      <c r="E19" s="7"/>
      <c r="F19" s="7"/>
    </row>
    <row r="20" spans="1:9" x14ac:dyDescent="0.25">
      <c r="A20" s="7"/>
      <c r="E20" s="7"/>
      <c r="F20" s="7"/>
    </row>
    <row r="21" spans="1:9" x14ac:dyDescent="0.25">
      <c r="A21" s="7"/>
      <c r="E21" s="7"/>
      <c r="F21" s="7"/>
    </row>
    <row r="22" spans="1:9" x14ac:dyDescent="0.25">
      <c r="A22" s="7"/>
      <c r="E22" s="7"/>
      <c r="F22" s="7"/>
    </row>
    <row r="23" spans="1:9" x14ac:dyDescent="0.25">
      <c r="A23" s="7"/>
      <c r="E23" s="7"/>
      <c r="F23" s="7"/>
    </row>
    <row r="24" spans="1:9" x14ac:dyDescent="0.25">
      <c r="A24" s="7"/>
      <c r="E24" s="7"/>
      <c r="F24" s="7"/>
    </row>
    <row r="25" spans="1:9" x14ac:dyDescent="0.25">
      <c r="A25" s="7"/>
      <c r="E25" s="7"/>
      <c r="F25" s="7"/>
    </row>
    <row r="26" spans="1:9" x14ac:dyDescent="0.25">
      <c r="A26" s="7"/>
      <c r="E26" s="7"/>
      <c r="F26" s="7"/>
    </row>
    <row r="27" spans="1:9" x14ac:dyDescent="0.25">
      <c r="A27" s="7"/>
      <c r="E27" s="7"/>
      <c r="F27" s="7"/>
    </row>
    <row r="28" spans="1:9" x14ac:dyDescent="0.25">
      <c r="A28" s="7"/>
      <c r="E28" s="7"/>
      <c r="F28" s="7"/>
    </row>
    <row r="29" spans="1:9" x14ac:dyDescent="0.25">
      <c r="A29" s="7"/>
      <c r="E29" s="7"/>
      <c r="F29" s="7"/>
    </row>
    <row r="30" spans="1:9" x14ac:dyDescent="0.25">
      <c r="A30" s="7"/>
      <c r="E30" s="7"/>
      <c r="F30" s="7"/>
    </row>
    <row r="31" spans="1:9" x14ac:dyDescent="0.25">
      <c r="A31" s="7"/>
      <c r="E31" s="7"/>
      <c r="F31" s="7"/>
    </row>
    <row r="32" spans="1:9" x14ac:dyDescent="0.25">
      <c r="A32" s="7"/>
      <c r="E32" s="7"/>
      <c r="F32" s="7"/>
    </row>
    <row r="33" spans="1:6" x14ac:dyDescent="0.25">
      <c r="A33" s="7"/>
      <c r="E33" s="7"/>
      <c r="F33" s="7"/>
    </row>
    <row r="34" spans="1:6" x14ac:dyDescent="0.25">
      <c r="A34" s="7"/>
      <c r="E34" s="7"/>
      <c r="F34" s="7"/>
    </row>
    <row r="35" spans="1:6" x14ac:dyDescent="0.25">
      <c r="A35" s="7"/>
      <c r="E35" s="7"/>
      <c r="F35" s="7"/>
    </row>
    <row r="36" spans="1:6" x14ac:dyDescent="0.25">
      <c r="A36" s="7"/>
      <c r="E36" s="7"/>
      <c r="F36" s="7"/>
    </row>
    <row r="37" spans="1:6" x14ac:dyDescent="0.25">
      <c r="A37" s="7"/>
      <c r="E37" s="7"/>
      <c r="F37" s="7"/>
    </row>
    <row r="38" spans="1:6" x14ac:dyDescent="0.25">
      <c r="A38" s="7"/>
      <c r="E38" s="7"/>
      <c r="F38" s="7"/>
    </row>
    <row r="39" spans="1:6" x14ac:dyDescent="0.25">
      <c r="A39" s="7"/>
      <c r="E39" s="7"/>
      <c r="F39" s="7"/>
    </row>
    <row r="40" spans="1:6" x14ac:dyDescent="0.25">
      <c r="A40" s="7"/>
      <c r="E40" s="7"/>
      <c r="F40" s="7"/>
    </row>
    <row r="41" spans="1:6" x14ac:dyDescent="0.25">
      <c r="A41" s="7"/>
      <c r="E41" s="7"/>
      <c r="F41" s="7"/>
    </row>
    <row r="42" spans="1:6" x14ac:dyDescent="0.25">
      <c r="A42" s="7"/>
      <c r="E42" s="7"/>
      <c r="F42" s="7"/>
    </row>
    <row r="43" spans="1:6" x14ac:dyDescent="0.25">
      <c r="A43" s="7"/>
      <c r="E43" s="7"/>
      <c r="F43" s="7"/>
    </row>
    <row r="44" spans="1:6" x14ac:dyDescent="0.25">
      <c r="A44" s="7"/>
      <c r="E44" s="7"/>
      <c r="F44" s="7"/>
    </row>
    <row r="45" spans="1:6" x14ac:dyDescent="0.25">
      <c r="A45" s="7"/>
      <c r="E45" s="7"/>
      <c r="F45" s="7"/>
    </row>
    <row r="46" spans="1:6" x14ac:dyDescent="0.25">
      <c r="A46" s="7"/>
      <c r="E46" s="7"/>
      <c r="F46" s="7"/>
    </row>
    <row r="47" spans="1:6" x14ac:dyDescent="0.25">
      <c r="A47" s="7"/>
      <c r="E47" s="7"/>
      <c r="F47" s="7"/>
    </row>
    <row r="48" spans="1:6" x14ac:dyDescent="0.25">
      <c r="A48" s="7"/>
      <c r="E48" s="7"/>
      <c r="F48" s="7"/>
    </row>
    <row r="49" spans="1:6" x14ac:dyDescent="0.25">
      <c r="A49" s="7"/>
      <c r="E49" s="7"/>
      <c r="F49" s="7"/>
    </row>
    <row r="50" spans="1:6" x14ac:dyDescent="0.25">
      <c r="A50" s="7"/>
      <c r="E50" s="7"/>
      <c r="F50" s="7"/>
    </row>
    <row r="51" spans="1:6" x14ac:dyDescent="0.25">
      <c r="A51" s="7"/>
      <c r="E51" s="7"/>
      <c r="F51" s="7"/>
    </row>
    <row r="52" spans="1:6" x14ac:dyDescent="0.25">
      <c r="A52" s="7"/>
      <c r="E52" s="7"/>
      <c r="F52" s="7"/>
    </row>
    <row r="53" spans="1:6" x14ac:dyDescent="0.25">
      <c r="A53" s="7"/>
      <c r="E53" s="7"/>
      <c r="F53" s="7"/>
    </row>
    <row r="54" spans="1:6" x14ac:dyDescent="0.25">
      <c r="A54" s="7"/>
      <c r="E54" s="7"/>
      <c r="F54" s="7"/>
    </row>
    <row r="55" spans="1:6" x14ac:dyDescent="0.25">
      <c r="A55" s="7"/>
      <c r="E55" s="7"/>
      <c r="F55" s="7"/>
    </row>
    <row r="56" spans="1:6" x14ac:dyDescent="0.25">
      <c r="A56" s="7"/>
      <c r="E56" s="7"/>
      <c r="F56" s="7"/>
    </row>
    <row r="57" spans="1:6" x14ac:dyDescent="0.25">
      <c r="A57" s="7"/>
      <c r="E57" s="7"/>
      <c r="F57" s="7"/>
    </row>
    <row r="58" spans="1:6" x14ac:dyDescent="0.25">
      <c r="A58" s="7"/>
      <c r="E58" s="7"/>
      <c r="F58" s="7"/>
    </row>
    <row r="59" spans="1:6" x14ac:dyDescent="0.25">
      <c r="A59" s="7"/>
      <c r="E59" s="7"/>
      <c r="F59" s="7"/>
    </row>
    <row r="60" spans="1:6" x14ac:dyDescent="0.25">
      <c r="A60" s="7"/>
      <c r="E60" s="7"/>
      <c r="F60" s="7"/>
    </row>
    <row r="61" spans="1:6" x14ac:dyDescent="0.25">
      <c r="A61" s="7"/>
      <c r="E61" s="7"/>
      <c r="F61" s="7"/>
    </row>
    <row r="62" spans="1:6" x14ac:dyDescent="0.25">
      <c r="A62" s="7"/>
      <c r="E62" s="7"/>
      <c r="F62" s="7"/>
    </row>
    <row r="63" spans="1:6" x14ac:dyDescent="0.25">
      <c r="A63" s="7"/>
      <c r="E63" s="7"/>
      <c r="F63" s="7"/>
    </row>
    <row r="64" spans="1:6" x14ac:dyDescent="0.25">
      <c r="A64" s="7"/>
      <c r="E64" s="7"/>
      <c r="F64" s="7"/>
    </row>
    <row r="65" spans="1:6" x14ac:dyDescent="0.25">
      <c r="A65" s="7"/>
      <c r="E65" s="7"/>
      <c r="F65" s="7"/>
    </row>
    <row r="66" spans="1:6" x14ac:dyDescent="0.25">
      <c r="A66" s="7"/>
      <c r="E66" s="7"/>
      <c r="F66" s="7"/>
    </row>
    <row r="67" spans="1:6" x14ac:dyDescent="0.25">
      <c r="A67" s="7"/>
      <c r="E67" s="7"/>
      <c r="F67" s="7"/>
    </row>
    <row r="68" spans="1:6" x14ac:dyDescent="0.25">
      <c r="A68" s="7"/>
      <c r="E68" s="7"/>
      <c r="F68" s="7"/>
    </row>
    <row r="69" spans="1:6" x14ac:dyDescent="0.25">
      <c r="A69" s="7"/>
      <c r="E69" s="7"/>
      <c r="F69" s="7"/>
    </row>
    <row r="70" spans="1:6" x14ac:dyDescent="0.25">
      <c r="A70" s="7"/>
      <c r="E70" s="7"/>
      <c r="F70" s="7"/>
    </row>
    <row r="71" spans="1:6" x14ac:dyDescent="0.25">
      <c r="A71" s="7"/>
      <c r="E71" s="7"/>
      <c r="F71" s="7"/>
    </row>
    <row r="72" spans="1:6" x14ac:dyDescent="0.25">
      <c r="A72" s="7"/>
      <c r="E72" s="7"/>
      <c r="F72" s="7"/>
    </row>
    <row r="73" spans="1:6" x14ac:dyDescent="0.25">
      <c r="A73" s="7"/>
      <c r="E73" s="7"/>
      <c r="F73" s="7"/>
    </row>
    <row r="74" spans="1:6" x14ac:dyDescent="0.25">
      <c r="A74" s="7"/>
      <c r="E74" s="7"/>
      <c r="F74" s="7"/>
    </row>
    <row r="75" spans="1:6" x14ac:dyDescent="0.25">
      <c r="A75" s="7"/>
      <c r="E75" s="7"/>
      <c r="F75" s="7"/>
    </row>
    <row r="76" spans="1:6" x14ac:dyDescent="0.25">
      <c r="A76" s="7"/>
      <c r="E76" s="7"/>
      <c r="F76" s="7"/>
    </row>
    <row r="77" spans="1:6" x14ac:dyDescent="0.25">
      <c r="A77" s="7"/>
      <c r="E77" s="7"/>
      <c r="F77" s="7"/>
    </row>
    <row r="78" spans="1:6" x14ac:dyDescent="0.25">
      <c r="A78" s="7"/>
      <c r="E78" s="7"/>
      <c r="F78" s="7"/>
    </row>
    <row r="79" spans="1:6" x14ac:dyDescent="0.25">
      <c r="A79" s="7"/>
      <c r="E79" s="7"/>
      <c r="F79" s="7"/>
    </row>
    <row r="80" spans="1:6" x14ac:dyDescent="0.25">
      <c r="A80" s="7"/>
      <c r="E80" s="7"/>
      <c r="F80" s="7"/>
    </row>
    <row r="81" spans="1:6" x14ac:dyDescent="0.25">
      <c r="A81" s="7"/>
      <c r="E81" s="7"/>
      <c r="F81" s="7"/>
    </row>
    <row r="82" spans="1:6" x14ac:dyDescent="0.25">
      <c r="A82" s="7"/>
      <c r="E82" s="7"/>
      <c r="F82" s="7"/>
    </row>
    <row r="83" spans="1:6" x14ac:dyDescent="0.25">
      <c r="A83" s="7"/>
      <c r="E83" s="7"/>
      <c r="F83" s="7"/>
    </row>
    <row r="84" spans="1:6" x14ac:dyDescent="0.25">
      <c r="A84" s="7"/>
      <c r="E84" s="7"/>
      <c r="F84" s="7"/>
    </row>
    <row r="85" spans="1:6" x14ac:dyDescent="0.25">
      <c r="A85" s="7"/>
      <c r="E85" s="7"/>
      <c r="F85" s="7"/>
    </row>
    <row r="86" spans="1:6" x14ac:dyDescent="0.25">
      <c r="A86" s="7"/>
      <c r="E86" s="7"/>
      <c r="F86" s="7"/>
    </row>
    <row r="87" spans="1:6" x14ac:dyDescent="0.25">
      <c r="A87" s="7"/>
      <c r="E87" s="7"/>
      <c r="F87" s="7"/>
    </row>
    <row r="88" spans="1:6" x14ac:dyDescent="0.25">
      <c r="A88" s="7"/>
      <c r="E88" s="7"/>
      <c r="F88" s="7"/>
    </row>
    <row r="89" spans="1:6" x14ac:dyDescent="0.25">
      <c r="A89" s="7"/>
      <c r="E89" s="7"/>
      <c r="F89" s="7"/>
    </row>
    <row r="90" spans="1:6" x14ac:dyDescent="0.25">
      <c r="A90" s="7"/>
      <c r="E90" s="7"/>
      <c r="F90" s="7"/>
    </row>
    <row r="91" spans="1:6" x14ac:dyDescent="0.25">
      <c r="A91" s="7"/>
      <c r="E91" s="7"/>
      <c r="F91" s="7"/>
    </row>
    <row r="92" spans="1:6" x14ac:dyDescent="0.25">
      <c r="A92" s="7"/>
      <c r="E92" s="7"/>
      <c r="F92" s="7"/>
    </row>
    <row r="93" spans="1:6" x14ac:dyDescent="0.25">
      <c r="A93" s="7"/>
      <c r="E93" s="7"/>
      <c r="F93" s="7"/>
    </row>
    <row r="94" spans="1:6" x14ac:dyDescent="0.25">
      <c r="A94" s="7"/>
      <c r="E94" s="7"/>
      <c r="F94" s="7"/>
    </row>
    <row r="95" spans="1:6" x14ac:dyDescent="0.25">
      <c r="A95" s="7"/>
      <c r="E95" s="7"/>
      <c r="F95" s="7"/>
    </row>
    <row r="96" spans="1:6" x14ac:dyDescent="0.25">
      <c r="A96" s="7"/>
      <c r="E96" s="7"/>
      <c r="F96" s="7"/>
    </row>
    <row r="97" spans="1:6" x14ac:dyDescent="0.25">
      <c r="A97" s="7"/>
      <c r="E97" s="7"/>
      <c r="F97" s="7"/>
    </row>
    <row r="98" spans="1:6" x14ac:dyDescent="0.25">
      <c r="A98" s="7"/>
      <c r="E98" s="7"/>
      <c r="F98" s="7"/>
    </row>
    <row r="99" spans="1:6" x14ac:dyDescent="0.25">
      <c r="A99" s="7"/>
      <c r="E99" s="7"/>
      <c r="F99" s="7"/>
    </row>
    <row r="100" spans="1:6" x14ac:dyDescent="0.25">
      <c r="A100" s="7"/>
      <c r="E100" s="7"/>
      <c r="F100" s="7"/>
    </row>
    <row r="101" spans="1:6" x14ac:dyDescent="0.25">
      <c r="A101" s="7"/>
      <c r="E101" s="7"/>
      <c r="F101" s="7"/>
    </row>
    <row r="102" spans="1:6" x14ac:dyDescent="0.25">
      <c r="A102" s="7"/>
      <c r="E102" s="7"/>
      <c r="F102" s="7"/>
    </row>
    <row r="103" spans="1:6" x14ac:dyDescent="0.25">
      <c r="A103" s="7"/>
      <c r="E103" s="7"/>
      <c r="F103" s="7"/>
    </row>
    <row r="104" spans="1:6" x14ac:dyDescent="0.25">
      <c r="A104" s="7"/>
      <c r="E104" s="7"/>
      <c r="F104" s="7"/>
    </row>
    <row r="105" spans="1:6" x14ac:dyDescent="0.25">
      <c r="A105" s="7"/>
      <c r="E105" s="7"/>
      <c r="F105" s="7"/>
    </row>
    <row r="106" spans="1:6" x14ac:dyDescent="0.25">
      <c r="A106" s="7"/>
      <c r="E106" s="7"/>
      <c r="F106" s="7"/>
    </row>
    <row r="107" spans="1:6" x14ac:dyDescent="0.25">
      <c r="A107" s="7"/>
      <c r="E107" s="7"/>
      <c r="F107" s="7"/>
    </row>
    <row r="108" spans="1:6" x14ac:dyDescent="0.25">
      <c r="A108" s="7"/>
      <c r="E108" s="7"/>
      <c r="F108" s="7"/>
    </row>
    <row r="109" spans="1:6" x14ac:dyDescent="0.25">
      <c r="A109" s="7"/>
      <c r="E109" s="7"/>
      <c r="F109" s="7"/>
    </row>
    <row r="110" spans="1:6" x14ac:dyDescent="0.25">
      <c r="A110" s="7"/>
      <c r="E110" s="7"/>
      <c r="F110" s="7"/>
    </row>
    <row r="111" spans="1:6" x14ac:dyDescent="0.25">
      <c r="A111" s="7"/>
      <c r="E111" s="7"/>
      <c r="F111" s="7"/>
    </row>
    <row r="112" spans="1:6" x14ac:dyDescent="0.25">
      <c r="A112" s="7"/>
      <c r="E112" s="7"/>
      <c r="F112" s="7"/>
    </row>
    <row r="113" spans="1:6" x14ac:dyDescent="0.25">
      <c r="A113" s="7"/>
      <c r="E113" s="7"/>
      <c r="F113" s="7"/>
    </row>
    <row r="114" spans="1:6" x14ac:dyDescent="0.25">
      <c r="A114" s="7"/>
      <c r="E114" s="7"/>
      <c r="F114" s="7"/>
    </row>
    <row r="115" spans="1:6" x14ac:dyDescent="0.25">
      <c r="A115" s="7"/>
      <c r="E115" s="7"/>
      <c r="F115" s="7"/>
    </row>
    <row r="116" spans="1:6" x14ac:dyDescent="0.25">
      <c r="A116" s="7"/>
      <c r="E116" s="7"/>
      <c r="F116" s="7"/>
    </row>
    <row r="117" spans="1:6" x14ac:dyDescent="0.25">
      <c r="A117" s="7"/>
      <c r="E117" s="7"/>
      <c r="F117" s="7"/>
    </row>
    <row r="118" spans="1:6" x14ac:dyDescent="0.25">
      <c r="A118" s="7"/>
      <c r="E118" s="7"/>
      <c r="F118" s="7"/>
    </row>
    <row r="119" spans="1:6" x14ac:dyDescent="0.25">
      <c r="A119" s="7"/>
      <c r="E119" s="7"/>
      <c r="F119" s="7"/>
    </row>
    <row r="120" spans="1:6" x14ac:dyDescent="0.25">
      <c r="A120" s="7"/>
      <c r="E120" s="7"/>
      <c r="F120" s="7"/>
    </row>
    <row r="121" spans="1:6" x14ac:dyDescent="0.25">
      <c r="A121" s="7"/>
      <c r="E121" s="7"/>
      <c r="F121" s="7"/>
    </row>
    <row r="122" spans="1:6" x14ac:dyDescent="0.25">
      <c r="A122" s="7"/>
      <c r="E122" s="7"/>
      <c r="F122" s="7"/>
    </row>
    <row r="123" spans="1:6" x14ac:dyDescent="0.25">
      <c r="A123" s="7"/>
      <c r="E123" s="7"/>
      <c r="F123" s="7"/>
    </row>
    <row r="124" spans="1:6" x14ac:dyDescent="0.25">
      <c r="A124" s="7"/>
      <c r="E124" s="7"/>
      <c r="F124" s="7"/>
    </row>
    <row r="125" spans="1:6" x14ac:dyDescent="0.25">
      <c r="A125" s="7"/>
      <c r="E125" s="7"/>
      <c r="F125" s="7"/>
    </row>
    <row r="126" spans="1:6" x14ac:dyDescent="0.25">
      <c r="A126" s="7"/>
      <c r="E126" s="7"/>
      <c r="F126" s="7"/>
    </row>
    <row r="127" spans="1:6" x14ac:dyDescent="0.25">
      <c r="A127" s="7"/>
      <c r="E127" s="7"/>
      <c r="F127" s="7"/>
    </row>
    <row r="128" spans="1:6" x14ac:dyDescent="0.25">
      <c r="A128" s="7"/>
      <c r="E128" s="7"/>
      <c r="F128" s="7"/>
    </row>
    <row r="129" spans="1:6" x14ac:dyDescent="0.25">
      <c r="A129" s="7"/>
      <c r="E129" s="7"/>
      <c r="F129" s="7"/>
    </row>
    <row r="130" spans="1:6" x14ac:dyDescent="0.25">
      <c r="A130" s="7"/>
      <c r="E130" s="7"/>
      <c r="F130" s="7"/>
    </row>
    <row r="131" spans="1:6" x14ac:dyDescent="0.25">
      <c r="A131" s="7"/>
      <c r="E131" s="7"/>
      <c r="F131" s="7"/>
    </row>
    <row r="132" spans="1:6" x14ac:dyDescent="0.25">
      <c r="A132" s="7"/>
      <c r="E132" s="7"/>
      <c r="F132" s="7"/>
    </row>
    <row r="133" spans="1:6" x14ac:dyDescent="0.25">
      <c r="A133" s="7"/>
      <c r="E133" s="7"/>
      <c r="F133" s="7"/>
    </row>
    <row r="134" spans="1:6" x14ac:dyDescent="0.25">
      <c r="A134" s="7"/>
      <c r="E134" s="7"/>
      <c r="F134" s="7"/>
    </row>
    <row r="135" spans="1:6" x14ac:dyDescent="0.25">
      <c r="A135" s="7"/>
      <c r="E135" s="7"/>
      <c r="F135" s="7"/>
    </row>
    <row r="136" spans="1:6" x14ac:dyDescent="0.25">
      <c r="A136" s="7"/>
      <c r="E136" s="7"/>
      <c r="F136" s="7"/>
    </row>
    <row r="137" spans="1:6" x14ac:dyDescent="0.25">
      <c r="A137" s="7"/>
      <c r="E137" s="7"/>
      <c r="F137" s="7"/>
    </row>
    <row r="138" spans="1:6" x14ac:dyDescent="0.25">
      <c r="A138" s="7"/>
      <c r="E138" s="7"/>
      <c r="F138" s="7"/>
    </row>
    <row r="139" spans="1:6" x14ac:dyDescent="0.25">
      <c r="A139" s="7"/>
      <c r="E139" s="7"/>
      <c r="F139" s="7"/>
    </row>
    <row r="140" spans="1:6" x14ac:dyDescent="0.25">
      <c r="A140" s="7"/>
      <c r="E140" s="7"/>
      <c r="F140" s="7"/>
    </row>
    <row r="141" spans="1:6" x14ac:dyDescent="0.25">
      <c r="A141" s="7"/>
      <c r="E141" s="7"/>
      <c r="F141" s="7"/>
    </row>
    <row r="142" spans="1:6" x14ac:dyDescent="0.25">
      <c r="A142" s="7"/>
      <c r="E142" s="7"/>
      <c r="F142" s="7"/>
    </row>
    <row r="143" spans="1:6" x14ac:dyDescent="0.25">
      <c r="A143" s="7"/>
      <c r="E143" s="7"/>
      <c r="F143" s="7"/>
    </row>
    <row r="144" spans="1:6" x14ac:dyDescent="0.25">
      <c r="A144" s="7"/>
      <c r="E144" s="7"/>
      <c r="F144" s="7"/>
    </row>
    <row r="145" spans="1:6" x14ac:dyDescent="0.25">
      <c r="A145" s="7"/>
      <c r="E145" s="7"/>
      <c r="F145" s="7"/>
    </row>
    <row r="146" spans="1:6" x14ac:dyDescent="0.25">
      <c r="A146" s="7"/>
      <c r="E146" s="7"/>
      <c r="F146" s="7"/>
    </row>
    <row r="147" spans="1:6" x14ac:dyDescent="0.25">
      <c r="A147" s="7"/>
      <c r="E147" s="7"/>
      <c r="F147" s="7"/>
    </row>
    <row r="148" spans="1:6" x14ac:dyDescent="0.25">
      <c r="A148" s="7"/>
      <c r="E148" s="7"/>
      <c r="F148" s="7"/>
    </row>
    <row r="149" spans="1:6" x14ac:dyDescent="0.25">
      <c r="A149" s="7"/>
      <c r="E149" s="7"/>
      <c r="F149" s="7"/>
    </row>
    <row r="150" spans="1:6" x14ac:dyDescent="0.25">
      <c r="A150" s="7"/>
      <c r="E150" s="7"/>
      <c r="F150" s="7"/>
    </row>
    <row r="151" spans="1:6" x14ac:dyDescent="0.25">
      <c r="A151" s="7"/>
      <c r="E151" s="7"/>
      <c r="F151" s="7"/>
    </row>
    <row r="152" spans="1:6" x14ac:dyDescent="0.25">
      <c r="A152" s="7"/>
      <c r="E152" s="7"/>
      <c r="F152" s="7"/>
    </row>
    <row r="153" spans="1:6" x14ac:dyDescent="0.25">
      <c r="A153" s="7"/>
      <c r="E153" s="7"/>
      <c r="F153" s="7"/>
    </row>
    <row r="154" spans="1:6" x14ac:dyDescent="0.25">
      <c r="A154" s="7"/>
      <c r="E154" s="7"/>
      <c r="F154" s="7"/>
    </row>
    <row r="155" spans="1:6" x14ac:dyDescent="0.25">
      <c r="A155" s="7"/>
      <c r="E155" s="7"/>
      <c r="F155" s="7"/>
    </row>
    <row r="156" spans="1:6" x14ac:dyDescent="0.25">
      <c r="A156" s="7"/>
      <c r="E156" s="7"/>
      <c r="F156" s="7"/>
    </row>
    <row r="157" spans="1:6" x14ac:dyDescent="0.25">
      <c r="A157" s="7"/>
      <c r="E157" s="7"/>
      <c r="F157" s="7"/>
    </row>
    <row r="158" spans="1:6" x14ac:dyDescent="0.25">
      <c r="A158" s="7"/>
      <c r="E158" s="7"/>
      <c r="F158" s="7"/>
    </row>
    <row r="159" spans="1:6" x14ac:dyDescent="0.25">
      <c r="A159" s="7"/>
      <c r="E159" s="7"/>
      <c r="F159" s="7"/>
    </row>
    <row r="160" spans="1:6" x14ac:dyDescent="0.25">
      <c r="A160" s="7"/>
      <c r="E160" s="7"/>
      <c r="F160" s="7"/>
    </row>
    <row r="161" spans="1:6" x14ac:dyDescent="0.25">
      <c r="A161" s="7"/>
      <c r="E161" s="7"/>
      <c r="F161" s="7"/>
    </row>
    <row r="162" spans="1:6" x14ac:dyDescent="0.25">
      <c r="A162" s="7"/>
      <c r="E162" s="7"/>
      <c r="F162" s="7"/>
    </row>
    <row r="163" spans="1:6" x14ac:dyDescent="0.25">
      <c r="A163" s="7"/>
      <c r="E163" s="7"/>
      <c r="F163" s="7"/>
    </row>
    <row r="164" spans="1:6" x14ac:dyDescent="0.25">
      <c r="A164" s="7"/>
      <c r="E164" s="7"/>
      <c r="F164" s="7"/>
    </row>
    <row r="165" spans="1:6" x14ac:dyDescent="0.25">
      <c r="A165" s="7"/>
      <c r="E165" s="7"/>
      <c r="F165" s="7"/>
    </row>
    <row r="166" spans="1:6" x14ac:dyDescent="0.25">
      <c r="A166" s="7"/>
      <c r="E166" s="7"/>
      <c r="F166" s="7"/>
    </row>
    <row r="167" spans="1:6" x14ac:dyDescent="0.25">
      <c r="A167" s="7"/>
      <c r="E167" s="7"/>
      <c r="F167" s="7"/>
    </row>
    <row r="168" spans="1:6" x14ac:dyDescent="0.25">
      <c r="A168" s="7"/>
      <c r="E168" s="7"/>
      <c r="F168" s="7"/>
    </row>
    <row r="169" spans="1:6" x14ac:dyDescent="0.25">
      <c r="A169" s="7"/>
      <c r="E169" s="7"/>
      <c r="F169" s="7"/>
    </row>
    <row r="170" spans="1:6" x14ac:dyDescent="0.25">
      <c r="A170" s="7"/>
      <c r="E170" s="7"/>
      <c r="F170" s="7"/>
    </row>
    <row r="171" spans="1:6" x14ac:dyDescent="0.25">
      <c r="A171" s="7"/>
      <c r="E171" s="7"/>
      <c r="F171" s="7"/>
    </row>
    <row r="172" spans="1:6" x14ac:dyDescent="0.25">
      <c r="A172" s="7"/>
      <c r="E172" s="7"/>
      <c r="F172" s="7"/>
    </row>
    <row r="173" spans="1:6" x14ac:dyDescent="0.25">
      <c r="A173" s="7"/>
      <c r="E173" s="7"/>
      <c r="F173" s="7"/>
    </row>
    <row r="174" spans="1:6" x14ac:dyDescent="0.25">
      <c r="A174" s="7"/>
      <c r="E174" s="7"/>
      <c r="F174" s="7"/>
    </row>
    <row r="175" spans="1:6" x14ac:dyDescent="0.25">
      <c r="A175" s="7"/>
      <c r="E175" s="7"/>
      <c r="F175" s="7"/>
    </row>
    <row r="176" spans="1:6" x14ac:dyDescent="0.25">
      <c r="A176" s="7"/>
      <c r="E176" s="7"/>
      <c r="F176" s="7"/>
    </row>
    <row r="177" spans="1:6" x14ac:dyDescent="0.25">
      <c r="A177" s="7"/>
      <c r="E177" s="7"/>
      <c r="F177" s="7"/>
    </row>
    <row r="178" spans="1:6" x14ac:dyDescent="0.25">
      <c r="A178" s="7"/>
      <c r="E178" s="7"/>
      <c r="F178" s="7"/>
    </row>
    <row r="179" spans="1:6" x14ac:dyDescent="0.25">
      <c r="A179" s="7"/>
      <c r="E179" s="7"/>
      <c r="F179" s="7"/>
    </row>
    <row r="180" spans="1:6" x14ac:dyDescent="0.25">
      <c r="A180" s="7"/>
      <c r="E180" s="7"/>
      <c r="F180" s="7"/>
    </row>
    <row r="181" spans="1:6" x14ac:dyDescent="0.25">
      <c r="A181" s="7"/>
      <c r="E181" s="7"/>
      <c r="F181" s="7"/>
    </row>
    <row r="182" spans="1:6" x14ac:dyDescent="0.25">
      <c r="A182" s="7"/>
      <c r="E182" s="7"/>
      <c r="F182" s="7"/>
    </row>
    <row r="183" spans="1:6" x14ac:dyDescent="0.25">
      <c r="A183" s="7"/>
      <c r="E183" s="7"/>
      <c r="F183" s="7"/>
    </row>
    <row r="184" spans="1:6" x14ac:dyDescent="0.25">
      <c r="A184" s="7"/>
      <c r="E184" s="7"/>
      <c r="F184" s="7"/>
    </row>
    <row r="185" spans="1:6" x14ac:dyDescent="0.25">
      <c r="A185" s="7"/>
      <c r="E185" s="7"/>
      <c r="F185" s="7"/>
    </row>
    <row r="186" spans="1:6" x14ac:dyDescent="0.25">
      <c r="A186" s="7"/>
      <c r="E186" s="7"/>
      <c r="F186" s="7"/>
    </row>
    <row r="187" spans="1:6" x14ac:dyDescent="0.25">
      <c r="A187" s="7"/>
      <c r="E187" s="7"/>
      <c r="F187" s="7"/>
    </row>
    <row r="188" spans="1:6" x14ac:dyDescent="0.25">
      <c r="A188" s="7"/>
      <c r="E188" s="7"/>
      <c r="F188" s="7"/>
    </row>
    <row r="189" spans="1:6" x14ac:dyDescent="0.25">
      <c r="A189" s="7"/>
      <c r="E189" s="7"/>
      <c r="F189" s="7"/>
    </row>
    <row r="190" spans="1:6" x14ac:dyDescent="0.25">
      <c r="A190" s="7"/>
      <c r="E190" s="7"/>
      <c r="F190" s="7"/>
    </row>
    <row r="191" spans="1:6" x14ac:dyDescent="0.25">
      <c r="A191" s="7"/>
      <c r="E191" s="7"/>
      <c r="F191" s="7"/>
    </row>
    <row r="192" spans="1:6" x14ac:dyDescent="0.25">
      <c r="A192" s="7"/>
      <c r="E192" s="7"/>
      <c r="F192" s="7"/>
    </row>
    <row r="193" spans="1:6" x14ac:dyDescent="0.25">
      <c r="A193" s="7"/>
      <c r="E193" s="7"/>
      <c r="F193" s="7"/>
    </row>
    <row r="194" spans="1:6" x14ac:dyDescent="0.25">
      <c r="A194" s="7"/>
      <c r="E194" s="7"/>
      <c r="F194" s="7"/>
    </row>
    <row r="195" spans="1:6" x14ac:dyDescent="0.25">
      <c r="A195" s="7"/>
      <c r="E195" s="7"/>
      <c r="F195" s="7"/>
    </row>
    <row r="196" spans="1:6" x14ac:dyDescent="0.25">
      <c r="A196" s="7"/>
      <c r="E196" s="7"/>
      <c r="F196" s="7"/>
    </row>
    <row r="197" spans="1:6" x14ac:dyDescent="0.25">
      <c r="A197" s="7"/>
      <c r="E197" s="7"/>
      <c r="F197" s="7"/>
    </row>
    <row r="198" spans="1:6" x14ac:dyDescent="0.25">
      <c r="A198" s="7"/>
      <c r="E198" s="7"/>
      <c r="F198" s="7"/>
    </row>
    <row r="199" spans="1:6" x14ac:dyDescent="0.25">
      <c r="A199" s="7"/>
      <c r="E199" s="7"/>
      <c r="F199" s="7"/>
    </row>
    <row r="200" spans="1:6" x14ac:dyDescent="0.25">
      <c r="A200" s="7"/>
      <c r="E200" s="7"/>
      <c r="F200" s="7"/>
    </row>
    <row r="201" spans="1:6" x14ac:dyDescent="0.25">
      <c r="A201" s="7"/>
      <c r="E201" s="7"/>
      <c r="F201" s="7"/>
    </row>
    <row r="202" spans="1:6" x14ac:dyDescent="0.25">
      <c r="A202" s="7"/>
      <c r="E202" s="7"/>
      <c r="F202" s="7"/>
    </row>
    <row r="203" spans="1:6" x14ac:dyDescent="0.25">
      <c r="A203" s="7"/>
      <c r="E203" s="7"/>
      <c r="F203" s="7"/>
    </row>
    <row r="204" spans="1:6" x14ac:dyDescent="0.25">
      <c r="A204" s="7"/>
      <c r="E204" s="7"/>
      <c r="F204" s="7"/>
    </row>
    <row r="205" spans="1:6" x14ac:dyDescent="0.25">
      <c r="A205" s="7"/>
      <c r="E205" s="7"/>
      <c r="F205" s="7"/>
    </row>
    <row r="206" spans="1:6" x14ac:dyDescent="0.25">
      <c r="A206" s="7"/>
      <c r="E206" s="7"/>
      <c r="F206" s="7"/>
    </row>
    <row r="207" spans="1:6" x14ac:dyDescent="0.25">
      <c r="A207" s="7"/>
      <c r="E207" s="7"/>
      <c r="F207" s="7"/>
    </row>
    <row r="208" spans="1:6" x14ac:dyDescent="0.25">
      <c r="A208" s="7"/>
      <c r="E208" s="7"/>
      <c r="F208" s="7"/>
    </row>
    <row r="209" spans="1:6" x14ac:dyDescent="0.25">
      <c r="A209" s="7"/>
      <c r="E209" s="7"/>
      <c r="F209" s="7"/>
    </row>
    <row r="210" spans="1:6" x14ac:dyDescent="0.25">
      <c r="A210" s="7"/>
      <c r="E210" s="7"/>
      <c r="F210" s="7"/>
    </row>
    <row r="211" spans="1:6" x14ac:dyDescent="0.25">
      <c r="A211" s="7"/>
      <c r="E211" s="7"/>
      <c r="F211" s="7"/>
    </row>
    <row r="212" spans="1:6" x14ac:dyDescent="0.25">
      <c r="A212" s="7"/>
      <c r="E212" s="7"/>
      <c r="F212" s="7"/>
    </row>
    <row r="213" spans="1:6" x14ac:dyDescent="0.25">
      <c r="A213" s="7"/>
      <c r="E213" s="7"/>
      <c r="F213" s="7"/>
    </row>
    <row r="214" spans="1:6" x14ac:dyDescent="0.25">
      <c r="A214" s="7"/>
      <c r="E214" s="7"/>
      <c r="F214" s="7"/>
    </row>
    <row r="215" spans="1:6" x14ac:dyDescent="0.25">
      <c r="A215" s="7"/>
      <c r="E215" s="7"/>
      <c r="F215" s="7"/>
    </row>
    <row r="216" spans="1:6" x14ac:dyDescent="0.25">
      <c r="A216" s="7"/>
      <c r="E216" s="7"/>
      <c r="F216" s="7"/>
    </row>
    <row r="217" spans="1:6" x14ac:dyDescent="0.25">
      <c r="A217" s="7"/>
      <c r="E217" s="7"/>
      <c r="F217" s="7"/>
    </row>
    <row r="218" spans="1:6" x14ac:dyDescent="0.25">
      <c r="A218" s="7"/>
      <c r="E218" s="7"/>
      <c r="F218" s="7"/>
    </row>
    <row r="219" spans="1:6" x14ac:dyDescent="0.25">
      <c r="A219" s="7"/>
      <c r="E219" s="7"/>
      <c r="F219" s="7"/>
    </row>
    <row r="220" spans="1:6" x14ac:dyDescent="0.25">
      <c r="A220" s="7"/>
      <c r="E220" s="7"/>
      <c r="F220" s="7"/>
    </row>
    <row r="221" spans="1:6" x14ac:dyDescent="0.25">
      <c r="A221" s="7"/>
      <c r="E221" s="7"/>
      <c r="F221" s="7"/>
    </row>
    <row r="222" spans="1:6" x14ac:dyDescent="0.25">
      <c r="A222" s="7"/>
      <c r="E222" s="7"/>
      <c r="F222" s="7"/>
    </row>
    <row r="223" spans="1:6" x14ac:dyDescent="0.25">
      <c r="A223" s="7"/>
      <c r="E223" s="7"/>
      <c r="F223" s="7"/>
    </row>
    <row r="224" spans="1:6" x14ac:dyDescent="0.25">
      <c r="A224" s="7"/>
      <c r="E224" s="7"/>
      <c r="F224" s="7"/>
    </row>
    <row r="225" spans="1:6" x14ac:dyDescent="0.25">
      <c r="A225" s="7"/>
      <c r="E225" s="7"/>
      <c r="F225" s="7"/>
    </row>
    <row r="226" spans="1:6" x14ac:dyDescent="0.25">
      <c r="A226" s="7"/>
      <c r="E226" s="7"/>
      <c r="F226" s="7"/>
    </row>
    <row r="227" spans="1:6" x14ac:dyDescent="0.25">
      <c r="A227" s="7"/>
      <c r="E227" s="7"/>
      <c r="F227" s="7"/>
    </row>
    <row r="228" spans="1:6" x14ac:dyDescent="0.25">
      <c r="A228" s="7"/>
      <c r="E228" s="7"/>
      <c r="F228" s="7"/>
    </row>
    <row r="229" spans="1:6" x14ac:dyDescent="0.25">
      <c r="A229" s="7"/>
      <c r="E229" s="7"/>
      <c r="F229" s="7"/>
    </row>
    <row r="230" spans="1:6" x14ac:dyDescent="0.25">
      <c r="A230" s="7"/>
      <c r="E230" s="7"/>
      <c r="F230" s="7"/>
    </row>
    <row r="231" spans="1:6" x14ac:dyDescent="0.25">
      <c r="A231" s="7"/>
      <c r="E231" s="7"/>
      <c r="F231" s="7"/>
    </row>
    <row r="232" spans="1:6" x14ac:dyDescent="0.25">
      <c r="A232" s="7"/>
      <c r="E232" s="7"/>
      <c r="F232" s="7"/>
    </row>
    <row r="233" spans="1:6" x14ac:dyDescent="0.25">
      <c r="A233" s="7"/>
      <c r="E233" s="7"/>
      <c r="F233" s="7"/>
    </row>
    <row r="234" spans="1:6" x14ac:dyDescent="0.25">
      <c r="A234" s="7"/>
      <c r="E234" s="7"/>
      <c r="F234" s="7"/>
    </row>
    <row r="235" spans="1:6" x14ac:dyDescent="0.25">
      <c r="A235" s="7"/>
      <c r="E235" s="7"/>
      <c r="F235" s="7"/>
    </row>
    <row r="236" spans="1:6" x14ac:dyDescent="0.25">
      <c r="A236" s="7"/>
      <c r="E236" s="7"/>
      <c r="F236" s="7"/>
    </row>
    <row r="237" spans="1:6" x14ac:dyDescent="0.25">
      <c r="A237" s="7"/>
      <c r="E237" s="7"/>
      <c r="F237" s="7"/>
    </row>
    <row r="238" spans="1:6" x14ac:dyDescent="0.25">
      <c r="A238" s="7"/>
      <c r="E238" s="7"/>
      <c r="F238" s="7"/>
    </row>
    <row r="239" spans="1:6" x14ac:dyDescent="0.25">
      <c r="A239" s="7"/>
      <c r="E239" s="7"/>
      <c r="F239" s="7"/>
    </row>
    <row r="240" spans="1:6" x14ac:dyDescent="0.25">
      <c r="A240" s="7"/>
      <c r="E240" s="7"/>
      <c r="F240" s="7"/>
    </row>
    <row r="241" spans="1:6" x14ac:dyDescent="0.25">
      <c r="A241" s="7"/>
      <c r="E241" s="7"/>
      <c r="F241" s="7"/>
    </row>
    <row r="242" spans="1:6" x14ac:dyDescent="0.25">
      <c r="A242" s="7"/>
      <c r="E242" s="7"/>
      <c r="F242" s="7"/>
    </row>
    <row r="243" spans="1:6" x14ac:dyDescent="0.25">
      <c r="A243" s="7"/>
      <c r="E243" s="7"/>
      <c r="F243" s="7"/>
    </row>
    <row r="244" spans="1:6" x14ac:dyDescent="0.25">
      <c r="A244" s="7"/>
      <c r="E244" s="7"/>
      <c r="F244" s="7"/>
    </row>
    <row r="245" spans="1:6" x14ac:dyDescent="0.25">
      <c r="A245" s="7"/>
      <c r="E245" s="7"/>
      <c r="F245" s="7"/>
    </row>
    <row r="246" spans="1:6" x14ac:dyDescent="0.25">
      <c r="A246" s="7"/>
      <c r="E246" s="7"/>
      <c r="F246" s="7"/>
    </row>
    <row r="247" spans="1:6" x14ac:dyDescent="0.25">
      <c r="A247" s="7"/>
      <c r="E247" s="7"/>
      <c r="F247" s="7"/>
    </row>
    <row r="248" spans="1:6" x14ac:dyDescent="0.25">
      <c r="A248" s="7"/>
      <c r="E248" s="7"/>
      <c r="F248" s="7"/>
    </row>
    <row r="249" spans="1:6" x14ac:dyDescent="0.25">
      <c r="A249" s="7"/>
      <c r="E249" s="7"/>
      <c r="F249" s="7"/>
    </row>
    <row r="250" spans="1:6" x14ac:dyDescent="0.25">
      <c r="A250" s="7"/>
      <c r="E250" s="7"/>
      <c r="F250" s="7"/>
    </row>
    <row r="251" spans="1:6" x14ac:dyDescent="0.25">
      <c r="A251" s="7"/>
      <c r="E251" s="7"/>
      <c r="F251" s="7"/>
    </row>
    <row r="252" spans="1:6" x14ac:dyDescent="0.25">
      <c r="A252" s="7"/>
      <c r="E252" s="7"/>
      <c r="F252" s="7"/>
    </row>
    <row r="253" spans="1:6" x14ac:dyDescent="0.25">
      <c r="A253" s="7"/>
      <c r="E253" s="7"/>
      <c r="F253" s="7"/>
    </row>
    <row r="254" spans="1:6" x14ac:dyDescent="0.25">
      <c r="A254" s="7"/>
      <c r="E254" s="7"/>
      <c r="F254" s="7"/>
    </row>
    <row r="255" spans="1:6" x14ac:dyDescent="0.25">
      <c r="A255" s="7"/>
      <c r="E255" s="7"/>
      <c r="F255" s="7"/>
    </row>
    <row r="256" spans="1:6" x14ac:dyDescent="0.25">
      <c r="A256" s="7"/>
      <c r="E256" s="7"/>
      <c r="F256" s="7"/>
    </row>
    <row r="257" spans="1:6" x14ac:dyDescent="0.25">
      <c r="A257" s="7"/>
      <c r="E257" s="7"/>
      <c r="F257" s="7"/>
    </row>
    <row r="258" spans="1:6" x14ac:dyDescent="0.25">
      <c r="A258" s="7"/>
      <c r="E258" s="7"/>
      <c r="F258" s="7"/>
    </row>
    <row r="259" spans="1:6" x14ac:dyDescent="0.25">
      <c r="A259" s="7"/>
      <c r="E259" s="7"/>
      <c r="F259" s="7"/>
    </row>
    <row r="260" spans="1:6" x14ac:dyDescent="0.25">
      <c r="A260" s="7"/>
      <c r="E260" s="7"/>
      <c r="F260" s="7"/>
    </row>
    <row r="261" spans="1:6" x14ac:dyDescent="0.25">
      <c r="A261" s="7"/>
      <c r="E261" s="7"/>
      <c r="F261" s="7"/>
    </row>
    <row r="262" spans="1:6" x14ac:dyDescent="0.25">
      <c r="A262" s="7"/>
      <c r="E262" s="7"/>
      <c r="F262" s="7"/>
    </row>
    <row r="263" spans="1:6" x14ac:dyDescent="0.25">
      <c r="A263" s="7"/>
      <c r="E263" s="7"/>
      <c r="F263" s="7"/>
    </row>
    <row r="264" spans="1:6" x14ac:dyDescent="0.25">
      <c r="A264" s="7"/>
      <c r="E264" s="7"/>
      <c r="F264" s="7"/>
    </row>
    <row r="265" spans="1:6" x14ac:dyDescent="0.25">
      <c r="A265" s="7"/>
      <c r="E265" s="7"/>
      <c r="F265" s="7"/>
    </row>
    <row r="266" spans="1:6" x14ac:dyDescent="0.25">
      <c r="A266" s="7"/>
      <c r="E266" s="7"/>
      <c r="F266" s="7"/>
    </row>
    <row r="267" spans="1:6" x14ac:dyDescent="0.25">
      <c r="A267" s="7"/>
      <c r="E267" s="7"/>
      <c r="F267" s="7"/>
    </row>
    <row r="268" spans="1:6" x14ac:dyDescent="0.25">
      <c r="A268" s="7"/>
      <c r="E268" s="7"/>
      <c r="F268" s="7"/>
    </row>
    <row r="269" spans="1:6" x14ac:dyDescent="0.25">
      <c r="A269" s="7"/>
      <c r="E269" s="7"/>
      <c r="F269" s="7"/>
    </row>
    <row r="270" spans="1:6" x14ac:dyDescent="0.25">
      <c r="A270" s="7"/>
      <c r="E270" s="7"/>
      <c r="F270" s="7"/>
    </row>
    <row r="271" spans="1:6" x14ac:dyDescent="0.25">
      <c r="A271" s="7"/>
      <c r="E271" s="7"/>
      <c r="F271" s="7"/>
    </row>
    <row r="272" spans="1:6" x14ac:dyDescent="0.25">
      <c r="A272" s="7"/>
      <c r="E272" s="7"/>
      <c r="F272" s="7"/>
    </row>
    <row r="273" spans="1:6" x14ac:dyDescent="0.25">
      <c r="A273" s="7"/>
      <c r="E273" s="7"/>
      <c r="F273" s="7"/>
    </row>
    <row r="274" spans="1:6" x14ac:dyDescent="0.25">
      <c r="A274" s="7"/>
      <c r="E274" s="7"/>
      <c r="F274" s="7"/>
    </row>
    <row r="275" spans="1:6" x14ac:dyDescent="0.25">
      <c r="A275" s="7"/>
      <c r="E275" s="7"/>
      <c r="F275" s="7"/>
    </row>
    <row r="276" spans="1:6" x14ac:dyDescent="0.25">
      <c r="A276" s="7"/>
      <c r="E276" s="7"/>
      <c r="F276" s="7"/>
    </row>
    <row r="277" spans="1:6" x14ac:dyDescent="0.25">
      <c r="A277" s="7"/>
      <c r="E277" s="7"/>
      <c r="F277" s="7"/>
    </row>
    <row r="278" spans="1:6" x14ac:dyDescent="0.25">
      <c r="A278" s="7"/>
      <c r="E278" s="7"/>
      <c r="F278" s="7"/>
    </row>
    <row r="279" spans="1:6" x14ac:dyDescent="0.25">
      <c r="A279" s="7"/>
      <c r="E279" s="7"/>
      <c r="F279" s="7"/>
    </row>
    <row r="280" spans="1:6" x14ac:dyDescent="0.25">
      <c r="A280" s="7"/>
      <c r="E280" s="7"/>
      <c r="F280" s="7"/>
    </row>
    <row r="281" spans="1:6" x14ac:dyDescent="0.25">
      <c r="A281" s="7"/>
      <c r="E281" s="7"/>
      <c r="F281" s="7"/>
    </row>
    <row r="282" spans="1:6" x14ac:dyDescent="0.25">
      <c r="A282" s="7"/>
      <c r="E282" s="7"/>
      <c r="F282" s="7"/>
    </row>
    <row r="283" spans="1:6" x14ac:dyDescent="0.25">
      <c r="A283" s="7"/>
      <c r="E283" s="7"/>
      <c r="F283" s="7"/>
    </row>
    <row r="284" spans="1:6" x14ac:dyDescent="0.25">
      <c r="A284" s="7"/>
      <c r="E284" s="7"/>
      <c r="F284" s="7"/>
    </row>
    <row r="285" spans="1:6" x14ac:dyDescent="0.25">
      <c r="A285" s="7"/>
      <c r="E285" s="7"/>
      <c r="F285" s="7"/>
    </row>
    <row r="286" spans="1:6" x14ac:dyDescent="0.25">
      <c r="A286" s="7"/>
      <c r="E286" s="7"/>
      <c r="F286" s="7"/>
    </row>
    <row r="287" spans="1:6" x14ac:dyDescent="0.25">
      <c r="A287" s="7"/>
      <c r="E287" s="7"/>
      <c r="F287" s="7"/>
    </row>
    <row r="288" spans="1:6" x14ac:dyDescent="0.25">
      <c r="A288" s="7"/>
      <c r="E288" s="7"/>
      <c r="F288" s="7"/>
    </row>
    <row r="289" spans="1:6" x14ac:dyDescent="0.25">
      <c r="A289" s="7"/>
      <c r="E289" s="7"/>
      <c r="F289" s="7"/>
    </row>
    <row r="290" spans="1:6" x14ac:dyDescent="0.25">
      <c r="A290" s="7"/>
      <c r="E290" s="7"/>
      <c r="F290" s="7"/>
    </row>
    <row r="291" spans="1:6" x14ac:dyDescent="0.25">
      <c r="A291" s="7"/>
      <c r="E291" s="7"/>
      <c r="F291" s="7"/>
    </row>
    <row r="292" spans="1:6" x14ac:dyDescent="0.25">
      <c r="A292" s="7"/>
      <c r="E292" s="7"/>
      <c r="F292" s="7"/>
    </row>
    <row r="293" spans="1:6" x14ac:dyDescent="0.25">
      <c r="A293" s="7"/>
      <c r="E293" s="7"/>
      <c r="F293" s="7"/>
    </row>
    <row r="294" spans="1:6" x14ac:dyDescent="0.25">
      <c r="A294" s="7"/>
      <c r="E294" s="7"/>
      <c r="F294" s="7"/>
    </row>
    <row r="295" spans="1:6" x14ac:dyDescent="0.25">
      <c r="A295" s="7"/>
      <c r="E295" s="7"/>
      <c r="F295" s="7"/>
    </row>
    <row r="296" spans="1:6" x14ac:dyDescent="0.25">
      <c r="A296" s="7"/>
      <c r="E296" s="7"/>
      <c r="F296" s="7"/>
    </row>
    <row r="297" spans="1:6" x14ac:dyDescent="0.25">
      <c r="A297" s="7"/>
      <c r="E297" s="7"/>
      <c r="F297" s="7"/>
    </row>
    <row r="298" spans="1:6" x14ac:dyDescent="0.25">
      <c r="A298" s="7"/>
      <c r="E298" s="7"/>
      <c r="F298" s="7"/>
    </row>
    <row r="299" spans="1:6" x14ac:dyDescent="0.25">
      <c r="A299" s="7"/>
      <c r="E299" s="7"/>
      <c r="F299" s="7"/>
    </row>
    <row r="300" spans="1:6" x14ac:dyDescent="0.25">
      <c r="A300" s="7"/>
      <c r="E300" s="7"/>
      <c r="F300" s="7"/>
    </row>
    <row r="301" spans="1:6" x14ac:dyDescent="0.25">
      <c r="A301" s="7"/>
      <c r="E301" s="7"/>
      <c r="F301" s="7"/>
    </row>
    <row r="302" spans="1:6" x14ac:dyDescent="0.25">
      <c r="A302" s="7"/>
      <c r="E302" s="7"/>
      <c r="F302" s="7"/>
    </row>
    <row r="303" spans="1:6" x14ac:dyDescent="0.25">
      <c r="A303" s="7"/>
      <c r="E303" s="7"/>
      <c r="F303" s="7"/>
    </row>
    <row r="304" spans="1:6" x14ac:dyDescent="0.25">
      <c r="A304" s="7"/>
      <c r="E304" s="7"/>
      <c r="F304" s="7"/>
    </row>
    <row r="305" spans="1:6" x14ac:dyDescent="0.25">
      <c r="A305" s="7"/>
      <c r="E305" s="7"/>
      <c r="F305" s="7"/>
    </row>
    <row r="306" spans="1:6" x14ac:dyDescent="0.25">
      <c r="A306" s="7"/>
      <c r="E306" s="7"/>
      <c r="F306" s="7"/>
    </row>
    <row r="307" spans="1:6" x14ac:dyDescent="0.25">
      <c r="A307" s="7"/>
      <c r="E307" s="7"/>
      <c r="F307" s="7"/>
    </row>
    <row r="308" spans="1:6" x14ac:dyDescent="0.25">
      <c r="A308" s="7"/>
      <c r="E308" s="7"/>
      <c r="F308" s="7"/>
    </row>
    <row r="309" spans="1:6" x14ac:dyDescent="0.25">
      <c r="A309" s="7"/>
      <c r="E309" s="7"/>
      <c r="F309" s="7"/>
    </row>
    <row r="310" spans="1:6" x14ac:dyDescent="0.25">
      <c r="A310" s="7"/>
      <c r="E310" s="7"/>
      <c r="F310" s="7"/>
    </row>
    <row r="311" spans="1:6" x14ac:dyDescent="0.25">
      <c r="A311" s="7"/>
      <c r="E311" s="7"/>
      <c r="F311" s="7"/>
    </row>
    <row r="312" spans="1:6" x14ac:dyDescent="0.25">
      <c r="A312" s="7"/>
      <c r="E312" s="7"/>
      <c r="F312" s="7"/>
    </row>
    <row r="313" spans="1:6" x14ac:dyDescent="0.25">
      <c r="A313" s="7"/>
      <c r="E313" s="7"/>
      <c r="F313" s="7"/>
    </row>
    <row r="314" spans="1:6" x14ac:dyDescent="0.25">
      <c r="A314" s="7"/>
      <c r="E314" s="7"/>
      <c r="F314" s="7"/>
    </row>
    <row r="315" spans="1:6" x14ac:dyDescent="0.25">
      <c r="A315" s="7"/>
      <c r="E315" s="7"/>
      <c r="F315" s="7"/>
    </row>
    <row r="316" spans="1:6" x14ac:dyDescent="0.25">
      <c r="A316" s="7"/>
      <c r="E316" s="7"/>
      <c r="F316" s="7"/>
    </row>
    <row r="317" spans="1:6" x14ac:dyDescent="0.25">
      <c r="A317" s="7"/>
      <c r="E317" s="7"/>
      <c r="F317" s="7"/>
    </row>
    <row r="318" spans="1:6" x14ac:dyDescent="0.25">
      <c r="A318" s="7"/>
      <c r="E318" s="7"/>
      <c r="F318" s="7"/>
    </row>
    <row r="319" spans="1:6" x14ac:dyDescent="0.25">
      <c r="A319" s="7"/>
      <c r="E319" s="7"/>
      <c r="F319" s="7"/>
    </row>
    <row r="320" spans="1:6" x14ac:dyDescent="0.25">
      <c r="A320" s="7"/>
      <c r="E320" s="7"/>
      <c r="F320" s="7"/>
    </row>
    <row r="321" spans="1:6" x14ac:dyDescent="0.25">
      <c r="A321" s="7"/>
      <c r="E321" s="7"/>
      <c r="F321" s="7"/>
    </row>
    <row r="322" spans="1:6" x14ac:dyDescent="0.25">
      <c r="A322" s="7"/>
      <c r="E322" s="7"/>
      <c r="F322" s="7"/>
    </row>
    <row r="323" spans="1:6" x14ac:dyDescent="0.25">
      <c r="A323" s="7"/>
      <c r="E323" s="7"/>
      <c r="F323" s="7"/>
    </row>
    <row r="324" spans="1:6" x14ac:dyDescent="0.25">
      <c r="A324" s="7"/>
      <c r="E324" s="7"/>
      <c r="F324" s="7"/>
    </row>
    <row r="325" spans="1:6" x14ac:dyDescent="0.25">
      <c r="A325" s="7"/>
      <c r="E325" s="7"/>
      <c r="F325" s="7"/>
    </row>
    <row r="326" spans="1:6" x14ac:dyDescent="0.25">
      <c r="A326" s="7"/>
      <c r="E326" s="7"/>
      <c r="F326" s="7"/>
    </row>
    <row r="327" spans="1:6" x14ac:dyDescent="0.25">
      <c r="A327" s="7"/>
      <c r="E327" s="7"/>
      <c r="F327" s="7"/>
    </row>
    <row r="328" spans="1:6" x14ac:dyDescent="0.25">
      <c r="A328" s="7"/>
      <c r="E328" s="7"/>
      <c r="F328" s="7"/>
    </row>
    <row r="329" spans="1:6" x14ac:dyDescent="0.25">
      <c r="A329" s="7"/>
      <c r="E329" s="7"/>
      <c r="F329" s="7"/>
    </row>
    <row r="330" spans="1:6" x14ac:dyDescent="0.25">
      <c r="A330" s="7"/>
      <c r="E330" s="7"/>
      <c r="F330" s="7"/>
    </row>
    <row r="331" spans="1:6" x14ac:dyDescent="0.25">
      <c r="A331" s="7"/>
      <c r="E331" s="7"/>
      <c r="F331" s="7"/>
    </row>
    <row r="332" spans="1:6" x14ac:dyDescent="0.25">
      <c r="A332" s="7"/>
      <c r="E332" s="7"/>
      <c r="F332" s="7"/>
    </row>
    <row r="333" spans="1:6" x14ac:dyDescent="0.25">
      <c r="A333" s="7"/>
      <c r="E333" s="7"/>
      <c r="F333" s="7"/>
    </row>
    <row r="334" spans="1:6" x14ac:dyDescent="0.25">
      <c r="A334" s="7"/>
      <c r="E334" s="7"/>
      <c r="F334" s="7"/>
    </row>
    <row r="335" spans="1:6" x14ac:dyDescent="0.25">
      <c r="A335" s="7"/>
      <c r="E335" s="7"/>
      <c r="F335" s="7"/>
    </row>
    <row r="336" spans="1:6" x14ac:dyDescent="0.25">
      <c r="A336" s="7"/>
      <c r="E336" s="7"/>
      <c r="F336" s="7"/>
    </row>
    <row r="337" spans="1:6" x14ac:dyDescent="0.25">
      <c r="A337" s="7"/>
      <c r="E337" s="7"/>
      <c r="F337" s="7"/>
    </row>
    <row r="338" spans="1:6" x14ac:dyDescent="0.25">
      <c r="A338" s="7"/>
      <c r="E338" s="7"/>
      <c r="F338" s="7"/>
    </row>
    <row r="339" spans="1:6" x14ac:dyDescent="0.25">
      <c r="A339" s="7"/>
      <c r="E339" s="7"/>
      <c r="F339" s="7"/>
    </row>
    <row r="340" spans="1:6" x14ac:dyDescent="0.25">
      <c r="A340" s="7"/>
      <c r="E340" s="7"/>
      <c r="F340" s="7"/>
    </row>
    <row r="341" spans="1:6" x14ac:dyDescent="0.25">
      <c r="A341" s="7"/>
      <c r="E341" s="7"/>
      <c r="F341" s="7"/>
    </row>
    <row r="342" spans="1:6" x14ac:dyDescent="0.25">
      <c r="A342" s="7"/>
      <c r="E342" s="7"/>
      <c r="F342" s="7"/>
    </row>
    <row r="343" spans="1:6" x14ac:dyDescent="0.25">
      <c r="A343" s="7"/>
      <c r="E343" s="7"/>
      <c r="F343" s="7"/>
    </row>
    <row r="344" spans="1:6" x14ac:dyDescent="0.25">
      <c r="A344" s="7"/>
      <c r="E344" s="7"/>
      <c r="F344" s="7"/>
    </row>
    <row r="345" spans="1:6" x14ac:dyDescent="0.25">
      <c r="A345" s="7"/>
      <c r="E345" s="7"/>
      <c r="F345" s="7"/>
    </row>
    <row r="346" spans="1:6" x14ac:dyDescent="0.25">
      <c r="A346" s="7"/>
      <c r="E346" s="7"/>
      <c r="F346" s="7"/>
    </row>
    <row r="347" spans="1:6" x14ac:dyDescent="0.25">
      <c r="A347" s="7"/>
      <c r="E347" s="7"/>
      <c r="F347" s="7"/>
    </row>
    <row r="348" spans="1:6" x14ac:dyDescent="0.25">
      <c r="A348" s="7"/>
      <c r="E348" s="7"/>
      <c r="F348" s="7"/>
    </row>
    <row r="349" spans="1:6" x14ac:dyDescent="0.25">
      <c r="A349" s="7"/>
      <c r="E349" s="7"/>
      <c r="F349" s="7"/>
    </row>
    <row r="350" spans="1:6" x14ac:dyDescent="0.25">
      <c r="A350" s="7"/>
      <c r="E350" s="7"/>
      <c r="F350" s="7"/>
    </row>
    <row r="351" spans="1:6" x14ac:dyDescent="0.25">
      <c r="A351" s="7"/>
      <c r="E351" s="7"/>
      <c r="F351" s="7"/>
    </row>
    <row r="352" spans="1:6" x14ac:dyDescent="0.25">
      <c r="A352" s="7"/>
      <c r="E352" s="7"/>
      <c r="F352" s="7"/>
    </row>
    <row r="353" spans="1:6" x14ac:dyDescent="0.25">
      <c r="A353" s="7"/>
      <c r="E353" s="7"/>
      <c r="F353" s="7"/>
    </row>
    <row r="354" spans="1:6" x14ac:dyDescent="0.25">
      <c r="A354" s="7"/>
      <c r="E354" s="7"/>
      <c r="F354" s="7"/>
    </row>
    <row r="355" spans="1:6" x14ac:dyDescent="0.25">
      <c r="A355" s="7"/>
      <c r="E355" s="7"/>
      <c r="F355" s="7"/>
    </row>
    <row r="356" spans="1:6" x14ac:dyDescent="0.25">
      <c r="A356" s="7"/>
      <c r="E356" s="7"/>
      <c r="F356" s="7"/>
    </row>
    <row r="357" spans="1:6" x14ac:dyDescent="0.25">
      <c r="A357" s="7"/>
      <c r="E357" s="7"/>
      <c r="F357" s="7"/>
    </row>
    <row r="358" spans="1:6" x14ac:dyDescent="0.25">
      <c r="A358" s="7"/>
      <c r="E358" s="7"/>
      <c r="F358" s="7"/>
    </row>
    <row r="359" spans="1:6" x14ac:dyDescent="0.25">
      <c r="A359" s="7"/>
      <c r="E359" s="7"/>
      <c r="F359" s="7"/>
    </row>
    <row r="360" spans="1:6" x14ac:dyDescent="0.25">
      <c r="A360" s="7"/>
      <c r="E360" s="7"/>
      <c r="F360" s="7"/>
    </row>
    <row r="361" spans="1:6" x14ac:dyDescent="0.25">
      <c r="A361" s="7"/>
      <c r="E361" s="7"/>
      <c r="F361" s="7"/>
    </row>
    <row r="362" spans="1:6" x14ac:dyDescent="0.25">
      <c r="A362" s="7"/>
      <c r="E362" s="7"/>
      <c r="F362" s="7"/>
    </row>
    <row r="363" spans="1:6" x14ac:dyDescent="0.25">
      <c r="A363" s="7"/>
      <c r="E363" s="7"/>
      <c r="F363" s="7"/>
    </row>
    <row r="364" spans="1:6" x14ac:dyDescent="0.25">
      <c r="A364" s="7"/>
      <c r="E364" s="7"/>
      <c r="F364" s="7"/>
    </row>
    <row r="365" spans="1:6" x14ac:dyDescent="0.25">
      <c r="A365" s="7"/>
      <c r="E365" s="7"/>
      <c r="F365" s="7"/>
    </row>
    <row r="366" spans="1:6" x14ac:dyDescent="0.25">
      <c r="A366" s="7"/>
      <c r="E366" s="7"/>
      <c r="F366" s="7"/>
    </row>
    <row r="367" spans="1:6" x14ac:dyDescent="0.25">
      <c r="A367" s="7"/>
      <c r="E367" s="7"/>
      <c r="F367" s="7"/>
    </row>
    <row r="368" spans="1:6" x14ac:dyDescent="0.25">
      <c r="A368" s="7"/>
      <c r="E368" s="7"/>
      <c r="F368" s="7"/>
    </row>
    <row r="369" spans="1:6" x14ac:dyDescent="0.25">
      <c r="A369" s="7"/>
      <c r="E369" s="7"/>
      <c r="F369" s="7"/>
    </row>
    <row r="370" spans="1:6" x14ac:dyDescent="0.25">
      <c r="A370" s="7"/>
      <c r="E370" s="7"/>
      <c r="F370" s="7"/>
    </row>
    <row r="371" spans="1:6" x14ac:dyDescent="0.25">
      <c r="A371" s="7"/>
      <c r="E371" s="7"/>
      <c r="F371" s="7"/>
    </row>
    <row r="372" spans="1:6" x14ac:dyDescent="0.25">
      <c r="A372" s="7"/>
      <c r="E372" s="7"/>
      <c r="F372" s="7"/>
    </row>
    <row r="373" spans="1:6" x14ac:dyDescent="0.25">
      <c r="A373" s="7"/>
      <c r="E373" s="7"/>
      <c r="F373" s="7"/>
    </row>
    <row r="374" spans="1:6" x14ac:dyDescent="0.25">
      <c r="A374" s="7"/>
      <c r="E374" s="7"/>
      <c r="F374" s="7"/>
    </row>
    <row r="375" spans="1:6" x14ac:dyDescent="0.25">
      <c r="A375" s="7"/>
      <c r="E375" s="7"/>
      <c r="F375" s="7"/>
    </row>
    <row r="376" spans="1:6" x14ac:dyDescent="0.25">
      <c r="A376" s="7"/>
      <c r="E376" s="7"/>
      <c r="F376" s="7"/>
    </row>
    <row r="377" spans="1:6" x14ac:dyDescent="0.25">
      <c r="A377" s="7"/>
      <c r="E377" s="7"/>
      <c r="F377" s="7"/>
    </row>
    <row r="378" spans="1:6" x14ac:dyDescent="0.25">
      <c r="A378" s="7"/>
      <c r="E378" s="7"/>
      <c r="F378" s="7"/>
    </row>
    <row r="379" spans="1:6" x14ac:dyDescent="0.25">
      <c r="A379" s="7"/>
      <c r="E379" s="7"/>
      <c r="F379" s="7"/>
    </row>
    <row r="380" spans="1:6" x14ac:dyDescent="0.25">
      <c r="A380" s="7"/>
      <c r="E380" s="7"/>
      <c r="F380" s="7"/>
    </row>
    <row r="381" spans="1:6" x14ac:dyDescent="0.25">
      <c r="A381" s="7"/>
      <c r="E381" s="7"/>
      <c r="F381" s="7"/>
    </row>
    <row r="382" spans="1:6" x14ac:dyDescent="0.25">
      <c r="A382" s="7"/>
      <c r="E382" s="7"/>
      <c r="F382" s="7"/>
    </row>
    <row r="383" spans="1:6" x14ac:dyDescent="0.25">
      <c r="A383" s="7"/>
      <c r="E383" s="7"/>
      <c r="F383" s="7"/>
    </row>
    <row r="384" spans="1:6" x14ac:dyDescent="0.25">
      <c r="A384" s="7"/>
      <c r="E384" s="7"/>
      <c r="F384" s="7"/>
    </row>
    <row r="385" spans="1:6" x14ac:dyDescent="0.25">
      <c r="A385" s="7"/>
      <c r="E385" s="7"/>
      <c r="F385" s="7"/>
    </row>
    <row r="386" spans="1:6" x14ac:dyDescent="0.25">
      <c r="A386" s="7"/>
      <c r="E386" s="7"/>
      <c r="F386" s="7"/>
    </row>
    <row r="387" spans="1:6" x14ac:dyDescent="0.25">
      <c r="A387" s="7"/>
      <c r="E387" s="7"/>
      <c r="F387" s="7"/>
    </row>
    <row r="388" spans="1:6" x14ac:dyDescent="0.25">
      <c r="A388" s="7"/>
      <c r="E388" s="7"/>
      <c r="F388" s="7"/>
    </row>
    <row r="389" spans="1:6" x14ac:dyDescent="0.25">
      <c r="A389" s="7"/>
      <c r="E389" s="7"/>
      <c r="F389" s="7"/>
    </row>
    <row r="390" spans="1:6" x14ac:dyDescent="0.25">
      <c r="A390" s="7"/>
      <c r="E390" s="7"/>
      <c r="F390" s="7"/>
    </row>
    <row r="391" spans="1:6" x14ac:dyDescent="0.25">
      <c r="A391" s="7"/>
      <c r="E391" s="7"/>
      <c r="F391" s="7"/>
    </row>
    <row r="392" spans="1:6" x14ac:dyDescent="0.25">
      <c r="A392" s="7"/>
      <c r="E392" s="7"/>
      <c r="F392" s="7"/>
    </row>
    <row r="393" spans="1:6" x14ac:dyDescent="0.25">
      <c r="A393" s="7"/>
      <c r="E393" s="7"/>
      <c r="F393" s="7"/>
    </row>
    <row r="394" spans="1:6" x14ac:dyDescent="0.25">
      <c r="A394" s="7"/>
      <c r="E394" s="7"/>
      <c r="F394" s="7"/>
    </row>
    <row r="395" spans="1:6" x14ac:dyDescent="0.25">
      <c r="A395" s="7"/>
      <c r="E395" s="7"/>
      <c r="F395" s="7"/>
    </row>
    <row r="396" spans="1:6" x14ac:dyDescent="0.25">
      <c r="A396" s="7"/>
      <c r="E396" s="7"/>
      <c r="F396" s="7"/>
    </row>
    <row r="397" spans="1:6" x14ac:dyDescent="0.25">
      <c r="A397" s="7"/>
      <c r="E397" s="7"/>
      <c r="F397" s="7"/>
    </row>
    <row r="398" spans="1:6" x14ac:dyDescent="0.25">
      <c r="A398" s="7"/>
      <c r="E398" s="7"/>
      <c r="F398" s="7"/>
    </row>
    <row r="399" spans="1:6" x14ac:dyDescent="0.25">
      <c r="A399" s="7"/>
      <c r="E399" s="7"/>
      <c r="F399" s="7"/>
    </row>
    <row r="400" spans="1:6" x14ac:dyDescent="0.25">
      <c r="A400" s="7"/>
      <c r="E400" s="7"/>
      <c r="F400" s="7"/>
    </row>
    <row r="401" spans="1:6" x14ac:dyDescent="0.25">
      <c r="A401" s="7"/>
      <c r="E401" s="7"/>
      <c r="F401" s="7"/>
    </row>
    <row r="402" spans="1:6" x14ac:dyDescent="0.25">
      <c r="A402" s="7"/>
      <c r="E402" s="7"/>
      <c r="F402" s="7"/>
    </row>
    <row r="403" spans="1:6" x14ac:dyDescent="0.25">
      <c r="A403" s="7"/>
      <c r="E403" s="7"/>
      <c r="F403" s="7"/>
    </row>
    <row r="404" spans="1:6" x14ac:dyDescent="0.25">
      <c r="A404" s="7"/>
      <c r="E404" s="7"/>
      <c r="F404" s="7"/>
    </row>
    <row r="405" spans="1:6" x14ac:dyDescent="0.25">
      <c r="A405" s="7"/>
      <c r="E405" s="7"/>
      <c r="F405" s="7"/>
    </row>
    <row r="406" spans="1:6" x14ac:dyDescent="0.25">
      <c r="A406" s="7"/>
      <c r="E406" s="7"/>
      <c r="F406" s="7"/>
    </row>
    <row r="407" spans="1:6" x14ac:dyDescent="0.25">
      <c r="A407" s="7"/>
      <c r="E407" s="7"/>
      <c r="F407" s="7"/>
    </row>
    <row r="408" spans="1:6" x14ac:dyDescent="0.25">
      <c r="A408" s="7"/>
      <c r="E408" s="7"/>
      <c r="F408" s="7"/>
    </row>
    <row r="409" spans="1:6" x14ac:dyDescent="0.25">
      <c r="A409" s="7"/>
      <c r="E409" s="7"/>
      <c r="F409" s="7"/>
    </row>
    <row r="410" spans="1:6" x14ac:dyDescent="0.25">
      <c r="A410" s="7"/>
      <c r="E410" s="7"/>
      <c r="F410" s="7"/>
    </row>
    <row r="411" spans="1:6" x14ac:dyDescent="0.25">
      <c r="A411" s="7"/>
      <c r="E411" s="7"/>
      <c r="F411" s="7"/>
    </row>
    <row r="412" spans="1:6" x14ac:dyDescent="0.25">
      <c r="A412" s="7"/>
      <c r="E412" s="7"/>
      <c r="F412" s="7"/>
    </row>
    <row r="413" spans="1:6" x14ac:dyDescent="0.25">
      <c r="A413" s="7"/>
      <c r="E413" s="7"/>
      <c r="F413" s="7"/>
    </row>
    <row r="414" spans="1:6" x14ac:dyDescent="0.25">
      <c r="A414" s="7"/>
      <c r="E414" s="7"/>
      <c r="F414" s="7"/>
    </row>
    <row r="415" spans="1:6" x14ac:dyDescent="0.25">
      <c r="A415" s="7"/>
      <c r="E415" s="7"/>
      <c r="F415" s="7"/>
    </row>
    <row r="416" spans="1:6" x14ac:dyDescent="0.25">
      <c r="A416" s="7"/>
      <c r="E416" s="7"/>
      <c r="F416" s="7"/>
    </row>
    <row r="417" spans="1:6" x14ac:dyDescent="0.25">
      <c r="A417" s="7"/>
      <c r="E417" s="7"/>
      <c r="F417" s="7"/>
    </row>
    <row r="418" spans="1:6" x14ac:dyDescent="0.25">
      <c r="A418" s="7"/>
      <c r="E418" s="7"/>
      <c r="F418" s="7"/>
    </row>
    <row r="419" spans="1:6" x14ac:dyDescent="0.25">
      <c r="A419" s="7"/>
      <c r="E419" s="7"/>
      <c r="F419" s="7"/>
    </row>
    <row r="420" spans="1:6" x14ac:dyDescent="0.25">
      <c r="A420" s="7"/>
      <c r="E420" s="7"/>
      <c r="F420" s="7"/>
    </row>
    <row r="421" spans="1:6" x14ac:dyDescent="0.25">
      <c r="A421" s="7"/>
      <c r="E421" s="7"/>
      <c r="F421" s="7"/>
    </row>
    <row r="422" spans="1:6" x14ac:dyDescent="0.25">
      <c r="A422" s="7"/>
      <c r="E422" s="7"/>
      <c r="F422" s="7"/>
    </row>
    <row r="423" spans="1:6" x14ac:dyDescent="0.25">
      <c r="A423" s="7"/>
      <c r="E423" s="7"/>
      <c r="F423" s="7"/>
    </row>
    <row r="424" spans="1:6" x14ac:dyDescent="0.25">
      <c r="A424" s="7"/>
      <c r="E424" s="7"/>
      <c r="F424" s="7"/>
    </row>
    <row r="425" spans="1:6" x14ac:dyDescent="0.25">
      <c r="A425" s="7"/>
      <c r="E425" s="7"/>
      <c r="F425" s="7"/>
    </row>
    <row r="426" spans="1:6" x14ac:dyDescent="0.25">
      <c r="A426" s="7"/>
      <c r="E426" s="7"/>
      <c r="F426" s="7"/>
    </row>
    <row r="427" spans="1:6" x14ac:dyDescent="0.25">
      <c r="A427" s="7"/>
      <c r="E427" s="7"/>
      <c r="F427" s="7"/>
    </row>
    <row r="428" spans="1:6" x14ac:dyDescent="0.25">
      <c r="A428" s="7"/>
      <c r="E428" s="7"/>
      <c r="F428" s="7"/>
    </row>
    <row r="429" spans="1:6" x14ac:dyDescent="0.25">
      <c r="A429" s="7"/>
      <c r="E429" s="7"/>
      <c r="F429" s="7"/>
    </row>
    <row r="430" spans="1:6" x14ac:dyDescent="0.25">
      <c r="A430" s="7"/>
      <c r="E430" s="7"/>
      <c r="F430" s="7"/>
    </row>
    <row r="431" spans="1:6" x14ac:dyDescent="0.25">
      <c r="A431" s="7"/>
      <c r="E431" s="7"/>
      <c r="F431" s="7"/>
    </row>
    <row r="432" spans="1:6" x14ac:dyDescent="0.25">
      <c r="A432" s="7"/>
      <c r="E432" s="7"/>
      <c r="F432" s="7"/>
    </row>
    <row r="433" spans="1:6" x14ac:dyDescent="0.25">
      <c r="A433" s="7"/>
      <c r="E433" s="7"/>
      <c r="F433" s="7"/>
    </row>
    <row r="434" spans="1:6" x14ac:dyDescent="0.25">
      <c r="A434" s="7"/>
      <c r="E434" s="7"/>
      <c r="F434" s="7"/>
    </row>
    <row r="435" spans="1:6" x14ac:dyDescent="0.25">
      <c r="A435" s="7"/>
      <c r="E435" s="7"/>
      <c r="F435" s="7"/>
    </row>
    <row r="436" spans="1:6" x14ac:dyDescent="0.25">
      <c r="A436" s="7"/>
      <c r="E436" s="7"/>
      <c r="F436" s="7"/>
    </row>
    <row r="437" spans="1:6" x14ac:dyDescent="0.25">
      <c r="A437" s="7"/>
      <c r="E437" s="7"/>
      <c r="F437" s="7"/>
    </row>
    <row r="438" spans="1:6" x14ac:dyDescent="0.25">
      <c r="A438" s="7"/>
      <c r="E438" s="7"/>
      <c r="F438" s="7"/>
    </row>
    <row r="439" spans="1:6" x14ac:dyDescent="0.25">
      <c r="A439" s="7"/>
      <c r="E439" s="7"/>
      <c r="F439" s="7"/>
    </row>
    <row r="440" spans="1:6" x14ac:dyDescent="0.25">
      <c r="A440" s="7"/>
      <c r="E440" s="7"/>
      <c r="F440" s="7"/>
    </row>
    <row r="441" spans="1:6" x14ac:dyDescent="0.25">
      <c r="A441" s="7"/>
      <c r="E441" s="7"/>
      <c r="F441" s="7"/>
    </row>
    <row r="442" spans="1:6" x14ac:dyDescent="0.25">
      <c r="A442" s="7"/>
      <c r="E442" s="7"/>
      <c r="F442" s="7"/>
    </row>
    <row r="443" spans="1:6" x14ac:dyDescent="0.25">
      <c r="A443" s="7"/>
      <c r="E443" s="7"/>
      <c r="F443" s="7"/>
    </row>
    <row r="444" spans="1:6" x14ac:dyDescent="0.25">
      <c r="A444" s="7"/>
      <c r="E444" s="7"/>
      <c r="F444" s="7"/>
    </row>
    <row r="445" spans="1:6" x14ac:dyDescent="0.25">
      <c r="A445" s="7"/>
      <c r="E445" s="7"/>
      <c r="F445" s="7"/>
    </row>
    <row r="446" spans="1:6" x14ac:dyDescent="0.25">
      <c r="A446" s="7"/>
      <c r="E446" s="7"/>
      <c r="F446" s="7"/>
    </row>
    <row r="447" spans="1:6" x14ac:dyDescent="0.25">
      <c r="A447" s="7"/>
      <c r="E447" s="7"/>
      <c r="F447" s="7"/>
    </row>
    <row r="448" spans="1:6" x14ac:dyDescent="0.25">
      <c r="A448" s="7"/>
      <c r="E448" s="7"/>
      <c r="F448" s="7"/>
    </row>
    <row r="449" spans="1:6" x14ac:dyDescent="0.25">
      <c r="A449" s="7"/>
      <c r="E449" s="7"/>
      <c r="F449" s="7"/>
    </row>
    <row r="450" spans="1:6" x14ac:dyDescent="0.25">
      <c r="A450" s="7"/>
      <c r="E450" s="7"/>
      <c r="F450" s="7"/>
    </row>
    <row r="451" spans="1:6" x14ac:dyDescent="0.25">
      <c r="A451" s="7"/>
      <c r="E451" s="7"/>
      <c r="F451" s="7"/>
    </row>
    <row r="452" spans="1:6" x14ac:dyDescent="0.25">
      <c r="A452" s="7"/>
      <c r="E452" s="7"/>
      <c r="F452" s="7"/>
    </row>
    <row r="453" spans="1:6" x14ac:dyDescent="0.25">
      <c r="A453" s="7"/>
      <c r="E453" s="7"/>
      <c r="F453" s="7"/>
    </row>
    <row r="454" spans="1:6" x14ac:dyDescent="0.25">
      <c r="A454" s="7"/>
      <c r="E454" s="7"/>
      <c r="F454" s="7"/>
    </row>
    <row r="455" spans="1:6" x14ac:dyDescent="0.25">
      <c r="A455" s="7"/>
      <c r="E455" s="7"/>
      <c r="F455" s="7"/>
    </row>
    <row r="456" spans="1:6" x14ac:dyDescent="0.25">
      <c r="A456" s="7"/>
      <c r="E456" s="7"/>
      <c r="F456" s="7"/>
    </row>
    <row r="457" spans="1:6" x14ac:dyDescent="0.25">
      <c r="A457" s="7"/>
      <c r="E457" s="7"/>
      <c r="F457" s="7"/>
    </row>
    <row r="458" spans="1:6" x14ac:dyDescent="0.25">
      <c r="A458" s="7"/>
      <c r="E458" s="7"/>
      <c r="F458" s="7"/>
    </row>
    <row r="459" spans="1:6" x14ac:dyDescent="0.25">
      <c r="A459" s="7"/>
      <c r="E459" s="7"/>
      <c r="F459" s="7"/>
    </row>
    <row r="460" spans="1:6" x14ac:dyDescent="0.25">
      <c r="A460" s="7"/>
      <c r="E460" s="7"/>
      <c r="F460" s="7"/>
    </row>
    <row r="461" spans="1:6" x14ac:dyDescent="0.25">
      <c r="A461" s="7"/>
      <c r="E461" s="7"/>
      <c r="F461" s="7"/>
    </row>
    <row r="462" spans="1:6" x14ac:dyDescent="0.25">
      <c r="A462" s="7"/>
      <c r="E462" s="7"/>
      <c r="F462" s="7"/>
    </row>
    <row r="463" spans="1:6" x14ac:dyDescent="0.25">
      <c r="A463" s="7"/>
      <c r="E463" s="7"/>
      <c r="F463" s="7"/>
    </row>
    <row r="464" spans="1:6" x14ac:dyDescent="0.25">
      <c r="A464" s="7"/>
      <c r="E464" s="7"/>
      <c r="F464" s="7"/>
    </row>
    <row r="465" spans="1:6" x14ac:dyDescent="0.25">
      <c r="A465" s="7"/>
      <c r="E465" s="7"/>
      <c r="F465" s="7"/>
    </row>
    <row r="466" spans="1:6" x14ac:dyDescent="0.25">
      <c r="A466" s="7"/>
      <c r="E466" s="7"/>
      <c r="F466" s="7"/>
    </row>
    <row r="467" spans="1:6" x14ac:dyDescent="0.25">
      <c r="A467" s="7"/>
      <c r="E467" s="7"/>
      <c r="F467" s="7"/>
    </row>
    <row r="468" spans="1:6" x14ac:dyDescent="0.25">
      <c r="A468" s="7"/>
      <c r="E468" s="7"/>
      <c r="F468" s="7"/>
    </row>
    <row r="469" spans="1:6" x14ac:dyDescent="0.25">
      <c r="A469" s="7"/>
      <c r="E469" s="7"/>
      <c r="F469" s="7"/>
    </row>
    <row r="470" spans="1:6" x14ac:dyDescent="0.25">
      <c r="A470" s="7"/>
      <c r="E470" s="7"/>
      <c r="F470" s="7"/>
    </row>
    <row r="471" spans="1:6" x14ac:dyDescent="0.25">
      <c r="A471" s="7"/>
      <c r="E471" s="7"/>
      <c r="F471" s="7"/>
    </row>
    <row r="472" spans="1:6" x14ac:dyDescent="0.25">
      <c r="A472" s="7"/>
      <c r="E472" s="7"/>
      <c r="F472" s="7"/>
    </row>
    <row r="473" spans="1:6" x14ac:dyDescent="0.25">
      <c r="A473" s="7"/>
      <c r="E473" s="7"/>
      <c r="F473" s="7"/>
    </row>
    <row r="474" spans="1:6" x14ac:dyDescent="0.25">
      <c r="A474" s="7"/>
      <c r="E474" s="7"/>
      <c r="F474" s="7"/>
    </row>
    <row r="475" spans="1:6" x14ac:dyDescent="0.25">
      <c r="A475" s="7"/>
      <c r="E475" s="7"/>
      <c r="F475" s="7"/>
    </row>
    <row r="476" spans="1:6" x14ac:dyDescent="0.25">
      <c r="A476" s="7"/>
      <c r="E476" s="7"/>
      <c r="F476" s="7"/>
    </row>
    <row r="477" spans="1:6" x14ac:dyDescent="0.25">
      <c r="A477" s="7"/>
      <c r="E477" s="7"/>
      <c r="F477" s="7"/>
    </row>
    <row r="478" spans="1:6" x14ac:dyDescent="0.25">
      <c r="A478" s="7"/>
      <c r="E478" s="7"/>
      <c r="F478" s="7"/>
    </row>
    <row r="479" spans="1:6" x14ac:dyDescent="0.25">
      <c r="A479" s="7"/>
      <c r="E479" s="7"/>
      <c r="F479" s="7"/>
    </row>
    <row r="480" spans="1:6" x14ac:dyDescent="0.25">
      <c r="A480" s="7"/>
      <c r="E480" s="7"/>
      <c r="F480" s="7"/>
    </row>
    <row r="481" spans="1:6" x14ac:dyDescent="0.25">
      <c r="A481" s="7"/>
      <c r="E481" s="7"/>
      <c r="F481" s="7"/>
    </row>
    <row r="482" spans="1:6" x14ac:dyDescent="0.25">
      <c r="A482" s="7"/>
      <c r="E482" s="7"/>
      <c r="F482" s="7"/>
    </row>
    <row r="483" spans="1:6" x14ac:dyDescent="0.25">
      <c r="A483" s="7"/>
      <c r="E483" s="7"/>
      <c r="F483" s="7"/>
    </row>
    <row r="484" spans="1:6" x14ac:dyDescent="0.25">
      <c r="A484" s="7"/>
      <c r="E484" s="7"/>
      <c r="F484" s="7"/>
    </row>
    <row r="485" spans="1:6" x14ac:dyDescent="0.25">
      <c r="A485" s="7"/>
      <c r="E485" s="7"/>
      <c r="F485" s="7"/>
    </row>
    <row r="486" spans="1:6" x14ac:dyDescent="0.25">
      <c r="A486" s="7"/>
      <c r="E486" s="7"/>
      <c r="F486" s="7"/>
    </row>
    <row r="487" spans="1:6" x14ac:dyDescent="0.25">
      <c r="A487" s="7"/>
      <c r="E487" s="7"/>
      <c r="F487" s="7"/>
    </row>
    <row r="488" spans="1:6" x14ac:dyDescent="0.25">
      <c r="A488" s="7"/>
      <c r="E488" s="7"/>
      <c r="F488" s="7"/>
    </row>
    <row r="489" spans="1:6" x14ac:dyDescent="0.25">
      <c r="A489" s="7"/>
      <c r="E489" s="7"/>
      <c r="F489" s="7"/>
    </row>
    <row r="490" spans="1:6" x14ac:dyDescent="0.25">
      <c r="A490" s="7"/>
      <c r="E490" s="7"/>
      <c r="F490" s="7"/>
    </row>
    <row r="491" spans="1:6" x14ac:dyDescent="0.25">
      <c r="A491" s="7"/>
      <c r="E491" s="7"/>
      <c r="F491" s="7"/>
    </row>
    <row r="492" spans="1:6" x14ac:dyDescent="0.25">
      <c r="A492" s="7"/>
      <c r="E492" s="7"/>
      <c r="F492" s="7"/>
    </row>
    <row r="493" spans="1:6" x14ac:dyDescent="0.25">
      <c r="A493" s="7"/>
      <c r="E493" s="7"/>
      <c r="F493" s="7"/>
    </row>
    <row r="494" spans="1:6" x14ac:dyDescent="0.25">
      <c r="A494" s="7"/>
      <c r="E494" s="7"/>
      <c r="F494" s="7"/>
    </row>
    <row r="495" spans="1:6" x14ac:dyDescent="0.25">
      <c r="A495" s="7"/>
      <c r="E495" s="7"/>
      <c r="F495" s="7"/>
    </row>
    <row r="496" spans="1:6" x14ac:dyDescent="0.25">
      <c r="A496" s="7"/>
      <c r="E496" s="7"/>
      <c r="F496" s="7"/>
    </row>
    <row r="497" spans="1:6" x14ac:dyDescent="0.25">
      <c r="A497" s="7"/>
      <c r="E497" s="7"/>
      <c r="F497" s="7"/>
    </row>
    <row r="498" spans="1:6" x14ac:dyDescent="0.25">
      <c r="A498" s="7"/>
      <c r="E498" s="7"/>
      <c r="F498" s="7"/>
    </row>
    <row r="499" spans="1:6" x14ac:dyDescent="0.25">
      <c r="A499" s="7"/>
      <c r="E499" s="7"/>
      <c r="F499" s="7"/>
    </row>
    <row r="500" spans="1:6" x14ac:dyDescent="0.25">
      <c r="A500" s="7"/>
      <c r="E500" s="7"/>
      <c r="F500" s="7"/>
    </row>
    <row r="501" spans="1:6" x14ac:dyDescent="0.25">
      <c r="A501" s="7"/>
      <c r="E501" s="7"/>
      <c r="F501" s="7"/>
    </row>
    <row r="502" spans="1:6" x14ac:dyDescent="0.25">
      <c r="A502" s="7"/>
      <c r="E502" s="7"/>
      <c r="F502" s="7"/>
    </row>
    <row r="503" spans="1:6" x14ac:dyDescent="0.25">
      <c r="A503" s="7"/>
      <c r="E503" s="7"/>
      <c r="F503" s="7"/>
    </row>
    <row r="504" spans="1:6" x14ac:dyDescent="0.25">
      <c r="A504" s="7"/>
      <c r="E504" s="7"/>
      <c r="F504" s="7"/>
    </row>
    <row r="505" spans="1:6" x14ac:dyDescent="0.25">
      <c r="A505" s="7"/>
      <c r="E505" s="7"/>
      <c r="F505" s="7"/>
    </row>
    <row r="506" spans="1:6" x14ac:dyDescent="0.25">
      <c r="A506" s="7"/>
      <c r="E506" s="7"/>
      <c r="F506" s="7"/>
    </row>
    <row r="507" spans="1:6" x14ac:dyDescent="0.25">
      <c r="A507" s="7"/>
      <c r="E507" s="7"/>
      <c r="F507" s="7"/>
    </row>
    <row r="508" spans="1:6" x14ac:dyDescent="0.25">
      <c r="A508" s="7"/>
      <c r="E508" s="7"/>
      <c r="F508" s="7"/>
    </row>
    <row r="509" spans="1:6" x14ac:dyDescent="0.25">
      <c r="A509" s="7"/>
      <c r="E509" s="7"/>
      <c r="F509" s="7"/>
    </row>
    <row r="510" spans="1:6" x14ac:dyDescent="0.25">
      <c r="A510" s="7"/>
      <c r="E510" s="7"/>
      <c r="F510" s="7"/>
    </row>
    <row r="511" spans="1:6" x14ac:dyDescent="0.25">
      <c r="A511" s="7"/>
      <c r="E511" s="7"/>
      <c r="F511" s="7"/>
    </row>
    <row r="512" spans="1:6" x14ac:dyDescent="0.25">
      <c r="A512" s="7"/>
      <c r="E512" s="7"/>
      <c r="F512" s="7"/>
    </row>
    <row r="513" spans="1:6" x14ac:dyDescent="0.25">
      <c r="A513" s="7"/>
      <c r="E513" s="7"/>
      <c r="F513" s="7"/>
    </row>
    <row r="514" spans="1:6" x14ac:dyDescent="0.25">
      <c r="A514" s="7"/>
      <c r="E514" s="7"/>
      <c r="F514" s="7"/>
    </row>
    <row r="515" spans="1:6" x14ac:dyDescent="0.25">
      <c r="A515" s="7"/>
      <c r="E515" s="7"/>
      <c r="F515" s="7"/>
    </row>
    <row r="516" spans="1:6" x14ac:dyDescent="0.25">
      <c r="A516" s="7"/>
      <c r="E516" s="7"/>
      <c r="F516" s="7"/>
    </row>
    <row r="517" spans="1:6" x14ac:dyDescent="0.25">
      <c r="A517" s="7"/>
      <c r="E517" s="7"/>
      <c r="F517" s="7"/>
    </row>
    <row r="518" spans="1:6" x14ac:dyDescent="0.25">
      <c r="A518" s="7"/>
      <c r="E518" s="7"/>
      <c r="F518" s="7"/>
    </row>
    <row r="519" spans="1:6" x14ac:dyDescent="0.25">
      <c r="A519" s="7"/>
      <c r="E519" s="7"/>
      <c r="F519" s="7"/>
    </row>
    <row r="520" spans="1:6" x14ac:dyDescent="0.25">
      <c r="A520" s="7"/>
      <c r="E520" s="7"/>
      <c r="F520" s="7"/>
    </row>
    <row r="521" spans="1:6" x14ac:dyDescent="0.25">
      <c r="A521" s="7"/>
      <c r="E521" s="7"/>
      <c r="F521" s="7"/>
    </row>
    <row r="522" spans="1:6" x14ac:dyDescent="0.25">
      <c r="A522" s="7"/>
      <c r="E522" s="7"/>
      <c r="F522" s="7"/>
    </row>
    <row r="523" spans="1:6" x14ac:dyDescent="0.25">
      <c r="A523" s="7"/>
      <c r="E523" s="7"/>
      <c r="F523" s="7"/>
    </row>
    <row r="524" spans="1:6" x14ac:dyDescent="0.25">
      <c r="A524" s="7"/>
      <c r="E524" s="7"/>
      <c r="F524" s="7"/>
    </row>
    <row r="525" spans="1:6" x14ac:dyDescent="0.25">
      <c r="A525" s="7"/>
      <c r="E525" s="7"/>
      <c r="F525" s="7"/>
    </row>
    <row r="526" spans="1:6" x14ac:dyDescent="0.25">
      <c r="A526" s="7"/>
      <c r="E526" s="7"/>
      <c r="F526" s="7"/>
    </row>
    <row r="527" spans="1:6" x14ac:dyDescent="0.25">
      <c r="A527" s="7"/>
      <c r="E527" s="7"/>
      <c r="F527" s="7"/>
    </row>
    <row r="528" spans="1:6" x14ac:dyDescent="0.25">
      <c r="A528" s="7"/>
      <c r="E528" s="7"/>
      <c r="F528" s="7"/>
    </row>
    <row r="529" spans="1:6" x14ac:dyDescent="0.25">
      <c r="A529" s="7"/>
      <c r="E529" s="7"/>
      <c r="F529" s="7"/>
    </row>
    <row r="530" spans="1:6" x14ac:dyDescent="0.25">
      <c r="A530" s="7"/>
      <c r="E530" s="7"/>
      <c r="F530" s="7"/>
    </row>
    <row r="531" spans="1:6" x14ac:dyDescent="0.25">
      <c r="A531" s="7"/>
      <c r="E531" s="7"/>
      <c r="F531" s="7"/>
    </row>
    <row r="532" spans="1:6" x14ac:dyDescent="0.25">
      <c r="A532" s="7"/>
      <c r="E532" s="7"/>
      <c r="F532" s="7"/>
    </row>
    <row r="533" spans="1:6" x14ac:dyDescent="0.25">
      <c r="A533" s="7"/>
      <c r="E533" s="7"/>
      <c r="F533" s="7"/>
    </row>
    <row r="534" spans="1:6" x14ac:dyDescent="0.25">
      <c r="A534" s="7"/>
      <c r="E534" s="7"/>
      <c r="F534" s="7"/>
    </row>
    <row r="535" spans="1:6" x14ac:dyDescent="0.25">
      <c r="A535" s="7"/>
      <c r="E535" s="7"/>
      <c r="F535" s="7"/>
    </row>
    <row r="536" spans="1:6" x14ac:dyDescent="0.25">
      <c r="A536" s="7"/>
      <c r="E536" s="7"/>
      <c r="F536" s="7"/>
    </row>
    <row r="537" spans="1:6" x14ac:dyDescent="0.25">
      <c r="A537" s="7"/>
      <c r="E537" s="7"/>
      <c r="F537" s="7"/>
    </row>
    <row r="538" spans="1:6" x14ac:dyDescent="0.25">
      <c r="A538" s="7"/>
      <c r="E538" s="7"/>
      <c r="F538" s="7"/>
    </row>
    <row r="539" spans="1:6" x14ac:dyDescent="0.25">
      <c r="A539" s="7"/>
      <c r="E539" s="7"/>
      <c r="F539" s="7"/>
    </row>
    <row r="540" spans="1:6" x14ac:dyDescent="0.25">
      <c r="A540" s="7"/>
      <c r="E540" s="7"/>
      <c r="F540" s="7"/>
    </row>
    <row r="541" spans="1:6" x14ac:dyDescent="0.25">
      <c r="A541" s="7"/>
      <c r="E541" s="7"/>
      <c r="F541" s="7"/>
    </row>
    <row r="542" spans="1:6" x14ac:dyDescent="0.25">
      <c r="A542" s="7"/>
      <c r="E542" s="7"/>
      <c r="F542" s="7"/>
    </row>
    <row r="543" spans="1:6" x14ac:dyDescent="0.25">
      <c r="A543" s="7"/>
      <c r="E543" s="7"/>
      <c r="F543" s="7"/>
    </row>
    <row r="544" spans="1:6" x14ac:dyDescent="0.25">
      <c r="A544" s="7"/>
      <c r="E544" s="7"/>
      <c r="F544" s="7"/>
    </row>
    <row r="545" spans="1:6" x14ac:dyDescent="0.25">
      <c r="A545" s="7"/>
      <c r="E545" s="7"/>
      <c r="F545" s="7"/>
    </row>
    <row r="546" spans="1:6" x14ac:dyDescent="0.25">
      <c r="A546" s="7"/>
      <c r="E546" s="7"/>
      <c r="F546" s="7"/>
    </row>
    <row r="547" spans="1:6" x14ac:dyDescent="0.25">
      <c r="A547" s="7"/>
      <c r="E547" s="7"/>
      <c r="F547" s="7"/>
    </row>
    <row r="548" spans="1:6" x14ac:dyDescent="0.25">
      <c r="A548" s="7"/>
      <c r="E548" s="7"/>
      <c r="F548" s="7"/>
    </row>
    <row r="549" spans="1:6" x14ac:dyDescent="0.25">
      <c r="A549" s="7"/>
      <c r="E549" s="7"/>
      <c r="F549" s="7"/>
    </row>
    <row r="550" spans="1:6" x14ac:dyDescent="0.25">
      <c r="A550" s="7"/>
      <c r="E550" s="7"/>
      <c r="F550" s="7"/>
    </row>
    <row r="551" spans="1:6" x14ac:dyDescent="0.25">
      <c r="A551" s="7"/>
      <c r="E551" s="7"/>
      <c r="F551" s="7"/>
    </row>
    <row r="552" spans="1:6" x14ac:dyDescent="0.25">
      <c r="A552" s="7"/>
      <c r="E552" s="7"/>
      <c r="F552" s="7"/>
    </row>
    <row r="553" spans="1:6" x14ac:dyDescent="0.25">
      <c r="A553" s="7"/>
      <c r="E553" s="7"/>
      <c r="F553" s="7"/>
    </row>
    <row r="554" spans="1:6" x14ac:dyDescent="0.25">
      <c r="A554" s="7"/>
      <c r="E554" s="7"/>
      <c r="F554" s="7"/>
    </row>
    <row r="555" spans="1:6" x14ac:dyDescent="0.25">
      <c r="A555" s="7"/>
      <c r="E555" s="7"/>
      <c r="F555" s="7"/>
    </row>
    <row r="556" spans="1:6" x14ac:dyDescent="0.25">
      <c r="A556" s="7"/>
      <c r="E556" s="7"/>
      <c r="F556" s="7"/>
    </row>
    <row r="557" spans="1:6" x14ac:dyDescent="0.25">
      <c r="A557" s="7"/>
      <c r="E557" s="7"/>
      <c r="F557" s="7"/>
    </row>
    <row r="558" spans="1:6" x14ac:dyDescent="0.25">
      <c r="A558" s="7"/>
      <c r="E558" s="7"/>
      <c r="F558" s="7"/>
    </row>
    <row r="559" spans="1:6" x14ac:dyDescent="0.25">
      <c r="A559" s="7"/>
      <c r="E559" s="7"/>
      <c r="F559" s="7"/>
    </row>
    <row r="560" spans="1:6" x14ac:dyDescent="0.25">
      <c r="A560" s="7"/>
      <c r="E560" s="7"/>
      <c r="F560" s="7"/>
    </row>
    <row r="561" spans="1:6" x14ac:dyDescent="0.25">
      <c r="A561" s="7"/>
      <c r="E561" s="7"/>
      <c r="F561" s="7"/>
    </row>
    <row r="562" spans="1:6" x14ac:dyDescent="0.25">
      <c r="A562" s="7"/>
      <c r="E562" s="7"/>
      <c r="F562" s="7"/>
    </row>
    <row r="563" spans="1:6" x14ac:dyDescent="0.25">
      <c r="A563" s="7"/>
      <c r="E563" s="7"/>
      <c r="F563" s="7"/>
    </row>
    <row r="564" spans="1:6" x14ac:dyDescent="0.25">
      <c r="A564" s="7"/>
      <c r="E564" s="7"/>
      <c r="F564" s="7"/>
    </row>
    <row r="565" spans="1:6" x14ac:dyDescent="0.25">
      <c r="A565" s="7"/>
      <c r="E565" s="7"/>
      <c r="F565" s="7"/>
    </row>
    <row r="566" spans="1:6" x14ac:dyDescent="0.25">
      <c r="A566" s="7"/>
      <c r="E566" s="7"/>
      <c r="F566" s="7"/>
    </row>
    <row r="567" spans="1:6" x14ac:dyDescent="0.25">
      <c r="A567" s="7"/>
      <c r="E567" s="7"/>
      <c r="F567" s="7"/>
    </row>
    <row r="568" spans="1:6" x14ac:dyDescent="0.25">
      <c r="A568" s="7"/>
      <c r="E568" s="7"/>
      <c r="F568" s="7"/>
    </row>
    <row r="569" spans="1:6" x14ac:dyDescent="0.25">
      <c r="A569" s="7"/>
      <c r="E569" s="7"/>
      <c r="F569" s="7"/>
    </row>
    <row r="570" spans="1:6" x14ac:dyDescent="0.25">
      <c r="A570" s="7"/>
      <c r="E570" s="7"/>
      <c r="F570" s="7"/>
    </row>
    <row r="571" spans="1:6" x14ac:dyDescent="0.25">
      <c r="A571" s="7"/>
      <c r="E571" s="7"/>
      <c r="F571" s="7"/>
    </row>
    <row r="572" spans="1:6" x14ac:dyDescent="0.25">
      <c r="A572" s="7"/>
      <c r="E572" s="7"/>
      <c r="F572" s="7"/>
    </row>
    <row r="573" spans="1:6" x14ac:dyDescent="0.25">
      <c r="A573" s="7"/>
      <c r="E573" s="7"/>
      <c r="F573" s="7"/>
    </row>
    <row r="574" spans="1:6" x14ac:dyDescent="0.25">
      <c r="A574" s="7"/>
      <c r="E574" s="7"/>
      <c r="F574" s="7"/>
    </row>
    <row r="575" spans="1:6" x14ac:dyDescent="0.25">
      <c r="A575" s="7"/>
      <c r="E575" s="7"/>
      <c r="F575" s="7"/>
    </row>
    <row r="576" spans="1:6" x14ac:dyDescent="0.25">
      <c r="A576" s="7"/>
      <c r="E576" s="7"/>
      <c r="F576" s="7"/>
    </row>
    <row r="577" spans="1:6" x14ac:dyDescent="0.25">
      <c r="A577" s="7"/>
      <c r="E577" s="7"/>
      <c r="F577" s="7"/>
    </row>
    <row r="578" spans="1:6" x14ac:dyDescent="0.25">
      <c r="A578" s="7"/>
      <c r="E578" s="7"/>
      <c r="F578" s="7"/>
    </row>
    <row r="579" spans="1:6" x14ac:dyDescent="0.25">
      <c r="A579" s="7"/>
      <c r="E579" s="7"/>
      <c r="F579" s="7"/>
    </row>
    <row r="580" spans="1:6" x14ac:dyDescent="0.25">
      <c r="A580" s="7"/>
      <c r="E580" s="7"/>
      <c r="F580" s="7"/>
    </row>
    <row r="581" spans="1:6" x14ac:dyDescent="0.25">
      <c r="A581" s="7"/>
      <c r="E581" s="7"/>
      <c r="F581" s="7"/>
    </row>
    <row r="582" spans="1:6" x14ac:dyDescent="0.25">
      <c r="A582" s="7"/>
      <c r="E582" s="7"/>
      <c r="F582" s="7"/>
    </row>
    <row r="583" spans="1:6" x14ac:dyDescent="0.25">
      <c r="A583" s="7"/>
      <c r="E583" s="7"/>
      <c r="F583" s="7"/>
    </row>
    <row r="584" spans="1:6" x14ac:dyDescent="0.25">
      <c r="A584" s="7"/>
      <c r="E584" s="7"/>
      <c r="F584" s="7"/>
    </row>
    <row r="585" spans="1:6" x14ac:dyDescent="0.25">
      <c r="A585" s="7"/>
      <c r="E585" s="7"/>
      <c r="F585" s="7"/>
    </row>
    <row r="586" spans="1:6" x14ac:dyDescent="0.25">
      <c r="A586" s="7"/>
      <c r="E586" s="7"/>
      <c r="F586" s="7"/>
    </row>
    <row r="587" spans="1:6" x14ac:dyDescent="0.25">
      <c r="A587" s="7"/>
      <c r="E587" s="7"/>
      <c r="F587" s="7"/>
    </row>
    <row r="588" spans="1:6" x14ac:dyDescent="0.25">
      <c r="A588" s="7"/>
      <c r="E588" s="7"/>
      <c r="F588" s="7"/>
    </row>
    <row r="589" spans="1:6" x14ac:dyDescent="0.25">
      <c r="A589" s="7"/>
      <c r="E589" s="7"/>
      <c r="F589" s="7"/>
    </row>
    <row r="590" spans="1:6" x14ac:dyDescent="0.25">
      <c r="A590" s="7"/>
      <c r="E590" s="7"/>
      <c r="F590" s="7"/>
    </row>
    <row r="591" spans="1:6" x14ac:dyDescent="0.25">
      <c r="A591" s="7"/>
      <c r="E591" s="7"/>
      <c r="F591" s="7"/>
    </row>
    <row r="592" spans="1:6" x14ac:dyDescent="0.25">
      <c r="A592" s="7"/>
      <c r="E592" s="7"/>
      <c r="F592" s="7"/>
    </row>
    <row r="593" spans="1:6" x14ac:dyDescent="0.25">
      <c r="A593" s="7"/>
      <c r="E593" s="7"/>
      <c r="F593" s="7"/>
    </row>
    <row r="594" spans="1:6" x14ac:dyDescent="0.25">
      <c r="A594" s="7"/>
      <c r="E594" s="7"/>
      <c r="F594" s="7"/>
    </row>
    <row r="595" spans="1:6" x14ac:dyDescent="0.25">
      <c r="A595" s="7"/>
      <c r="E595" s="7"/>
      <c r="F595" s="7"/>
    </row>
    <row r="596" spans="1:6" x14ac:dyDescent="0.25">
      <c r="A596" s="7"/>
      <c r="E596" s="7"/>
      <c r="F596" s="7"/>
    </row>
    <row r="597" spans="1:6" x14ac:dyDescent="0.25">
      <c r="A597" s="7"/>
      <c r="E597" s="7"/>
      <c r="F597" s="7"/>
    </row>
    <row r="598" spans="1:6" x14ac:dyDescent="0.25">
      <c r="A598" s="7"/>
      <c r="E598" s="7"/>
      <c r="F598" s="7"/>
    </row>
    <row r="599" spans="1:6" x14ac:dyDescent="0.25">
      <c r="A599" s="7"/>
      <c r="E599" s="7"/>
      <c r="F599" s="7"/>
    </row>
    <row r="600" spans="1:6" x14ac:dyDescent="0.25">
      <c r="A600" s="7"/>
      <c r="E600" s="7"/>
      <c r="F600" s="7"/>
    </row>
    <row r="601" spans="1:6" x14ac:dyDescent="0.25">
      <c r="A601" s="7"/>
      <c r="E601" s="7"/>
      <c r="F601" s="7"/>
    </row>
    <row r="602" spans="1:6" x14ac:dyDescent="0.25">
      <c r="A602" s="7"/>
      <c r="E602" s="7"/>
      <c r="F602" s="7"/>
    </row>
    <row r="603" spans="1:6" x14ac:dyDescent="0.25">
      <c r="A603" s="7"/>
      <c r="E603" s="7"/>
      <c r="F603" s="7"/>
    </row>
    <row r="604" spans="1:6" x14ac:dyDescent="0.25">
      <c r="A604" s="7"/>
      <c r="E604" s="7"/>
      <c r="F604" s="7"/>
    </row>
    <row r="605" spans="1:6" x14ac:dyDescent="0.25">
      <c r="A605" s="7"/>
      <c r="E605" s="7"/>
      <c r="F605" s="7"/>
    </row>
    <row r="606" spans="1:6" x14ac:dyDescent="0.25">
      <c r="A606" s="7"/>
      <c r="E606" s="7"/>
      <c r="F606" s="7"/>
    </row>
    <row r="607" spans="1:6" x14ac:dyDescent="0.25">
      <c r="A607" s="7"/>
      <c r="E607" s="7"/>
      <c r="F607" s="7"/>
    </row>
    <row r="608" spans="1:6" x14ac:dyDescent="0.25">
      <c r="A608" s="7"/>
      <c r="E608" s="7"/>
      <c r="F608" s="7"/>
    </row>
    <row r="609" spans="1:6" x14ac:dyDescent="0.25">
      <c r="A609" s="7"/>
      <c r="E609" s="7"/>
      <c r="F609" s="7"/>
    </row>
    <row r="610" spans="1:6" x14ac:dyDescent="0.25">
      <c r="A610" s="7"/>
      <c r="E610" s="7"/>
      <c r="F610" s="7"/>
    </row>
    <row r="611" spans="1:6" x14ac:dyDescent="0.25">
      <c r="A611" s="7"/>
      <c r="E611" s="7"/>
      <c r="F611" s="7"/>
    </row>
    <row r="612" spans="1:6" x14ac:dyDescent="0.25">
      <c r="A612" s="7"/>
      <c r="E612" s="7"/>
      <c r="F612" s="7"/>
    </row>
    <row r="613" spans="1:6" x14ac:dyDescent="0.25">
      <c r="A613" s="7"/>
      <c r="E613" s="7"/>
      <c r="F613" s="7"/>
    </row>
    <row r="614" spans="1:6" x14ac:dyDescent="0.25">
      <c r="A614" s="7"/>
      <c r="E614" s="7"/>
      <c r="F614" s="7"/>
    </row>
    <row r="615" spans="1:6" x14ac:dyDescent="0.25">
      <c r="A615" s="7"/>
      <c r="E615" s="7"/>
      <c r="F615" s="7"/>
    </row>
    <row r="616" spans="1:6" x14ac:dyDescent="0.25">
      <c r="A616" s="7"/>
      <c r="E616" s="7"/>
      <c r="F616" s="7"/>
    </row>
    <row r="617" spans="1:6" x14ac:dyDescent="0.25">
      <c r="A617" s="7"/>
      <c r="E617" s="7"/>
      <c r="F617" s="7"/>
    </row>
    <row r="618" spans="1:6" x14ac:dyDescent="0.25">
      <c r="A618" s="7"/>
      <c r="E618" s="7"/>
      <c r="F618" s="7"/>
    </row>
    <row r="619" spans="1:6" x14ac:dyDescent="0.25">
      <c r="A619" s="7"/>
      <c r="E619" s="7"/>
      <c r="F619" s="7"/>
    </row>
    <row r="620" spans="1:6" x14ac:dyDescent="0.25">
      <c r="A620" s="7"/>
      <c r="E620" s="7"/>
      <c r="F620" s="7"/>
    </row>
    <row r="621" spans="1:6" x14ac:dyDescent="0.25">
      <c r="A621" s="7"/>
      <c r="E621" s="7"/>
      <c r="F621" s="7"/>
    </row>
    <row r="622" spans="1:6" x14ac:dyDescent="0.25">
      <c r="A622" s="7"/>
      <c r="E622" s="7"/>
      <c r="F622" s="7"/>
    </row>
    <row r="623" spans="1:6" x14ac:dyDescent="0.25">
      <c r="A623" s="7"/>
      <c r="E623" s="7"/>
      <c r="F623" s="7"/>
    </row>
    <row r="624" spans="1:6" x14ac:dyDescent="0.25">
      <c r="A624" s="7"/>
      <c r="E624" s="7"/>
      <c r="F624" s="7"/>
    </row>
    <row r="625" spans="1:6" x14ac:dyDescent="0.25">
      <c r="A625" s="7"/>
      <c r="E625" s="7"/>
      <c r="F625" s="7"/>
    </row>
    <row r="626" spans="1:6" x14ac:dyDescent="0.25">
      <c r="A626" s="7"/>
      <c r="E626" s="7"/>
      <c r="F626" s="7"/>
    </row>
    <row r="627" spans="1:6" x14ac:dyDescent="0.25">
      <c r="A627" s="7"/>
      <c r="E627" s="7"/>
      <c r="F627" s="7"/>
    </row>
    <row r="628" spans="1:6" x14ac:dyDescent="0.25">
      <c r="A628" s="7"/>
      <c r="E628" s="7"/>
      <c r="F628" s="7"/>
    </row>
    <row r="629" spans="1:6" x14ac:dyDescent="0.25">
      <c r="A629" s="7"/>
      <c r="E629" s="7"/>
      <c r="F629" s="7"/>
    </row>
    <row r="630" spans="1:6" x14ac:dyDescent="0.25">
      <c r="A630" s="7"/>
      <c r="E630" s="7"/>
      <c r="F630" s="7"/>
    </row>
    <row r="631" spans="1:6" x14ac:dyDescent="0.25">
      <c r="A631" s="7"/>
      <c r="E631" s="7"/>
      <c r="F631" s="7"/>
    </row>
    <row r="632" spans="1:6" x14ac:dyDescent="0.25">
      <c r="A632" s="7"/>
      <c r="E632" s="7"/>
      <c r="F632" s="7"/>
    </row>
    <row r="633" spans="1:6" x14ac:dyDescent="0.25">
      <c r="A633" s="7"/>
      <c r="E633" s="7"/>
      <c r="F633" s="7"/>
    </row>
    <row r="634" spans="1:6" x14ac:dyDescent="0.25">
      <c r="A634" s="7"/>
      <c r="E634" s="7"/>
      <c r="F634" s="7"/>
    </row>
    <row r="635" spans="1:6" x14ac:dyDescent="0.25">
      <c r="A635" s="7"/>
      <c r="E635" s="7"/>
      <c r="F635" s="7"/>
    </row>
    <row r="636" spans="1:6" x14ac:dyDescent="0.25">
      <c r="A636" s="7"/>
      <c r="E636" s="7"/>
      <c r="F636" s="7"/>
    </row>
    <row r="637" spans="1:6" x14ac:dyDescent="0.25">
      <c r="A637" s="7"/>
      <c r="E637" s="7"/>
      <c r="F637" s="7"/>
    </row>
    <row r="638" spans="1:6" x14ac:dyDescent="0.25">
      <c r="A638" s="7"/>
      <c r="E638" s="7"/>
      <c r="F638" s="7"/>
    </row>
    <row r="639" spans="1:6" x14ac:dyDescent="0.25">
      <c r="A639" s="7"/>
      <c r="E639" s="7"/>
      <c r="F639" s="7"/>
    </row>
    <row r="640" spans="1:6" x14ac:dyDescent="0.25">
      <c r="A640" s="7"/>
      <c r="E640" s="7"/>
      <c r="F640" s="7"/>
    </row>
    <row r="641" spans="1:6" x14ac:dyDescent="0.25">
      <c r="A641" s="7"/>
      <c r="E641" s="7"/>
      <c r="F641" s="7"/>
    </row>
    <row r="642" spans="1:6" x14ac:dyDescent="0.25">
      <c r="A642" s="7"/>
      <c r="E642" s="7"/>
      <c r="F642" s="7"/>
    </row>
    <row r="643" spans="1:6" x14ac:dyDescent="0.25">
      <c r="A643" s="7"/>
      <c r="E643" s="7"/>
      <c r="F643" s="7"/>
    </row>
    <row r="644" spans="1:6" x14ac:dyDescent="0.25">
      <c r="A644" s="7"/>
      <c r="E644" s="7"/>
      <c r="F644" s="7"/>
    </row>
    <row r="645" spans="1:6" x14ac:dyDescent="0.25">
      <c r="A645" s="7"/>
      <c r="E645" s="7"/>
      <c r="F645" s="7"/>
    </row>
    <row r="646" spans="1:6" x14ac:dyDescent="0.25">
      <c r="A646" s="7"/>
      <c r="E646" s="7"/>
      <c r="F646" s="7"/>
    </row>
    <row r="647" spans="1:6" x14ac:dyDescent="0.25">
      <c r="A647" s="7"/>
      <c r="E647" s="7"/>
      <c r="F647" s="7"/>
    </row>
    <row r="648" spans="1:6" x14ac:dyDescent="0.25">
      <c r="A648" s="7"/>
      <c r="E648" s="7"/>
      <c r="F648" s="7"/>
    </row>
    <row r="649" spans="1:6" x14ac:dyDescent="0.25">
      <c r="A649" s="7"/>
      <c r="E649" s="7"/>
      <c r="F649" s="7"/>
    </row>
    <row r="650" spans="1:6" x14ac:dyDescent="0.25">
      <c r="A650" s="7"/>
      <c r="E650" s="7"/>
      <c r="F650" s="7"/>
    </row>
    <row r="651" spans="1:6" x14ac:dyDescent="0.25">
      <c r="A651" s="7"/>
      <c r="E651" s="7"/>
      <c r="F651" s="7"/>
    </row>
    <row r="652" spans="1:6" x14ac:dyDescent="0.25">
      <c r="A652" s="7"/>
      <c r="E652" s="7"/>
      <c r="F652" s="7"/>
    </row>
    <row r="653" spans="1:6" x14ac:dyDescent="0.25">
      <c r="A653" s="7"/>
      <c r="E653" s="7"/>
      <c r="F653" s="7"/>
    </row>
    <row r="654" spans="1:6" x14ac:dyDescent="0.25">
      <c r="A654" s="7"/>
      <c r="E654" s="7"/>
      <c r="F654" s="7"/>
    </row>
    <row r="655" spans="1:6" x14ac:dyDescent="0.25">
      <c r="A655" s="7"/>
      <c r="E655" s="7"/>
      <c r="F655" s="7"/>
    </row>
    <row r="656" spans="1:6" x14ac:dyDescent="0.25">
      <c r="A656" s="7"/>
      <c r="E656" s="7"/>
      <c r="F656" s="7"/>
    </row>
    <row r="657" spans="1:6" x14ac:dyDescent="0.25">
      <c r="A657" s="7"/>
      <c r="E657" s="7"/>
      <c r="F657" s="7"/>
    </row>
    <row r="658" spans="1:6" x14ac:dyDescent="0.25">
      <c r="A658" s="7"/>
      <c r="E658" s="7"/>
      <c r="F658" s="7"/>
    </row>
    <row r="659" spans="1:6" x14ac:dyDescent="0.25">
      <c r="A659" s="7"/>
      <c r="E659" s="7"/>
      <c r="F659" s="7"/>
    </row>
    <row r="660" spans="1:6" x14ac:dyDescent="0.25">
      <c r="A660" s="7"/>
      <c r="E660" s="7"/>
      <c r="F660" s="7"/>
    </row>
    <row r="661" spans="1:6" x14ac:dyDescent="0.25">
      <c r="A661" s="7"/>
      <c r="E661" s="7"/>
      <c r="F661" s="7"/>
    </row>
    <row r="662" spans="1:6" x14ac:dyDescent="0.25">
      <c r="A662" s="7"/>
      <c r="E662" s="7"/>
      <c r="F662" s="7"/>
    </row>
    <row r="663" spans="1:6" x14ac:dyDescent="0.25">
      <c r="A663" s="7"/>
      <c r="E663" s="7"/>
      <c r="F663" s="7"/>
    </row>
    <row r="664" spans="1:6" x14ac:dyDescent="0.25">
      <c r="A664" s="7"/>
      <c r="E664" s="7"/>
      <c r="F664" s="7"/>
    </row>
    <row r="665" spans="1:6" x14ac:dyDescent="0.25">
      <c r="A665" s="7"/>
      <c r="E665" s="7"/>
      <c r="F665" s="7"/>
    </row>
    <row r="666" spans="1:6" x14ac:dyDescent="0.25">
      <c r="A666" s="7"/>
      <c r="E666" s="7"/>
      <c r="F666" s="7"/>
    </row>
    <row r="667" spans="1:6" x14ac:dyDescent="0.25">
      <c r="A667" s="7"/>
      <c r="E667" s="7"/>
      <c r="F667" s="7"/>
    </row>
    <row r="668" spans="1:6" x14ac:dyDescent="0.25">
      <c r="A668" s="7"/>
      <c r="E668" s="7"/>
      <c r="F668" s="7"/>
    </row>
    <row r="669" spans="1:6" x14ac:dyDescent="0.25">
      <c r="A669" s="7"/>
      <c r="E669" s="7"/>
      <c r="F669" s="7"/>
    </row>
    <row r="670" spans="1:6" x14ac:dyDescent="0.25">
      <c r="A670" s="7"/>
      <c r="E670" s="7"/>
      <c r="F670" s="7"/>
    </row>
    <row r="671" spans="1:6" x14ac:dyDescent="0.25">
      <c r="A671" s="7"/>
      <c r="E671" s="7"/>
      <c r="F671" s="7"/>
    </row>
    <row r="672" spans="1:6" x14ac:dyDescent="0.25">
      <c r="A672" s="7"/>
      <c r="E672" s="7"/>
      <c r="F672" s="7"/>
    </row>
    <row r="673" spans="1:6" x14ac:dyDescent="0.25">
      <c r="A673" s="7"/>
      <c r="E673" s="7"/>
      <c r="F673" s="7"/>
    </row>
    <row r="674" spans="1:6" x14ac:dyDescent="0.25">
      <c r="A674" s="7"/>
      <c r="E674" s="7"/>
      <c r="F674" s="7"/>
    </row>
    <row r="675" spans="1:6" x14ac:dyDescent="0.25">
      <c r="A675" s="7"/>
      <c r="E675" s="7"/>
      <c r="F675" s="7"/>
    </row>
    <row r="676" spans="1:6" x14ac:dyDescent="0.25">
      <c r="A676" s="7"/>
      <c r="E676" s="7"/>
      <c r="F676" s="7"/>
    </row>
    <row r="677" spans="1:6" x14ac:dyDescent="0.25">
      <c r="A677" s="7"/>
      <c r="E677" s="7"/>
      <c r="F677" s="7"/>
    </row>
    <row r="678" spans="1:6" x14ac:dyDescent="0.25">
      <c r="A678" s="7"/>
      <c r="E678" s="7"/>
      <c r="F678" s="7"/>
    </row>
    <row r="679" spans="1:6" x14ac:dyDescent="0.25">
      <c r="A679" s="7"/>
      <c r="E679" s="7"/>
      <c r="F679" s="7"/>
    </row>
    <row r="680" spans="1:6" x14ac:dyDescent="0.25">
      <c r="A680" s="7"/>
      <c r="E680" s="7"/>
      <c r="F680" s="7"/>
    </row>
    <row r="681" spans="1:6" x14ac:dyDescent="0.25">
      <c r="A681" s="7"/>
      <c r="E681" s="7"/>
      <c r="F681" s="7"/>
    </row>
    <row r="682" spans="1:6" x14ac:dyDescent="0.25">
      <c r="A682" s="7"/>
      <c r="E682" s="7"/>
      <c r="F682" s="7"/>
    </row>
    <row r="683" spans="1:6" x14ac:dyDescent="0.25">
      <c r="A683" s="7"/>
      <c r="E683" s="7"/>
      <c r="F683" s="7"/>
    </row>
    <row r="684" spans="1:6" x14ac:dyDescent="0.25">
      <c r="A684" s="7"/>
      <c r="E684" s="7"/>
      <c r="F684" s="7"/>
    </row>
    <row r="685" spans="1:6" x14ac:dyDescent="0.25">
      <c r="A685" s="7"/>
      <c r="E685" s="7"/>
      <c r="F685" s="7"/>
    </row>
    <row r="686" spans="1:6" x14ac:dyDescent="0.25">
      <c r="A686" s="7"/>
      <c r="E686" s="7"/>
      <c r="F686" s="7"/>
    </row>
    <row r="687" spans="1:6" x14ac:dyDescent="0.25">
      <c r="A687" s="7"/>
      <c r="E687" s="7"/>
      <c r="F687" s="7"/>
    </row>
    <row r="688" spans="1:6" x14ac:dyDescent="0.25">
      <c r="A688" s="7"/>
      <c r="E688" s="7"/>
      <c r="F688" s="7"/>
    </row>
    <row r="689" spans="1:6" x14ac:dyDescent="0.25">
      <c r="A689" s="7"/>
      <c r="E689" s="7"/>
      <c r="F689" s="7"/>
    </row>
    <row r="690" spans="1:6" x14ac:dyDescent="0.25">
      <c r="A690" s="7"/>
      <c r="E690" s="7"/>
      <c r="F690" s="7"/>
    </row>
    <row r="691" spans="1:6" x14ac:dyDescent="0.25">
      <c r="A691" s="7"/>
      <c r="E691" s="7"/>
      <c r="F691" s="7"/>
    </row>
    <row r="692" spans="1:6" x14ac:dyDescent="0.25">
      <c r="A692" s="7"/>
      <c r="E692" s="7"/>
      <c r="F692" s="7"/>
    </row>
    <row r="693" spans="1:6" x14ac:dyDescent="0.25">
      <c r="A693" s="7"/>
      <c r="E693" s="7"/>
      <c r="F693" s="7"/>
    </row>
    <row r="694" spans="1:6" x14ac:dyDescent="0.25">
      <c r="A694" s="7"/>
      <c r="E694" s="7"/>
      <c r="F694" s="7"/>
    </row>
    <row r="695" spans="1:6" x14ac:dyDescent="0.25">
      <c r="A695" s="7"/>
      <c r="E695" s="7"/>
      <c r="F695" s="7"/>
    </row>
    <row r="696" spans="1:6" x14ac:dyDescent="0.25">
      <c r="A696" s="7"/>
      <c r="E696" s="7"/>
      <c r="F696" s="7"/>
    </row>
    <row r="697" spans="1:6" x14ac:dyDescent="0.25">
      <c r="A697" s="7"/>
      <c r="E697" s="7"/>
      <c r="F697" s="7"/>
    </row>
    <row r="698" spans="1:6" x14ac:dyDescent="0.25">
      <c r="A698" s="7"/>
      <c r="E698" s="7"/>
      <c r="F698" s="7"/>
    </row>
    <row r="699" spans="1:6" x14ac:dyDescent="0.25">
      <c r="A699" s="7"/>
      <c r="E699" s="7"/>
      <c r="F699" s="7"/>
    </row>
    <row r="700" spans="1:6" x14ac:dyDescent="0.25">
      <c r="A700" s="7"/>
      <c r="E700" s="7"/>
      <c r="F700" s="7"/>
    </row>
    <row r="701" spans="1:6" x14ac:dyDescent="0.25">
      <c r="A701" s="7"/>
      <c r="E701" s="7"/>
      <c r="F701" s="7"/>
    </row>
    <row r="702" spans="1:6" x14ac:dyDescent="0.25">
      <c r="A702" s="7"/>
      <c r="E702" s="7"/>
      <c r="F702" s="7"/>
    </row>
    <row r="703" spans="1:6" x14ac:dyDescent="0.25">
      <c r="A703" s="7"/>
      <c r="E703" s="7"/>
      <c r="F703" s="7"/>
    </row>
    <row r="704" spans="1:6" x14ac:dyDescent="0.25">
      <c r="A704" s="7"/>
      <c r="E704" s="7"/>
      <c r="F704" s="7"/>
    </row>
    <row r="705" spans="1:6" x14ac:dyDescent="0.25">
      <c r="A705" s="7"/>
      <c r="E705" s="7"/>
      <c r="F705" s="7"/>
    </row>
    <row r="706" spans="1:6" x14ac:dyDescent="0.25">
      <c r="A706" s="7"/>
      <c r="E706" s="7"/>
      <c r="F706" s="7"/>
    </row>
    <row r="707" spans="1:6" x14ac:dyDescent="0.25">
      <c r="A707" s="7"/>
      <c r="E707" s="7"/>
      <c r="F707" s="7"/>
    </row>
    <row r="708" spans="1:6" x14ac:dyDescent="0.25">
      <c r="A708" s="7"/>
      <c r="E708" s="7"/>
      <c r="F708" s="7"/>
    </row>
    <row r="709" spans="1:6" x14ac:dyDescent="0.25">
      <c r="A709" s="7"/>
      <c r="E709" s="7"/>
      <c r="F709" s="7"/>
    </row>
    <row r="710" spans="1:6" x14ac:dyDescent="0.25">
      <c r="A710" s="7"/>
      <c r="E710" s="7"/>
      <c r="F710" s="7"/>
    </row>
    <row r="711" spans="1:6" x14ac:dyDescent="0.25">
      <c r="A711" s="7"/>
      <c r="E711" s="7"/>
      <c r="F711" s="7"/>
    </row>
    <row r="712" spans="1:6" x14ac:dyDescent="0.25">
      <c r="A712" s="7"/>
      <c r="E712" s="7"/>
      <c r="F712" s="7"/>
    </row>
    <row r="713" spans="1:6" x14ac:dyDescent="0.25">
      <c r="A713" s="7"/>
      <c r="E713" s="7"/>
      <c r="F713" s="7"/>
    </row>
    <row r="714" spans="1:6" x14ac:dyDescent="0.25">
      <c r="A714" s="7"/>
      <c r="E714" s="7"/>
      <c r="F714" s="7"/>
    </row>
    <row r="715" spans="1:6" x14ac:dyDescent="0.25">
      <c r="A715" s="7"/>
      <c r="E715" s="7"/>
      <c r="F715" s="7"/>
    </row>
    <row r="716" spans="1:6" x14ac:dyDescent="0.25">
      <c r="A716" s="7"/>
      <c r="E716" s="7"/>
      <c r="F716" s="7"/>
    </row>
    <row r="717" spans="1:6" x14ac:dyDescent="0.25">
      <c r="A717" s="7"/>
      <c r="E717" s="7"/>
      <c r="F717" s="7"/>
    </row>
    <row r="718" spans="1:6" x14ac:dyDescent="0.25">
      <c r="A718" s="7"/>
      <c r="E718" s="7"/>
      <c r="F718" s="7"/>
    </row>
    <row r="719" spans="1:6" x14ac:dyDescent="0.25">
      <c r="A719" s="7"/>
      <c r="E719" s="7"/>
      <c r="F719" s="7"/>
    </row>
    <row r="720" spans="1:6" x14ac:dyDescent="0.25">
      <c r="A720" s="7"/>
      <c r="E720" s="7"/>
      <c r="F720" s="7"/>
    </row>
    <row r="721" spans="1:6" x14ac:dyDescent="0.25">
      <c r="A721" s="7"/>
      <c r="E721" s="7"/>
      <c r="F721" s="7"/>
    </row>
    <row r="722" spans="1:6" x14ac:dyDescent="0.25">
      <c r="A722" s="7"/>
      <c r="E722" s="7"/>
      <c r="F722" s="7"/>
    </row>
    <row r="723" spans="1:6" x14ac:dyDescent="0.25">
      <c r="A723" s="7"/>
      <c r="E723" s="7"/>
      <c r="F723" s="7"/>
    </row>
    <row r="724" spans="1:6" x14ac:dyDescent="0.25">
      <c r="A724" s="7"/>
      <c r="E724" s="7"/>
      <c r="F724" s="7"/>
    </row>
    <row r="725" spans="1:6" x14ac:dyDescent="0.25">
      <c r="A725" s="7"/>
      <c r="E725" s="7"/>
      <c r="F725" s="7"/>
    </row>
    <row r="726" spans="1:6" x14ac:dyDescent="0.25">
      <c r="A726" s="7"/>
      <c r="E726" s="7"/>
      <c r="F726" s="7"/>
    </row>
    <row r="727" spans="1:6" x14ac:dyDescent="0.25">
      <c r="A727" s="7"/>
      <c r="E727" s="7"/>
      <c r="F727" s="7"/>
    </row>
    <row r="728" spans="1:6" x14ac:dyDescent="0.25">
      <c r="A728" s="7"/>
      <c r="E728" s="7"/>
      <c r="F728" s="7"/>
    </row>
    <row r="729" spans="1:6" x14ac:dyDescent="0.25">
      <c r="A729" s="7"/>
      <c r="E729" s="7"/>
      <c r="F729" s="7"/>
    </row>
    <row r="730" spans="1:6" x14ac:dyDescent="0.25">
      <c r="A730" s="7"/>
      <c r="E730" s="7"/>
      <c r="F730" s="7"/>
    </row>
    <row r="731" spans="1:6" x14ac:dyDescent="0.25">
      <c r="A731" s="7"/>
      <c r="E731" s="7"/>
      <c r="F731" s="7"/>
    </row>
    <row r="732" spans="1:6" x14ac:dyDescent="0.25">
      <c r="A732" s="7"/>
      <c r="E732" s="7"/>
      <c r="F732" s="7"/>
    </row>
    <row r="733" spans="1:6" x14ac:dyDescent="0.25">
      <c r="A733" s="7"/>
      <c r="E733" s="7"/>
      <c r="F733" s="7"/>
    </row>
    <row r="734" spans="1:6" x14ac:dyDescent="0.25">
      <c r="A734" s="7"/>
      <c r="E734" s="7"/>
      <c r="F734" s="7"/>
    </row>
    <row r="735" spans="1:6" x14ac:dyDescent="0.25">
      <c r="A735" s="7"/>
      <c r="E735" s="7"/>
      <c r="F735" s="7"/>
    </row>
    <row r="736" spans="1:6" x14ac:dyDescent="0.25">
      <c r="A736" s="7"/>
      <c r="E736" s="7"/>
      <c r="F736" s="7"/>
    </row>
    <row r="737" spans="1:6" x14ac:dyDescent="0.25">
      <c r="A737" s="7"/>
      <c r="E737" s="7"/>
      <c r="F737" s="7"/>
    </row>
    <row r="738" spans="1:6" x14ac:dyDescent="0.25">
      <c r="A738" s="7"/>
      <c r="E738" s="7"/>
      <c r="F738" s="7"/>
    </row>
    <row r="739" spans="1:6" x14ac:dyDescent="0.25">
      <c r="A739" s="7"/>
      <c r="E739" s="7"/>
      <c r="F739" s="7"/>
    </row>
    <row r="740" spans="1:6" x14ac:dyDescent="0.25">
      <c r="A740" s="7"/>
      <c r="E740" s="7"/>
      <c r="F740" s="7"/>
    </row>
    <row r="741" spans="1:6" x14ac:dyDescent="0.25">
      <c r="A741" s="7"/>
      <c r="E741" s="7"/>
      <c r="F741" s="7"/>
    </row>
    <row r="742" spans="1:6" x14ac:dyDescent="0.25">
      <c r="A742" s="7"/>
      <c r="E742" s="7"/>
      <c r="F742" s="7"/>
    </row>
    <row r="743" spans="1:6" x14ac:dyDescent="0.25">
      <c r="A743" s="7"/>
      <c r="E743" s="7"/>
      <c r="F743" s="7"/>
    </row>
    <row r="744" spans="1:6" x14ac:dyDescent="0.25">
      <c r="A744" s="7"/>
      <c r="E744" s="7"/>
      <c r="F744" s="7"/>
    </row>
    <row r="745" spans="1:6" x14ac:dyDescent="0.25">
      <c r="A745" s="7"/>
      <c r="E745" s="7"/>
      <c r="F745" s="7"/>
    </row>
    <row r="746" spans="1:6" x14ac:dyDescent="0.25">
      <c r="A746" s="7"/>
      <c r="E746" s="7"/>
      <c r="F746" s="7"/>
    </row>
    <row r="747" spans="1:6" x14ac:dyDescent="0.25">
      <c r="A747" s="7"/>
      <c r="E747" s="7"/>
      <c r="F747" s="7"/>
    </row>
    <row r="748" spans="1:6" x14ac:dyDescent="0.25">
      <c r="A748" s="7"/>
      <c r="E748" s="7"/>
      <c r="F748" s="7"/>
    </row>
    <row r="749" spans="1:6" x14ac:dyDescent="0.25">
      <c r="A749" s="7"/>
      <c r="E749" s="7"/>
      <c r="F749" s="7"/>
    </row>
    <row r="750" spans="1:6" x14ac:dyDescent="0.25">
      <c r="A750" s="7"/>
      <c r="E750" s="7"/>
      <c r="F750" s="7"/>
    </row>
    <row r="751" spans="1:6" x14ac:dyDescent="0.25">
      <c r="A751" s="7"/>
      <c r="E751" s="7"/>
      <c r="F751" s="7"/>
    </row>
    <row r="752" spans="1:6" x14ac:dyDescent="0.25">
      <c r="A752" s="7"/>
      <c r="E752" s="7"/>
      <c r="F752" s="7"/>
    </row>
    <row r="753" spans="1:6" x14ac:dyDescent="0.25">
      <c r="A753" s="7"/>
      <c r="E753" s="7"/>
      <c r="F753" s="7"/>
    </row>
    <row r="754" spans="1:6" x14ac:dyDescent="0.25">
      <c r="A754" s="7"/>
      <c r="E754" s="7"/>
      <c r="F754" s="7"/>
    </row>
    <row r="755" spans="1:6" x14ac:dyDescent="0.25">
      <c r="A755" s="7"/>
      <c r="E755" s="7"/>
      <c r="F755" s="7"/>
    </row>
    <row r="756" spans="1:6" x14ac:dyDescent="0.25">
      <c r="A756" s="7"/>
      <c r="E756" s="7"/>
      <c r="F756" s="7"/>
    </row>
    <row r="757" spans="1:6" x14ac:dyDescent="0.25">
      <c r="A757" s="7"/>
      <c r="E757" s="7"/>
      <c r="F757" s="7"/>
    </row>
    <row r="758" spans="1:6" x14ac:dyDescent="0.25">
      <c r="A758" s="7"/>
      <c r="E758" s="7"/>
      <c r="F758" s="7"/>
    </row>
    <row r="759" spans="1:6" x14ac:dyDescent="0.25">
      <c r="A759" s="7"/>
      <c r="E759" s="7"/>
      <c r="F759" s="7"/>
    </row>
    <row r="760" spans="1:6" x14ac:dyDescent="0.25">
      <c r="A760" s="7"/>
      <c r="E760" s="7"/>
      <c r="F760" s="7"/>
    </row>
    <row r="761" spans="1:6" x14ac:dyDescent="0.25">
      <c r="A761" s="7"/>
      <c r="E761" s="7"/>
      <c r="F761" s="7"/>
    </row>
    <row r="762" spans="1:6" x14ac:dyDescent="0.25">
      <c r="A762" s="7"/>
      <c r="E762" s="7"/>
      <c r="F762" s="7"/>
    </row>
    <row r="763" spans="1:6" x14ac:dyDescent="0.25">
      <c r="A763" s="7"/>
      <c r="E763" s="7"/>
      <c r="F763" s="7"/>
    </row>
    <row r="764" spans="1:6" x14ac:dyDescent="0.25">
      <c r="A764" s="7"/>
      <c r="E764" s="7"/>
      <c r="F764" s="7"/>
    </row>
    <row r="765" spans="1:6" x14ac:dyDescent="0.25">
      <c r="A765" s="7"/>
      <c r="E765" s="7"/>
      <c r="F765" s="7"/>
    </row>
    <row r="766" spans="1:6" x14ac:dyDescent="0.25">
      <c r="A766" s="7"/>
      <c r="E766" s="7"/>
      <c r="F766" s="7"/>
    </row>
    <row r="767" spans="1:6" x14ac:dyDescent="0.25">
      <c r="A767" s="7"/>
      <c r="E767" s="7"/>
      <c r="F767" s="7"/>
    </row>
    <row r="768" spans="1:6" x14ac:dyDescent="0.25">
      <c r="A768" s="7"/>
      <c r="E768" s="7"/>
      <c r="F768" s="7"/>
    </row>
    <row r="769" spans="1:6" x14ac:dyDescent="0.25">
      <c r="A769" s="7"/>
      <c r="E769" s="7"/>
      <c r="F769" s="7"/>
    </row>
    <row r="770" spans="1:6" x14ac:dyDescent="0.25">
      <c r="A770" s="7"/>
      <c r="E770" s="7"/>
      <c r="F770" s="7"/>
    </row>
    <row r="771" spans="1:6" x14ac:dyDescent="0.25">
      <c r="A771" s="7"/>
      <c r="E771" s="7"/>
      <c r="F771" s="7"/>
    </row>
    <row r="772" spans="1:6" x14ac:dyDescent="0.25">
      <c r="A772" s="7"/>
      <c r="E772" s="7"/>
      <c r="F772" s="7"/>
    </row>
    <row r="773" spans="1:6" x14ac:dyDescent="0.25">
      <c r="A773" s="7"/>
      <c r="E773" s="7"/>
      <c r="F773" s="7"/>
    </row>
    <row r="774" spans="1:6" x14ac:dyDescent="0.25">
      <c r="A774" s="7"/>
      <c r="E774" s="7"/>
      <c r="F774" s="7"/>
    </row>
    <row r="775" spans="1:6" x14ac:dyDescent="0.25">
      <c r="A775" s="7"/>
      <c r="E775" s="7"/>
      <c r="F775" s="7"/>
    </row>
    <row r="776" spans="1:6" x14ac:dyDescent="0.25">
      <c r="A776" s="7"/>
      <c r="E776" s="7"/>
      <c r="F776" s="7"/>
    </row>
    <row r="777" spans="1:6" x14ac:dyDescent="0.25">
      <c r="A777" s="7"/>
      <c r="E777" s="7"/>
      <c r="F777" s="7"/>
    </row>
    <row r="778" spans="1:6" x14ac:dyDescent="0.25">
      <c r="A778" s="7"/>
      <c r="E778" s="7"/>
      <c r="F778" s="7"/>
    </row>
    <row r="779" spans="1:6" x14ac:dyDescent="0.25">
      <c r="A779" s="7"/>
      <c r="E779" s="7"/>
      <c r="F779" s="7"/>
    </row>
    <row r="780" spans="1:6" x14ac:dyDescent="0.25">
      <c r="A780" s="7"/>
      <c r="E780" s="7"/>
      <c r="F780" s="7"/>
    </row>
    <row r="781" spans="1:6" x14ac:dyDescent="0.25">
      <c r="A781" s="7"/>
      <c r="E781" s="7"/>
      <c r="F781" s="7"/>
    </row>
    <row r="782" spans="1:6" x14ac:dyDescent="0.25">
      <c r="A782" s="7"/>
      <c r="E782" s="7"/>
      <c r="F782" s="7"/>
    </row>
    <row r="783" spans="1:6" x14ac:dyDescent="0.25">
      <c r="A783" s="7"/>
      <c r="E783" s="7"/>
      <c r="F783" s="7"/>
    </row>
    <row r="784" spans="1:6" x14ac:dyDescent="0.25">
      <c r="A784" s="7"/>
      <c r="E784" s="7"/>
      <c r="F784" s="7"/>
    </row>
    <row r="785" spans="1:6" x14ac:dyDescent="0.25">
      <c r="A785" s="7"/>
      <c r="E785" s="7"/>
      <c r="F785" s="7"/>
    </row>
    <row r="786" spans="1:6" x14ac:dyDescent="0.25">
      <c r="A786" s="7"/>
      <c r="E786" s="7"/>
      <c r="F786" s="7"/>
    </row>
    <row r="787" spans="1:6" x14ac:dyDescent="0.25">
      <c r="A787" s="7"/>
      <c r="E787" s="7"/>
      <c r="F787" s="7"/>
    </row>
    <row r="788" spans="1:6" x14ac:dyDescent="0.25">
      <c r="A788" s="7"/>
      <c r="E788" s="7"/>
      <c r="F788" s="7"/>
    </row>
    <row r="789" spans="1:6" x14ac:dyDescent="0.25">
      <c r="A789" s="7"/>
      <c r="E789" s="7"/>
      <c r="F789" s="7"/>
    </row>
    <row r="790" spans="1:6" x14ac:dyDescent="0.25">
      <c r="A790" s="7"/>
      <c r="E790" s="7"/>
      <c r="F790" s="7"/>
    </row>
    <row r="791" spans="1:6" x14ac:dyDescent="0.25">
      <c r="A791" s="7"/>
      <c r="E791" s="7"/>
      <c r="F791" s="7"/>
    </row>
    <row r="792" spans="1:6" x14ac:dyDescent="0.25">
      <c r="A792" s="7"/>
      <c r="E792" s="7"/>
      <c r="F792" s="7"/>
    </row>
    <row r="793" spans="1:6" x14ac:dyDescent="0.25">
      <c r="A793" s="7"/>
      <c r="E793" s="7"/>
      <c r="F793" s="7"/>
    </row>
    <row r="794" spans="1:6" x14ac:dyDescent="0.25">
      <c r="A794" s="7"/>
      <c r="E794" s="7"/>
      <c r="F794" s="7"/>
    </row>
    <row r="795" spans="1:6" x14ac:dyDescent="0.25">
      <c r="A795" s="7"/>
      <c r="E795" s="7"/>
      <c r="F795" s="7"/>
    </row>
    <row r="796" spans="1:6" x14ac:dyDescent="0.25">
      <c r="A796" s="7"/>
      <c r="E796" s="7"/>
      <c r="F796" s="7"/>
    </row>
    <row r="797" spans="1:6" x14ac:dyDescent="0.25">
      <c r="A797" s="7"/>
      <c r="E797" s="7"/>
      <c r="F797" s="7"/>
    </row>
    <row r="798" spans="1:6" x14ac:dyDescent="0.25">
      <c r="A798" s="7"/>
      <c r="E798" s="7"/>
      <c r="F798" s="7"/>
    </row>
    <row r="799" spans="1:6" x14ac:dyDescent="0.25">
      <c r="A799" s="7"/>
      <c r="E799" s="7"/>
      <c r="F799" s="7"/>
    </row>
    <row r="800" spans="1:6" x14ac:dyDescent="0.25">
      <c r="A800" s="7"/>
      <c r="E800" s="7"/>
      <c r="F800" s="7"/>
    </row>
    <row r="801" spans="1:6" x14ac:dyDescent="0.25">
      <c r="A801" s="7"/>
      <c r="E801" s="7"/>
      <c r="F801" s="7"/>
    </row>
    <row r="802" spans="1:6" x14ac:dyDescent="0.25">
      <c r="A802" s="7"/>
      <c r="E802" s="7"/>
      <c r="F802" s="7"/>
    </row>
    <row r="803" spans="1:6" x14ac:dyDescent="0.25">
      <c r="A803" s="7"/>
      <c r="E803" s="7"/>
      <c r="F803" s="7"/>
    </row>
    <row r="804" spans="1:6" x14ac:dyDescent="0.25">
      <c r="A804" s="7"/>
      <c r="E804" s="7"/>
      <c r="F804" s="7"/>
    </row>
    <row r="805" spans="1:6" x14ac:dyDescent="0.25">
      <c r="A805" s="7"/>
      <c r="E805" s="7"/>
      <c r="F805" s="7"/>
    </row>
    <row r="806" spans="1:6" x14ac:dyDescent="0.25">
      <c r="A806" s="7"/>
      <c r="E806" s="7"/>
      <c r="F806" s="7"/>
    </row>
    <row r="807" spans="1:6" x14ac:dyDescent="0.25">
      <c r="A807" s="7"/>
      <c r="E807" s="7"/>
      <c r="F807" s="7"/>
    </row>
    <row r="808" spans="1:6" x14ac:dyDescent="0.25">
      <c r="A808" s="7"/>
      <c r="E808" s="7"/>
      <c r="F808" s="7"/>
    </row>
    <row r="809" spans="1:6" x14ac:dyDescent="0.25">
      <c r="A809" s="7"/>
      <c r="E809" s="7"/>
      <c r="F809" s="7"/>
    </row>
    <row r="810" spans="1:6" x14ac:dyDescent="0.25">
      <c r="A810" s="7"/>
      <c r="E810" s="7"/>
      <c r="F810" s="7"/>
    </row>
    <row r="811" spans="1:6" x14ac:dyDescent="0.25">
      <c r="A811" s="7"/>
      <c r="E811" s="7"/>
      <c r="F811" s="7"/>
    </row>
    <row r="812" spans="1:6" x14ac:dyDescent="0.25">
      <c r="A812" s="7"/>
      <c r="E812" s="7"/>
      <c r="F812" s="7"/>
    </row>
    <row r="813" spans="1:6" x14ac:dyDescent="0.25">
      <c r="A813" s="7"/>
      <c r="E813" s="7"/>
      <c r="F813" s="7"/>
    </row>
    <row r="814" spans="1:6" x14ac:dyDescent="0.25">
      <c r="A814" s="7"/>
      <c r="E814" s="7"/>
      <c r="F814" s="7"/>
    </row>
    <row r="815" spans="1:6" x14ac:dyDescent="0.25">
      <c r="A815" s="7"/>
      <c r="E815" s="7"/>
      <c r="F815" s="7"/>
    </row>
    <row r="816" spans="1:6" x14ac:dyDescent="0.25">
      <c r="A816" s="7"/>
      <c r="E816" s="7"/>
      <c r="F816" s="7"/>
    </row>
    <row r="817" spans="1:6" x14ac:dyDescent="0.25">
      <c r="A817" s="7"/>
      <c r="E817" s="7"/>
      <c r="F817" s="7"/>
    </row>
    <row r="818" spans="1:6" x14ac:dyDescent="0.25">
      <c r="A818" s="7"/>
      <c r="E818" s="7"/>
      <c r="F818" s="7"/>
    </row>
    <row r="819" spans="1:6" x14ac:dyDescent="0.25">
      <c r="A819" s="7"/>
      <c r="E819" s="7"/>
      <c r="F819" s="7"/>
    </row>
    <row r="820" spans="1:6" x14ac:dyDescent="0.25">
      <c r="A820" s="7"/>
      <c r="E820" s="7"/>
      <c r="F820" s="7"/>
    </row>
    <row r="821" spans="1:6" x14ac:dyDescent="0.25">
      <c r="A821" s="7"/>
      <c r="E821" s="7"/>
      <c r="F821" s="7"/>
    </row>
    <row r="822" spans="1:6" x14ac:dyDescent="0.25">
      <c r="A822" s="7"/>
      <c r="E822" s="7"/>
      <c r="F822" s="7"/>
    </row>
    <row r="823" spans="1:6" x14ac:dyDescent="0.25">
      <c r="A823" s="7"/>
      <c r="E823" s="7"/>
      <c r="F823" s="7"/>
    </row>
    <row r="824" spans="1:6" x14ac:dyDescent="0.25">
      <c r="A824" s="7"/>
      <c r="E824" s="7"/>
      <c r="F824" s="7"/>
    </row>
    <row r="825" spans="1:6" x14ac:dyDescent="0.25">
      <c r="A825" s="7"/>
      <c r="E825" s="7"/>
      <c r="F825" s="7"/>
    </row>
    <row r="826" spans="1:6" x14ac:dyDescent="0.25">
      <c r="A826" s="7"/>
      <c r="E826" s="7"/>
      <c r="F826" s="7"/>
    </row>
    <row r="827" spans="1:6" x14ac:dyDescent="0.25">
      <c r="A827" s="7"/>
      <c r="E827" s="7"/>
      <c r="F827" s="7"/>
    </row>
    <row r="828" spans="1:6" x14ac:dyDescent="0.25">
      <c r="A828" s="7"/>
      <c r="E828" s="7"/>
      <c r="F828" s="7"/>
    </row>
    <row r="829" spans="1:6" x14ac:dyDescent="0.25">
      <c r="A829" s="7"/>
      <c r="E829" s="7"/>
      <c r="F829" s="7"/>
    </row>
    <row r="830" spans="1:6" x14ac:dyDescent="0.25">
      <c r="A830" s="7"/>
      <c r="E830" s="7"/>
      <c r="F830" s="7"/>
    </row>
    <row r="831" spans="1:6" x14ac:dyDescent="0.25">
      <c r="A831" s="7"/>
      <c r="E831" s="7"/>
      <c r="F831" s="7"/>
    </row>
    <row r="832" spans="1:6" x14ac:dyDescent="0.25">
      <c r="A832" s="7"/>
      <c r="E832" s="7"/>
      <c r="F832" s="7"/>
    </row>
    <row r="833" spans="1:6" x14ac:dyDescent="0.25">
      <c r="A833" s="7"/>
      <c r="E833" s="7"/>
      <c r="F833" s="7"/>
    </row>
    <row r="834" spans="1:6" x14ac:dyDescent="0.25">
      <c r="A834" s="7"/>
      <c r="E834" s="7"/>
      <c r="F834" s="7"/>
    </row>
    <row r="835" spans="1:6" x14ac:dyDescent="0.25">
      <c r="A835" s="7"/>
      <c r="E835" s="7"/>
      <c r="F835" s="7"/>
    </row>
    <row r="836" spans="1:6" x14ac:dyDescent="0.25">
      <c r="A836" s="7"/>
      <c r="E836" s="7"/>
      <c r="F836" s="7"/>
    </row>
    <row r="837" spans="1:6" x14ac:dyDescent="0.25">
      <c r="A837" s="7"/>
      <c r="E837" s="7"/>
      <c r="F837" s="7"/>
    </row>
    <row r="838" spans="1:6" x14ac:dyDescent="0.25">
      <c r="A838" s="7"/>
      <c r="E838" s="7"/>
      <c r="F838" s="7"/>
    </row>
    <row r="839" spans="1:6" x14ac:dyDescent="0.25">
      <c r="A839" s="7"/>
      <c r="E839" s="7"/>
      <c r="F839" s="7"/>
    </row>
    <row r="840" spans="1:6" x14ac:dyDescent="0.25">
      <c r="A840" s="7"/>
      <c r="E840" s="7"/>
      <c r="F840" s="7"/>
    </row>
    <row r="841" spans="1:6" x14ac:dyDescent="0.25">
      <c r="A841" s="7"/>
      <c r="E841" s="7"/>
      <c r="F841" s="7"/>
    </row>
    <row r="842" spans="1:6" x14ac:dyDescent="0.25">
      <c r="A842" s="7"/>
      <c r="E842" s="7"/>
      <c r="F842" s="7"/>
    </row>
    <row r="843" spans="1:6" x14ac:dyDescent="0.25">
      <c r="A843" s="7"/>
      <c r="E843" s="7"/>
      <c r="F843" s="7"/>
    </row>
    <row r="844" spans="1:6" x14ac:dyDescent="0.25">
      <c r="A844" s="7"/>
      <c r="E844" s="7"/>
      <c r="F844" s="7"/>
    </row>
    <row r="845" spans="1:6" x14ac:dyDescent="0.25">
      <c r="A845" s="7"/>
      <c r="E845" s="7"/>
      <c r="F845" s="7"/>
    </row>
    <row r="846" spans="1:6" x14ac:dyDescent="0.25">
      <c r="A846" s="7"/>
      <c r="E846" s="7"/>
      <c r="F846" s="7"/>
    </row>
    <row r="847" spans="1:6" x14ac:dyDescent="0.25">
      <c r="A847" s="7"/>
      <c r="E847" s="7"/>
      <c r="F847" s="7"/>
    </row>
    <row r="848" spans="1:6" x14ac:dyDescent="0.25">
      <c r="A848" s="7"/>
      <c r="E848" s="7"/>
      <c r="F848" s="7"/>
    </row>
    <row r="849" spans="1:6" x14ac:dyDescent="0.25">
      <c r="A849" s="7"/>
      <c r="E849" s="7"/>
      <c r="F849" s="7"/>
    </row>
    <row r="850" spans="1:6" x14ac:dyDescent="0.25">
      <c r="A850" s="7"/>
      <c r="E850" s="7"/>
      <c r="F850" s="7"/>
    </row>
    <row r="851" spans="1:6" x14ac:dyDescent="0.25">
      <c r="A851" s="7"/>
      <c r="E851" s="7"/>
      <c r="F851" s="7"/>
    </row>
    <row r="852" spans="1:6" x14ac:dyDescent="0.25">
      <c r="A852" s="7"/>
      <c r="E852" s="7"/>
      <c r="F852" s="7"/>
    </row>
    <row r="853" spans="1:6" x14ac:dyDescent="0.25">
      <c r="A853" s="7"/>
      <c r="E853" s="7"/>
      <c r="F853" s="7"/>
    </row>
    <row r="854" spans="1:6" x14ac:dyDescent="0.25">
      <c r="A854" s="7"/>
      <c r="E854" s="7"/>
      <c r="F854" s="7"/>
    </row>
    <row r="855" spans="1:6" x14ac:dyDescent="0.25">
      <c r="A855" s="7"/>
      <c r="E855" s="7"/>
      <c r="F855" s="7"/>
    </row>
    <row r="856" spans="1:6" x14ac:dyDescent="0.25">
      <c r="A856" s="7"/>
      <c r="E856" s="7"/>
      <c r="F856" s="7"/>
    </row>
    <row r="857" spans="1:6" x14ac:dyDescent="0.25">
      <c r="A857" s="7"/>
      <c r="E857" s="7"/>
      <c r="F857" s="7"/>
    </row>
    <row r="858" spans="1:6" x14ac:dyDescent="0.25">
      <c r="A858" s="7"/>
      <c r="E858" s="7"/>
      <c r="F858" s="7"/>
    </row>
    <row r="859" spans="1:6" x14ac:dyDescent="0.25">
      <c r="A859" s="7"/>
      <c r="E859" s="7"/>
      <c r="F859" s="7"/>
    </row>
    <row r="860" spans="1:6" x14ac:dyDescent="0.25">
      <c r="A860" s="7"/>
      <c r="E860" s="7"/>
      <c r="F860" s="7"/>
    </row>
    <row r="861" spans="1:6" x14ac:dyDescent="0.25">
      <c r="A861" s="7"/>
      <c r="E861" s="7"/>
      <c r="F861" s="7"/>
    </row>
    <row r="862" spans="1:6" x14ac:dyDescent="0.25">
      <c r="A862" s="7"/>
      <c r="E862" s="7"/>
      <c r="F862" s="7"/>
    </row>
    <row r="863" spans="1:6" x14ac:dyDescent="0.25">
      <c r="A863" s="7"/>
      <c r="E863" s="7"/>
      <c r="F863" s="7"/>
    </row>
    <row r="864" spans="1:6" x14ac:dyDescent="0.25">
      <c r="A864" s="7"/>
      <c r="E864" s="7"/>
      <c r="F864" s="7"/>
    </row>
    <row r="865" spans="1:6" x14ac:dyDescent="0.25">
      <c r="A865" s="7"/>
      <c r="E865" s="7"/>
      <c r="F865" s="7"/>
    </row>
    <row r="866" spans="1:6" x14ac:dyDescent="0.25">
      <c r="A866" s="7"/>
      <c r="E866" s="7"/>
      <c r="F866" s="7"/>
    </row>
    <row r="867" spans="1:6" x14ac:dyDescent="0.25">
      <c r="A867" s="7"/>
      <c r="E867" s="7"/>
      <c r="F867" s="7"/>
    </row>
    <row r="868" spans="1:6" x14ac:dyDescent="0.25">
      <c r="A868" s="7"/>
      <c r="E868" s="7"/>
      <c r="F868" s="7"/>
    </row>
    <row r="869" spans="1:6" x14ac:dyDescent="0.25">
      <c r="A869" s="7"/>
      <c r="E869" s="7"/>
      <c r="F869" s="7"/>
    </row>
    <row r="870" spans="1:6" x14ac:dyDescent="0.25">
      <c r="A870" s="7"/>
      <c r="E870" s="7"/>
      <c r="F870" s="7"/>
    </row>
    <row r="871" spans="1:6" x14ac:dyDescent="0.25">
      <c r="A871" s="7"/>
      <c r="E871" s="7"/>
      <c r="F871" s="7"/>
    </row>
    <row r="872" spans="1:6" x14ac:dyDescent="0.25">
      <c r="A872" s="7"/>
      <c r="E872" s="7"/>
      <c r="F872" s="7"/>
    </row>
    <row r="873" spans="1:6" x14ac:dyDescent="0.25">
      <c r="A873" s="7"/>
      <c r="E873" s="7"/>
      <c r="F873" s="7"/>
    </row>
    <row r="874" spans="1:6" x14ac:dyDescent="0.25">
      <c r="A874" s="7"/>
      <c r="E874" s="7"/>
      <c r="F874" s="7"/>
    </row>
    <row r="875" spans="1:6" x14ac:dyDescent="0.25">
      <c r="A875" s="7"/>
      <c r="E875" s="7"/>
      <c r="F875" s="7"/>
    </row>
    <row r="876" spans="1:6" x14ac:dyDescent="0.25">
      <c r="A876" s="7"/>
      <c r="E876" s="7"/>
      <c r="F876" s="7"/>
    </row>
    <row r="877" spans="1:6" x14ac:dyDescent="0.25">
      <c r="A877" s="7"/>
      <c r="E877" s="7"/>
      <c r="F877" s="7"/>
    </row>
    <row r="878" spans="1:6" x14ac:dyDescent="0.25">
      <c r="A878" s="7"/>
      <c r="E878" s="7"/>
      <c r="F878" s="7"/>
    </row>
    <row r="879" spans="1:6" x14ac:dyDescent="0.25">
      <c r="A879" s="7"/>
      <c r="E879" s="7"/>
      <c r="F879" s="7"/>
    </row>
    <row r="880" spans="1:6" x14ac:dyDescent="0.25">
      <c r="A880" s="7"/>
      <c r="E880" s="7"/>
      <c r="F880" s="7"/>
    </row>
    <row r="881" spans="1:6" x14ac:dyDescent="0.25">
      <c r="A881" s="7"/>
      <c r="E881" s="7"/>
      <c r="F881" s="7"/>
    </row>
    <row r="882" spans="1:6" x14ac:dyDescent="0.25">
      <c r="A882" s="7"/>
      <c r="E882" s="7"/>
      <c r="F882" s="7"/>
    </row>
    <row r="883" spans="1:6" x14ac:dyDescent="0.25">
      <c r="A883" s="7"/>
      <c r="E883" s="7"/>
      <c r="F883" s="7"/>
    </row>
    <row r="884" spans="1:6" x14ac:dyDescent="0.25">
      <c r="A884" s="7"/>
      <c r="E884" s="7"/>
      <c r="F884" s="7"/>
    </row>
    <row r="885" spans="1:6" x14ac:dyDescent="0.25">
      <c r="A885" s="7"/>
      <c r="E885" s="7"/>
      <c r="F885" s="7"/>
    </row>
    <row r="886" spans="1:6" x14ac:dyDescent="0.25">
      <c r="A886" s="7"/>
      <c r="E886" s="7"/>
      <c r="F886" s="7"/>
    </row>
    <row r="887" spans="1:6" x14ac:dyDescent="0.25">
      <c r="A887" s="7"/>
      <c r="E887" s="7"/>
      <c r="F887" s="7"/>
    </row>
    <row r="888" spans="1:6" x14ac:dyDescent="0.25">
      <c r="A888" s="7"/>
      <c r="E888" s="7"/>
      <c r="F888" s="7"/>
    </row>
    <row r="889" spans="1:6" x14ac:dyDescent="0.25">
      <c r="A889" s="7"/>
      <c r="E889" s="7"/>
      <c r="F889" s="7"/>
    </row>
    <row r="890" spans="1:6" x14ac:dyDescent="0.25">
      <c r="A890" s="7"/>
      <c r="E890" s="7"/>
      <c r="F890" s="7"/>
    </row>
    <row r="891" spans="1:6" x14ac:dyDescent="0.25">
      <c r="A891" s="7"/>
      <c r="E891" s="7"/>
      <c r="F891" s="7"/>
    </row>
    <row r="892" spans="1:6" x14ac:dyDescent="0.25">
      <c r="A892" s="7"/>
      <c r="E892" s="7"/>
      <c r="F892" s="7"/>
    </row>
    <row r="893" spans="1:6" x14ac:dyDescent="0.25">
      <c r="A893" s="7"/>
      <c r="E893" s="7"/>
      <c r="F893" s="7"/>
    </row>
    <row r="894" spans="1:6" x14ac:dyDescent="0.25">
      <c r="A894" s="7"/>
      <c r="E894" s="7"/>
      <c r="F894" s="7"/>
    </row>
    <row r="895" spans="1:6" x14ac:dyDescent="0.25">
      <c r="A895" s="7"/>
      <c r="E895" s="7"/>
      <c r="F895" s="7"/>
    </row>
    <row r="896" spans="1:6" x14ac:dyDescent="0.25">
      <c r="A896" s="7"/>
      <c r="E896" s="7"/>
      <c r="F896" s="7"/>
    </row>
    <row r="897" spans="1:6" x14ac:dyDescent="0.25">
      <c r="A897" s="7"/>
      <c r="E897" s="7"/>
      <c r="F897" s="7"/>
    </row>
    <row r="898" spans="1:6" x14ac:dyDescent="0.25">
      <c r="A898" s="7"/>
      <c r="E898" s="7"/>
      <c r="F898" s="7"/>
    </row>
    <row r="899" spans="1:6" x14ac:dyDescent="0.25">
      <c r="A899" s="7"/>
      <c r="E899" s="7"/>
      <c r="F899" s="7"/>
    </row>
    <row r="900" spans="1:6" x14ac:dyDescent="0.25">
      <c r="A900" s="7"/>
      <c r="E900" s="7"/>
      <c r="F900" s="7"/>
    </row>
    <row r="901" spans="1:6" x14ac:dyDescent="0.25">
      <c r="A901" s="7"/>
      <c r="E901" s="7"/>
      <c r="F901" s="7"/>
    </row>
    <row r="902" spans="1:6" x14ac:dyDescent="0.25">
      <c r="A902" s="7"/>
      <c r="E902" s="7"/>
      <c r="F902" s="7"/>
    </row>
    <row r="903" spans="1:6" x14ac:dyDescent="0.25">
      <c r="A903" s="7"/>
      <c r="E903" s="7"/>
      <c r="F903" s="7"/>
    </row>
    <row r="904" spans="1:6" x14ac:dyDescent="0.25">
      <c r="A904" s="7"/>
      <c r="E904" s="7"/>
      <c r="F904" s="7"/>
    </row>
    <row r="905" spans="1:6" x14ac:dyDescent="0.25">
      <c r="A905" s="7"/>
      <c r="E905" s="7"/>
      <c r="F905" s="7"/>
    </row>
    <row r="906" spans="1:6" x14ac:dyDescent="0.25">
      <c r="A906" s="7"/>
      <c r="E906" s="7"/>
      <c r="F906" s="7"/>
    </row>
    <row r="907" spans="1:6" x14ac:dyDescent="0.25">
      <c r="A907" s="7"/>
      <c r="E907" s="7"/>
      <c r="F907" s="7"/>
    </row>
    <row r="908" spans="1:6" x14ac:dyDescent="0.25">
      <c r="A908" s="7"/>
      <c r="E908" s="7"/>
      <c r="F908" s="7"/>
    </row>
    <row r="909" spans="1:6" x14ac:dyDescent="0.25">
      <c r="A909" s="7"/>
      <c r="E909" s="7"/>
      <c r="F909" s="7"/>
    </row>
    <row r="910" spans="1:6" x14ac:dyDescent="0.25">
      <c r="A910" s="7"/>
      <c r="E910" s="7"/>
      <c r="F910" s="7"/>
    </row>
    <row r="911" spans="1:6" x14ac:dyDescent="0.25">
      <c r="A911" s="7"/>
      <c r="E911" s="7"/>
      <c r="F911" s="7"/>
    </row>
    <row r="912" spans="1:6" x14ac:dyDescent="0.25">
      <c r="A912" s="7"/>
      <c r="E912" s="7"/>
      <c r="F912" s="7"/>
    </row>
    <row r="913" spans="1:6" x14ac:dyDescent="0.25">
      <c r="A913" s="7"/>
      <c r="E913" s="7"/>
      <c r="F913" s="7"/>
    </row>
    <row r="914" spans="1:6" x14ac:dyDescent="0.25">
      <c r="A914" s="7"/>
      <c r="E914" s="7"/>
      <c r="F914" s="7"/>
    </row>
    <row r="915" spans="1:6" x14ac:dyDescent="0.25">
      <c r="A915" s="7"/>
      <c r="E915" s="7"/>
      <c r="F915" s="7"/>
    </row>
    <row r="916" spans="1:6" x14ac:dyDescent="0.25">
      <c r="A916" s="7"/>
      <c r="E916" s="7"/>
      <c r="F916" s="7"/>
    </row>
    <row r="917" spans="1:6" x14ac:dyDescent="0.25">
      <c r="A917" s="7"/>
      <c r="E917" s="7"/>
      <c r="F917" s="7"/>
    </row>
    <row r="918" spans="1:6" x14ac:dyDescent="0.25">
      <c r="A918" s="7"/>
      <c r="E918" s="7"/>
      <c r="F918" s="7"/>
    </row>
    <row r="919" spans="1:6" x14ac:dyDescent="0.25">
      <c r="A919" s="7"/>
      <c r="E919" s="7"/>
      <c r="F919" s="7"/>
    </row>
    <row r="920" spans="1:6" x14ac:dyDescent="0.25">
      <c r="A920" s="7"/>
      <c r="E920" s="7"/>
      <c r="F920" s="7"/>
    </row>
    <row r="921" spans="1:6" x14ac:dyDescent="0.25">
      <c r="A921" s="7"/>
      <c r="E921" s="7"/>
      <c r="F921" s="7"/>
    </row>
    <row r="922" spans="1:6" x14ac:dyDescent="0.25">
      <c r="A922" s="7"/>
      <c r="E922" s="7"/>
      <c r="F922" s="7"/>
    </row>
    <row r="923" spans="1:6" x14ac:dyDescent="0.25">
      <c r="A923" s="7"/>
      <c r="E923" s="7"/>
      <c r="F923" s="7"/>
    </row>
    <row r="924" spans="1:6" x14ac:dyDescent="0.25">
      <c r="A924" s="7"/>
      <c r="E924" s="7"/>
      <c r="F924" s="7"/>
    </row>
    <row r="925" spans="1:6" x14ac:dyDescent="0.25">
      <c r="A925" s="7"/>
      <c r="E925" s="7"/>
      <c r="F925" s="7"/>
    </row>
    <row r="926" spans="1:6" x14ac:dyDescent="0.25">
      <c r="A926" s="7"/>
      <c r="E926" s="7"/>
      <c r="F926" s="7"/>
    </row>
    <row r="927" spans="1:6" x14ac:dyDescent="0.25">
      <c r="A927" s="7"/>
      <c r="E927" s="7"/>
      <c r="F927" s="7"/>
    </row>
    <row r="928" spans="1:6" x14ac:dyDescent="0.25">
      <c r="A928" s="7"/>
      <c r="E928" s="7"/>
      <c r="F928" s="7"/>
    </row>
    <row r="929" spans="1:6" x14ac:dyDescent="0.25">
      <c r="A929" s="7"/>
      <c r="E929" s="7"/>
      <c r="F929" s="7"/>
    </row>
    <row r="930" spans="1:6" x14ac:dyDescent="0.25">
      <c r="A930" s="7"/>
      <c r="E930" s="7"/>
      <c r="F930" s="7"/>
    </row>
    <row r="931" spans="1:6" x14ac:dyDescent="0.25">
      <c r="A931" s="7"/>
      <c r="E931" s="7"/>
      <c r="F931" s="7"/>
    </row>
    <row r="932" spans="1:6" x14ac:dyDescent="0.25">
      <c r="A932" s="7"/>
      <c r="E932" s="7"/>
      <c r="F932" s="7"/>
    </row>
    <row r="933" spans="1:6" x14ac:dyDescent="0.25">
      <c r="A933" s="7"/>
      <c r="E933" s="7"/>
      <c r="F933" s="7"/>
    </row>
    <row r="934" spans="1:6" x14ac:dyDescent="0.25">
      <c r="A934" s="7"/>
      <c r="E934" s="7"/>
      <c r="F934" s="7"/>
    </row>
    <row r="935" spans="1:6" x14ac:dyDescent="0.25">
      <c r="A935" s="7"/>
      <c r="E935" s="7"/>
      <c r="F935" s="7"/>
    </row>
    <row r="936" spans="1:6" x14ac:dyDescent="0.25">
      <c r="A936" s="7"/>
      <c r="E936" s="7"/>
      <c r="F936" s="7"/>
    </row>
    <row r="937" spans="1:6" x14ac:dyDescent="0.25">
      <c r="A937" s="7"/>
      <c r="E937" s="7"/>
      <c r="F937" s="7"/>
    </row>
    <row r="938" spans="1:6" x14ac:dyDescent="0.25">
      <c r="A938" s="7"/>
      <c r="E938" s="7"/>
      <c r="F938" s="7"/>
    </row>
    <row r="939" spans="1:6" x14ac:dyDescent="0.25">
      <c r="A939" s="7"/>
      <c r="E939" s="7"/>
      <c r="F939" s="7"/>
    </row>
    <row r="940" spans="1:6" x14ac:dyDescent="0.25">
      <c r="A940" s="7"/>
      <c r="E940" s="7"/>
      <c r="F940" s="7"/>
    </row>
    <row r="941" spans="1:6" x14ac:dyDescent="0.25">
      <c r="A941" s="7"/>
      <c r="E941" s="7"/>
      <c r="F941" s="7"/>
    </row>
    <row r="942" spans="1:6" x14ac:dyDescent="0.25">
      <c r="A942" s="7"/>
      <c r="E942" s="7"/>
      <c r="F942" s="7"/>
    </row>
    <row r="943" spans="1:6" x14ac:dyDescent="0.25">
      <c r="A943" s="7"/>
      <c r="E943" s="7"/>
      <c r="F943" s="7"/>
    </row>
    <row r="944" spans="1:6" x14ac:dyDescent="0.25">
      <c r="A944" s="7"/>
      <c r="E944" s="7"/>
      <c r="F944" s="7"/>
    </row>
    <row r="945" spans="1:6" x14ac:dyDescent="0.25">
      <c r="A945" s="7"/>
      <c r="E945" s="7"/>
      <c r="F945" s="7"/>
    </row>
    <row r="946" spans="1:6" x14ac:dyDescent="0.25">
      <c r="A946" s="7"/>
      <c r="E946" s="7"/>
      <c r="F946" s="7"/>
    </row>
    <row r="947" spans="1:6" x14ac:dyDescent="0.25">
      <c r="A947" s="7"/>
      <c r="E947" s="7"/>
      <c r="F947" s="7"/>
    </row>
    <row r="948" spans="1:6" x14ac:dyDescent="0.25">
      <c r="A948" s="7"/>
      <c r="E948" s="7"/>
      <c r="F948" s="7"/>
    </row>
    <row r="949" spans="1:6" x14ac:dyDescent="0.25">
      <c r="A949" s="7"/>
      <c r="E949" s="7"/>
      <c r="F949" s="7"/>
    </row>
    <row r="950" spans="1:6" x14ac:dyDescent="0.25">
      <c r="A950" s="7"/>
      <c r="E950" s="7"/>
      <c r="F950" s="7"/>
    </row>
    <row r="951" spans="1:6" x14ac:dyDescent="0.25">
      <c r="A951" s="7"/>
      <c r="E951" s="7"/>
      <c r="F951" s="7"/>
    </row>
    <row r="952" spans="1:6" x14ac:dyDescent="0.25">
      <c r="A952" s="7"/>
      <c r="E952" s="7"/>
      <c r="F952" s="7"/>
    </row>
    <row r="953" spans="1:6" x14ac:dyDescent="0.25">
      <c r="A953" s="7"/>
      <c r="E953" s="7"/>
      <c r="F953" s="7"/>
    </row>
    <row r="954" spans="1:6" x14ac:dyDescent="0.25">
      <c r="A954" s="7"/>
      <c r="E954" s="7"/>
      <c r="F954" s="7"/>
    </row>
    <row r="955" spans="1:6" x14ac:dyDescent="0.25">
      <c r="A955" s="7"/>
      <c r="E955" s="7"/>
      <c r="F955" s="7"/>
    </row>
    <row r="956" spans="1:6" x14ac:dyDescent="0.25">
      <c r="A956" s="7"/>
      <c r="E956" s="7"/>
      <c r="F956" s="7"/>
    </row>
    <row r="957" spans="1:6" x14ac:dyDescent="0.25">
      <c r="A957" s="7"/>
      <c r="E957" s="7"/>
      <c r="F957" s="7"/>
    </row>
    <row r="958" spans="1:6" x14ac:dyDescent="0.25">
      <c r="A958" s="7"/>
      <c r="E958" s="7"/>
      <c r="F958" s="7"/>
    </row>
    <row r="959" spans="1:6" x14ac:dyDescent="0.25">
      <c r="A959" s="7"/>
      <c r="E959" s="7"/>
      <c r="F959" s="7"/>
    </row>
    <row r="960" spans="1:6" x14ac:dyDescent="0.25">
      <c r="A960" s="7"/>
      <c r="E960" s="7"/>
      <c r="F960" s="7"/>
    </row>
    <row r="961" spans="1:6" x14ac:dyDescent="0.25">
      <c r="A961" s="7"/>
      <c r="E961" s="7"/>
      <c r="F961" s="7"/>
    </row>
    <row r="962" spans="1:6" x14ac:dyDescent="0.25">
      <c r="A962" s="7"/>
      <c r="E962" s="7"/>
      <c r="F962" s="7"/>
    </row>
    <row r="963" spans="1:6" x14ac:dyDescent="0.25">
      <c r="A963" s="7"/>
      <c r="E963" s="7"/>
      <c r="F963" s="7"/>
    </row>
    <row r="964" spans="1:6" x14ac:dyDescent="0.25">
      <c r="A964" s="7"/>
      <c r="E964" s="7"/>
      <c r="F964" s="7"/>
    </row>
    <row r="965" spans="1:6" x14ac:dyDescent="0.25">
      <c r="A965" s="7"/>
      <c r="E965" s="7"/>
      <c r="F965" s="7"/>
    </row>
    <row r="966" spans="1:6" x14ac:dyDescent="0.25">
      <c r="A966" s="7"/>
      <c r="E966" s="7"/>
      <c r="F966" s="7"/>
    </row>
    <row r="967" spans="1:6" x14ac:dyDescent="0.25">
      <c r="A967" s="7"/>
      <c r="E967" s="7"/>
      <c r="F967" s="7"/>
    </row>
    <row r="968" spans="1:6" x14ac:dyDescent="0.25">
      <c r="A968" s="7"/>
      <c r="E968" s="7"/>
      <c r="F968" s="7"/>
    </row>
    <row r="969" spans="1:6" x14ac:dyDescent="0.25">
      <c r="A969" s="7"/>
      <c r="E969" s="7"/>
      <c r="F969" s="7"/>
    </row>
    <row r="970" spans="1:6" x14ac:dyDescent="0.25">
      <c r="A970" s="7"/>
      <c r="E970" s="7"/>
      <c r="F970" s="7"/>
    </row>
    <row r="971" spans="1:6" x14ac:dyDescent="0.25">
      <c r="A971" s="7"/>
      <c r="E971" s="7"/>
      <c r="F971" s="7"/>
    </row>
    <row r="972" spans="1:6" x14ac:dyDescent="0.25">
      <c r="A972" s="7"/>
      <c r="E972" s="7"/>
      <c r="F972" s="7"/>
    </row>
    <row r="973" spans="1:6" x14ac:dyDescent="0.25">
      <c r="A973" s="7"/>
      <c r="E973" s="7"/>
      <c r="F973" s="7"/>
    </row>
    <row r="974" spans="1:6" x14ac:dyDescent="0.25">
      <c r="A974" s="7"/>
      <c r="E974" s="7"/>
      <c r="F974" s="7"/>
    </row>
    <row r="975" spans="1:6" x14ac:dyDescent="0.25">
      <c r="A975" s="7"/>
      <c r="E975" s="7"/>
      <c r="F975" s="7"/>
    </row>
    <row r="976" spans="1:6" x14ac:dyDescent="0.25">
      <c r="A976" s="7"/>
      <c r="E976" s="7"/>
      <c r="F976" s="7"/>
    </row>
    <row r="977" spans="1:6" x14ac:dyDescent="0.25">
      <c r="A977" s="7"/>
      <c r="E977" s="7"/>
      <c r="F977" s="7"/>
    </row>
    <row r="978" spans="1:6" x14ac:dyDescent="0.25">
      <c r="A978" s="7"/>
      <c r="E978" s="7"/>
      <c r="F978" s="7"/>
    </row>
    <row r="979" spans="1:6" x14ac:dyDescent="0.25">
      <c r="A979" s="7"/>
      <c r="E979" s="7"/>
      <c r="F979" s="7"/>
    </row>
    <row r="980" spans="1:6" x14ac:dyDescent="0.25">
      <c r="A980" s="7"/>
      <c r="E980" s="7"/>
      <c r="F980" s="7"/>
    </row>
    <row r="981" spans="1:6" x14ac:dyDescent="0.25">
      <c r="A981" s="7"/>
      <c r="E981" s="7"/>
      <c r="F981" s="7"/>
    </row>
    <row r="982" spans="1:6" x14ac:dyDescent="0.25">
      <c r="A982" s="7"/>
      <c r="E982" s="7"/>
      <c r="F982" s="7"/>
    </row>
    <row r="983" spans="1:6" x14ac:dyDescent="0.25">
      <c r="A983" s="7"/>
      <c r="E983" s="7"/>
      <c r="F983" s="7"/>
    </row>
    <row r="984" spans="1:6" x14ac:dyDescent="0.25">
      <c r="A984" s="7"/>
      <c r="E984" s="7"/>
      <c r="F984" s="7"/>
    </row>
    <row r="985" spans="1:6" x14ac:dyDescent="0.25">
      <c r="A985" s="7"/>
      <c r="E985" s="7"/>
      <c r="F985" s="7"/>
    </row>
    <row r="986" spans="1:6" x14ac:dyDescent="0.25">
      <c r="A986" s="7"/>
      <c r="E986" s="7"/>
      <c r="F986" s="7"/>
    </row>
    <row r="987" spans="1:6" x14ac:dyDescent="0.25">
      <c r="A987" s="7"/>
      <c r="E987" s="7"/>
      <c r="F987" s="7"/>
    </row>
    <row r="988" spans="1:6" x14ac:dyDescent="0.25">
      <c r="A988" s="7"/>
      <c r="E988" s="7"/>
      <c r="F988" s="7"/>
    </row>
    <row r="989" spans="1:6" x14ac:dyDescent="0.25">
      <c r="A989" s="7"/>
      <c r="E989" s="7"/>
      <c r="F989" s="7"/>
    </row>
    <row r="990" spans="1:6" x14ac:dyDescent="0.25">
      <c r="A990" s="7"/>
      <c r="E990" s="7"/>
      <c r="F990" s="7"/>
    </row>
    <row r="991" spans="1:6" x14ac:dyDescent="0.25">
      <c r="A991" s="7"/>
      <c r="E991" s="7"/>
      <c r="F991" s="7"/>
    </row>
    <row r="992" spans="1:6" x14ac:dyDescent="0.25">
      <c r="A992" s="7"/>
      <c r="E992" s="7"/>
      <c r="F992" s="7"/>
    </row>
    <row r="993" spans="1:6" x14ac:dyDescent="0.25">
      <c r="A993" s="7"/>
      <c r="E993" s="7"/>
      <c r="F993" s="7"/>
    </row>
    <row r="994" spans="1:6" x14ac:dyDescent="0.25">
      <c r="A994" s="7"/>
      <c r="E994" s="7"/>
      <c r="F994" s="7"/>
    </row>
    <row r="995" spans="1:6" x14ac:dyDescent="0.25">
      <c r="A995" s="7"/>
      <c r="E995" s="7"/>
      <c r="F995" s="7"/>
    </row>
    <row r="996" spans="1:6" x14ac:dyDescent="0.25">
      <c r="A996" s="7"/>
      <c r="E996" s="7"/>
      <c r="F996" s="7"/>
    </row>
    <row r="997" spans="1:6" x14ac:dyDescent="0.25">
      <c r="A997" s="7"/>
      <c r="E997" s="7"/>
      <c r="F997" s="7"/>
    </row>
    <row r="998" spans="1:6" x14ac:dyDescent="0.25">
      <c r="A998" s="7"/>
      <c r="E998" s="7"/>
      <c r="F998" s="7"/>
    </row>
    <row r="999" spans="1:6" x14ac:dyDescent="0.25">
      <c r="A999" s="7"/>
      <c r="E999" s="7"/>
      <c r="F999" s="7"/>
    </row>
    <row r="1000" spans="1:6" x14ac:dyDescent="0.25">
      <c r="A1000" s="7"/>
      <c r="E1000" s="7"/>
      <c r="F1000" s="7"/>
    </row>
  </sheetData>
  <mergeCells count="4">
    <mergeCell ref="A1:I1"/>
    <mergeCell ref="A2:I2"/>
    <mergeCell ref="B3:C3"/>
    <mergeCell ref="A15:I15"/>
  </mergeCells>
  <printOptions horizontalCentered="1" verticalCentered="1" gridLines="1"/>
  <pageMargins left="0.25" right="0.25" top="0.75" bottom="0.75" header="0" footer="0"/>
  <pageSetup fitToHeight="0" pageOrder="overThenDown" orientation="landscape" cellComments="atEnd"/>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outlinePr summaryBelow="0" summaryRight="0"/>
    <pageSetUpPr fitToPage="1"/>
  </sheetPr>
  <dimension ref="A1:W1013"/>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46.33203125" customWidth="1"/>
    <col min="2" max="2" width="7.33203125" customWidth="1"/>
    <col min="3" max="4" width="7.88671875" customWidth="1"/>
    <col min="5" max="5" width="22.21875" customWidth="1"/>
    <col min="6" max="6" width="14.6640625" customWidth="1"/>
  </cols>
  <sheetData>
    <row r="1" spans="1:23" x14ac:dyDescent="0.25">
      <c r="A1" s="141" t="s">
        <v>777</v>
      </c>
      <c r="B1" s="142"/>
      <c r="C1" s="142"/>
      <c r="D1" s="142"/>
      <c r="E1" s="142"/>
      <c r="F1" s="142"/>
      <c r="G1" s="142"/>
      <c r="H1" s="142"/>
      <c r="I1" s="143"/>
    </row>
    <row r="2" spans="1:23" x14ac:dyDescent="0.25">
      <c r="A2" s="144" t="s">
        <v>778</v>
      </c>
      <c r="B2" s="142"/>
      <c r="C2" s="142"/>
      <c r="D2" s="142"/>
      <c r="E2" s="142"/>
      <c r="F2" s="142"/>
      <c r="G2" s="142"/>
      <c r="H2" s="142"/>
      <c r="I2" s="143"/>
    </row>
    <row r="3" spans="1:23" x14ac:dyDescent="0.25">
      <c r="A3" s="43" t="s">
        <v>374</v>
      </c>
      <c r="B3" s="145" t="s">
        <v>408</v>
      </c>
      <c r="C3" s="143"/>
      <c r="D3" s="49" t="s">
        <v>370</v>
      </c>
      <c r="E3" s="50" t="s">
        <v>371</v>
      </c>
      <c r="F3" s="51" t="s">
        <v>372</v>
      </c>
      <c r="G3" s="52" t="s">
        <v>373</v>
      </c>
      <c r="H3" s="53" t="s">
        <v>409</v>
      </c>
      <c r="I3" s="53" t="s">
        <v>410</v>
      </c>
      <c r="J3" s="7"/>
      <c r="K3" s="7"/>
      <c r="L3" s="7"/>
      <c r="M3" s="7"/>
      <c r="N3" s="7"/>
      <c r="O3" s="7"/>
      <c r="P3" s="7"/>
      <c r="Q3" s="7"/>
      <c r="R3" s="7"/>
      <c r="S3" s="7"/>
      <c r="T3" s="7"/>
      <c r="U3" s="7"/>
      <c r="V3" s="7"/>
      <c r="W3" s="7"/>
    </row>
    <row r="4" spans="1:23" x14ac:dyDescent="0.25">
      <c r="A4" s="41" t="s">
        <v>411</v>
      </c>
      <c r="B4" s="54">
        <f>SUM(B5:B15)/5</f>
        <v>1</v>
      </c>
      <c r="C4" s="55">
        <f>D4*B4</f>
        <v>0.7</v>
      </c>
      <c r="D4" s="56">
        <v>0.7</v>
      </c>
      <c r="E4" s="57"/>
      <c r="F4" s="57"/>
      <c r="G4" s="58"/>
      <c r="H4" s="58"/>
      <c r="I4" s="58"/>
    </row>
    <row r="5" spans="1:23" x14ac:dyDescent="0.25">
      <c r="A5" s="154" t="s">
        <v>779</v>
      </c>
      <c r="B5" s="155">
        <v>1</v>
      </c>
      <c r="C5" s="156"/>
      <c r="D5" s="156"/>
      <c r="E5" s="79" t="s">
        <v>780</v>
      </c>
      <c r="F5" s="79" t="s">
        <v>781</v>
      </c>
      <c r="G5" s="59"/>
      <c r="H5" s="59"/>
      <c r="I5" s="59"/>
    </row>
    <row r="6" spans="1:23" x14ac:dyDescent="0.25">
      <c r="A6" s="147"/>
      <c r="B6" s="147"/>
      <c r="C6" s="147"/>
      <c r="D6" s="147"/>
      <c r="E6" s="79" t="s">
        <v>782</v>
      </c>
      <c r="F6" s="79" t="s">
        <v>741</v>
      </c>
      <c r="G6" s="59">
        <v>0.5</v>
      </c>
      <c r="H6" s="59">
        <v>0.5</v>
      </c>
      <c r="I6" s="59">
        <v>1</v>
      </c>
    </row>
    <row r="7" spans="1:23" x14ac:dyDescent="0.25">
      <c r="A7" s="154" t="s">
        <v>783</v>
      </c>
      <c r="B7" s="155">
        <v>1</v>
      </c>
      <c r="C7" s="156"/>
      <c r="D7" s="156"/>
      <c r="E7" s="79" t="s">
        <v>784</v>
      </c>
      <c r="F7" s="79" t="s">
        <v>741</v>
      </c>
      <c r="G7" s="59">
        <v>0.15</v>
      </c>
      <c r="H7" s="59">
        <v>0.15</v>
      </c>
      <c r="I7" s="59">
        <v>1</v>
      </c>
    </row>
    <row r="8" spans="1:23" x14ac:dyDescent="0.25">
      <c r="A8" s="147"/>
      <c r="B8" s="147"/>
      <c r="C8" s="147"/>
      <c r="D8" s="147"/>
      <c r="E8" s="42" t="s">
        <v>785</v>
      </c>
      <c r="F8" s="79" t="s">
        <v>741</v>
      </c>
      <c r="G8" s="59">
        <v>1</v>
      </c>
      <c r="H8" s="59">
        <v>0.8</v>
      </c>
      <c r="I8" s="59">
        <v>1</v>
      </c>
    </row>
    <row r="9" spans="1:23" x14ac:dyDescent="0.25">
      <c r="A9" s="154" t="s">
        <v>786</v>
      </c>
      <c r="B9" s="155">
        <v>1</v>
      </c>
      <c r="C9" s="156"/>
      <c r="D9" s="156"/>
      <c r="E9" s="42" t="s">
        <v>787</v>
      </c>
      <c r="F9" s="79" t="s">
        <v>741</v>
      </c>
      <c r="G9" s="59">
        <v>1</v>
      </c>
      <c r="H9" s="59">
        <v>1</v>
      </c>
      <c r="I9" s="59">
        <v>1</v>
      </c>
    </row>
    <row r="10" spans="1:23" x14ac:dyDescent="0.25">
      <c r="A10" s="150"/>
      <c r="B10" s="150"/>
      <c r="C10" s="150"/>
      <c r="D10" s="150"/>
      <c r="E10" s="42" t="s">
        <v>788</v>
      </c>
      <c r="F10" s="79" t="s">
        <v>741</v>
      </c>
      <c r="G10" s="59">
        <v>0.9</v>
      </c>
      <c r="H10" s="59">
        <v>0.9</v>
      </c>
      <c r="I10" s="59">
        <v>1</v>
      </c>
    </row>
    <row r="11" spans="1:23" x14ac:dyDescent="0.25">
      <c r="A11" s="147"/>
      <c r="B11" s="147"/>
      <c r="C11" s="147"/>
      <c r="D11" s="147"/>
      <c r="E11" s="42" t="s">
        <v>789</v>
      </c>
      <c r="F11" s="42" t="s">
        <v>790</v>
      </c>
      <c r="G11" s="59"/>
      <c r="H11" s="59"/>
      <c r="I11" s="59"/>
    </row>
    <row r="12" spans="1:23" x14ac:dyDescent="0.25">
      <c r="A12" s="154" t="s">
        <v>791</v>
      </c>
      <c r="B12" s="155">
        <v>1</v>
      </c>
      <c r="C12" s="156"/>
      <c r="D12" s="156"/>
      <c r="E12" s="42" t="s">
        <v>792</v>
      </c>
      <c r="F12" s="42" t="s">
        <v>741</v>
      </c>
      <c r="G12" s="59">
        <v>0.8</v>
      </c>
      <c r="H12" s="59">
        <v>0.8</v>
      </c>
      <c r="I12" s="59">
        <v>1</v>
      </c>
    </row>
    <row r="13" spans="1:23" x14ac:dyDescent="0.25">
      <c r="A13" s="150"/>
      <c r="B13" s="150"/>
      <c r="C13" s="150"/>
      <c r="D13" s="150"/>
      <c r="E13" s="42" t="s">
        <v>793</v>
      </c>
      <c r="F13" s="42" t="s">
        <v>741</v>
      </c>
      <c r="G13" s="59">
        <v>0.8</v>
      </c>
      <c r="H13" s="59">
        <v>0.8</v>
      </c>
      <c r="I13" s="59">
        <v>1</v>
      </c>
    </row>
    <row r="14" spans="1:23" x14ac:dyDescent="0.25">
      <c r="A14" s="147"/>
      <c r="B14" s="147"/>
      <c r="C14" s="147"/>
      <c r="D14" s="147"/>
      <c r="E14" s="42"/>
      <c r="F14" s="42"/>
      <c r="G14" s="59"/>
      <c r="H14" s="59"/>
      <c r="I14" s="59"/>
    </row>
    <row r="15" spans="1:23" x14ac:dyDescent="0.25">
      <c r="A15" s="154" t="s">
        <v>794</v>
      </c>
      <c r="B15" s="155">
        <v>1</v>
      </c>
      <c r="C15" s="156"/>
      <c r="D15" s="156"/>
      <c r="E15" s="42" t="s">
        <v>795</v>
      </c>
      <c r="F15" s="42" t="s">
        <v>418</v>
      </c>
      <c r="G15" s="59">
        <v>0.25</v>
      </c>
      <c r="H15" s="59">
        <v>0.25</v>
      </c>
      <c r="I15" s="59">
        <v>1</v>
      </c>
    </row>
    <row r="16" spans="1:23" x14ac:dyDescent="0.25">
      <c r="A16" s="150"/>
      <c r="B16" s="150"/>
      <c r="C16" s="150"/>
      <c r="D16" s="150"/>
      <c r="E16" s="42" t="s">
        <v>796</v>
      </c>
      <c r="F16" s="42" t="s">
        <v>797</v>
      </c>
      <c r="G16" s="59"/>
      <c r="H16" s="59"/>
      <c r="I16" s="59"/>
    </row>
    <row r="17" spans="1:9" x14ac:dyDescent="0.25">
      <c r="A17" s="150"/>
      <c r="B17" s="150"/>
      <c r="C17" s="150"/>
      <c r="D17" s="150"/>
      <c r="E17" s="42" t="s">
        <v>798</v>
      </c>
      <c r="F17" s="42" t="s">
        <v>799</v>
      </c>
      <c r="G17" s="59"/>
      <c r="H17" s="59"/>
      <c r="I17" s="59"/>
    </row>
    <row r="18" spans="1:9" x14ac:dyDescent="0.25">
      <c r="A18" s="147"/>
      <c r="B18" s="147"/>
      <c r="C18" s="147"/>
      <c r="D18" s="147"/>
      <c r="E18" s="42" t="s">
        <v>800</v>
      </c>
      <c r="F18" s="42" t="s">
        <v>799</v>
      </c>
      <c r="G18" s="59"/>
      <c r="H18" s="59"/>
      <c r="I18" s="59"/>
    </row>
    <row r="19" spans="1:9" x14ac:dyDescent="0.25">
      <c r="A19" s="41" t="s">
        <v>415</v>
      </c>
      <c r="B19" s="54">
        <f>SUM(B20:B22)/3</f>
        <v>1</v>
      </c>
      <c r="C19" s="55">
        <f>D19*B19</f>
        <v>0.2</v>
      </c>
      <c r="D19" s="56">
        <v>0.2</v>
      </c>
      <c r="E19" s="57"/>
      <c r="F19" s="57"/>
      <c r="G19" s="58"/>
      <c r="H19" s="58"/>
      <c r="I19" s="58"/>
    </row>
    <row r="20" spans="1:9" x14ac:dyDescent="0.25">
      <c r="A20" s="42" t="s">
        <v>801</v>
      </c>
      <c r="B20" s="59">
        <v>1</v>
      </c>
      <c r="C20" s="60"/>
      <c r="D20" s="60"/>
      <c r="E20" s="42" t="s">
        <v>802</v>
      </c>
      <c r="F20" s="42" t="s">
        <v>425</v>
      </c>
      <c r="G20" s="59">
        <v>1</v>
      </c>
      <c r="H20" s="59"/>
      <c r="I20" s="59"/>
    </row>
    <row r="21" spans="1:9" x14ac:dyDescent="0.25">
      <c r="A21" s="42" t="s">
        <v>803</v>
      </c>
      <c r="B21" s="59">
        <v>1</v>
      </c>
      <c r="C21" s="60"/>
      <c r="D21" s="60"/>
      <c r="E21" s="7" t="s">
        <v>804</v>
      </c>
      <c r="F21" s="42" t="s">
        <v>741</v>
      </c>
      <c r="G21" s="59"/>
      <c r="H21" s="59"/>
      <c r="I21" s="59"/>
    </row>
    <row r="22" spans="1:9" x14ac:dyDescent="0.25">
      <c r="A22" s="42" t="s">
        <v>805</v>
      </c>
      <c r="B22" s="59">
        <v>1</v>
      </c>
      <c r="C22" s="60"/>
      <c r="D22" s="60"/>
      <c r="E22" s="42" t="s">
        <v>806</v>
      </c>
      <c r="F22" s="42" t="s">
        <v>425</v>
      </c>
      <c r="G22" s="59"/>
      <c r="H22" s="59"/>
      <c r="I22" s="59"/>
    </row>
    <row r="23" spans="1:9" x14ac:dyDescent="0.25">
      <c r="A23" s="41" t="s">
        <v>385</v>
      </c>
      <c r="B23" s="54">
        <f>SUM(B24:B25)/2</f>
        <v>1</v>
      </c>
      <c r="C23" s="55">
        <f>D23*B23</f>
        <v>0.1</v>
      </c>
      <c r="D23" s="56">
        <v>0.1</v>
      </c>
      <c r="E23" s="57"/>
      <c r="F23" s="57"/>
      <c r="G23" s="58"/>
      <c r="H23" s="58"/>
      <c r="I23" s="58"/>
    </row>
    <row r="24" spans="1:9" x14ac:dyDescent="0.25">
      <c r="A24" s="42" t="s">
        <v>386</v>
      </c>
      <c r="B24" s="59">
        <v>1</v>
      </c>
      <c r="C24" s="60"/>
      <c r="D24" s="53"/>
      <c r="E24" s="42"/>
      <c r="F24" s="42" t="s">
        <v>418</v>
      </c>
      <c r="G24" s="59">
        <v>0.8</v>
      </c>
      <c r="H24" s="59">
        <v>0.8</v>
      </c>
      <c r="I24" s="59">
        <v>1</v>
      </c>
    </row>
    <row r="25" spans="1:9" x14ac:dyDescent="0.25">
      <c r="A25" s="42" t="s">
        <v>387</v>
      </c>
      <c r="B25" s="59">
        <v>1</v>
      </c>
      <c r="C25" s="60"/>
      <c r="D25" s="53"/>
      <c r="E25" s="42"/>
      <c r="F25" s="42" t="s">
        <v>419</v>
      </c>
      <c r="G25" s="59">
        <v>0.8</v>
      </c>
      <c r="H25" s="59">
        <v>0.8</v>
      </c>
      <c r="I25" s="59">
        <v>1</v>
      </c>
    </row>
    <row r="26" spans="1:9" x14ac:dyDescent="0.25">
      <c r="A26" s="42"/>
      <c r="B26" s="60"/>
      <c r="C26" s="64">
        <f t="shared" ref="C26:D26" si="0">SUM(C4+C19+C23)</f>
        <v>0.99999999999999989</v>
      </c>
      <c r="D26" s="64">
        <f t="shared" si="0"/>
        <v>0.99999999999999989</v>
      </c>
      <c r="E26" s="42"/>
      <c r="F26" s="42"/>
      <c r="G26" s="60"/>
      <c r="H26" s="60"/>
      <c r="I26" s="60"/>
    </row>
    <row r="27" spans="1:9" x14ac:dyDescent="0.25">
      <c r="A27" s="152" t="s">
        <v>807</v>
      </c>
      <c r="B27" s="142"/>
      <c r="C27" s="142"/>
      <c r="D27" s="142"/>
      <c r="E27" s="142"/>
      <c r="F27" s="142"/>
      <c r="G27" s="142"/>
      <c r="H27" s="142"/>
      <c r="I27" s="143"/>
    </row>
    <row r="28" spans="1:9" x14ac:dyDescent="0.25">
      <c r="A28" s="66" t="s">
        <v>808</v>
      </c>
      <c r="B28" s="67" t="s">
        <v>427</v>
      </c>
      <c r="C28" s="64"/>
      <c r="D28" s="64"/>
      <c r="E28" s="68" t="s">
        <v>84</v>
      </c>
      <c r="F28" s="42" t="s">
        <v>425</v>
      </c>
      <c r="G28" s="42"/>
      <c r="H28" s="60"/>
      <c r="I28" s="60"/>
    </row>
    <row r="29" spans="1:9" x14ac:dyDescent="0.25">
      <c r="A29" s="66"/>
      <c r="B29" s="67"/>
      <c r="C29" s="64"/>
      <c r="D29" s="64"/>
      <c r="E29" s="68"/>
      <c r="F29" s="42"/>
      <c r="G29" s="42"/>
      <c r="H29" s="60"/>
      <c r="I29" s="60"/>
    </row>
    <row r="30" spans="1:9" x14ac:dyDescent="0.25">
      <c r="A30" s="66"/>
      <c r="B30" s="67"/>
      <c r="C30" s="64"/>
      <c r="D30" s="64"/>
      <c r="E30" s="68"/>
      <c r="F30" s="42"/>
      <c r="G30" s="42"/>
      <c r="H30" s="60"/>
      <c r="I30" s="60"/>
    </row>
    <row r="31" spans="1:9" x14ac:dyDescent="0.25">
      <c r="A31" s="66"/>
      <c r="B31" s="67"/>
      <c r="C31" s="64"/>
      <c r="D31" s="64"/>
      <c r="E31" s="68"/>
      <c r="F31" s="42"/>
      <c r="G31" s="42"/>
      <c r="H31" s="60"/>
      <c r="I31" s="60"/>
    </row>
    <row r="32" spans="1:9" x14ac:dyDescent="0.25">
      <c r="A32" s="7"/>
      <c r="E32" s="7"/>
      <c r="F32" s="7"/>
    </row>
    <row r="33" spans="1:9" x14ac:dyDescent="0.25">
      <c r="A33" s="7"/>
      <c r="E33" s="7"/>
      <c r="F33" s="7"/>
    </row>
    <row r="34" spans="1:9" x14ac:dyDescent="0.25">
      <c r="A34" s="7"/>
      <c r="E34" s="7"/>
      <c r="F34" s="7"/>
      <c r="G34" s="19">
        <v>3.5</v>
      </c>
      <c r="H34" s="19">
        <v>4</v>
      </c>
      <c r="I34" s="19">
        <v>5</v>
      </c>
    </row>
    <row r="35" spans="1:9" x14ac:dyDescent="0.25">
      <c r="A35" s="7"/>
      <c r="E35" s="7"/>
      <c r="F35" s="7"/>
    </row>
    <row r="36" spans="1:9" x14ac:dyDescent="0.25">
      <c r="A36" s="7"/>
      <c r="E36" s="7"/>
      <c r="F36" s="7"/>
    </row>
    <row r="37" spans="1:9" x14ac:dyDescent="0.25">
      <c r="A37" s="7"/>
      <c r="E37" s="7"/>
      <c r="F37" s="7"/>
    </row>
    <row r="38" spans="1:9" x14ac:dyDescent="0.25">
      <c r="A38" s="7"/>
      <c r="E38" s="7"/>
      <c r="F38" s="7"/>
    </row>
    <row r="39" spans="1:9" x14ac:dyDescent="0.25">
      <c r="A39" s="7"/>
      <c r="E39" s="7"/>
      <c r="F39" s="7"/>
    </row>
    <row r="40" spans="1:9" x14ac:dyDescent="0.25">
      <c r="A40" s="7"/>
      <c r="E40" s="7"/>
      <c r="F40" s="7"/>
    </row>
    <row r="41" spans="1:9" x14ac:dyDescent="0.25">
      <c r="A41" s="7"/>
      <c r="E41" s="7"/>
      <c r="F41" s="7"/>
    </row>
    <row r="42" spans="1:9" x14ac:dyDescent="0.25">
      <c r="A42" s="7"/>
      <c r="E42" s="7"/>
      <c r="F42" s="7"/>
    </row>
    <row r="43" spans="1:9" x14ac:dyDescent="0.25">
      <c r="A43" s="7"/>
      <c r="E43" s="7"/>
      <c r="F43" s="7"/>
    </row>
    <row r="44" spans="1:9" x14ac:dyDescent="0.25">
      <c r="A44" s="7"/>
      <c r="E44" s="7"/>
      <c r="F44" s="7"/>
    </row>
    <row r="45" spans="1:9" x14ac:dyDescent="0.25">
      <c r="A45" s="7"/>
      <c r="E45" s="7"/>
      <c r="F45" s="7"/>
    </row>
    <row r="46" spans="1:9" x14ac:dyDescent="0.25">
      <c r="A46" s="7"/>
      <c r="E46" s="7"/>
      <c r="F46" s="7"/>
    </row>
    <row r="47" spans="1:9" x14ac:dyDescent="0.25">
      <c r="A47" s="7"/>
      <c r="E47" s="7"/>
      <c r="F47" s="7"/>
    </row>
    <row r="48" spans="1:9" x14ac:dyDescent="0.25">
      <c r="A48" s="7"/>
      <c r="E48" s="7"/>
      <c r="F48" s="7"/>
    </row>
    <row r="49" spans="1:6" x14ac:dyDescent="0.25">
      <c r="A49" s="7"/>
      <c r="E49" s="7"/>
      <c r="F49" s="7"/>
    </row>
    <row r="50" spans="1:6" x14ac:dyDescent="0.25">
      <c r="A50" s="7"/>
      <c r="E50" s="7"/>
      <c r="F50" s="7"/>
    </row>
    <row r="51" spans="1:6" x14ac:dyDescent="0.25">
      <c r="A51" s="7"/>
      <c r="E51" s="7"/>
      <c r="F51" s="7"/>
    </row>
    <row r="52" spans="1:6" x14ac:dyDescent="0.25">
      <c r="A52" s="7"/>
      <c r="E52" s="7"/>
      <c r="F52" s="7"/>
    </row>
    <row r="53" spans="1:6" x14ac:dyDescent="0.25">
      <c r="A53" s="7"/>
      <c r="E53" s="7"/>
      <c r="F53" s="7"/>
    </row>
    <row r="54" spans="1:6" x14ac:dyDescent="0.25">
      <c r="A54" s="7"/>
      <c r="E54" s="7"/>
      <c r="F54" s="7"/>
    </row>
    <row r="55" spans="1:6" x14ac:dyDescent="0.25">
      <c r="A55" s="7"/>
      <c r="E55" s="7"/>
      <c r="F55" s="7"/>
    </row>
    <row r="56" spans="1:6" x14ac:dyDescent="0.25">
      <c r="A56" s="7"/>
      <c r="E56" s="7"/>
      <c r="F56" s="7"/>
    </row>
    <row r="57" spans="1:6" x14ac:dyDescent="0.25">
      <c r="A57" s="7"/>
      <c r="E57" s="7"/>
      <c r="F57" s="7"/>
    </row>
    <row r="58" spans="1:6" x14ac:dyDescent="0.25">
      <c r="A58" s="7"/>
      <c r="E58" s="7"/>
      <c r="F58" s="7"/>
    </row>
    <row r="59" spans="1:6" x14ac:dyDescent="0.25">
      <c r="A59" s="7"/>
      <c r="E59" s="7"/>
      <c r="F59" s="7"/>
    </row>
    <row r="60" spans="1:6" x14ac:dyDescent="0.25">
      <c r="A60" s="7"/>
      <c r="E60" s="7"/>
      <c r="F60" s="7"/>
    </row>
    <row r="61" spans="1:6" x14ac:dyDescent="0.25">
      <c r="A61" s="7"/>
      <c r="E61" s="7"/>
      <c r="F61" s="7"/>
    </row>
    <row r="62" spans="1:6" x14ac:dyDescent="0.25">
      <c r="A62" s="7"/>
      <c r="E62" s="7"/>
      <c r="F62" s="7"/>
    </row>
    <row r="63" spans="1:6" x14ac:dyDescent="0.25">
      <c r="A63" s="7"/>
      <c r="E63" s="7"/>
      <c r="F63" s="7"/>
    </row>
    <row r="64" spans="1:6" x14ac:dyDescent="0.25">
      <c r="A64" s="7"/>
      <c r="E64" s="7"/>
      <c r="F64" s="7"/>
    </row>
    <row r="65" spans="1:6" x14ac:dyDescent="0.25">
      <c r="A65" s="7"/>
      <c r="E65" s="7"/>
      <c r="F65" s="7"/>
    </row>
    <row r="66" spans="1:6" x14ac:dyDescent="0.25">
      <c r="A66" s="7"/>
      <c r="E66" s="7"/>
      <c r="F66" s="7"/>
    </row>
    <row r="67" spans="1:6" x14ac:dyDescent="0.25">
      <c r="A67" s="7"/>
      <c r="E67" s="7"/>
      <c r="F67" s="7"/>
    </row>
    <row r="68" spans="1:6" x14ac:dyDescent="0.25">
      <c r="A68" s="7"/>
      <c r="E68" s="7"/>
      <c r="F68" s="7"/>
    </row>
    <row r="69" spans="1:6" x14ac:dyDescent="0.25">
      <c r="A69" s="7"/>
      <c r="E69" s="7"/>
      <c r="F69" s="7"/>
    </row>
    <row r="70" spans="1:6" x14ac:dyDescent="0.25">
      <c r="A70" s="7"/>
      <c r="E70" s="7"/>
      <c r="F70" s="7"/>
    </row>
    <row r="71" spans="1:6" x14ac:dyDescent="0.25">
      <c r="A71" s="7"/>
      <c r="E71" s="7"/>
      <c r="F71" s="7"/>
    </row>
    <row r="72" spans="1:6" x14ac:dyDescent="0.25">
      <c r="A72" s="7"/>
      <c r="E72" s="7"/>
      <c r="F72" s="7"/>
    </row>
    <row r="73" spans="1:6" x14ac:dyDescent="0.25">
      <c r="A73" s="7"/>
      <c r="E73" s="7"/>
      <c r="F73" s="7"/>
    </row>
    <row r="74" spans="1:6" x14ac:dyDescent="0.25">
      <c r="A74" s="7"/>
      <c r="E74" s="7"/>
      <c r="F74" s="7"/>
    </row>
    <row r="75" spans="1:6" x14ac:dyDescent="0.25">
      <c r="A75" s="7"/>
      <c r="E75" s="7"/>
      <c r="F75" s="7"/>
    </row>
    <row r="76" spans="1:6" x14ac:dyDescent="0.25">
      <c r="A76" s="7"/>
      <c r="E76" s="7"/>
      <c r="F76" s="7"/>
    </row>
    <row r="77" spans="1:6" x14ac:dyDescent="0.25">
      <c r="A77" s="7"/>
      <c r="E77" s="7"/>
      <c r="F77" s="7"/>
    </row>
    <row r="78" spans="1:6" x14ac:dyDescent="0.25">
      <c r="A78" s="7"/>
      <c r="E78" s="7"/>
      <c r="F78" s="7"/>
    </row>
    <row r="79" spans="1:6" x14ac:dyDescent="0.25">
      <c r="A79" s="7"/>
      <c r="E79" s="7"/>
      <c r="F79" s="7"/>
    </row>
    <row r="80" spans="1:6" x14ac:dyDescent="0.25">
      <c r="A80" s="7"/>
      <c r="E80" s="7"/>
      <c r="F80" s="7"/>
    </row>
    <row r="81" spans="1:6" x14ac:dyDescent="0.25">
      <c r="A81" s="7"/>
      <c r="E81" s="7"/>
      <c r="F81" s="7"/>
    </row>
    <row r="82" spans="1:6" x14ac:dyDescent="0.25">
      <c r="A82" s="7"/>
      <c r="E82" s="7"/>
      <c r="F82" s="7"/>
    </row>
    <row r="83" spans="1:6" x14ac:dyDescent="0.25">
      <c r="A83" s="7"/>
      <c r="E83" s="7"/>
      <c r="F83" s="7"/>
    </row>
    <row r="84" spans="1:6" x14ac:dyDescent="0.25">
      <c r="A84" s="7"/>
      <c r="E84" s="7"/>
      <c r="F84" s="7"/>
    </row>
    <row r="85" spans="1:6" x14ac:dyDescent="0.25">
      <c r="A85" s="7"/>
      <c r="E85" s="7"/>
      <c r="F85" s="7"/>
    </row>
    <row r="86" spans="1:6" x14ac:dyDescent="0.25">
      <c r="A86" s="7"/>
      <c r="E86" s="7"/>
      <c r="F86" s="7"/>
    </row>
    <row r="87" spans="1:6" x14ac:dyDescent="0.25">
      <c r="A87" s="7"/>
      <c r="E87" s="7"/>
      <c r="F87" s="7"/>
    </row>
    <row r="88" spans="1:6" x14ac:dyDescent="0.25">
      <c r="A88" s="7"/>
      <c r="E88" s="7"/>
      <c r="F88" s="7"/>
    </row>
    <row r="89" spans="1:6" x14ac:dyDescent="0.25">
      <c r="A89" s="7"/>
      <c r="E89" s="7"/>
      <c r="F89" s="7"/>
    </row>
    <row r="90" spans="1:6" x14ac:dyDescent="0.25">
      <c r="A90" s="7"/>
      <c r="E90" s="7"/>
      <c r="F90" s="7"/>
    </row>
    <row r="91" spans="1:6" x14ac:dyDescent="0.25">
      <c r="A91" s="7"/>
      <c r="E91" s="7"/>
      <c r="F91" s="7"/>
    </row>
    <row r="92" spans="1:6" x14ac:dyDescent="0.25">
      <c r="A92" s="7"/>
      <c r="E92" s="7"/>
      <c r="F92" s="7"/>
    </row>
    <row r="93" spans="1:6" x14ac:dyDescent="0.25">
      <c r="A93" s="7"/>
      <c r="E93" s="7"/>
      <c r="F93" s="7"/>
    </row>
    <row r="94" spans="1:6" x14ac:dyDescent="0.25">
      <c r="A94" s="7"/>
      <c r="E94" s="7"/>
      <c r="F94" s="7"/>
    </row>
    <row r="95" spans="1:6" x14ac:dyDescent="0.25">
      <c r="A95" s="7"/>
      <c r="E95" s="7"/>
      <c r="F95" s="7"/>
    </row>
    <row r="96" spans="1:6" x14ac:dyDescent="0.25">
      <c r="A96" s="7"/>
      <c r="E96" s="7"/>
      <c r="F96" s="7"/>
    </row>
    <row r="97" spans="1:6" x14ac:dyDescent="0.25">
      <c r="A97" s="7"/>
      <c r="E97" s="7"/>
      <c r="F97" s="7"/>
    </row>
    <row r="98" spans="1:6" x14ac:dyDescent="0.25">
      <c r="A98" s="7"/>
      <c r="E98" s="7"/>
      <c r="F98" s="7"/>
    </row>
    <row r="99" spans="1:6" x14ac:dyDescent="0.25">
      <c r="A99" s="7"/>
      <c r="E99" s="7"/>
      <c r="F99" s="7"/>
    </row>
    <row r="100" spans="1:6" x14ac:dyDescent="0.25">
      <c r="A100" s="7"/>
      <c r="E100" s="7"/>
      <c r="F100" s="7"/>
    </row>
    <row r="101" spans="1:6" x14ac:dyDescent="0.25">
      <c r="A101" s="7"/>
      <c r="E101" s="7"/>
      <c r="F101" s="7"/>
    </row>
    <row r="102" spans="1:6" x14ac:dyDescent="0.25">
      <c r="A102" s="7"/>
      <c r="E102" s="7"/>
      <c r="F102" s="7"/>
    </row>
    <row r="103" spans="1:6" x14ac:dyDescent="0.25">
      <c r="A103" s="7"/>
      <c r="E103" s="7"/>
      <c r="F103" s="7"/>
    </row>
    <row r="104" spans="1:6" x14ac:dyDescent="0.25">
      <c r="A104" s="7"/>
      <c r="E104" s="7"/>
      <c r="F104" s="7"/>
    </row>
    <row r="105" spans="1:6" x14ac:dyDescent="0.25">
      <c r="A105" s="7"/>
      <c r="E105" s="7"/>
      <c r="F105" s="7"/>
    </row>
    <row r="106" spans="1:6" x14ac:dyDescent="0.25">
      <c r="A106" s="7"/>
      <c r="E106" s="7"/>
      <c r="F106" s="7"/>
    </row>
    <row r="107" spans="1:6" x14ac:dyDescent="0.25">
      <c r="A107" s="7"/>
      <c r="E107" s="7"/>
      <c r="F107" s="7"/>
    </row>
    <row r="108" spans="1:6" x14ac:dyDescent="0.25">
      <c r="A108" s="7"/>
      <c r="E108" s="7"/>
      <c r="F108" s="7"/>
    </row>
    <row r="109" spans="1:6" x14ac:dyDescent="0.25">
      <c r="A109" s="7"/>
      <c r="E109" s="7"/>
      <c r="F109" s="7"/>
    </row>
    <row r="110" spans="1:6" x14ac:dyDescent="0.25">
      <c r="A110" s="7"/>
      <c r="E110" s="7"/>
      <c r="F110" s="7"/>
    </row>
    <row r="111" spans="1:6" x14ac:dyDescent="0.25">
      <c r="A111" s="7"/>
      <c r="E111" s="7"/>
      <c r="F111" s="7"/>
    </row>
    <row r="112" spans="1:6" x14ac:dyDescent="0.25">
      <c r="A112" s="7"/>
      <c r="E112" s="7"/>
      <c r="F112" s="7"/>
    </row>
    <row r="113" spans="1:6" x14ac:dyDescent="0.25">
      <c r="A113" s="7"/>
      <c r="E113" s="7"/>
      <c r="F113" s="7"/>
    </row>
    <row r="114" spans="1:6" x14ac:dyDescent="0.25">
      <c r="A114" s="7"/>
      <c r="E114" s="7"/>
      <c r="F114" s="7"/>
    </row>
    <row r="115" spans="1:6" x14ac:dyDescent="0.25">
      <c r="A115" s="7"/>
      <c r="E115" s="7"/>
      <c r="F115" s="7"/>
    </row>
    <row r="116" spans="1:6" x14ac:dyDescent="0.25">
      <c r="A116" s="7"/>
      <c r="E116" s="7"/>
      <c r="F116" s="7"/>
    </row>
    <row r="117" spans="1:6" x14ac:dyDescent="0.25">
      <c r="A117" s="7"/>
      <c r="E117" s="7"/>
      <c r="F117" s="7"/>
    </row>
    <row r="118" spans="1:6" x14ac:dyDescent="0.25">
      <c r="A118" s="7"/>
      <c r="E118" s="7"/>
      <c r="F118" s="7"/>
    </row>
    <row r="119" spans="1:6" x14ac:dyDescent="0.25">
      <c r="A119" s="7"/>
      <c r="E119" s="7"/>
      <c r="F119" s="7"/>
    </row>
    <row r="120" spans="1:6" x14ac:dyDescent="0.25">
      <c r="A120" s="7"/>
      <c r="E120" s="7"/>
      <c r="F120" s="7"/>
    </row>
    <row r="121" spans="1:6" x14ac:dyDescent="0.25">
      <c r="A121" s="7"/>
      <c r="E121" s="7"/>
      <c r="F121" s="7"/>
    </row>
    <row r="122" spans="1:6" x14ac:dyDescent="0.25">
      <c r="A122" s="7"/>
      <c r="E122" s="7"/>
      <c r="F122" s="7"/>
    </row>
    <row r="123" spans="1:6" x14ac:dyDescent="0.25">
      <c r="A123" s="7"/>
      <c r="E123" s="7"/>
      <c r="F123" s="7"/>
    </row>
    <row r="124" spans="1:6" x14ac:dyDescent="0.25">
      <c r="A124" s="7"/>
      <c r="E124" s="7"/>
      <c r="F124" s="7"/>
    </row>
    <row r="125" spans="1:6" x14ac:dyDescent="0.25">
      <c r="A125" s="7"/>
      <c r="E125" s="7"/>
      <c r="F125" s="7"/>
    </row>
    <row r="126" spans="1:6" x14ac:dyDescent="0.25">
      <c r="A126" s="7"/>
      <c r="E126" s="7"/>
      <c r="F126" s="7"/>
    </row>
    <row r="127" spans="1:6" x14ac:dyDescent="0.25">
      <c r="A127" s="7"/>
      <c r="E127" s="7"/>
      <c r="F127" s="7"/>
    </row>
    <row r="128" spans="1:6" x14ac:dyDescent="0.25">
      <c r="A128" s="7"/>
      <c r="E128" s="7"/>
      <c r="F128" s="7"/>
    </row>
    <row r="129" spans="1:6" x14ac:dyDescent="0.25">
      <c r="A129" s="7"/>
      <c r="E129" s="7"/>
      <c r="F129" s="7"/>
    </row>
    <row r="130" spans="1:6" x14ac:dyDescent="0.25">
      <c r="A130" s="7"/>
      <c r="E130" s="7"/>
      <c r="F130" s="7"/>
    </row>
    <row r="131" spans="1:6" x14ac:dyDescent="0.25">
      <c r="A131" s="7"/>
      <c r="E131" s="7"/>
      <c r="F131" s="7"/>
    </row>
    <row r="132" spans="1:6" x14ac:dyDescent="0.25">
      <c r="A132" s="7"/>
      <c r="E132" s="7"/>
      <c r="F132" s="7"/>
    </row>
    <row r="133" spans="1:6" x14ac:dyDescent="0.25">
      <c r="A133" s="7"/>
      <c r="E133" s="7"/>
      <c r="F133" s="7"/>
    </row>
    <row r="134" spans="1:6" x14ac:dyDescent="0.25">
      <c r="A134" s="7"/>
      <c r="E134" s="7"/>
      <c r="F134" s="7"/>
    </row>
    <row r="135" spans="1:6" x14ac:dyDescent="0.25">
      <c r="A135" s="7"/>
      <c r="E135" s="7"/>
      <c r="F135" s="7"/>
    </row>
    <row r="136" spans="1:6" x14ac:dyDescent="0.25">
      <c r="A136" s="7"/>
      <c r="E136" s="7"/>
      <c r="F136" s="7"/>
    </row>
    <row r="137" spans="1:6" x14ac:dyDescent="0.25">
      <c r="A137" s="7"/>
      <c r="E137" s="7"/>
      <c r="F137" s="7"/>
    </row>
    <row r="138" spans="1:6" x14ac:dyDescent="0.25">
      <c r="A138" s="7"/>
      <c r="E138" s="7"/>
      <c r="F138" s="7"/>
    </row>
    <row r="139" spans="1:6" x14ac:dyDescent="0.25">
      <c r="A139" s="7"/>
      <c r="E139" s="7"/>
      <c r="F139" s="7"/>
    </row>
    <row r="140" spans="1:6" x14ac:dyDescent="0.25">
      <c r="A140" s="7"/>
      <c r="E140" s="7"/>
      <c r="F140" s="7"/>
    </row>
    <row r="141" spans="1:6" x14ac:dyDescent="0.25">
      <c r="A141" s="7"/>
      <c r="E141" s="7"/>
      <c r="F141" s="7"/>
    </row>
    <row r="142" spans="1:6" x14ac:dyDescent="0.25">
      <c r="A142" s="7"/>
      <c r="E142" s="7"/>
      <c r="F142" s="7"/>
    </row>
    <row r="143" spans="1:6" x14ac:dyDescent="0.25">
      <c r="A143" s="7"/>
      <c r="E143" s="7"/>
      <c r="F143" s="7"/>
    </row>
    <row r="144" spans="1:6" x14ac:dyDescent="0.25">
      <c r="A144" s="7"/>
      <c r="E144" s="7"/>
      <c r="F144" s="7"/>
    </row>
    <row r="145" spans="1:6" x14ac:dyDescent="0.25">
      <c r="A145" s="7"/>
      <c r="E145" s="7"/>
      <c r="F145" s="7"/>
    </row>
    <row r="146" spans="1:6" x14ac:dyDescent="0.25">
      <c r="A146" s="7"/>
      <c r="E146" s="7"/>
      <c r="F146" s="7"/>
    </row>
    <row r="147" spans="1:6" x14ac:dyDescent="0.25">
      <c r="A147" s="7"/>
      <c r="E147" s="7"/>
      <c r="F147" s="7"/>
    </row>
    <row r="148" spans="1:6" x14ac:dyDescent="0.25">
      <c r="A148" s="7"/>
      <c r="E148" s="7"/>
      <c r="F148" s="7"/>
    </row>
    <row r="149" spans="1:6" x14ac:dyDescent="0.25">
      <c r="A149" s="7"/>
      <c r="E149" s="7"/>
      <c r="F149" s="7"/>
    </row>
    <row r="150" spans="1:6" x14ac:dyDescent="0.25">
      <c r="A150" s="7"/>
      <c r="E150" s="7"/>
      <c r="F150" s="7"/>
    </row>
    <row r="151" spans="1:6" x14ac:dyDescent="0.25">
      <c r="A151" s="7"/>
      <c r="E151" s="7"/>
      <c r="F151" s="7"/>
    </row>
    <row r="152" spans="1:6" x14ac:dyDescent="0.25">
      <c r="A152" s="7"/>
      <c r="E152" s="7"/>
      <c r="F152" s="7"/>
    </row>
    <row r="153" spans="1:6" x14ac:dyDescent="0.25">
      <c r="A153" s="7"/>
      <c r="E153" s="7"/>
      <c r="F153" s="7"/>
    </row>
    <row r="154" spans="1:6" x14ac:dyDescent="0.25">
      <c r="A154" s="7"/>
      <c r="E154" s="7"/>
      <c r="F154" s="7"/>
    </row>
    <row r="155" spans="1:6" x14ac:dyDescent="0.25">
      <c r="A155" s="7"/>
      <c r="E155" s="7"/>
      <c r="F155" s="7"/>
    </row>
    <row r="156" spans="1:6" x14ac:dyDescent="0.25">
      <c r="A156" s="7"/>
      <c r="E156" s="7"/>
      <c r="F156" s="7"/>
    </row>
    <row r="157" spans="1:6" x14ac:dyDescent="0.25">
      <c r="A157" s="7"/>
      <c r="E157" s="7"/>
      <c r="F157" s="7"/>
    </row>
    <row r="158" spans="1:6" x14ac:dyDescent="0.25">
      <c r="A158" s="7"/>
      <c r="E158" s="7"/>
      <c r="F158" s="7"/>
    </row>
    <row r="159" spans="1:6" x14ac:dyDescent="0.25">
      <c r="A159" s="7"/>
      <c r="E159" s="7"/>
      <c r="F159" s="7"/>
    </row>
    <row r="160" spans="1:6" x14ac:dyDescent="0.25">
      <c r="A160" s="7"/>
      <c r="E160" s="7"/>
      <c r="F160" s="7"/>
    </row>
    <row r="161" spans="1:6" x14ac:dyDescent="0.25">
      <c r="A161" s="7"/>
      <c r="E161" s="7"/>
      <c r="F161" s="7"/>
    </row>
    <row r="162" spans="1:6" x14ac:dyDescent="0.25">
      <c r="A162" s="7"/>
      <c r="E162" s="7"/>
      <c r="F162" s="7"/>
    </row>
    <row r="163" spans="1:6" x14ac:dyDescent="0.25">
      <c r="A163" s="7"/>
      <c r="E163" s="7"/>
      <c r="F163" s="7"/>
    </row>
    <row r="164" spans="1:6" x14ac:dyDescent="0.25">
      <c r="A164" s="7"/>
      <c r="E164" s="7"/>
      <c r="F164" s="7"/>
    </row>
    <row r="165" spans="1:6" x14ac:dyDescent="0.25">
      <c r="A165" s="7"/>
      <c r="E165" s="7"/>
      <c r="F165" s="7"/>
    </row>
    <row r="166" spans="1:6" x14ac:dyDescent="0.25">
      <c r="A166" s="7"/>
      <c r="E166" s="7"/>
      <c r="F166" s="7"/>
    </row>
    <row r="167" spans="1:6" x14ac:dyDescent="0.25">
      <c r="A167" s="7"/>
      <c r="E167" s="7"/>
      <c r="F167" s="7"/>
    </row>
    <row r="168" spans="1:6" x14ac:dyDescent="0.25">
      <c r="A168" s="7"/>
      <c r="E168" s="7"/>
      <c r="F168" s="7"/>
    </row>
    <row r="169" spans="1:6" x14ac:dyDescent="0.25">
      <c r="A169" s="7"/>
      <c r="E169" s="7"/>
      <c r="F169" s="7"/>
    </row>
    <row r="170" spans="1:6" x14ac:dyDescent="0.25">
      <c r="A170" s="7"/>
      <c r="E170" s="7"/>
      <c r="F170" s="7"/>
    </row>
    <row r="171" spans="1:6" x14ac:dyDescent="0.25">
      <c r="A171" s="7"/>
      <c r="E171" s="7"/>
      <c r="F171" s="7"/>
    </row>
    <row r="172" spans="1:6" x14ac:dyDescent="0.25">
      <c r="A172" s="7"/>
      <c r="E172" s="7"/>
      <c r="F172" s="7"/>
    </row>
    <row r="173" spans="1:6" x14ac:dyDescent="0.25">
      <c r="A173" s="7"/>
      <c r="E173" s="7"/>
      <c r="F173" s="7"/>
    </row>
    <row r="174" spans="1:6" x14ac:dyDescent="0.25">
      <c r="A174" s="7"/>
      <c r="E174" s="7"/>
      <c r="F174" s="7"/>
    </row>
    <row r="175" spans="1:6" x14ac:dyDescent="0.25">
      <c r="A175" s="7"/>
      <c r="E175" s="7"/>
      <c r="F175" s="7"/>
    </row>
    <row r="176" spans="1:6" x14ac:dyDescent="0.25">
      <c r="A176" s="7"/>
      <c r="E176" s="7"/>
      <c r="F176" s="7"/>
    </row>
    <row r="177" spans="1:6" x14ac:dyDescent="0.25">
      <c r="A177" s="7"/>
      <c r="E177" s="7"/>
      <c r="F177" s="7"/>
    </row>
    <row r="178" spans="1:6" x14ac:dyDescent="0.25">
      <c r="A178" s="7"/>
      <c r="E178" s="7"/>
      <c r="F178" s="7"/>
    </row>
    <row r="179" spans="1:6" x14ac:dyDescent="0.25">
      <c r="A179" s="7"/>
      <c r="E179" s="7"/>
      <c r="F179" s="7"/>
    </row>
    <row r="180" spans="1:6" x14ac:dyDescent="0.25">
      <c r="A180" s="7"/>
      <c r="E180" s="7"/>
      <c r="F180" s="7"/>
    </row>
    <row r="181" spans="1:6" x14ac:dyDescent="0.25">
      <c r="A181" s="7"/>
      <c r="E181" s="7"/>
      <c r="F181" s="7"/>
    </row>
    <row r="182" spans="1:6" x14ac:dyDescent="0.25">
      <c r="A182" s="7"/>
      <c r="E182" s="7"/>
      <c r="F182" s="7"/>
    </row>
    <row r="183" spans="1:6" x14ac:dyDescent="0.25">
      <c r="A183" s="7"/>
      <c r="E183" s="7"/>
      <c r="F183" s="7"/>
    </row>
    <row r="184" spans="1:6" x14ac:dyDescent="0.25">
      <c r="A184" s="7"/>
      <c r="E184" s="7"/>
      <c r="F184" s="7"/>
    </row>
    <row r="185" spans="1:6" x14ac:dyDescent="0.25">
      <c r="A185" s="7"/>
      <c r="E185" s="7"/>
      <c r="F185" s="7"/>
    </row>
    <row r="186" spans="1:6" x14ac:dyDescent="0.25">
      <c r="A186" s="7"/>
      <c r="E186" s="7"/>
      <c r="F186" s="7"/>
    </row>
    <row r="187" spans="1:6" x14ac:dyDescent="0.25">
      <c r="A187" s="7"/>
      <c r="E187" s="7"/>
      <c r="F187" s="7"/>
    </row>
    <row r="188" spans="1:6" x14ac:dyDescent="0.25">
      <c r="A188" s="7"/>
      <c r="E188" s="7"/>
      <c r="F188" s="7"/>
    </row>
    <row r="189" spans="1:6" x14ac:dyDescent="0.25">
      <c r="A189" s="7"/>
      <c r="E189" s="7"/>
      <c r="F189" s="7"/>
    </row>
    <row r="190" spans="1:6" x14ac:dyDescent="0.25">
      <c r="A190" s="7"/>
      <c r="E190" s="7"/>
      <c r="F190" s="7"/>
    </row>
    <row r="191" spans="1:6" x14ac:dyDescent="0.25">
      <c r="A191" s="7"/>
      <c r="E191" s="7"/>
      <c r="F191" s="7"/>
    </row>
    <row r="192" spans="1:6" x14ac:dyDescent="0.25">
      <c r="A192" s="7"/>
      <c r="E192" s="7"/>
      <c r="F192" s="7"/>
    </row>
    <row r="193" spans="1:6" x14ac:dyDescent="0.25">
      <c r="A193" s="7"/>
      <c r="E193" s="7"/>
      <c r="F193" s="7"/>
    </row>
    <row r="194" spans="1:6" x14ac:dyDescent="0.25">
      <c r="A194" s="7"/>
      <c r="E194" s="7"/>
      <c r="F194" s="7"/>
    </row>
    <row r="195" spans="1:6" x14ac:dyDescent="0.25">
      <c r="A195" s="7"/>
      <c r="E195" s="7"/>
      <c r="F195" s="7"/>
    </row>
    <row r="196" spans="1:6" x14ac:dyDescent="0.25">
      <c r="A196" s="7"/>
      <c r="E196" s="7"/>
      <c r="F196" s="7"/>
    </row>
    <row r="197" spans="1:6" x14ac:dyDescent="0.25">
      <c r="A197" s="7"/>
      <c r="E197" s="7"/>
      <c r="F197" s="7"/>
    </row>
    <row r="198" spans="1:6" x14ac:dyDescent="0.25">
      <c r="A198" s="7"/>
      <c r="E198" s="7"/>
      <c r="F198" s="7"/>
    </row>
    <row r="199" spans="1:6" x14ac:dyDescent="0.25">
      <c r="A199" s="7"/>
      <c r="E199" s="7"/>
      <c r="F199" s="7"/>
    </row>
    <row r="200" spans="1:6" x14ac:dyDescent="0.25">
      <c r="A200" s="7"/>
      <c r="E200" s="7"/>
      <c r="F200" s="7"/>
    </row>
    <row r="201" spans="1:6" x14ac:dyDescent="0.25">
      <c r="A201" s="7"/>
      <c r="E201" s="7"/>
      <c r="F201" s="7"/>
    </row>
    <row r="202" spans="1:6" x14ac:dyDescent="0.25">
      <c r="A202" s="7"/>
      <c r="E202" s="7"/>
      <c r="F202" s="7"/>
    </row>
    <row r="203" spans="1:6" x14ac:dyDescent="0.25">
      <c r="A203" s="7"/>
      <c r="E203" s="7"/>
      <c r="F203" s="7"/>
    </row>
    <row r="204" spans="1:6" x14ac:dyDescent="0.25">
      <c r="A204" s="7"/>
      <c r="E204" s="7"/>
      <c r="F204" s="7"/>
    </row>
    <row r="205" spans="1:6" x14ac:dyDescent="0.25">
      <c r="A205" s="7"/>
      <c r="E205" s="7"/>
      <c r="F205" s="7"/>
    </row>
    <row r="206" spans="1:6" x14ac:dyDescent="0.25">
      <c r="A206" s="7"/>
      <c r="E206" s="7"/>
      <c r="F206" s="7"/>
    </row>
    <row r="207" spans="1:6" x14ac:dyDescent="0.25">
      <c r="A207" s="7"/>
      <c r="E207" s="7"/>
      <c r="F207" s="7"/>
    </row>
    <row r="208" spans="1:6" x14ac:dyDescent="0.25">
      <c r="A208" s="7"/>
      <c r="E208" s="7"/>
      <c r="F208" s="7"/>
    </row>
    <row r="209" spans="1:6" x14ac:dyDescent="0.25">
      <c r="A209" s="7"/>
      <c r="E209" s="7"/>
      <c r="F209" s="7"/>
    </row>
    <row r="210" spans="1:6" x14ac:dyDescent="0.25">
      <c r="A210" s="7"/>
      <c r="E210" s="7"/>
      <c r="F210" s="7"/>
    </row>
    <row r="211" spans="1:6" x14ac:dyDescent="0.25">
      <c r="A211" s="7"/>
      <c r="E211" s="7"/>
      <c r="F211" s="7"/>
    </row>
    <row r="212" spans="1:6" x14ac:dyDescent="0.25">
      <c r="A212" s="7"/>
      <c r="E212" s="7"/>
      <c r="F212" s="7"/>
    </row>
    <row r="213" spans="1:6" x14ac:dyDescent="0.25">
      <c r="A213" s="7"/>
      <c r="E213" s="7"/>
      <c r="F213" s="7"/>
    </row>
    <row r="214" spans="1:6" x14ac:dyDescent="0.25">
      <c r="A214" s="7"/>
      <c r="E214" s="7"/>
      <c r="F214" s="7"/>
    </row>
    <row r="215" spans="1:6" x14ac:dyDescent="0.25">
      <c r="A215" s="7"/>
      <c r="E215" s="7"/>
      <c r="F215" s="7"/>
    </row>
    <row r="216" spans="1:6" x14ac:dyDescent="0.25">
      <c r="A216" s="7"/>
      <c r="E216" s="7"/>
      <c r="F216" s="7"/>
    </row>
    <row r="217" spans="1:6" x14ac:dyDescent="0.25">
      <c r="A217" s="7"/>
      <c r="E217" s="7"/>
      <c r="F217" s="7"/>
    </row>
    <row r="218" spans="1:6" x14ac:dyDescent="0.25">
      <c r="A218" s="7"/>
      <c r="E218" s="7"/>
      <c r="F218" s="7"/>
    </row>
    <row r="219" spans="1:6" x14ac:dyDescent="0.25">
      <c r="A219" s="7"/>
      <c r="E219" s="7"/>
      <c r="F219" s="7"/>
    </row>
    <row r="220" spans="1:6" x14ac:dyDescent="0.25">
      <c r="A220" s="7"/>
      <c r="E220" s="7"/>
      <c r="F220" s="7"/>
    </row>
    <row r="221" spans="1:6" x14ac:dyDescent="0.25">
      <c r="A221" s="7"/>
      <c r="E221" s="7"/>
      <c r="F221" s="7"/>
    </row>
    <row r="222" spans="1:6" x14ac:dyDescent="0.25">
      <c r="A222" s="7"/>
      <c r="E222" s="7"/>
      <c r="F222" s="7"/>
    </row>
    <row r="223" spans="1:6" x14ac:dyDescent="0.25">
      <c r="A223" s="7"/>
      <c r="E223" s="7"/>
      <c r="F223" s="7"/>
    </row>
    <row r="224" spans="1:6" x14ac:dyDescent="0.25">
      <c r="A224" s="7"/>
      <c r="E224" s="7"/>
      <c r="F224" s="7"/>
    </row>
    <row r="225" spans="1:6" x14ac:dyDescent="0.25">
      <c r="A225" s="7"/>
      <c r="E225" s="7"/>
      <c r="F225" s="7"/>
    </row>
    <row r="226" spans="1:6" x14ac:dyDescent="0.25">
      <c r="A226" s="7"/>
      <c r="E226" s="7"/>
      <c r="F226" s="7"/>
    </row>
    <row r="227" spans="1:6" x14ac:dyDescent="0.25">
      <c r="A227" s="7"/>
      <c r="E227" s="7"/>
      <c r="F227" s="7"/>
    </row>
    <row r="228" spans="1:6" x14ac:dyDescent="0.25">
      <c r="A228" s="7"/>
      <c r="E228" s="7"/>
      <c r="F228" s="7"/>
    </row>
    <row r="229" spans="1:6" x14ac:dyDescent="0.25">
      <c r="A229" s="7"/>
      <c r="E229" s="7"/>
      <c r="F229" s="7"/>
    </row>
    <row r="230" spans="1:6" x14ac:dyDescent="0.25">
      <c r="A230" s="7"/>
      <c r="E230" s="7"/>
      <c r="F230" s="7"/>
    </row>
    <row r="231" spans="1:6" x14ac:dyDescent="0.25">
      <c r="A231" s="7"/>
      <c r="E231" s="7"/>
      <c r="F231" s="7"/>
    </row>
    <row r="232" spans="1:6" x14ac:dyDescent="0.25">
      <c r="A232" s="7"/>
      <c r="E232" s="7"/>
      <c r="F232" s="7"/>
    </row>
    <row r="233" spans="1:6" x14ac:dyDescent="0.25">
      <c r="A233" s="7"/>
      <c r="E233" s="7"/>
      <c r="F233" s="7"/>
    </row>
    <row r="234" spans="1:6" x14ac:dyDescent="0.25">
      <c r="A234" s="7"/>
      <c r="E234" s="7"/>
      <c r="F234" s="7"/>
    </row>
    <row r="235" spans="1:6" x14ac:dyDescent="0.25">
      <c r="A235" s="7"/>
      <c r="E235" s="7"/>
      <c r="F235" s="7"/>
    </row>
    <row r="236" spans="1:6" x14ac:dyDescent="0.25">
      <c r="A236" s="7"/>
      <c r="E236" s="7"/>
      <c r="F236" s="7"/>
    </row>
    <row r="237" spans="1:6" x14ac:dyDescent="0.25">
      <c r="A237" s="7"/>
      <c r="E237" s="7"/>
      <c r="F237" s="7"/>
    </row>
    <row r="238" spans="1:6" x14ac:dyDescent="0.25">
      <c r="A238" s="7"/>
      <c r="E238" s="7"/>
      <c r="F238" s="7"/>
    </row>
    <row r="239" spans="1:6" x14ac:dyDescent="0.25">
      <c r="A239" s="7"/>
      <c r="E239" s="7"/>
      <c r="F239" s="7"/>
    </row>
    <row r="240" spans="1:6" x14ac:dyDescent="0.25">
      <c r="A240" s="7"/>
      <c r="E240" s="7"/>
      <c r="F240" s="7"/>
    </row>
    <row r="241" spans="1:6" x14ac:dyDescent="0.25">
      <c r="A241" s="7"/>
      <c r="E241" s="7"/>
      <c r="F241" s="7"/>
    </row>
    <row r="242" spans="1:6" x14ac:dyDescent="0.25">
      <c r="A242" s="7"/>
      <c r="E242" s="7"/>
      <c r="F242" s="7"/>
    </row>
    <row r="243" spans="1:6" x14ac:dyDescent="0.25">
      <c r="A243" s="7"/>
      <c r="E243" s="7"/>
      <c r="F243" s="7"/>
    </row>
    <row r="244" spans="1:6" x14ac:dyDescent="0.25">
      <c r="A244" s="7"/>
      <c r="E244" s="7"/>
      <c r="F244" s="7"/>
    </row>
    <row r="245" spans="1:6" x14ac:dyDescent="0.25">
      <c r="A245" s="7"/>
      <c r="E245" s="7"/>
      <c r="F245" s="7"/>
    </row>
    <row r="246" spans="1:6" x14ac:dyDescent="0.25">
      <c r="A246" s="7"/>
      <c r="E246" s="7"/>
      <c r="F246" s="7"/>
    </row>
    <row r="247" spans="1:6" x14ac:dyDescent="0.25">
      <c r="A247" s="7"/>
      <c r="E247" s="7"/>
      <c r="F247" s="7"/>
    </row>
    <row r="248" spans="1:6" x14ac:dyDescent="0.25">
      <c r="A248" s="7"/>
      <c r="E248" s="7"/>
      <c r="F248" s="7"/>
    </row>
    <row r="249" spans="1:6" x14ac:dyDescent="0.25">
      <c r="A249" s="7"/>
      <c r="E249" s="7"/>
      <c r="F249" s="7"/>
    </row>
    <row r="250" spans="1:6" x14ac:dyDescent="0.25">
      <c r="A250" s="7"/>
      <c r="E250" s="7"/>
      <c r="F250" s="7"/>
    </row>
    <row r="251" spans="1:6" x14ac:dyDescent="0.25">
      <c r="A251" s="7"/>
      <c r="E251" s="7"/>
      <c r="F251" s="7"/>
    </row>
    <row r="252" spans="1:6" x14ac:dyDescent="0.25">
      <c r="A252" s="7"/>
      <c r="E252" s="7"/>
      <c r="F252" s="7"/>
    </row>
    <row r="253" spans="1:6" x14ac:dyDescent="0.25">
      <c r="A253" s="7"/>
      <c r="E253" s="7"/>
      <c r="F253" s="7"/>
    </row>
    <row r="254" spans="1:6" x14ac:dyDescent="0.25">
      <c r="A254" s="7"/>
      <c r="E254" s="7"/>
      <c r="F254" s="7"/>
    </row>
    <row r="255" spans="1:6" x14ac:dyDescent="0.25">
      <c r="A255" s="7"/>
      <c r="E255" s="7"/>
      <c r="F255" s="7"/>
    </row>
    <row r="256" spans="1:6" x14ac:dyDescent="0.25">
      <c r="A256" s="7"/>
      <c r="E256" s="7"/>
      <c r="F256" s="7"/>
    </row>
    <row r="257" spans="1:6" x14ac:dyDescent="0.25">
      <c r="A257" s="7"/>
      <c r="E257" s="7"/>
      <c r="F257" s="7"/>
    </row>
    <row r="258" spans="1:6" x14ac:dyDescent="0.25">
      <c r="A258" s="7"/>
      <c r="E258" s="7"/>
      <c r="F258" s="7"/>
    </row>
    <row r="259" spans="1:6" x14ac:dyDescent="0.25">
      <c r="A259" s="7"/>
      <c r="E259" s="7"/>
      <c r="F259" s="7"/>
    </row>
    <row r="260" spans="1:6" x14ac:dyDescent="0.25">
      <c r="A260" s="7"/>
      <c r="E260" s="7"/>
      <c r="F260" s="7"/>
    </row>
    <row r="261" spans="1:6" x14ac:dyDescent="0.25">
      <c r="A261" s="7"/>
      <c r="E261" s="7"/>
      <c r="F261" s="7"/>
    </row>
    <row r="262" spans="1:6" x14ac:dyDescent="0.25">
      <c r="A262" s="7"/>
      <c r="E262" s="7"/>
      <c r="F262" s="7"/>
    </row>
    <row r="263" spans="1:6" x14ac:dyDescent="0.25">
      <c r="A263" s="7"/>
      <c r="E263" s="7"/>
      <c r="F263" s="7"/>
    </row>
    <row r="264" spans="1:6" x14ac:dyDescent="0.25">
      <c r="A264" s="7"/>
      <c r="E264" s="7"/>
      <c r="F264" s="7"/>
    </row>
    <row r="265" spans="1:6" x14ac:dyDescent="0.25">
      <c r="A265" s="7"/>
      <c r="E265" s="7"/>
      <c r="F265" s="7"/>
    </row>
    <row r="266" spans="1:6" x14ac:dyDescent="0.25">
      <c r="A266" s="7"/>
      <c r="E266" s="7"/>
      <c r="F266" s="7"/>
    </row>
    <row r="267" spans="1:6" x14ac:dyDescent="0.25">
      <c r="A267" s="7"/>
      <c r="E267" s="7"/>
      <c r="F267" s="7"/>
    </row>
    <row r="268" spans="1:6" x14ac:dyDescent="0.25">
      <c r="A268" s="7"/>
      <c r="E268" s="7"/>
      <c r="F268" s="7"/>
    </row>
    <row r="269" spans="1:6" x14ac:dyDescent="0.25">
      <c r="A269" s="7"/>
      <c r="E269" s="7"/>
      <c r="F269" s="7"/>
    </row>
    <row r="270" spans="1:6" x14ac:dyDescent="0.25">
      <c r="A270" s="7"/>
      <c r="E270" s="7"/>
      <c r="F270" s="7"/>
    </row>
    <row r="271" spans="1:6" x14ac:dyDescent="0.25">
      <c r="A271" s="7"/>
      <c r="E271" s="7"/>
      <c r="F271" s="7"/>
    </row>
    <row r="272" spans="1:6" x14ac:dyDescent="0.25">
      <c r="A272" s="7"/>
      <c r="E272" s="7"/>
      <c r="F272" s="7"/>
    </row>
    <row r="273" spans="1:6" x14ac:dyDescent="0.25">
      <c r="A273" s="7"/>
      <c r="E273" s="7"/>
      <c r="F273" s="7"/>
    </row>
    <row r="274" spans="1:6" x14ac:dyDescent="0.25">
      <c r="A274" s="7"/>
      <c r="E274" s="7"/>
      <c r="F274" s="7"/>
    </row>
    <row r="275" spans="1:6" x14ac:dyDescent="0.25">
      <c r="A275" s="7"/>
      <c r="E275" s="7"/>
      <c r="F275" s="7"/>
    </row>
    <row r="276" spans="1:6" x14ac:dyDescent="0.25">
      <c r="A276" s="7"/>
      <c r="E276" s="7"/>
      <c r="F276" s="7"/>
    </row>
    <row r="277" spans="1:6" x14ac:dyDescent="0.25">
      <c r="A277" s="7"/>
      <c r="E277" s="7"/>
      <c r="F277" s="7"/>
    </row>
    <row r="278" spans="1:6" x14ac:dyDescent="0.25">
      <c r="A278" s="7"/>
      <c r="E278" s="7"/>
      <c r="F278" s="7"/>
    </row>
    <row r="279" spans="1:6" x14ac:dyDescent="0.25">
      <c r="A279" s="7"/>
      <c r="E279" s="7"/>
      <c r="F279" s="7"/>
    </row>
    <row r="280" spans="1:6" x14ac:dyDescent="0.25">
      <c r="A280" s="7"/>
      <c r="E280" s="7"/>
      <c r="F280" s="7"/>
    </row>
    <row r="281" spans="1:6" x14ac:dyDescent="0.25">
      <c r="A281" s="7"/>
      <c r="E281" s="7"/>
      <c r="F281" s="7"/>
    </row>
    <row r="282" spans="1:6" x14ac:dyDescent="0.25">
      <c r="A282" s="7"/>
      <c r="E282" s="7"/>
      <c r="F282" s="7"/>
    </row>
    <row r="283" spans="1:6" x14ac:dyDescent="0.25">
      <c r="A283" s="7"/>
      <c r="E283" s="7"/>
      <c r="F283" s="7"/>
    </row>
    <row r="284" spans="1:6" x14ac:dyDescent="0.25">
      <c r="A284" s="7"/>
      <c r="E284" s="7"/>
      <c r="F284" s="7"/>
    </row>
    <row r="285" spans="1:6" x14ac:dyDescent="0.25">
      <c r="A285" s="7"/>
      <c r="E285" s="7"/>
      <c r="F285" s="7"/>
    </row>
    <row r="286" spans="1:6" x14ac:dyDescent="0.25">
      <c r="A286" s="7"/>
      <c r="E286" s="7"/>
      <c r="F286" s="7"/>
    </row>
    <row r="287" spans="1:6" x14ac:dyDescent="0.25">
      <c r="A287" s="7"/>
      <c r="E287" s="7"/>
      <c r="F287" s="7"/>
    </row>
    <row r="288" spans="1:6" x14ac:dyDescent="0.25">
      <c r="A288" s="7"/>
      <c r="E288" s="7"/>
      <c r="F288" s="7"/>
    </row>
    <row r="289" spans="1:6" x14ac:dyDescent="0.25">
      <c r="A289" s="7"/>
      <c r="E289" s="7"/>
      <c r="F289" s="7"/>
    </row>
    <row r="290" spans="1:6" x14ac:dyDescent="0.25">
      <c r="A290" s="7"/>
      <c r="E290" s="7"/>
      <c r="F290" s="7"/>
    </row>
    <row r="291" spans="1:6" x14ac:dyDescent="0.25">
      <c r="A291" s="7"/>
      <c r="E291" s="7"/>
      <c r="F291" s="7"/>
    </row>
    <row r="292" spans="1:6" x14ac:dyDescent="0.25">
      <c r="A292" s="7"/>
      <c r="E292" s="7"/>
      <c r="F292" s="7"/>
    </row>
    <row r="293" spans="1:6" x14ac:dyDescent="0.25">
      <c r="A293" s="7"/>
      <c r="E293" s="7"/>
      <c r="F293" s="7"/>
    </row>
    <row r="294" spans="1:6" x14ac:dyDescent="0.25">
      <c r="A294" s="7"/>
      <c r="E294" s="7"/>
      <c r="F294" s="7"/>
    </row>
    <row r="295" spans="1:6" x14ac:dyDescent="0.25">
      <c r="A295" s="7"/>
      <c r="E295" s="7"/>
      <c r="F295" s="7"/>
    </row>
    <row r="296" spans="1:6" x14ac:dyDescent="0.25">
      <c r="A296" s="7"/>
      <c r="E296" s="7"/>
      <c r="F296" s="7"/>
    </row>
    <row r="297" spans="1:6" x14ac:dyDescent="0.25">
      <c r="A297" s="7"/>
      <c r="E297" s="7"/>
      <c r="F297" s="7"/>
    </row>
    <row r="298" spans="1:6" x14ac:dyDescent="0.25">
      <c r="A298" s="7"/>
      <c r="E298" s="7"/>
      <c r="F298" s="7"/>
    </row>
    <row r="299" spans="1:6" x14ac:dyDescent="0.25">
      <c r="A299" s="7"/>
      <c r="E299" s="7"/>
      <c r="F299" s="7"/>
    </row>
    <row r="300" spans="1:6" x14ac:dyDescent="0.25">
      <c r="A300" s="7"/>
      <c r="E300" s="7"/>
      <c r="F300" s="7"/>
    </row>
    <row r="301" spans="1:6" x14ac:dyDescent="0.25">
      <c r="A301" s="7"/>
      <c r="E301" s="7"/>
      <c r="F301" s="7"/>
    </row>
    <row r="302" spans="1:6" x14ac:dyDescent="0.25">
      <c r="A302" s="7"/>
      <c r="E302" s="7"/>
      <c r="F302" s="7"/>
    </row>
    <row r="303" spans="1:6" x14ac:dyDescent="0.25">
      <c r="A303" s="7"/>
      <c r="E303" s="7"/>
      <c r="F303" s="7"/>
    </row>
    <row r="304" spans="1:6" x14ac:dyDescent="0.25">
      <c r="A304" s="7"/>
      <c r="E304" s="7"/>
      <c r="F304" s="7"/>
    </row>
    <row r="305" spans="1:6" x14ac:dyDescent="0.25">
      <c r="A305" s="7"/>
      <c r="E305" s="7"/>
      <c r="F305" s="7"/>
    </row>
    <row r="306" spans="1:6" x14ac:dyDescent="0.25">
      <c r="A306" s="7"/>
      <c r="E306" s="7"/>
      <c r="F306" s="7"/>
    </row>
    <row r="307" spans="1:6" x14ac:dyDescent="0.25">
      <c r="A307" s="7"/>
      <c r="E307" s="7"/>
      <c r="F307" s="7"/>
    </row>
    <row r="308" spans="1:6" x14ac:dyDescent="0.25">
      <c r="A308" s="7"/>
      <c r="E308" s="7"/>
      <c r="F308" s="7"/>
    </row>
    <row r="309" spans="1:6" x14ac:dyDescent="0.25">
      <c r="A309" s="7"/>
      <c r="E309" s="7"/>
      <c r="F309" s="7"/>
    </row>
    <row r="310" spans="1:6" x14ac:dyDescent="0.25">
      <c r="A310" s="7"/>
      <c r="E310" s="7"/>
      <c r="F310" s="7"/>
    </row>
    <row r="311" spans="1:6" x14ac:dyDescent="0.25">
      <c r="A311" s="7"/>
      <c r="E311" s="7"/>
      <c r="F311" s="7"/>
    </row>
    <row r="312" spans="1:6" x14ac:dyDescent="0.25">
      <c r="A312" s="7"/>
      <c r="E312" s="7"/>
      <c r="F312" s="7"/>
    </row>
    <row r="313" spans="1:6" x14ac:dyDescent="0.25">
      <c r="A313" s="7"/>
      <c r="E313" s="7"/>
      <c r="F313" s="7"/>
    </row>
    <row r="314" spans="1:6" x14ac:dyDescent="0.25">
      <c r="A314" s="7"/>
      <c r="E314" s="7"/>
      <c r="F314" s="7"/>
    </row>
    <row r="315" spans="1:6" x14ac:dyDescent="0.25">
      <c r="A315" s="7"/>
      <c r="E315" s="7"/>
      <c r="F315" s="7"/>
    </row>
    <row r="316" spans="1:6" x14ac:dyDescent="0.25">
      <c r="A316" s="7"/>
      <c r="E316" s="7"/>
      <c r="F316" s="7"/>
    </row>
    <row r="317" spans="1:6" x14ac:dyDescent="0.25">
      <c r="A317" s="7"/>
      <c r="E317" s="7"/>
      <c r="F317" s="7"/>
    </row>
    <row r="318" spans="1:6" x14ac:dyDescent="0.25">
      <c r="A318" s="7"/>
      <c r="E318" s="7"/>
      <c r="F318" s="7"/>
    </row>
    <row r="319" spans="1:6" x14ac:dyDescent="0.25">
      <c r="A319" s="7"/>
      <c r="E319" s="7"/>
      <c r="F319" s="7"/>
    </row>
    <row r="320" spans="1:6" x14ac:dyDescent="0.25">
      <c r="A320" s="7"/>
      <c r="E320" s="7"/>
      <c r="F320" s="7"/>
    </row>
    <row r="321" spans="1:6" x14ac:dyDescent="0.25">
      <c r="A321" s="7"/>
      <c r="E321" s="7"/>
      <c r="F321" s="7"/>
    </row>
    <row r="322" spans="1:6" x14ac:dyDescent="0.25">
      <c r="A322" s="7"/>
      <c r="E322" s="7"/>
      <c r="F322" s="7"/>
    </row>
    <row r="323" spans="1:6" x14ac:dyDescent="0.25">
      <c r="A323" s="7"/>
      <c r="E323" s="7"/>
      <c r="F323" s="7"/>
    </row>
    <row r="324" spans="1:6" x14ac:dyDescent="0.25">
      <c r="A324" s="7"/>
      <c r="E324" s="7"/>
      <c r="F324" s="7"/>
    </row>
    <row r="325" spans="1:6" x14ac:dyDescent="0.25">
      <c r="A325" s="7"/>
      <c r="E325" s="7"/>
      <c r="F325" s="7"/>
    </row>
    <row r="326" spans="1:6" x14ac:dyDescent="0.25">
      <c r="A326" s="7"/>
      <c r="E326" s="7"/>
      <c r="F326" s="7"/>
    </row>
    <row r="327" spans="1:6" x14ac:dyDescent="0.25">
      <c r="A327" s="7"/>
      <c r="E327" s="7"/>
      <c r="F327" s="7"/>
    </row>
    <row r="328" spans="1:6" x14ac:dyDescent="0.25">
      <c r="A328" s="7"/>
      <c r="E328" s="7"/>
      <c r="F328" s="7"/>
    </row>
    <row r="329" spans="1:6" x14ac:dyDescent="0.25">
      <c r="A329" s="7"/>
      <c r="E329" s="7"/>
      <c r="F329" s="7"/>
    </row>
    <row r="330" spans="1:6" x14ac:dyDescent="0.25">
      <c r="A330" s="7"/>
      <c r="E330" s="7"/>
      <c r="F330" s="7"/>
    </row>
    <row r="331" spans="1:6" x14ac:dyDescent="0.25">
      <c r="A331" s="7"/>
      <c r="E331" s="7"/>
      <c r="F331" s="7"/>
    </row>
    <row r="332" spans="1:6" x14ac:dyDescent="0.25">
      <c r="A332" s="7"/>
      <c r="E332" s="7"/>
      <c r="F332" s="7"/>
    </row>
    <row r="333" spans="1:6" x14ac:dyDescent="0.25">
      <c r="A333" s="7"/>
      <c r="E333" s="7"/>
      <c r="F333" s="7"/>
    </row>
    <row r="334" spans="1:6" x14ac:dyDescent="0.25">
      <c r="A334" s="7"/>
      <c r="E334" s="7"/>
      <c r="F334" s="7"/>
    </row>
    <row r="335" spans="1:6" x14ac:dyDescent="0.25">
      <c r="A335" s="7"/>
      <c r="E335" s="7"/>
      <c r="F335" s="7"/>
    </row>
    <row r="336" spans="1:6" x14ac:dyDescent="0.25">
      <c r="A336" s="7"/>
      <c r="E336" s="7"/>
      <c r="F336" s="7"/>
    </row>
    <row r="337" spans="1:6" x14ac:dyDescent="0.25">
      <c r="A337" s="7"/>
      <c r="E337" s="7"/>
      <c r="F337" s="7"/>
    </row>
    <row r="338" spans="1:6" x14ac:dyDescent="0.25">
      <c r="A338" s="7"/>
      <c r="E338" s="7"/>
      <c r="F338" s="7"/>
    </row>
    <row r="339" spans="1:6" x14ac:dyDescent="0.25">
      <c r="A339" s="7"/>
      <c r="E339" s="7"/>
      <c r="F339" s="7"/>
    </row>
    <row r="340" spans="1:6" x14ac:dyDescent="0.25">
      <c r="A340" s="7"/>
      <c r="E340" s="7"/>
      <c r="F340" s="7"/>
    </row>
    <row r="341" spans="1:6" x14ac:dyDescent="0.25">
      <c r="A341" s="7"/>
      <c r="E341" s="7"/>
      <c r="F341" s="7"/>
    </row>
    <row r="342" spans="1:6" x14ac:dyDescent="0.25">
      <c r="A342" s="7"/>
      <c r="E342" s="7"/>
      <c r="F342" s="7"/>
    </row>
    <row r="343" spans="1:6" x14ac:dyDescent="0.25">
      <c r="A343" s="7"/>
      <c r="E343" s="7"/>
      <c r="F343" s="7"/>
    </row>
    <row r="344" spans="1:6" x14ac:dyDescent="0.25">
      <c r="A344" s="7"/>
      <c r="E344" s="7"/>
      <c r="F344" s="7"/>
    </row>
    <row r="345" spans="1:6" x14ac:dyDescent="0.25">
      <c r="A345" s="7"/>
      <c r="E345" s="7"/>
      <c r="F345" s="7"/>
    </row>
    <row r="346" spans="1:6" x14ac:dyDescent="0.25">
      <c r="A346" s="7"/>
      <c r="E346" s="7"/>
      <c r="F346" s="7"/>
    </row>
    <row r="347" spans="1:6" x14ac:dyDescent="0.25">
      <c r="A347" s="7"/>
      <c r="E347" s="7"/>
      <c r="F347" s="7"/>
    </row>
    <row r="348" spans="1:6" x14ac:dyDescent="0.25">
      <c r="A348" s="7"/>
      <c r="E348" s="7"/>
      <c r="F348" s="7"/>
    </row>
    <row r="349" spans="1:6" x14ac:dyDescent="0.25">
      <c r="A349" s="7"/>
      <c r="E349" s="7"/>
      <c r="F349" s="7"/>
    </row>
    <row r="350" spans="1:6" x14ac:dyDescent="0.25">
      <c r="A350" s="7"/>
      <c r="E350" s="7"/>
      <c r="F350" s="7"/>
    </row>
    <row r="351" spans="1:6" x14ac:dyDescent="0.25">
      <c r="A351" s="7"/>
      <c r="E351" s="7"/>
      <c r="F351" s="7"/>
    </row>
    <row r="352" spans="1:6" x14ac:dyDescent="0.25">
      <c r="A352" s="7"/>
      <c r="E352" s="7"/>
      <c r="F352" s="7"/>
    </row>
    <row r="353" spans="1:6" x14ac:dyDescent="0.25">
      <c r="A353" s="7"/>
      <c r="E353" s="7"/>
      <c r="F353" s="7"/>
    </row>
    <row r="354" spans="1:6" x14ac:dyDescent="0.25">
      <c r="A354" s="7"/>
      <c r="E354" s="7"/>
      <c r="F354" s="7"/>
    </row>
    <row r="355" spans="1:6" x14ac:dyDescent="0.25">
      <c r="A355" s="7"/>
      <c r="E355" s="7"/>
      <c r="F355" s="7"/>
    </row>
    <row r="356" spans="1:6" x14ac:dyDescent="0.25">
      <c r="A356" s="7"/>
      <c r="E356" s="7"/>
      <c r="F356" s="7"/>
    </row>
    <row r="357" spans="1:6" x14ac:dyDescent="0.25">
      <c r="A357" s="7"/>
      <c r="E357" s="7"/>
      <c r="F357" s="7"/>
    </row>
    <row r="358" spans="1:6" x14ac:dyDescent="0.25">
      <c r="A358" s="7"/>
      <c r="E358" s="7"/>
      <c r="F358" s="7"/>
    </row>
    <row r="359" spans="1:6" x14ac:dyDescent="0.25">
      <c r="A359" s="7"/>
      <c r="E359" s="7"/>
      <c r="F359" s="7"/>
    </row>
    <row r="360" spans="1:6" x14ac:dyDescent="0.25">
      <c r="A360" s="7"/>
      <c r="E360" s="7"/>
      <c r="F360" s="7"/>
    </row>
    <row r="361" spans="1:6" x14ac:dyDescent="0.25">
      <c r="A361" s="7"/>
      <c r="E361" s="7"/>
      <c r="F361" s="7"/>
    </row>
    <row r="362" spans="1:6" x14ac:dyDescent="0.25">
      <c r="A362" s="7"/>
      <c r="E362" s="7"/>
      <c r="F362" s="7"/>
    </row>
    <row r="363" spans="1:6" x14ac:dyDescent="0.25">
      <c r="A363" s="7"/>
      <c r="E363" s="7"/>
      <c r="F363" s="7"/>
    </row>
    <row r="364" spans="1:6" x14ac:dyDescent="0.25">
      <c r="A364" s="7"/>
      <c r="E364" s="7"/>
      <c r="F364" s="7"/>
    </row>
    <row r="365" spans="1:6" x14ac:dyDescent="0.25">
      <c r="A365" s="7"/>
      <c r="E365" s="7"/>
      <c r="F365" s="7"/>
    </row>
    <row r="366" spans="1:6" x14ac:dyDescent="0.25">
      <c r="A366" s="7"/>
      <c r="E366" s="7"/>
      <c r="F366" s="7"/>
    </row>
    <row r="367" spans="1:6" x14ac:dyDescent="0.25">
      <c r="A367" s="7"/>
      <c r="E367" s="7"/>
      <c r="F367" s="7"/>
    </row>
    <row r="368" spans="1:6" x14ac:dyDescent="0.25">
      <c r="A368" s="7"/>
      <c r="E368" s="7"/>
      <c r="F368" s="7"/>
    </row>
    <row r="369" spans="1:6" x14ac:dyDescent="0.25">
      <c r="A369" s="7"/>
      <c r="E369" s="7"/>
      <c r="F369" s="7"/>
    </row>
    <row r="370" spans="1:6" x14ac:dyDescent="0.25">
      <c r="A370" s="7"/>
      <c r="E370" s="7"/>
      <c r="F370" s="7"/>
    </row>
    <row r="371" spans="1:6" x14ac:dyDescent="0.25">
      <c r="A371" s="7"/>
      <c r="E371" s="7"/>
      <c r="F371" s="7"/>
    </row>
    <row r="372" spans="1:6" x14ac:dyDescent="0.25">
      <c r="A372" s="7"/>
      <c r="E372" s="7"/>
      <c r="F372" s="7"/>
    </row>
    <row r="373" spans="1:6" x14ac:dyDescent="0.25">
      <c r="A373" s="7"/>
      <c r="E373" s="7"/>
      <c r="F373" s="7"/>
    </row>
    <row r="374" spans="1:6" x14ac:dyDescent="0.25">
      <c r="A374" s="7"/>
      <c r="E374" s="7"/>
      <c r="F374" s="7"/>
    </row>
    <row r="375" spans="1:6" x14ac:dyDescent="0.25">
      <c r="A375" s="7"/>
      <c r="E375" s="7"/>
      <c r="F375" s="7"/>
    </row>
    <row r="376" spans="1:6" x14ac:dyDescent="0.25">
      <c r="A376" s="7"/>
      <c r="E376" s="7"/>
      <c r="F376" s="7"/>
    </row>
    <row r="377" spans="1:6" x14ac:dyDescent="0.25">
      <c r="A377" s="7"/>
      <c r="E377" s="7"/>
      <c r="F377" s="7"/>
    </row>
    <row r="378" spans="1:6" x14ac:dyDescent="0.25">
      <c r="A378" s="7"/>
      <c r="E378" s="7"/>
      <c r="F378" s="7"/>
    </row>
    <row r="379" spans="1:6" x14ac:dyDescent="0.25">
      <c r="A379" s="7"/>
      <c r="E379" s="7"/>
      <c r="F379" s="7"/>
    </row>
    <row r="380" spans="1:6" x14ac:dyDescent="0.25">
      <c r="A380" s="7"/>
      <c r="E380" s="7"/>
      <c r="F380" s="7"/>
    </row>
    <row r="381" spans="1:6" x14ac:dyDescent="0.25">
      <c r="A381" s="7"/>
      <c r="E381" s="7"/>
      <c r="F381" s="7"/>
    </row>
    <row r="382" spans="1:6" x14ac:dyDescent="0.25">
      <c r="A382" s="7"/>
      <c r="E382" s="7"/>
      <c r="F382" s="7"/>
    </row>
    <row r="383" spans="1:6" x14ac:dyDescent="0.25">
      <c r="A383" s="7"/>
      <c r="E383" s="7"/>
      <c r="F383" s="7"/>
    </row>
    <row r="384" spans="1:6" x14ac:dyDescent="0.25">
      <c r="A384" s="7"/>
      <c r="E384" s="7"/>
      <c r="F384" s="7"/>
    </row>
    <row r="385" spans="1:6" x14ac:dyDescent="0.25">
      <c r="A385" s="7"/>
      <c r="E385" s="7"/>
      <c r="F385" s="7"/>
    </row>
    <row r="386" spans="1:6" x14ac:dyDescent="0.25">
      <c r="A386" s="7"/>
      <c r="E386" s="7"/>
      <c r="F386" s="7"/>
    </row>
    <row r="387" spans="1:6" x14ac:dyDescent="0.25">
      <c r="A387" s="7"/>
      <c r="E387" s="7"/>
      <c r="F387" s="7"/>
    </row>
    <row r="388" spans="1:6" x14ac:dyDescent="0.25">
      <c r="A388" s="7"/>
      <c r="E388" s="7"/>
      <c r="F388" s="7"/>
    </row>
    <row r="389" spans="1:6" x14ac:dyDescent="0.25">
      <c r="A389" s="7"/>
      <c r="E389" s="7"/>
      <c r="F389" s="7"/>
    </row>
    <row r="390" spans="1:6" x14ac:dyDescent="0.25">
      <c r="A390" s="7"/>
      <c r="E390" s="7"/>
      <c r="F390" s="7"/>
    </row>
    <row r="391" spans="1:6" x14ac:dyDescent="0.25">
      <c r="A391" s="7"/>
      <c r="E391" s="7"/>
      <c r="F391" s="7"/>
    </row>
    <row r="392" spans="1:6" x14ac:dyDescent="0.25">
      <c r="A392" s="7"/>
      <c r="E392" s="7"/>
      <c r="F392" s="7"/>
    </row>
    <row r="393" spans="1:6" x14ac:dyDescent="0.25">
      <c r="A393" s="7"/>
      <c r="E393" s="7"/>
      <c r="F393" s="7"/>
    </row>
    <row r="394" spans="1:6" x14ac:dyDescent="0.25">
      <c r="A394" s="7"/>
      <c r="E394" s="7"/>
      <c r="F394" s="7"/>
    </row>
    <row r="395" spans="1:6" x14ac:dyDescent="0.25">
      <c r="A395" s="7"/>
      <c r="E395" s="7"/>
      <c r="F395" s="7"/>
    </row>
    <row r="396" spans="1:6" x14ac:dyDescent="0.25">
      <c r="A396" s="7"/>
      <c r="E396" s="7"/>
      <c r="F396" s="7"/>
    </row>
    <row r="397" spans="1:6" x14ac:dyDescent="0.25">
      <c r="A397" s="7"/>
      <c r="E397" s="7"/>
      <c r="F397" s="7"/>
    </row>
    <row r="398" spans="1:6" x14ac:dyDescent="0.25">
      <c r="A398" s="7"/>
      <c r="E398" s="7"/>
      <c r="F398" s="7"/>
    </row>
    <row r="399" spans="1:6" x14ac:dyDescent="0.25">
      <c r="A399" s="7"/>
      <c r="E399" s="7"/>
      <c r="F399" s="7"/>
    </row>
    <row r="400" spans="1:6" x14ac:dyDescent="0.25">
      <c r="A400" s="7"/>
      <c r="E400" s="7"/>
      <c r="F400" s="7"/>
    </row>
    <row r="401" spans="1:6" x14ac:dyDescent="0.25">
      <c r="A401" s="7"/>
      <c r="E401" s="7"/>
      <c r="F401" s="7"/>
    </row>
    <row r="402" spans="1:6" x14ac:dyDescent="0.25">
      <c r="A402" s="7"/>
      <c r="E402" s="7"/>
      <c r="F402" s="7"/>
    </row>
    <row r="403" spans="1:6" x14ac:dyDescent="0.25">
      <c r="A403" s="7"/>
      <c r="E403" s="7"/>
      <c r="F403" s="7"/>
    </row>
    <row r="404" spans="1:6" x14ac:dyDescent="0.25">
      <c r="A404" s="7"/>
      <c r="E404" s="7"/>
      <c r="F404" s="7"/>
    </row>
    <row r="405" spans="1:6" x14ac:dyDescent="0.25">
      <c r="A405" s="7"/>
      <c r="E405" s="7"/>
      <c r="F405" s="7"/>
    </row>
    <row r="406" spans="1:6" x14ac:dyDescent="0.25">
      <c r="A406" s="7"/>
      <c r="E406" s="7"/>
      <c r="F406" s="7"/>
    </row>
    <row r="407" spans="1:6" x14ac:dyDescent="0.25">
      <c r="A407" s="7"/>
      <c r="E407" s="7"/>
      <c r="F407" s="7"/>
    </row>
    <row r="408" spans="1:6" x14ac:dyDescent="0.25">
      <c r="A408" s="7"/>
      <c r="E408" s="7"/>
      <c r="F408" s="7"/>
    </row>
    <row r="409" spans="1:6" x14ac:dyDescent="0.25">
      <c r="A409" s="7"/>
      <c r="E409" s="7"/>
      <c r="F409" s="7"/>
    </row>
    <row r="410" spans="1:6" x14ac:dyDescent="0.25">
      <c r="A410" s="7"/>
      <c r="E410" s="7"/>
      <c r="F410" s="7"/>
    </row>
    <row r="411" spans="1:6" x14ac:dyDescent="0.25">
      <c r="A411" s="7"/>
      <c r="E411" s="7"/>
      <c r="F411" s="7"/>
    </row>
    <row r="412" spans="1:6" x14ac:dyDescent="0.25">
      <c r="A412" s="7"/>
      <c r="E412" s="7"/>
      <c r="F412" s="7"/>
    </row>
    <row r="413" spans="1:6" x14ac:dyDescent="0.25">
      <c r="A413" s="7"/>
      <c r="E413" s="7"/>
      <c r="F413" s="7"/>
    </row>
    <row r="414" spans="1:6" x14ac:dyDescent="0.25">
      <c r="A414" s="7"/>
      <c r="E414" s="7"/>
      <c r="F414" s="7"/>
    </row>
    <row r="415" spans="1:6" x14ac:dyDescent="0.25">
      <c r="A415" s="7"/>
      <c r="E415" s="7"/>
      <c r="F415" s="7"/>
    </row>
    <row r="416" spans="1:6" x14ac:dyDescent="0.25">
      <c r="A416" s="7"/>
      <c r="E416" s="7"/>
      <c r="F416" s="7"/>
    </row>
    <row r="417" spans="1:6" x14ac:dyDescent="0.25">
      <c r="A417" s="7"/>
      <c r="E417" s="7"/>
      <c r="F417" s="7"/>
    </row>
    <row r="418" spans="1:6" x14ac:dyDescent="0.25">
      <c r="A418" s="7"/>
      <c r="E418" s="7"/>
      <c r="F418" s="7"/>
    </row>
    <row r="419" spans="1:6" x14ac:dyDescent="0.25">
      <c r="A419" s="7"/>
      <c r="E419" s="7"/>
      <c r="F419" s="7"/>
    </row>
    <row r="420" spans="1:6" x14ac:dyDescent="0.25">
      <c r="A420" s="7"/>
      <c r="E420" s="7"/>
      <c r="F420" s="7"/>
    </row>
    <row r="421" spans="1:6" x14ac:dyDescent="0.25">
      <c r="A421" s="7"/>
      <c r="E421" s="7"/>
      <c r="F421" s="7"/>
    </row>
    <row r="422" spans="1:6" x14ac:dyDescent="0.25">
      <c r="A422" s="7"/>
      <c r="E422" s="7"/>
      <c r="F422" s="7"/>
    </row>
    <row r="423" spans="1:6" x14ac:dyDescent="0.25">
      <c r="A423" s="7"/>
      <c r="E423" s="7"/>
      <c r="F423" s="7"/>
    </row>
    <row r="424" spans="1:6" x14ac:dyDescent="0.25">
      <c r="A424" s="7"/>
      <c r="E424" s="7"/>
      <c r="F424" s="7"/>
    </row>
    <row r="425" spans="1:6" x14ac:dyDescent="0.25">
      <c r="A425" s="7"/>
      <c r="E425" s="7"/>
      <c r="F425" s="7"/>
    </row>
    <row r="426" spans="1:6" x14ac:dyDescent="0.25">
      <c r="A426" s="7"/>
      <c r="E426" s="7"/>
      <c r="F426" s="7"/>
    </row>
    <row r="427" spans="1:6" x14ac:dyDescent="0.25">
      <c r="A427" s="7"/>
      <c r="E427" s="7"/>
      <c r="F427" s="7"/>
    </row>
    <row r="428" spans="1:6" x14ac:dyDescent="0.25">
      <c r="A428" s="7"/>
      <c r="E428" s="7"/>
      <c r="F428" s="7"/>
    </row>
    <row r="429" spans="1:6" x14ac:dyDescent="0.25">
      <c r="A429" s="7"/>
      <c r="E429" s="7"/>
      <c r="F429" s="7"/>
    </row>
    <row r="430" spans="1:6" x14ac:dyDescent="0.25">
      <c r="A430" s="7"/>
      <c r="E430" s="7"/>
      <c r="F430" s="7"/>
    </row>
    <row r="431" spans="1:6" x14ac:dyDescent="0.25">
      <c r="A431" s="7"/>
      <c r="E431" s="7"/>
      <c r="F431" s="7"/>
    </row>
    <row r="432" spans="1:6" x14ac:dyDescent="0.25">
      <c r="A432" s="7"/>
      <c r="E432" s="7"/>
      <c r="F432" s="7"/>
    </row>
    <row r="433" spans="1:6" x14ac:dyDescent="0.25">
      <c r="A433" s="7"/>
      <c r="E433" s="7"/>
      <c r="F433" s="7"/>
    </row>
    <row r="434" spans="1:6" x14ac:dyDescent="0.25">
      <c r="A434" s="7"/>
      <c r="E434" s="7"/>
      <c r="F434" s="7"/>
    </row>
    <row r="435" spans="1:6" x14ac:dyDescent="0.25">
      <c r="A435" s="7"/>
      <c r="E435" s="7"/>
      <c r="F435" s="7"/>
    </row>
    <row r="436" spans="1:6" x14ac:dyDescent="0.25">
      <c r="A436" s="7"/>
      <c r="E436" s="7"/>
      <c r="F436" s="7"/>
    </row>
    <row r="437" spans="1:6" x14ac:dyDescent="0.25">
      <c r="A437" s="7"/>
      <c r="E437" s="7"/>
      <c r="F437" s="7"/>
    </row>
    <row r="438" spans="1:6" x14ac:dyDescent="0.25">
      <c r="A438" s="7"/>
      <c r="E438" s="7"/>
      <c r="F438" s="7"/>
    </row>
    <row r="439" spans="1:6" x14ac:dyDescent="0.25">
      <c r="A439" s="7"/>
      <c r="E439" s="7"/>
      <c r="F439" s="7"/>
    </row>
    <row r="440" spans="1:6" x14ac:dyDescent="0.25">
      <c r="A440" s="7"/>
      <c r="E440" s="7"/>
      <c r="F440" s="7"/>
    </row>
    <row r="441" spans="1:6" x14ac:dyDescent="0.25">
      <c r="A441" s="7"/>
      <c r="E441" s="7"/>
      <c r="F441" s="7"/>
    </row>
    <row r="442" spans="1:6" x14ac:dyDescent="0.25">
      <c r="A442" s="7"/>
      <c r="E442" s="7"/>
      <c r="F442" s="7"/>
    </row>
    <row r="443" spans="1:6" x14ac:dyDescent="0.25">
      <c r="A443" s="7"/>
      <c r="E443" s="7"/>
      <c r="F443" s="7"/>
    </row>
    <row r="444" spans="1:6" x14ac:dyDescent="0.25">
      <c r="A444" s="7"/>
      <c r="E444" s="7"/>
      <c r="F444" s="7"/>
    </row>
    <row r="445" spans="1:6" x14ac:dyDescent="0.25">
      <c r="A445" s="7"/>
      <c r="E445" s="7"/>
      <c r="F445" s="7"/>
    </row>
    <row r="446" spans="1:6" x14ac:dyDescent="0.25">
      <c r="A446" s="7"/>
      <c r="E446" s="7"/>
      <c r="F446" s="7"/>
    </row>
    <row r="447" spans="1:6" x14ac:dyDescent="0.25">
      <c r="A447" s="7"/>
      <c r="E447" s="7"/>
      <c r="F447" s="7"/>
    </row>
    <row r="448" spans="1:6" x14ac:dyDescent="0.25">
      <c r="A448" s="7"/>
      <c r="E448" s="7"/>
      <c r="F448" s="7"/>
    </row>
    <row r="449" spans="1:6" x14ac:dyDescent="0.25">
      <c r="A449" s="7"/>
      <c r="E449" s="7"/>
      <c r="F449" s="7"/>
    </row>
    <row r="450" spans="1:6" x14ac:dyDescent="0.25">
      <c r="A450" s="7"/>
      <c r="E450" s="7"/>
      <c r="F450" s="7"/>
    </row>
    <row r="451" spans="1:6" x14ac:dyDescent="0.25">
      <c r="A451" s="7"/>
      <c r="E451" s="7"/>
      <c r="F451" s="7"/>
    </row>
    <row r="452" spans="1:6" x14ac:dyDescent="0.25">
      <c r="A452" s="7"/>
      <c r="E452" s="7"/>
      <c r="F452" s="7"/>
    </row>
    <row r="453" spans="1:6" x14ac:dyDescent="0.25">
      <c r="A453" s="7"/>
      <c r="E453" s="7"/>
      <c r="F453" s="7"/>
    </row>
    <row r="454" spans="1:6" x14ac:dyDescent="0.25">
      <c r="A454" s="7"/>
      <c r="E454" s="7"/>
      <c r="F454" s="7"/>
    </row>
    <row r="455" spans="1:6" x14ac:dyDescent="0.25">
      <c r="A455" s="7"/>
      <c r="E455" s="7"/>
      <c r="F455" s="7"/>
    </row>
    <row r="456" spans="1:6" x14ac:dyDescent="0.25">
      <c r="A456" s="7"/>
      <c r="E456" s="7"/>
      <c r="F456" s="7"/>
    </row>
    <row r="457" spans="1:6" x14ac:dyDescent="0.25">
      <c r="A457" s="7"/>
      <c r="E457" s="7"/>
      <c r="F457" s="7"/>
    </row>
    <row r="458" spans="1:6" x14ac:dyDescent="0.25">
      <c r="A458" s="7"/>
      <c r="E458" s="7"/>
      <c r="F458" s="7"/>
    </row>
    <row r="459" spans="1:6" x14ac:dyDescent="0.25">
      <c r="A459" s="7"/>
      <c r="E459" s="7"/>
      <c r="F459" s="7"/>
    </row>
    <row r="460" spans="1:6" x14ac:dyDescent="0.25">
      <c r="A460" s="7"/>
      <c r="E460" s="7"/>
      <c r="F460" s="7"/>
    </row>
    <row r="461" spans="1:6" x14ac:dyDescent="0.25">
      <c r="A461" s="7"/>
      <c r="E461" s="7"/>
      <c r="F461" s="7"/>
    </row>
    <row r="462" spans="1:6" x14ac:dyDescent="0.25">
      <c r="A462" s="7"/>
      <c r="E462" s="7"/>
      <c r="F462" s="7"/>
    </row>
    <row r="463" spans="1:6" x14ac:dyDescent="0.25">
      <c r="A463" s="7"/>
      <c r="E463" s="7"/>
      <c r="F463" s="7"/>
    </row>
    <row r="464" spans="1:6" x14ac:dyDescent="0.25">
      <c r="A464" s="7"/>
      <c r="E464" s="7"/>
      <c r="F464" s="7"/>
    </row>
    <row r="465" spans="1:6" x14ac:dyDescent="0.25">
      <c r="A465" s="7"/>
      <c r="E465" s="7"/>
      <c r="F465" s="7"/>
    </row>
    <row r="466" spans="1:6" x14ac:dyDescent="0.25">
      <c r="A466" s="7"/>
      <c r="E466" s="7"/>
      <c r="F466" s="7"/>
    </row>
    <row r="467" spans="1:6" x14ac:dyDescent="0.25">
      <c r="A467" s="7"/>
      <c r="E467" s="7"/>
      <c r="F467" s="7"/>
    </row>
    <row r="468" spans="1:6" x14ac:dyDescent="0.25">
      <c r="A468" s="7"/>
      <c r="E468" s="7"/>
      <c r="F468" s="7"/>
    </row>
    <row r="469" spans="1:6" x14ac:dyDescent="0.25">
      <c r="A469" s="7"/>
      <c r="E469" s="7"/>
      <c r="F469" s="7"/>
    </row>
    <row r="470" spans="1:6" x14ac:dyDescent="0.25">
      <c r="A470" s="7"/>
      <c r="E470" s="7"/>
      <c r="F470" s="7"/>
    </row>
    <row r="471" spans="1:6" x14ac:dyDescent="0.25">
      <c r="A471" s="7"/>
      <c r="E471" s="7"/>
      <c r="F471" s="7"/>
    </row>
    <row r="472" spans="1:6" x14ac:dyDescent="0.25">
      <c r="A472" s="7"/>
      <c r="E472" s="7"/>
      <c r="F472" s="7"/>
    </row>
    <row r="473" spans="1:6" x14ac:dyDescent="0.25">
      <c r="A473" s="7"/>
      <c r="E473" s="7"/>
      <c r="F473" s="7"/>
    </row>
    <row r="474" spans="1:6" x14ac:dyDescent="0.25">
      <c r="A474" s="7"/>
      <c r="E474" s="7"/>
      <c r="F474" s="7"/>
    </row>
    <row r="475" spans="1:6" x14ac:dyDescent="0.25">
      <c r="A475" s="7"/>
      <c r="E475" s="7"/>
      <c r="F475" s="7"/>
    </row>
    <row r="476" spans="1:6" x14ac:dyDescent="0.25">
      <c r="A476" s="7"/>
      <c r="E476" s="7"/>
      <c r="F476" s="7"/>
    </row>
    <row r="477" spans="1:6" x14ac:dyDescent="0.25">
      <c r="A477" s="7"/>
      <c r="E477" s="7"/>
      <c r="F477" s="7"/>
    </row>
    <row r="478" spans="1:6" x14ac:dyDescent="0.25">
      <c r="A478" s="7"/>
      <c r="E478" s="7"/>
      <c r="F478" s="7"/>
    </row>
    <row r="479" spans="1:6" x14ac:dyDescent="0.25">
      <c r="A479" s="7"/>
      <c r="E479" s="7"/>
      <c r="F479" s="7"/>
    </row>
    <row r="480" spans="1:6" x14ac:dyDescent="0.25">
      <c r="A480" s="7"/>
      <c r="E480" s="7"/>
      <c r="F480" s="7"/>
    </row>
    <row r="481" spans="1:6" x14ac:dyDescent="0.25">
      <c r="A481" s="7"/>
      <c r="E481" s="7"/>
      <c r="F481" s="7"/>
    </row>
    <row r="482" spans="1:6" x14ac:dyDescent="0.25">
      <c r="A482" s="7"/>
      <c r="E482" s="7"/>
      <c r="F482" s="7"/>
    </row>
    <row r="483" spans="1:6" x14ac:dyDescent="0.25">
      <c r="A483" s="7"/>
      <c r="E483" s="7"/>
      <c r="F483" s="7"/>
    </row>
    <row r="484" spans="1:6" x14ac:dyDescent="0.25">
      <c r="A484" s="7"/>
      <c r="E484" s="7"/>
      <c r="F484" s="7"/>
    </row>
    <row r="485" spans="1:6" x14ac:dyDescent="0.25">
      <c r="A485" s="7"/>
      <c r="E485" s="7"/>
      <c r="F485" s="7"/>
    </row>
    <row r="486" spans="1:6" x14ac:dyDescent="0.25">
      <c r="A486" s="7"/>
      <c r="E486" s="7"/>
      <c r="F486" s="7"/>
    </row>
    <row r="487" spans="1:6" x14ac:dyDescent="0.25">
      <c r="A487" s="7"/>
      <c r="E487" s="7"/>
      <c r="F487" s="7"/>
    </row>
    <row r="488" spans="1:6" x14ac:dyDescent="0.25">
      <c r="A488" s="7"/>
      <c r="E488" s="7"/>
      <c r="F488" s="7"/>
    </row>
    <row r="489" spans="1:6" x14ac:dyDescent="0.25">
      <c r="A489" s="7"/>
      <c r="E489" s="7"/>
      <c r="F489" s="7"/>
    </row>
    <row r="490" spans="1:6" x14ac:dyDescent="0.25">
      <c r="A490" s="7"/>
      <c r="E490" s="7"/>
      <c r="F490" s="7"/>
    </row>
    <row r="491" spans="1:6" x14ac:dyDescent="0.25">
      <c r="A491" s="7"/>
      <c r="E491" s="7"/>
      <c r="F491" s="7"/>
    </row>
    <row r="492" spans="1:6" x14ac:dyDescent="0.25">
      <c r="A492" s="7"/>
      <c r="E492" s="7"/>
      <c r="F492" s="7"/>
    </row>
    <row r="493" spans="1:6" x14ac:dyDescent="0.25">
      <c r="A493" s="7"/>
      <c r="E493" s="7"/>
      <c r="F493" s="7"/>
    </row>
    <row r="494" spans="1:6" x14ac:dyDescent="0.25">
      <c r="A494" s="7"/>
      <c r="E494" s="7"/>
      <c r="F494" s="7"/>
    </row>
    <row r="495" spans="1:6" x14ac:dyDescent="0.25">
      <c r="A495" s="7"/>
      <c r="E495" s="7"/>
      <c r="F495" s="7"/>
    </row>
    <row r="496" spans="1:6" x14ac:dyDescent="0.25">
      <c r="A496" s="7"/>
      <c r="E496" s="7"/>
      <c r="F496" s="7"/>
    </row>
    <row r="497" spans="1:6" x14ac:dyDescent="0.25">
      <c r="A497" s="7"/>
      <c r="E497" s="7"/>
      <c r="F497" s="7"/>
    </row>
    <row r="498" spans="1:6" x14ac:dyDescent="0.25">
      <c r="A498" s="7"/>
      <c r="E498" s="7"/>
      <c r="F498" s="7"/>
    </row>
    <row r="499" spans="1:6" x14ac:dyDescent="0.25">
      <c r="A499" s="7"/>
      <c r="E499" s="7"/>
      <c r="F499" s="7"/>
    </row>
    <row r="500" spans="1:6" x14ac:dyDescent="0.25">
      <c r="A500" s="7"/>
      <c r="E500" s="7"/>
      <c r="F500" s="7"/>
    </row>
    <row r="501" spans="1:6" x14ac:dyDescent="0.25">
      <c r="A501" s="7"/>
      <c r="E501" s="7"/>
      <c r="F501" s="7"/>
    </row>
    <row r="502" spans="1:6" x14ac:dyDescent="0.25">
      <c r="A502" s="7"/>
      <c r="E502" s="7"/>
      <c r="F502" s="7"/>
    </row>
    <row r="503" spans="1:6" x14ac:dyDescent="0.25">
      <c r="A503" s="7"/>
      <c r="E503" s="7"/>
      <c r="F503" s="7"/>
    </row>
    <row r="504" spans="1:6" x14ac:dyDescent="0.25">
      <c r="A504" s="7"/>
      <c r="E504" s="7"/>
      <c r="F504" s="7"/>
    </row>
    <row r="505" spans="1:6" x14ac:dyDescent="0.25">
      <c r="A505" s="7"/>
      <c r="E505" s="7"/>
      <c r="F505" s="7"/>
    </row>
    <row r="506" spans="1:6" x14ac:dyDescent="0.25">
      <c r="A506" s="7"/>
      <c r="E506" s="7"/>
      <c r="F506" s="7"/>
    </row>
    <row r="507" spans="1:6" x14ac:dyDescent="0.25">
      <c r="A507" s="7"/>
      <c r="E507" s="7"/>
      <c r="F507" s="7"/>
    </row>
    <row r="508" spans="1:6" x14ac:dyDescent="0.25">
      <c r="A508" s="7"/>
      <c r="E508" s="7"/>
      <c r="F508" s="7"/>
    </row>
    <row r="509" spans="1:6" x14ac:dyDescent="0.25">
      <c r="A509" s="7"/>
      <c r="E509" s="7"/>
      <c r="F509" s="7"/>
    </row>
    <row r="510" spans="1:6" x14ac:dyDescent="0.25">
      <c r="A510" s="7"/>
      <c r="E510" s="7"/>
      <c r="F510" s="7"/>
    </row>
    <row r="511" spans="1:6" x14ac:dyDescent="0.25">
      <c r="A511" s="7"/>
      <c r="E511" s="7"/>
      <c r="F511" s="7"/>
    </row>
    <row r="512" spans="1:6" x14ac:dyDescent="0.25">
      <c r="A512" s="7"/>
      <c r="E512" s="7"/>
      <c r="F512" s="7"/>
    </row>
    <row r="513" spans="1:6" x14ac:dyDescent="0.25">
      <c r="A513" s="7"/>
      <c r="E513" s="7"/>
      <c r="F513" s="7"/>
    </row>
    <row r="514" spans="1:6" x14ac:dyDescent="0.25">
      <c r="A514" s="7"/>
      <c r="E514" s="7"/>
      <c r="F514" s="7"/>
    </row>
    <row r="515" spans="1:6" x14ac:dyDescent="0.25">
      <c r="A515" s="7"/>
      <c r="E515" s="7"/>
      <c r="F515" s="7"/>
    </row>
    <row r="516" spans="1:6" x14ac:dyDescent="0.25">
      <c r="A516" s="7"/>
      <c r="E516" s="7"/>
      <c r="F516" s="7"/>
    </row>
    <row r="517" spans="1:6" x14ac:dyDescent="0.25">
      <c r="A517" s="7"/>
      <c r="E517" s="7"/>
      <c r="F517" s="7"/>
    </row>
    <row r="518" spans="1:6" x14ac:dyDescent="0.25">
      <c r="A518" s="7"/>
      <c r="E518" s="7"/>
      <c r="F518" s="7"/>
    </row>
    <row r="519" spans="1:6" x14ac:dyDescent="0.25">
      <c r="A519" s="7"/>
      <c r="E519" s="7"/>
      <c r="F519" s="7"/>
    </row>
    <row r="520" spans="1:6" x14ac:dyDescent="0.25">
      <c r="A520" s="7"/>
      <c r="E520" s="7"/>
      <c r="F520" s="7"/>
    </row>
    <row r="521" spans="1:6" x14ac:dyDescent="0.25">
      <c r="A521" s="7"/>
      <c r="E521" s="7"/>
      <c r="F521" s="7"/>
    </row>
    <row r="522" spans="1:6" x14ac:dyDescent="0.25">
      <c r="A522" s="7"/>
      <c r="E522" s="7"/>
      <c r="F522" s="7"/>
    </row>
    <row r="523" spans="1:6" x14ac:dyDescent="0.25">
      <c r="A523" s="7"/>
      <c r="E523" s="7"/>
      <c r="F523" s="7"/>
    </row>
    <row r="524" spans="1:6" x14ac:dyDescent="0.25">
      <c r="A524" s="7"/>
      <c r="E524" s="7"/>
      <c r="F524" s="7"/>
    </row>
    <row r="525" spans="1:6" x14ac:dyDescent="0.25">
      <c r="A525" s="7"/>
      <c r="E525" s="7"/>
      <c r="F525" s="7"/>
    </row>
    <row r="526" spans="1:6" x14ac:dyDescent="0.25">
      <c r="A526" s="7"/>
      <c r="E526" s="7"/>
      <c r="F526" s="7"/>
    </row>
    <row r="527" spans="1:6" x14ac:dyDescent="0.25">
      <c r="A527" s="7"/>
      <c r="E527" s="7"/>
      <c r="F527" s="7"/>
    </row>
    <row r="528" spans="1:6" x14ac:dyDescent="0.25">
      <c r="A528" s="7"/>
      <c r="E528" s="7"/>
      <c r="F528" s="7"/>
    </row>
    <row r="529" spans="1:6" x14ac:dyDescent="0.25">
      <c r="A529" s="7"/>
      <c r="E529" s="7"/>
      <c r="F529" s="7"/>
    </row>
    <row r="530" spans="1:6" x14ac:dyDescent="0.25">
      <c r="A530" s="7"/>
      <c r="E530" s="7"/>
      <c r="F530" s="7"/>
    </row>
    <row r="531" spans="1:6" x14ac:dyDescent="0.25">
      <c r="A531" s="7"/>
      <c r="E531" s="7"/>
      <c r="F531" s="7"/>
    </row>
    <row r="532" spans="1:6" x14ac:dyDescent="0.25">
      <c r="A532" s="7"/>
      <c r="E532" s="7"/>
      <c r="F532" s="7"/>
    </row>
    <row r="533" spans="1:6" x14ac:dyDescent="0.25">
      <c r="A533" s="7"/>
      <c r="E533" s="7"/>
      <c r="F533" s="7"/>
    </row>
    <row r="534" spans="1:6" x14ac:dyDescent="0.25">
      <c r="A534" s="7"/>
      <c r="E534" s="7"/>
      <c r="F534" s="7"/>
    </row>
    <row r="535" spans="1:6" x14ac:dyDescent="0.25">
      <c r="A535" s="7"/>
      <c r="E535" s="7"/>
      <c r="F535" s="7"/>
    </row>
    <row r="536" spans="1:6" x14ac:dyDescent="0.25">
      <c r="A536" s="7"/>
      <c r="E536" s="7"/>
      <c r="F536" s="7"/>
    </row>
    <row r="537" spans="1:6" x14ac:dyDescent="0.25">
      <c r="A537" s="7"/>
      <c r="E537" s="7"/>
      <c r="F537" s="7"/>
    </row>
    <row r="538" spans="1:6" x14ac:dyDescent="0.25">
      <c r="A538" s="7"/>
      <c r="E538" s="7"/>
      <c r="F538" s="7"/>
    </row>
    <row r="539" spans="1:6" x14ac:dyDescent="0.25">
      <c r="A539" s="7"/>
      <c r="E539" s="7"/>
      <c r="F539" s="7"/>
    </row>
    <row r="540" spans="1:6" x14ac:dyDescent="0.25">
      <c r="A540" s="7"/>
      <c r="E540" s="7"/>
      <c r="F540" s="7"/>
    </row>
    <row r="541" spans="1:6" x14ac:dyDescent="0.25">
      <c r="A541" s="7"/>
      <c r="E541" s="7"/>
      <c r="F541" s="7"/>
    </row>
    <row r="542" spans="1:6" x14ac:dyDescent="0.25">
      <c r="A542" s="7"/>
      <c r="E542" s="7"/>
      <c r="F542" s="7"/>
    </row>
    <row r="543" spans="1:6" x14ac:dyDescent="0.25">
      <c r="A543" s="7"/>
      <c r="E543" s="7"/>
      <c r="F543" s="7"/>
    </row>
    <row r="544" spans="1:6" x14ac:dyDescent="0.25">
      <c r="A544" s="7"/>
      <c r="E544" s="7"/>
      <c r="F544" s="7"/>
    </row>
    <row r="545" spans="1:6" x14ac:dyDescent="0.25">
      <c r="A545" s="7"/>
      <c r="E545" s="7"/>
      <c r="F545" s="7"/>
    </row>
    <row r="546" spans="1:6" x14ac:dyDescent="0.25">
      <c r="A546" s="7"/>
      <c r="E546" s="7"/>
      <c r="F546" s="7"/>
    </row>
    <row r="547" spans="1:6" x14ac:dyDescent="0.25">
      <c r="A547" s="7"/>
      <c r="E547" s="7"/>
      <c r="F547" s="7"/>
    </row>
    <row r="548" spans="1:6" x14ac:dyDescent="0.25">
      <c r="A548" s="7"/>
      <c r="E548" s="7"/>
      <c r="F548" s="7"/>
    </row>
    <row r="549" spans="1:6" x14ac:dyDescent="0.25">
      <c r="A549" s="7"/>
      <c r="E549" s="7"/>
      <c r="F549" s="7"/>
    </row>
    <row r="550" spans="1:6" x14ac:dyDescent="0.25">
      <c r="A550" s="7"/>
      <c r="E550" s="7"/>
      <c r="F550" s="7"/>
    </row>
    <row r="551" spans="1:6" x14ac:dyDescent="0.25">
      <c r="A551" s="7"/>
      <c r="E551" s="7"/>
      <c r="F551" s="7"/>
    </row>
    <row r="552" spans="1:6" x14ac:dyDescent="0.25">
      <c r="A552" s="7"/>
      <c r="E552" s="7"/>
      <c r="F552" s="7"/>
    </row>
    <row r="553" spans="1:6" x14ac:dyDescent="0.25">
      <c r="A553" s="7"/>
      <c r="E553" s="7"/>
      <c r="F553" s="7"/>
    </row>
    <row r="554" spans="1:6" x14ac:dyDescent="0.25">
      <c r="A554" s="7"/>
      <c r="E554" s="7"/>
      <c r="F554" s="7"/>
    </row>
    <row r="555" spans="1:6" x14ac:dyDescent="0.25">
      <c r="A555" s="7"/>
      <c r="E555" s="7"/>
      <c r="F555" s="7"/>
    </row>
    <row r="556" spans="1:6" x14ac:dyDescent="0.25">
      <c r="A556" s="7"/>
      <c r="E556" s="7"/>
      <c r="F556" s="7"/>
    </row>
    <row r="557" spans="1:6" x14ac:dyDescent="0.25">
      <c r="A557" s="7"/>
      <c r="E557" s="7"/>
      <c r="F557" s="7"/>
    </row>
    <row r="558" spans="1:6" x14ac:dyDescent="0.25">
      <c r="A558" s="7"/>
      <c r="E558" s="7"/>
      <c r="F558" s="7"/>
    </row>
    <row r="559" spans="1:6" x14ac:dyDescent="0.25">
      <c r="A559" s="7"/>
      <c r="E559" s="7"/>
      <c r="F559" s="7"/>
    </row>
    <row r="560" spans="1:6" x14ac:dyDescent="0.25">
      <c r="A560" s="7"/>
      <c r="E560" s="7"/>
      <c r="F560" s="7"/>
    </row>
    <row r="561" spans="1:6" x14ac:dyDescent="0.25">
      <c r="A561" s="7"/>
      <c r="E561" s="7"/>
      <c r="F561" s="7"/>
    </row>
    <row r="562" spans="1:6" x14ac:dyDescent="0.25">
      <c r="A562" s="7"/>
      <c r="E562" s="7"/>
      <c r="F562" s="7"/>
    </row>
    <row r="563" spans="1:6" x14ac:dyDescent="0.25">
      <c r="A563" s="7"/>
      <c r="E563" s="7"/>
      <c r="F563" s="7"/>
    </row>
    <row r="564" spans="1:6" x14ac:dyDescent="0.25">
      <c r="A564" s="7"/>
      <c r="E564" s="7"/>
      <c r="F564" s="7"/>
    </row>
    <row r="565" spans="1:6" x14ac:dyDescent="0.25">
      <c r="A565" s="7"/>
      <c r="E565" s="7"/>
      <c r="F565" s="7"/>
    </row>
    <row r="566" spans="1:6" x14ac:dyDescent="0.25">
      <c r="A566" s="7"/>
      <c r="E566" s="7"/>
      <c r="F566" s="7"/>
    </row>
    <row r="567" spans="1:6" x14ac:dyDescent="0.25">
      <c r="A567" s="7"/>
      <c r="E567" s="7"/>
      <c r="F567" s="7"/>
    </row>
    <row r="568" spans="1:6" x14ac:dyDescent="0.25">
      <c r="A568" s="7"/>
      <c r="E568" s="7"/>
      <c r="F568" s="7"/>
    </row>
    <row r="569" spans="1:6" x14ac:dyDescent="0.25">
      <c r="A569" s="7"/>
      <c r="E569" s="7"/>
      <c r="F569" s="7"/>
    </row>
    <row r="570" spans="1:6" x14ac:dyDescent="0.25">
      <c r="A570" s="7"/>
      <c r="E570" s="7"/>
      <c r="F570" s="7"/>
    </row>
    <row r="571" spans="1:6" x14ac:dyDescent="0.25">
      <c r="A571" s="7"/>
      <c r="E571" s="7"/>
      <c r="F571" s="7"/>
    </row>
    <row r="572" spans="1:6" x14ac:dyDescent="0.25">
      <c r="A572" s="7"/>
      <c r="E572" s="7"/>
      <c r="F572" s="7"/>
    </row>
    <row r="573" spans="1:6" x14ac:dyDescent="0.25">
      <c r="A573" s="7"/>
      <c r="E573" s="7"/>
      <c r="F573" s="7"/>
    </row>
    <row r="574" spans="1:6" x14ac:dyDescent="0.25">
      <c r="A574" s="7"/>
      <c r="E574" s="7"/>
      <c r="F574" s="7"/>
    </row>
    <row r="575" spans="1:6" x14ac:dyDescent="0.25">
      <c r="A575" s="7"/>
      <c r="E575" s="7"/>
      <c r="F575" s="7"/>
    </row>
    <row r="576" spans="1:6" x14ac:dyDescent="0.25">
      <c r="A576" s="7"/>
      <c r="E576" s="7"/>
      <c r="F576" s="7"/>
    </row>
    <row r="577" spans="1:6" x14ac:dyDescent="0.25">
      <c r="A577" s="7"/>
      <c r="E577" s="7"/>
      <c r="F577" s="7"/>
    </row>
    <row r="578" spans="1:6" x14ac:dyDescent="0.25">
      <c r="A578" s="7"/>
      <c r="E578" s="7"/>
      <c r="F578" s="7"/>
    </row>
    <row r="579" spans="1:6" x14ac:dyDescent="0.25">
      <c r="A579" s="7"/>
      <c r="E579" s="7"/>
      <c r="F579" s="7"/>
    </row>
    <row r="580" spans="1:6" x14ac:dyDescent="0.25">
      <c r="A580" s="7"/>
      <c r="E580" s="7"/>
      <c r="F580" s="7"/>
    </row>
    <row r="581" spans="1:6" x14ac:dyDescent="0.25">
      <c r="A581" s="7"/>
      <c r="E581" s="7"/>
      <c r="F581" s="7"/>
    </row>
    <row r="582" spans="1:6" x14ac:dyDescent="0.25">
      <c r="A582" s="7"/>
      <c r="E582" s="7"/>
      <c r="F582" s="7"/>
    </row>
    <row r="583" spans="1:6" x14ac:dyDescent="0.25">
      <c r="A583" s="7"/>
      <c r="E583" s="7"/>
      <c r="F583" s="7"/>
    </row>
    <row r="584" spans="1:6" x14ac:dyDescent="0.25">
      <c r="A584" s="7"/>
      <c r="E584" s="7"/>
      <c r="F584" s="7"/>
    </row>
    <row r="585" spans="1:6" x14ac:dyDescent="0.25">
      <c r="A585" s="7"/>
      <c r="E585" s="7"/>
      <c r="F585" s="7"/>
    </row>
    <row r="586" spans="1:6" x14ac:dyDescent="0.25">
      <c r="A586" s="7"/>
      <c r="E586" s="7"/>
      <c r="F586" s="7"/>
    </row>
    <row r="587" spans="1:6" x14ac:dyDescent="0.25">
      <c r="A587" s="7"/>
      <c r="E587" s="7"/>
      <c r="F587" s="7"/>
    </row>
    <row r="588" spans="1:6" x14ac:dyDescent="0.25">
      <c r="A588" s="7"/>
      <c r="E588" s="7"/>
      <c r="F588" s="7"/>
    </row>
    <row r="589" spans="1:6" x14ac:dyDescent="0.25">
      <c r="A589" s="7"/>
      <c r="E589" s="7"/>
      <c r="F589" s="7"/>
    </row>
    <row r="590" spans="1:6" x14ac:dyDescent="0.25">
      <c r="A590" s="7"/>
      <c r="E590" s="7"/>
      <c r="F590" s="7"/>
    </row>
    <row r="591" spans="1:6" x14ac:dyDescent="0.25">
      <c r="A591" s="7"/>
      <c r="E591" s="7"/>
      <c r="F591" s="7"/>
    </row>
    <row r="592" spans="1:6" x14ac:dyDescent="0.25">
      <c r="A592" s="7"/>
      <c r="E592" s="7"/>
      <c r="F592" s="7"/>
    </row>
    <row r="593" spans="1:6" x14ac:dyDescent="0.25">
      <c r="A593" s="7"/>
      <c r="E593" s="7"/>
      <c r="F593" s="7"/>
    </row>
    <row r="594" spans="1:6" x14ac:dyDescent="0.25">
      <c r="A594" s="7"/>
      <c r="E594" s="7"/>
      <c r="F594" s="7"/>
    </row>
    <row r="595" spans="1:6" x14ac:dyDescent="0.25">
      <c r="A595" s="7"/>
      <c r="E595" s="7"/>
      <c r="F595" s="7"/>
    </row>
    <row r="596" spans="1:6" x14ac:dyDescent="0.25">
      <c r="A596" s="7"/>
      <c r="E596" s="7"/>
      <c r="F596" s="7"/>
    </row>
    <row r="597" spans="1:6" x14ac:dyDescent="0.25">
      <c r="A597" s="7"/>
      <c r="E597" s="7"/>
      <c r="F597" s="7"/>
    </row>
    <row r="598" spans="1:6" x14ac:dyDescent="0.25">
      <c r="A598" s="7"/>
      <c r="E598" s="7"/>
      <c r="F598" s="7"/>
    </row>
    <row r="599" spans="1:6" x14ac:dyDescent="0.25">
      <c r="A599" s="7"/>
      <c r="E599" s="7"/>
      <c r="F599" s="7"/>
    </row>
    <row r="600" spans="1:6" x14ac:dyDescent="0.25">
      <c r="A600" s="7"/>
      <c r="E600" s="7"/>
      <c r="F600" s="7"/>
    </row>
    <row r="601" spans="1:6" x14ac:dyDescent="0.25">
      <c r="A601" s="7"/>
      <c r="E601" s="7"/>
      <c r="F601" s="7"/>
    </row>
    <row r="602" spans="1:6" x14ac:dyDescent="0.25">
      <c r="A602" s="7"/>
      <c r="E602" s="7"/>
      <c r="F602" s="7"/>
    </row>
    <row r="603" spans="1:6" x14ac:dyDescent="0.25">
      <c r="A603" s="7"/>
      <c r="E603" s="7"/>
      <c r="F603" s="7"/>
    </row>
    <row r="604" spans="1:6" x14ac:dyDescent="0.25">
      <c r="A604" s="7"/>
      <c r="E604" s="7"/>
      <c r="F604" s="7"/>
    </row>
    <row r="605" spans="1:6" x14ac:dyDescent="0.25">
      <c r="A605" s="7"/>
      <c r="E605" s="7"/>
      <c r="F605" s="7"/>
    </row>
    <row r="606" spans="1:6" x14ac:dyDescent="0.25">
      <c r="A606" s="7"/>
      <c r="E606" s="7"/>
      <c r="F606" s="7"/>
    </row>
    <row r="607" spans="1:6" x14ac:dyDescent="0.25">
      <c r="A607" s="7"/>
      <c r="E607" s="7"/>
      <c r="F607" s="7"/>
    </row>
    <row r="608" spans="1:6" x14ac:dyDescent="0.25">
      <c r="A608" s="7"/>
      <c r="E608" s="7"/>
      <c r="F608" s="7"/>
    </row>
    <row r="609" spans="1:6" x14ac:dyDescent="0.25">
      <c r="A609" s="7"/>
      <c r="E609" s="7"/>
      <c r="F609" s="7"/>
    </row>
    <row r="610" spans="1:6" x14ac:dyDescent="0.25">
      <c r="A610" s="7"/>
      <c r="E610" s="7"/>
      <c r="F610" s="7"/>
    </row>
    <row r="611" spans="1:6" x14ac:dyDescent="0.25">
      <c r="A611" s="7"/>
      <c r="E611" s="7"/>
      <c r="F611" s="7"/>
    </row>
    <row r="612" spans="1:6" x14ac:dyDescent="0.25">
      <c r="A612" s="7"/>
      <c r="E612" s="7"/>
      <c r="F612" s="7"/>
    </row>
    <row r="613" spans="1:6" x14ac:dyDescent="0.25">
      <c r="A613" s="7"/>
      <c r="E613" s="7"/>
      <c r="F613" s="7"/>
    </row>
    <row r="614" spans="1:6" x14ac:dyDescent="0.25">
      <c r="A614" s="7"/>
      <c r="E614" s="7"/>
      <c r="F614" s="7"/>
    </row>
    <row r="615" spans="1:6" x14ac:dyDescent="0.25">
      <c r="A615" s="7"/>
      <c r="E615" s="7"/>
      <c r="F615" s="7"/>
    </row>
    <row r="616" spans="1:6" x14ac:dyDescent="0.25">
      <c r="A616" s="7"/>
      <c r="E616" s="7"/>
      <c r="F616" s="7"/>
    </row>
    <row r="617" spans="1:6" x14ac:dyDescent="0.25">
      <c r="A617" s="7"/>
      <c r="E617" s="7"/>
      <c r="F617" s="7"/>
    </row>
    <row r="618" spans="1:6" x14ac:dyDescent="0.25">
      <c r="A618" s="7"/>
      <c r="E618" s="7"/>
      <c r="F618" s="7"/>
    </row>
    <row r="619" spans="1:6" x14ac:dyDescent="0.25">
      <c r="A619" s="7"/>
      <c r="E619" s="7"/>
      <c r="F619" s="7"/>
    </row>
    <row r="620" spans="1:6" x14ac:dyDescent="0.25">
      <c r="A620" s="7"/>
      <c r="E620" s="7"/>
      <c r="F620" s="7"/>
    </row>
    <row r="621" spans="1:6" x14ac:dyDescent="0.25">
      <c r="A621" s="7"/>
      <c r="E621" s="7"/>
      <c r="F621" s="7"/>
    </row>
    <row r="622" spans="1:6" x14ac:dyDescent="0.25">
      <c r="A622" s="7"/>
      <c r="E622" s="7"/>
      <c r="F622" s="7"/>
    </row>
    <row r="623" spans="1:6" x14ac:dyDescent="0.25">
      <c r="A623" s="7"/>
      <c r="E623" s="7"/>
      <c r="F623" s="7"/>
    </row>
    <row r="624" spans="1:6" x14ac:dyDescent="0.25">
      <c r="A624" s="7"/>
      <c r="E624" s="7"/>
      <c r="F624" s="7"/>
    </row>
    <row r="625" spans="1:6" x14ac:dyDescent="0.25">
      <c r="A625" s="7"/>
      <c r="E625" s="7"/>
      <c r="F625" s="7"/>
    </row>
    <row r="626" spans="1:6" x14ac:dyDescent="0.25">
      <c r="A626" s="7"/>
      <c r="E626" s="7"/>
      <c r="F626" s="7"/>
    </row>
    <row r="627" spans="1:6" x14ac:dyDescent="0.25">
      <c r="A627" s="7"/>
      <c r="E627" s="7"/>
      <c r="F627" s="7"/>
    </row>
    <row r="628" spans="1:6" x14ac:dyDescent="0.25">
      <c r="A628" s="7"/>
      <c r="E628" s="7"/>
      <c r="F628" s="7"/>
    </row>
    <row r="629" spans="1:6" x14ac:dyDescent="0.25">
      <c r="A629" s="7"/>
      <c r="E629" s="7"/>
      <c r="F629" s="7"/>
    </row>
    <row r="630" spans="1:6" x14ac:dyDescent="0.25">
      <c r="A630" s="7"/>
      <c r="E630" s="7"/>
      <c r="F630" s="7"/>
    </row>
    <row r="631" spans="1:6" x14ac:dyDescent="0.25">
      <c r="A631" s="7"/>
      <c r="E631" s="7"/>
      <c r="F631" s="7"/>
    </row>
    <row r="632" spans="1:6" x14ac:dyDescent="0.25">
      <c r="A632" s="7"/>
      <c r="E632" s="7"/>
      <c r="F632" s="7"/>
    </row>
    <row r="633" spans="1:6" x14ac:dyDescent="0.25">
      <c r="A633" s="7"/>
      <c r="E633" s="7"/>
      <c r="F633" s="7"/>
    </row>
    <row r="634" spans="1:6" x14ac:dyDescent="0.25">
      <c r="A634" s="7"/>
      <c r="E634" s="7"/>
      <c r="F634" s="7"/>
    </row>
    <row r="635" spans="1:6" x14ac:dyDescent="0.25">
      <c r="A635" s="7"/>
      <c r="E635" s="7"/>
      <c r="F635" s="7"/>
    </row>
    <row r="636" spans="1:6" x14ac:dyDescent="0.25">
      <c r="A636" s="7"/>
      <c r="E636" s="7"/>
      <c r="F636" s="7"/>
    </row>
    <row r="637" spans="1:6" x14ac:dyDescent="0.25">
      <c r="A637" s="7"/>
      <c r="E637" s="7"/>
      <c r="F637" s="7"/>
    </row>
    <row r="638" spans="1:6" x14ac:dyDescent="0.25">
      <c r="A638" s="7"/>
      <c r="E638" s="7"/>
      <c r="F638" s="7"/>
    </row>
    <row r="639" spans="1:6" x14ac:dyDescent="0.25">
      <c r="A639" s="7"/>
      <c r="E639" s="7"/>
      <c r="F639" s="7"/>
    </row>
    <row r="640" spans="1:6" x14ac:dyDescent="0.25">
      <c r="A640" s="7"/>
      <c r="E640" s="7"/>
      <c r="F640" s="7"/>
    </row>
    <row r="641" spans="1:6" x14ac:dyDescent="0.25">
      <c r="A641" s="7"/>
      <c r="E641" s="7"/>
      <c r="F641" s="7"/>
    </row>
    <row r="642" spans="1:6" x14ac:dyDescent="0.25">
      <c r="A642" s="7"/>
      <c r="E642" s="7"/>
      <c r="F642" s="7"/>
    </row>
    <row r="643" spans="1:6" x14ac:dyDescent="0.25">
      <c r="A643" s="7"/>
      <c r="E643" s="7"/>
      <c r="F643" s="7"/>
    </row>
    <row r="644" spans="1:6" x14ac:dyDescent="0.25">
      <c r="A644" s="7"/>
      <c r="E644" s="7"/>
      <c r="F644" s="7"/>
    </row>
    <row r="645" spans="1:6" x14ac:dyDescent="0.25">
      <c r="A645" s="7"/>
      <c r="E645" s="7"/>
      <c r="F645" s="7"/>
    </row>
    <row r="646" spans="1:6" x14ac:dyDescent="0.25">
      <c r="A646" s="7"/>
      <c r="E646" s="7"/>
      <c r="F646" s="7"/>
    </row>
    <row r="647" spans="1:6" x14ac:dyDescent="0.25">
      <c r="A647" s="7"/>
      <c r="E647" s="7"/>
      <c r="F647" s="7"/>
    </row>
    <row r="648" spans="1:6" x14ac:dyDescent="0.25">
      <c r="A648" s="7"/>
      <c r="E648" s="7"/>
      <c r="F648" s="7"/>
    </row>
    <row r="649" spans="1:6" x14ac:dyDescent="0.25">
      <c r="A649" s="7"/>
      <c r="E649" s="7"/>
      <c r="F649" s="7"/>
    </row>
    <row r="650" spans="1:6" x14ac:dyDescent="0.25">
      <c r="A650" s="7"/>
      <c r="E650" s="7"/>
      <c r="F650" s="7"/>
    </row>
    <row r="651" spans="1:6" x14ac:dyDescent="0.25">
      <c r="A651" s="7"/>
      <c r="E651" s="7"/>
      <c r="F651" s="7"/>
    </row>
    <row r="652" spans="1:6" x14ac:dyDescent="0.25">
      <c r="A652" s="7"/>
      <c r="E652" s="7"/>
      <c r="F652" s="7"/>
    </row>
    <row r="653" spans="1:6" x14ac:dyDescent="0.25">
      <c r="A653" s="7"/>
      <c r="E653" s="7"/>
      <c r="F653" s="7"/>
    </row>
    <row r="654" spans="1:6" x14ac:dyDescent="0.25">
      <c r="A654" s="7"/>
      <c r="E654" s="7"/>
      <c r="F654" s="7"/>
    </row>
    <row r="655" spans="1:6" x14ac:dyDescent="0.25">
      <c r="A655" s="7"/>
      <c r="E655" s="7"/>
      <c r="F655" s="7"/>
    </row>
    <row r="656" spans="1:6" x14ac:dyDescent="0.25">
      <c r="A656" s="7"/>
      <c r="E656" s="7"/>
      <c r="F656" s="7"/>
    </row>
    <row r="657" spans="1:6" x14ac:dyDescent="0.25">
      <c r="A657" s="7"/>
      <c r="E657" s="7"/>
      <c r="F657" s="7"/>
    </row>
    <row r="658" spans="1:6" x14ac:dyDescent="0.25">
      <c r="A658" s="7"/>
      <c r="E658" s="7"/>
      <c r="F658" s="7"/>
    </row>
    <row r="659" spans="1:6" x14ac:dyDescent="0.25">
      <c r="A659" s="7"/>
      <c r="E659" s="7"/>
      <c r="F659" s="7"/>
    </row>
    <row r="660" spans="1:6" x14ac:dyDescent="0.25">
      <c r="A660" s="7"/>
      <c r="E660" s="7"/>
      <c r="F660" s="7"/>
    </row>
    <row r="661" spans="1:6" x14ac:dyDescent="0.25">
      <c r="A661" s="7"/>
      <c r="E661" s="7"/>
      <c r="F661" s="7"/>
    </row>
    <row r="662" spans="1:6" x14ac:dyDescent="0.25">
      <c r="A662" s="7"/>
      <c r="E662" s="7"/>
      <c r="F662" s="7"/>
    </row>
    <row r="663" spans="1:6" x14ac:dyDescent="0.25">
      <c r="A663" s="7"/>
      <c r="E663" s="7"/>
      <c r="F663" s="7"/>
    </row>
    <row r="664" spans="1:6" x14ac:dyDescent="0.25">
      <c r="A664" s="7"/>
      <c r="E664" s="7"/>
      <c r="F664" s="7"/>
    </row>
    <row r="665" spans="1:6" x14ac:dyDescent="0.25">
      <c r="A665" s="7"/>
      <c r="E665" s="7"/>
      <c r="F665" s="7"/>
    </row>
    <row r="666" spans="1:6" x14ac:dyDescent="0.25">
      <c r="A666" s="7"/>
      <c r="E666" s="7"/>
      <c r="F666" s="7"/>
    </row>
    <row r="667" spans="1:6" x14ac:dyDescent="0.25">
      <c r="A667" s="7"/>
      <c r="E667" s="7"/>
      <c r="F667" s="7"/>
    </row>
    <row r="668" spans="1:6" x14ac:dyDescent="0.25">
      <c r="A668" s="7"/>
      <c r="E668" s="7"/>
      <c r="F668" s="7"/>
    </row>
    <row r="669" spans="1:6" x14ac:dyDescent="0.25">
      <c r="A669" s="7"/>
      <c r="E669" s="7"/>
      <c r="F669" s="7"/>
    </row>
    <row r="670" spans="1:6" x14ac:dyDescent="0.25">
      <c r="A670" s="7"/>
      <c r="E670" s="7"/>
      <c r="F670" s="7"/>
    </row>
    <row r="671" spans="1:6" x14ac:dyDescent="0.25">
      <c r="A671" s="7"/>
      <c r="E671" s="7"/>
      <c r="F671" s="7"/>
    </row>
    <row r="672" spans="1:6" x14ac:dyDescent="0.25">
      <c r="A672" s="7"/>
      <c r="E672" s="7"/>
      <c r="F672" s="7"/>
    </row>
    <row r="673" spans="1:6" x14ac:dyDescent="0.25">
      <c r="A673" s="7"/>
      <c r="E673" s="7"/>
      <c r="F673" s="7"/>
    </row>
    <row r="674" spans="1:6" x14ac:dyDescent="0.25">
      <c r="A674" s="7"/>
      <c r="E674" s="7"/>
      <c r="F674" s="7"/>
    </row>
    <row r="675" spans="1:6" x14ac:dyDescent="0.25">
      <c r="A675" s="7"/>
      <c r="E675" s="7"/>
      <c r="F675" s="7"/>
    </row>
    <row r="676" spans="1:6" x14ac:dyDescent="0.25">
      <c r="A676" s="7"/>
      <c r="E676" s="7"/>
      <c r="F676" s="7"/>
    </row>
    <row r="677" spans="1:6" x14ac:dyDescent="0.25">
      <c r="A677" s="7"/>
      <c r="E677" s="7"/>
      <c r="F677" s="7"/>
    </row>
    <row r="678" spans="1:6" x14ac:dyDescent="0.25">
      <c r="A678" s="7"/>
      <c r="E678" s="7"/>
      <c r="F678" s="7"/>
    </row>
    <row r="679" spans="1:6" x14ac:dyDescent="0.25">
      <c r="A679" s="7"/>
      <c r="E679" s="7"/>
      <c r="F679" s="7"/>
    </row>
    <row r="680" spans="1:6" x14ac:dyDescent="0.25">
      <c r="A680" s="7"/>
      <c r="E680" s="7"/>
      <c r="F680" s="7"/>
    </row>
    <row r="681" spans="1:6" x14ac:dyDescent="0.25">
      <c r="A681" s="7"/>
      <c r="E681" s="7"/>
      <c r="F681" s="7"/>
    </row>
    <row r="682" spans="1:6" x14ac:dyDescent="0.25">
      <c r="A682" s="7"/>
      <c r="E682" s="7"/>
      <c r="F682" s="7"/>
    </row>
    <row r="683" spans="1:6" x14ac:dyDescent="0.25">
      <c r="A683" s="7"/>
      <c r="E683" s="7"/>
      <c r="F683" s="7"/>
    </row>
    <row r="684" spans="1:6" x14ac:dyDescent="0.25">
      <c r="A684" s="7"/>
      <c r="E684" s="7"/>
      <c r="F684" s="7"/>
    </row>
    <row r="685" spans="1:6" x14ac:dyDescent="0.25">
      <c r="A685" s="7"/>
      <c r="E685" s="7"/>
      <c r="F685" s="7"/>
    </row>
    <row r="686" spans="1:6" x14ac:dyDescent="0.25">
      <c r="A686" s="7"/>
      <c r="E686" s="7"/>
      <c r="F686" s="7"/>
    </row>
    <row r="687" spans="1:6" x14ac:dyDescent="0.25">
      <c r="A687" s="7"/>
      <c r="E687" s="7"/>
      <c r="F687" s="7"/>
    </row>
    <row r="688" spans="1:6" x14ac:dyDescent="0.25">
      <c r="A688" s="7"/>
      <c r="E688" s="7"/>
      <c r="F688" s="7"/>
    </row>
    <row r="689" spans="1:6" x14ac:dyDescent="0.25">
      <c r="A689" s="7"/>
      <c r="E689" s="7"/>
      <c r="F689" s="7"/>
    </row>
    <row r="690" spans="1:6" x14ac:dyDescent="0.25">
      <c r="A690" s="7"/>
      <c r="E690" s="7"/>
      <c r="F690" s="7"/>
    </row>
    <row r="691" spans="1:6" x14ac:dyDescent="0.25">
      <c r="A691" s="7"/>
      <c r="E691" s="7"/>
      <c r="F691" s="7"/>
    </row>
    <row r="692" spans="1:6" x14ac:dyDescent="0.25">
      <c r="A692" s="7"/>
      <c r="E692" s="7"/>
      <c r="F692" s="7"/>
    </row>
    <row r="693" spans="1:6" x14ac:dyDescent="0.25">
      <c r="A693" s="7"/>
      <c r="E693" s="7"/>
      <c r="F693" s="7"/>
    </row>
    <row r="694" spans="1:6" x14ac:dyDescent="0.25">
      <c r="A694" s="7"/>
      <c r="E694" s="7"/>
      <c r="F694" s="7"/>
    </row>
    <row r="695" spans="1:6" x14ac:dyDescent="0.25">
      <c r="A695" s="7"/>
      <c r="E695" s="7"/>
      <c r="F695" s="7"/>
    </row>
    <row r="696" spans="1:6" x14ac:dyDescent="0.25">
      <c r="A696" s="7"/>
      <c r="E696" s="7"/>
      <c r="F696" s="7"/>
    </row>
    <row r="697" spans="1:6" x14ac:dyDescent="0.25">
      <c r="A697" s="7"/>
      <c r="E697" s="7"/>
      <c r="F697" s="7"/>
    </row>
    <row r="698" spans="1:6" x14ac:dyDescent="0.25">
      <c r="A698" s="7"/>
      <c r="E698" s="7"/>
      <c r="F698" s="7"/>
    </row>
    <row r="699" spans="1:6" x14ac:dyDescent="0.25">
      <c r="A699" s="7"/>
      <c r="E699" s="7"/>
      <c r="F699" s="7"/>
    </row>
    <row r="700" spans="1:6" x14ac:dyDescent="0.25">
      <c r="A700" s="7"/>
      <c r="E700" s="7"/>
      <c r="F700" s="7"/>
    </row>
    <row r="701" spans="1:6" x14ac:dyDescent="0.25">
      <c r="A701" s="7"/>
      <c r="E701" s="7"/>
      <c r="F701" s="7"/>
    </row>
    <row r="702" spans="1:6" x14ac:dyDescent="0.25">
      <c r="A702" s="7"/>
      <c r="E702" s="7"/>
      <c r="F702" s="7"/>
    </row>
    <row r="703" spans="1:6" x14ac:dyDescent="0.25">
      <c r="A703" s="7"/>
      <c r="E703" s="7"/>
      <c r="F703" s="7"/>
    </row>
    <row r="704" spans="1:6" x14ac:dyDescent="0.25">
      <c r="A704" s="7"/>
      <c r="E704" s="7"/>
      <c r="F704" s="7"/>
    </row>
    <row r="705" spans="1:6" x14ac:dyDescent="0.25">
      <c r="A705" s="7"/>
      <c r="E705" s="7"/>
      <c r="F705" s="7"/>
    </row>
    <row r="706" spans="1:6" x14ac:dyDescent="0.25">
      <c r="A706" s="7"/>
      <c r="E706" s="7"/>
      <c r="F706" s="7"/>
    </row>
    <row r="707" spans="1:6" x14ac:dyDescent="0.25">
      <c r="A707" s="7"/>
      <c r="E707" s="7"/>
      <c r="F707" s="7"/>
    </row>
    <row r="708" spans="1:6" x14ac:dyDescent="0.25">
      <c r="A708" s="7"/>
      <c r="E708" s="7"/>
      <c r="F708" s="7"/>
    </row>
    <row r="709" spans="1:6" x14ac:dyDescent="0.25">
      <c r="A709" s="7"/>
      <c r="E709" s="7"/>
      <c r="F709" s="7"/>
    </row>
    <row r="710" spans="1:6" x14ac:dyDescent="0.25">
      <c r="A710" s="7"/>
      <c r="E710" s="7"/>
      <c r="F710" s="7"/>
    </row>
    <row r="711" spans="1:6" x14ac:dyDescent="0.25">
      <c r="A711" s="7"/>
      <c r="E711" s="7"/>
      <c r="F711" s="7"/>
    </row>
    <row r="712" spans="1:6" x14ac:dyDescent="0.25">
      <c r="A712" s="7"/>
      <c r="E712" s="7"/>
      <c r="F712" s="7"/>
    </row>
    <row r="713" spans="1:6" x14ac:dyDescent="0.25">
      <c r="A713" s="7"/>
      <c r="E713" s="7"/>
      <c r="F713" s="7"/>
    </row>
    <row r="714" spans="1:6" x14ac:dyDescent="0.25">
      <c r="A714" s="7"/>
      <c r="E714" s="7"/>
      <c r="F714" s="7"/>
    </row>
    <row r="715" spans="1:6" x14ac:dyDescent="0.25">
      <c r="A715" s="7"/>
      <c r="E715" s="7"/>
      <c r="F715" s="7"/>
    </row>
    <row r="716" spans="1:6" x14ac:dyDescent="0.25">
      <c r="A716" s="7"/>
      <c r="E716" s="7"/>
      <c r="F716" s="7"/>
    </row>
    <row r="717" spans="1:6" x14ac:dyDescent="0.25">
      <c r="A717" s="7"/>
      <c r="E717" s="7"/>
      <c r="F717" s="7"/>
    </row>
    <row r="718" spans="1:6" x14ac:dyDescent="0.25">
      <c r="A718" s="7"/>
      <c r="E718" s="7"/>
      <c r="F718" s="7"/>
    </row>
    <row r="719" spans="1:6" x14ac:dyDescent="0.25">
      <c r="A719" s="7"/>
      <c r="E719" s="7"/>
      <c r="F719" s="7"/>
    </row>
    <row r="720" spans="1:6" x14ac:dyDescent="0.25">
      <c r="A720" s="7"/>
      <c r="E720" s="7"/>
      <c r="F720" s="7"/>
    </row>
    <row r="721" spans="1:6" x14ac:dyDescent="0.25">
      <c r="A721" s="7"/>
      <c r="E721" s="7"/>
      <c r="F721" s="7"/>
    </row>
    <row r="722" spans="1:6" x14ac:dyDescent="0.25">
      <c r="A722" s="7"/>
      <c r="E722" s="7"/>
      <c r="F722" s="7"/>
    </row>
    <row r="723" spans="1:6" x14ac:dyDescent="0.25">
      <c r="A723" s="7"/>
      <c r="E723" s="7"/>
      <c r="F723" s="7"/>
    </row>
    <row r="724" spans="1:6" x14ac:dyDescent="0.25">
      <c r="A724" s="7"/>
      <c r="E724" s="7"/>
      <c r="F724" s="7"/>
    </row>
    <row r="725" spans="1:6" x14ac:dyDescent="0.25">
      <c r="A725" s="7"/>
      <c r="E725" s="7"/>
      <c r="F725" s="7"/>
    </row>
    <row r="726" spans="1:6" x14ac:dyDescent="0.25">
      <c r="A726" s="7"/>
      <c r="E726" s="7"/>
      <c r="F726" s="7"/>
    </row>
    <row r="727" spans="1:6" x14ac:dyDescent="0.25">
      <c r="A727" s="7"/>
      <c r="E727" s="7"/>
      <c r="F727" s="7"/>
    </row>
    <row r="728" spans="1:6" x14ac:dyDescent="0.25">
      <c r="A728" s="7"/>
      <c r="E728" s="7"/>
      <c r="F728" s="7"/>
    </row>
    <row r="729" spans="1:6" x14ac:dyDescent="0.25">
      <c r="A729" s="7"/>
      <c r="E729" s="7"/>
      <c r="F729" s="7"/>
    </row>
    <row r="730" spans="1:6" x14ac:dyDescent="0.25">
      <c r="A730" s="7"/>
      <c r="E730" s="7"/>
      <c r="F730" s="7"/>
    </row>
    <row r="731" spans="1:6" x14ac:dyDescent="0.25">
      <c r="A731" s="7"/>
      <c r="E731" s="7"/>
      <c r="F731" s="7"/>
    </row>
    <row r="732" spans="1:6" x14ac:dyDescent="0.25">
      <c r="A732" s="7"/>
      <c r="E732" s="7"/>
      <c r="F732" s="7"/>
    </row>
    <row r="733" spans="1:6" x14ac:dyDescent="0.25">
      <c r="A733" s="7"/>
      <c r="E733" s="7"/>
      <c r="F733" s="7"/>
    </row>
    <row r="734" spans="1:6" x14ac:dyDescent="0.25">
      <c r="A734" s="7"/>
      <c r="E734" s="7"/>
      <c r="F734" s="7"/>
    </row>
    <row r="735" spans="1:6" x14ac:dyDescent="0.25">
      <c r="A735" s="7"/>
      <c r="E735" s="7"/>
      <c r="F735" s="7"/>
    </row>
    <row r="736" spans="1:6" x14ac:dyDescent="0.25">
      <c r="A736" s="7"/>
      <c r="E736" s="7"/>
      <c r="F736" s="7"/>
    </row>
    <row r="737" spans="1:6" x14ac:dyDescent="0.25">
      <c r="A737" s="7"/>
      <c r="E737" s="7"/>
      <c r="F737" s="7"/>
    </row>
    <row r="738" spans="1:6" x14ac:dyDescent="0.25">
      <c r="A738" s="7"/>
      <c r="E738" s="7"/>
      <c r="F738" s="7"/>
    </row>
    <row r="739" spans="1:6" x14ac:dyDescent="0.25">
      <c r="A739" s="7"/>
      <c r="E739" s="7"/>
      <c r="F739" s="7"/>
    </row>
    <row r="740" spans="1:6" x14ac:dyDescent="0.25">
      <c r="A740" s="7"/>
      <c r="E740" s="7"/>
      <c r="F740" s="7"/>
    </row>
    <row r="741" spans="1:6" x14ac:dyDescent="0.25">
      <c r="A741" s="7"/>
      <c r="E741" s="7"/>
      <c r="F741" s="7"/>
    </row>
    <row r="742" spans="1:6" x14ac:dyDescent="0.25">
      <c r="A742" s="7"/>
      <c r="E742" s="7"/>
      <c r="F742" s="7"/>
    </row>
    <row r="743" spans="1:6" x14ac:dyDescent="0.25">
      <c r="A743" s="7"/>
      <c r="E743" s="7"/>
      <c r="F743" s="7"/>
    </row>
    <row r="744" spans="1:6" x14ac:dyDescent="0.25">
      <c r="A744" s="7"/>
      <c r="E744" s="7"/>
      <c r="F744" s="7"/>
    </row>
    <row r="745" spans="1:6" x14ac:dyDescent="0.25">
      <c r="A745" s="7"/>
      <c r="E745" s="7"/>
      <c r="F745" s="7"/>
    </row>
    <row r="746" spans="1:6" x14ac:dyDescent="0.25">
      <c r="A746" s="7"/>
      <c r="E746" s="7"/>
      <c r="F746" s="7"/>
    </row>
    <row r="747" spans="1:6" x14ac:dyDescent="0.25">
      <c r="A747" s="7"/>
      <c r="E747" s="7"/>
      <c r="F747" s="7"/>
    </row>
    <row r="748" spans="1:6" x14ac:dyDescent="0.25">
      <c r="A748" s="7"/>
      <c r="E748" s="7"/>
      <c r="F748" s="7"/>
    </row>
    <row r="749" spans="1:6" x14ac:dyDescent="0.25">
      <c r="A749" s="7"/>
      <c r="E749" s="7"/>
      <c r="F749" s="7"/>
    </row>
    <row r="750" spans="1:6" x14ac:dyDescent="0.25">
      <c r="A750" s="7"/>
      <c r="E750" s="7"/>
      <c r="F750" s="7"/>
    </row>
    <row r="751" spans="1:6" x14ac:dyDescent="0.25">
      <c r="A751" s="7"/>
      <c r="E751" s="7"/>
      <c r="F751" s="7"/>
    </row>
    <row r="752" spans="1:6" x14ac:dyDescent="0.25">
      <c r="A752" s="7"/>
      <c r="E752" s="7"/>
      <c r="F752" s="7"/>
    </row>
    <row r="753" spans="1:6" x14ac:dyDescent="0.25">
      <c r="A753" s="7"/>
      <c r="E753" s="7"/>
      <c r="F753" s="7"/>
    </row>
    <row r="754" spans="1:6" x14ac:dyDescent="0.25">
      <c r="A754" s="7"/>
      <c r="E754" s="7"/>
      <c r="F754" s="7"/>
    </row>
    <row r="755" spans="1:6" x14ac:dyDescent="0.25">
      <c r="A755" s="7"/>
      <c r="E755" s="7"/>
      <c r="F755" s="7"/>
    </row>
    <row r="756" spans="1:6" x14ac:dyDescent="0.25">
      <c r="A756" s="7"/>
      <c r="E756" s="7"/>
      <c r="F756" s="7"/>
    </row>
    <row r="757" spans="1:6" x14ac:dyDescent="0.25">
      <c r="A757" s="7"/>
      <c r="E757" s="7"/>
      <c r="F757" s="7"/>
    </row>
    <row r="758" spans="1:6" x14ac:dyDescent="0.25">
      <c r="A758" s="7"/>
      <c r="E758" s="7"/>
      <c r="F758" s="7"/>
    </row>
    <row r="759" spans="1:6" x14ac:dyDescent="0.25">
      <c r="A759" s="7"/>
      <c r="E759" s="7"/>
      <c r="F759" s="7"/>
    </row>
    <row r="760" spans="1:6" x14ac:dyDescent="0.25">
      <c r="A760" s="7"/>
      <c r="E760" s="7"/>
      <c r="F760" s="7"/>
    </row>
    <row r="761" spans="1:6" x14ac:dyDescent="0.25">
      <c r="A761" s="7"/>
      <c r="E761" s="7"/>
      <c r="F761" s="7"/>
    </row>
    <row r="762" spans="1:6" x14ac:dyDescent="0.25">
      <c r="A762" s="7"/>
      <c r="E762" s="7"/>
      <c r="F762" s="7"/>
    </row>
    <row r="763" spans="1:6" x14ac:dyDescent="0.25">
      <c r="A763" s="7"/>
      <c r="E763" s="7"/>
      <c r="F763" s="7"/>
    </row>
    <row r="764" spans="1:6" x14ac:dyDescent="0.25">
      <c r="A764" s="7"/>
      <c r="E764" s="7"/>
      <c r="F764" s="7"/>
    </row>
    <row r="765" spans="1:6" x14ac:dyDescent="0.25">
      <c r="A765" s="7"/>
      <c r="E765" s="7"/>
      <c r="F765" s="7"/>
    </row>
    <row r="766" spans="1:6" x14ac:dyDescent="0.25">
      <c r="A766" s="7"/>
      <c r="E766" s="7"/>
      <c r="F766" s="7"/>
    </row>
    <row r="767" spans="1:6" x14ac:dyDescent="0.25">
      <c r="A767" s="7"/>
      <c r="E767" s="7"/>
      <c r="F767" s="7"/>
    </row>
    <row r="768" spans="1:6" x14ac:dyDescent="0.25">
      <c r="A768" s="7"/>
      <c r="E768" s="7"/>
      <c r="F768" s="7"/>
    </row>
    <row r="769" spans="1:6" x14ac:dyDescent="0.25">
      <c r="A769" s="7"/>
      <c r="E769" s="7"/>
      <c r="F769" s="7"/>
    </row>
    <row r="770" spans="1:6" x14ac:dyDescent="0.25">
      <c r="A770" s="7"/>
      <c r="E770" s="7"/>
      <c r="F770" s="7"/>
    </row>
    <row r="771" spans="1:6" x14ac:dyDescent="0.25">
      <c r="A771" s="7"/>
      <c r="E771" s="7"/>
      <c r="F771" s="7"/>
    </row>
    <row r="772" spans="1:6" x14ac:dyDescent="0.25">
      <c r="A772" s="7"/>
      <c r="E772" s="7"/>
      <c r="F772" s="7"/>
    </row>
    <row r="773" spans="1:6" x14ac:dyDescent="0.25">
      <c r="A773" s="7"/>
      <c r="E773" s="7"/>
      <c r="F773" s="7"/>
    </row>
    <row r="774" spans="1:6" x14ac:dyDescent="0.25">
      <c r="A774" s="7"/>
      <c r="E774" s="7"/>
      <c r="F774" s="7"/>
    </row>
    <row r="775" spans="1:6" x14ac:dyDescent="0.25">
      <c r="A775" s="7"/>
      <c r="E775" s="7"/>
      <c r="F775" s="7"/>
    </row>
    <row r="776" spans="1:6" x14ac:dyDescent="0.25">
      <c r="A776" s="7"/>
      <c r="E776" s="7"/>
      <c r="F776" s="7"/>
    </row>
    <row r="777" spans="1:6" x14ac:dyDescent="0.25">
      <c r="A777" s="7"/>
      <c r="E777" s="7"/>
      <c r="F777" s="7"/>
    </row>
    <row r="778" spans="1:6" x14ac:dyDescent="0.25">
      <c r="A778" s="7"/>
      <c r="E778" s="7"/>
      <c r="F778" s="7"/>
    </row>
    <row r="779" spans="1:6" x14ac:dyDescent="0.25">
      <c r="A779" s="7"/>
      <c r="E779" s="7"/>
      <c r="F779" s="7"/>
    </row>
    <row r="780" spans="1:6" x14ac:dyDescent="0.25">
      <c r="A780" s="7"/>
      <c r="E780" s="7"/>
      <c r="F780" s="7"/>
    </row>
    <row r="781" spans="1:6" x14ac:dyDescent="0.25">
      <c r="A781" s="7"/>
      <c r="E781" s="7"/>
      <c r="F781" s="7"/>
    </row>
    <row r="782" spans="1:6" x14ac:dyDescent="0.25">
      <c r="A782" s="7"/>
      <c r="E782" s="7"/>
      <c r="F782" s="7"/>
    </row>
    <row r="783" spans="1:6" x14ac:dyDescent="0.25">
      <c r="A783" s="7"/>
      <c r="E783" s="7"/>
      <c r="F783" s="7"/>
    </row>
    <row r="784" spans="1:6" x14ac:dyDescent="0.25">
      <c r="A784" s="7"/>
      <c r="E784" s="7"/>
      <c r="F784" s="7"/>
    </row>
    <row r="785" spans="1:6" x14ac:dyDescent="0.25">
      <c r="A785" s="7"/>
      <c r="E785" s="7"/>
      <c r="F785" s="7"/>
    </row>
    <row r="786" spans="1:6" x14ac:dyDescent="0.25">
      <c r="A786" s="7"/>
      <c r="E786" s="7"/>
      <c r="F786" s="7"/>
    </row>
    <row r="787" spans="1:6" x14ac:dyDescent="0.25">
      <c r="A787" s="7"/>
      <c r="E787" s="7"/>
      <c r="F787" s="7"/>
    </row>
    <row r="788" spans="1:6" x14ac:dyDescent="0.25">
      <c r="A788" s="7"/>
      <c r="E788" s="7"/>
      <c r="F788" s="7"/>
    </row>
    <row r="789" spans="1:6" x14ac:dyDescent="0.25">
      <c r="A789" s="7"/>
      <c r="E789" s="7"/>
      <c r="F789" s="7"/>
    </row>
    <row r="790" spans="1:6" x14ac:dyDescent="0.25">
      <c r="A790" s="7"/>
      <c r="E790" s="7"/>
      <c r="F790" s="7"/>
    </row>
    <row r="791" spans="1:6" x14ac:dyDescent="0.25">
      <c r="A791" s="7"/>
      <c r="E791" s="7"/>
      <c r="F791" s="7"/>
    </row>
    <row r="792" spans="1:6" x14ac:dyDescent="0.25">
      <c r="A792" s="7"/>
      <c r="E792" s="7"/>
      <c r="F792" s="7"/>
    </row>
    <row r="793" spans="1:6" x14ac:dyDescent="0.25">
      <c r="A793" s="7"/>
      <c r="E793" s="7"/>
      <c r="F793" s="7"/>
    </row>
    <row r="794" spans="1:6" x14ac:dyDescent="0.25">
      <c r="A794" s="7"/>
      <c r="E794" s="7"/>
      <c r="F794" s="7"/>
    </row>
    <row r="795" spans="1:6" x14ac:dyDescent="0.25">
      <c r="A795" s="7"/>
      <c r="E795" s="7"/>
      <c r="F795" s="7"/>
    </row>
    <row r="796" spans="1:6" x14ac:dyDescent="0.25">
      <c r="A796" s="7"/>
      <c r="E796" s="7"/>
      <c r="F796" s="7"/>
    </row>
    <row r="797" spans="1:6" x14ac:dyDescent="0.25">
      <c r="A797" s="7"/>
      <c r="E797" s="7"/>
      <c r="F797" s="7"/>
    </row>
    <row r="798" spans="1:6" x14ac:dyDescent="0.25">
      <c r="A798" s="7"/>
      <c r="E798" s="7"/>
      <c r="F798" s="7"/>
    </row>
    <row r="799" spans="1:6" x14ac:dyDescent="0.25">
      <c r="A799" s="7"/>
      <c r="E799" s="7"/>
      <c r="F799" s="7"/>
    </row>
    <row r="800" spans="1:6" x14ac:dyDescent="0.25">
      <c r="A800" s="7"/>
      <c r="E800" s="7"/>
      <c r="F800" s="7"/>
    </row>
    <row r="801" spans="1:6" x14ac:dyDescent="0.25">
      <c r="A801" s="7"/>
      <c r="E801" s="7"/>
      <c r="F801" s="7"/>
    </row>
    <row r="802" spans="1:6" x14ac:dyDescent="0.25">
      <c r="A802" s="7"/>
      <c r="E802" s="7"/>
      <c r="F802" s="7"/>
    </row>
    <row r="803" spans="1:6" x14ac:dyDescent="0.25">
      <c r="A803" s="7"/>
      <c r="E803" s="7"/>
      <c r="F803" s="7"/>
    </row>
    <row r="804" spans="1:6" x14ac:dyDescent="0.25">
      <c r="A804" s="7"/>
      <c r="E804" s="7"/>
      <c r="F804" s="7"/>
    </row>
    <row r="805" spans="1:6" x14ac:dyDescent="0.25">
      <c r="A805" s="7"/>
      <c r="E805" s="7"/>
      <c r="F805" s="7"/>
    </row>
    <row r="806" spans="1:6" x14ac:dyDescent="0.25">
      <c r="A806" s="7"/>
      <c r="E806" s="7"/>
      <c r="F806" s="7"/>
    </row>
    <row r="807" spans="1:6" x14ac:dyDescent="0.25">
      <c r="A807" s="7"/>
      <c r="E807" s="7"/>
      <c r="F807" s="7"/>
    </row>
    <row r="808" spans="1:6" x14ac:dyDescent="0.25">
      <c r="A808" s="7"/>
      <c r="E808" s="7"/>
      <c r="F808" s="7"/>
    </row>
    <row r="809" spans="1:6" x14ac:dyDescent="0.25">
      <c r="A809" s="7"/>
      <c r="E809" s="7"/>
      <c r="F809" s="7"/>
    </row>
    <row r="810" spans="1:6" x14ac:dyDescent="0.25">
      <c r="A810" s="7"/>
      <c r="E810" s="7"/>
      <c r="F810" s="7"/>
    </row>
    <row r="811" spans="1:6" x14ac:dyDescent="0.25">
      <c r="A811" s="7"/>
      <c r="E811" s="7"/>
      <c r="F811" s="7"/>
    </row>
    <row r="812" spans="1:6" x14ac:dyDescent="0.25">
      <c r="A812" s="7"/>
      <c r="E812" s="7"/>
      <c r="F812" s="7"/>
    </row>
    <row r="813" spans="1:6" x14ac:dyDescent="0.25">
      <c r="A813" s="7"/>
      <c r="E813" s="7"/>
      <c r="F813" s="7"/>
    </row>
    <row r="814" spans="1:6" x14ac:dyDescent="0.25">
      <c r="A814" s="7"/>
      <c r="E814" s="7"/>
      <c r="F814" s="7"/>
    </row>
    <row r="815" spans="1:6" x14ac:dyDescent="0.25">
      <c r="A815" s="7"/>
      <c r="E815" s="7"/>
      <c r="F815" s="7"/>
    </row>
    <row r="816" spans="1:6" x14ac:dyDescent="0.25">
      <c r="A816" s="7"/>
      <c r="E816" s="7"/>
      <c r="F816" s="7"/>
    </row>
    <row r="817" spans="1:6" x14ac:dyDescent="0.25">
      <c r="A817" s="7"/>
      <c r="E817" s="7"/>
      <c r="F817" s="7"/>
    </row>
    <row r="818" spans="1:6" x14ac:dyDescent="0.25">
      <c r="A818" s="7"/>
      <c r="E818" s="7"/>
      <c r="F818" s="7"/>
    </row>
    <row r="819" spans="1:6" x14ac:dyDescent="0.25">
      <c r="A819" s="7"/>
      <c r="E819" s="7"/>
      <c r="F819" s="7"/>
    </row>
    <row r="820" spans="1:6" x14ac:dyDescent="0.25">
      <c r="A820" s="7"/>
      <c r="E820" s="7"/>
      <c r="F820" s="7"/>
    </row>
    <row r="821" spans="1:6" x14ac:dyDescent="0.25">
      <c r="A821" s="7"/>
      <c r="E821" s="7"/>
      <c r="F821" s="7"/>
    </row>
    <row r="822" spans="1:6" x14ac:dyDescent="0.25">
      <c r="A822" s="7"/>
      <c r="E822" s="7"/>
      <c r="F822" s="7"/>
    </row>
    <row r="823" spans="1:6" x14ac:dyDescent="0.25">
      <c r="A823" s="7"/>
      <c r="E823" s="7"/>
      <c r="F823" s="7"/>
    </row>
    <row r="824" spans="1:6" x14ac:dyDescent="0.25">
      <c r="A824" s="7"/>
      <c r="E824" s="7"/>
      <c r="F824" s="7"/>
    </row>
    <row r="825" spans="1:6" x14ac:dyDescent="0.25">
      <c r="A825" s="7"/>
      <c r="E825" s="7"/>
      <c r="F825" s="7"/>
    </row>
    <row r="826" spans="1:6" x14ac:dyDescent="0.25">
      <c r="A826" s="7"/>
      <c r="E826" s="7"/>
      <c r="F826" s="7"/>
    </row>
    <row r="827" spans="1:6" x14ac:dyDescent="0.25">
      <c r="A827" s="7"/>
      <c r="E827" s="7"/>
      <c r="F827" s="7"/>
    </row>
    <row r="828" spans="1:6" x14ac:dyDescent="0.25">
      <c r="A828" s="7"/>
      <c r="E828" s="7"/>
      <c r="F828" s="7"/>
    </row>
    <row r="829" spans="1:6" x14ac:dyDescent="0.25">
      <c r="A829" s="7"/>
      <c r="E829" s="7"/>
      <c r="F829" s="7"/>
    </row>
    <row r="830" spans="1:6" x14ac:dyDescent="0.25">
      <c r="A830" s="7"/>
      <c r="E830" s="7"/>
      <c r="F830" s="7"/>
    </row>
    <row r="831" spans="1:6" x14ac:dyDescent="0.25">
      <c r="A831" s="7"/>
      <c r="E831" s="7"/>
      <c r="F831" s="7"/>
    </row>
    <row r="832" spans="1:6" x14ac:dyDescent="0.25">
      <c r="A832" s="7"/>
      <c r="E832" s="7"/>
      <c r="F832" s="7"/>
    </row>
    <row r="833" spans="1:6" x14ac:dyDescent="0.25">
      <c r="A833" s="7"/>
      <c r="E833" s="7"/>
      <c r="F833" s="7"/>
    </row>
    <row r="834" spans="1:6" x14ac:dyDescent="0.25">
      <c r="A834" s="7"/>
      <c r="E834" s="7"/>
      <c r="F834" s="7"/>
    </row>
    <row r="835" spans="1:6" x14ac:dyDescent="0.25">
      <c r="A835" s="7"/>
      <c r="E835" s="7"/>
      <c r="F835" s="7"/>
    </row>
    <row r="836" spans="1:6" x14ac:dyDescent="0.25">
      <c r="A836" s="7"/>
      <c r="E836" s="7"/>
      <c r="F836" s="7"/>
    </row>
    <row r="837" spans="1:6" x14ac:dyDescent="0.25">
      <c r="A837" s="7"/>
      <c r="E837" s="7"/>
      <c r="F837" s="7"/>
    </row>
    <row r="838" spans="1:6" x14ac:dyDescent="0.25">
      <c r="A838" s="7"/>
      <c r="E838" s="7"/>
      <c r="F838" s="7"/>
    </row>
    <row r="839" spans="1:6" x14ac:dyDescent="0.25">
      <c r="A839" s="7"/>
      <c r="E839" s="7"/>
      <c r="F839" s="7"/>
    </row>
    <row r="840" spans="1:6" x14ac:dyDescent="0.25">
      <c r="A840" s="7"/>
      <c r="E840" s="7"/>
      <c r="F840" s="7"/>
    </row>
    <row r="841" spans="1:6" x14ac:dyDescent="0.25">
      <c r="A841" s="7"/>
      <c r="E841" s="7"/>
      <c r="F841" s="7"/>
    </row>
    <row r="842" spans="1:6" x14ac:dyDescent="0.25">
      <c r="A842" s="7"/>
      <c r="E842" s="7"/>
      <c r="F842" s="7"/>
    </row>
    <row r="843" spans="1:6" x14ac:dyDescent="0.25">
      <c r="A843" s="7"/>
      <c r="E843" s="7"/>
      <c r="F843" s="7"/>
    </row>
    <row r="844" spans="1:6" x14ac:dyDescent="0.25">
      <c r="A844" s="7"/>
      <c r="E844" s="7"/>
      <c r="F844" s="7"/>
    </row>
    <row r="845" spans="1:6" x14ac:dyDescent="0.25">
      <c r="A845" s="7"/>
      <c r="E845" s="7"/>
      <c r="F845" s="7"/>
    </row>
    <row r="846" spans="1:6" x14ac:dyDescent="0.25">
      <c r="A846" s="7"/>
      <c r="E846" s="7"/>
      <c r="F846" s="7"/>
    </row>
    <row r="847" spans="1:6" x14ac:dyDescent="0.25">
      <c r="A847" s="7"/>
      <c r="E847" s="7"/>
      <c r="F847" s="7"/>
    </row>
    <row r="848" spans="1:6" x14ac:dyDescent="0.25">
      <c r="A848" s="7"/>
      <c r="E848" s="7"/>
      <c r="F848" s="7"/>
    </row>
    <row r="849" spans="1:6" x14ac:dyDescent="0.25">
      <c r="A849" s="7"/>
      <c r="E849" s="7"/>
      <c r="F849" s="7"/>
    </row>
    <row r="850" spans="1:6" x14ac:dyDescent="0.25">
      <c r="A850" s="7"/>
      <c r="E850" s="7"/>
      <c r="F850" s="7"/>
    </row>
    <row r="851" spans="1:6" x14ac:dyDescent="0.25">
      <c r="A851" s="7"/>
      <c r="E851" s="7"/>
      <c r="F851" s="7"/>
    </row>
    <row r="852" spans="1:6" x14ac:dyDescent="0.25">
      <c r="A852" s="7"/>
      <c r="E852" s="7"/>
      <c r="F852" s="7"/>
    </row>
    <row r="853" spans="1:6" x14ac:dyDescent="0.25">
      <c r="A853" s="7"/>
      <c r="E853" s="7"/>
      <c r="F853" s="7"/>
    </row>
    <row r="854" spans="1:6" x14ac:dyDescent="0.25">
      <c r="A854" s="7"/>
      <c r="E854" s="7"/>
      <c r="F854" s="7"/>
    </row>
    <row r="855" spans="1:6" x14ac:dyDescent="0.25">
      <c r="A855" s="7"/>
      <c r="E855" s="7"/>
      <c r="F855" s="7"/>
    </row>
    <row r="856" spans="1:6" x14ac:dyDescent="0.25">
      <c r="A856" s="7"/>
      <c r="E856" s="7"/>
      <c r="F856" s="7"/>
    </row>
    <row r="857" spans="1:6" x14ac:dyDescent="0.25">
      <c r="A857" s="7"/>
      <c r="E857" s="7"/>
      <c r="F857" s="7"/>
    </row>
    <row r="858" spans="1:6" x14ac:dyDescent="0.25">
      <c r="A858" s="7"/>
      <c r="E858" s="7"/>
      <c r="F858" s="7"/>
    </row>
    <row r="859" spans="1:6" x14ac:dyDescent="0.25">
      <c r="A859" s="7"/>
      <c r="E859" s="7"/>
      <c r="F859" s="7"/>
    </row>
    <row r="860" spans="1:6" x14ac:dyDescent="0.25">
      <c r="A860" s="7"/>
      <c r="E860" s="7"/>
      <c r="F860" s="7"/>
    </row>
    <row r="861" spans="1:6" x14ac:dyDescent="0.25">
      <c r="A861" s="7"/>
      <c r="E861" s="7"/>
      <c r="F861" s="7"/>
    </row>
    <row r="862" spans="1:6" x14ac:dyDescent="0.25">
      <c r="A862" s="7"/>
      <c r="E862" s="7"/>
      <c r="F862" s="7"/>
    </row>
    <row r="863" spans="1:6" x14ac:dyDescent="0.25">
      <c r="A863" s="7"/>
      <c r="E863" s="7"/>
      <c r="F863" s="7"/>
    </row>
    <row r="864" spans="1:6" x14ac:dyDescent="0.25">
      <c r="A864" s="7"/>
      <c r="E864" s="7"/>
      <c r="F864" s="7"/>
    </row>
    <row r="865" spans="1:6" x14ac:dyDescent="0.25">
      <c r="A865" s="7"/>
      <c r="E865" s="7"/>
      <c r="F865" s="7"/>
    </row>
    <row r="866" spans="1:6" x14ac:dyDescent="0.25">
      <c r="A866" s="7"/>
      <c r="E866" s="7"/>
      <c r="F866" s="7"/>
    </row>
    <row r="867" spans="1:6" x14ac:dyDescent="0.25">
      <c r="A867" s="7"/>
      <c r="E867" s="7"/>
      <c r="F867" s="7"/>
    </row>
    <row r="868" spans="1:6" x14ac:dyDescent="0.25">
      <c r="A868" s="7"/>
      <c r="E868" s="7"/>
      <c r="F868" s="7"/>
    </row>
    <row r="869" spans="1:6" x14ac:dyDescent="0.25">
      <c r="A869" s="7"/>
      <c r="E869" s="7"/>
      <c r="F869" s="7"/>
    </row>
    <row r="870" spans="1:6" x14ac:dyDescent="0.25">
      <c r="A870" s="7"/>
      <c r="E870" s="7"/>
      <c r="F870" s="7"/>
    </row>
    <row r="871" spans="1:6" x14ac:dyDescent="0.25">
      <c r="A871" s="7"/>
      <c r="E871" s="7"/>
      <c r="F871" s="7"/>
    </row>
    <row r="872" spans="1:6" x14ac:dyDescent="0.25">
      <c r="A872" s="7"/>
      <c r="E872" s="7"/>
      <c r="F872" s="7"/>
    </row>
    <row r="873" spans="1:6" x14ac:dyDescent="0.25">
      <c r="A873" s="7"/>
      <c r="E873" s="7"/>
      <c r="F873" s="7"/>
    </row>
    <row r="874" spans="1:6" x14ac:dyDescent="0.25">
      <c r="A874" s="7"/>
      <c r="E874" s="7"/>
      <c r="F874" s="7"/>
    </row>
    <row r="875" spans="1:6" x14ac:dyDescent="0.25">
      <c r="A875" s="7"/>
      <c r="E875" s="7"/>
      <c r="F875" s="7"/>
    </row>
    <row r="876" spans="1:6" x14ac:dyDescent="0.25">
      <c r="A876" s="7"/>
      <c r="E876" s="7"/>
      <c r="F876" s="7"/>
    </row>
    <row r="877" spans="1:6" x14ac:dyDescent="0.25">
      <c r="A877" s="7"/>
      <c r="E877" s="7"/>
      <c r="F877" s="7"/>
    </row>
    <row r="878" spans="1:6" x14ac:dyDescent="0.25">
      <c r="A878" s="7"/>
      <c r="E878" s="7"/>
      <c r="F878" s="7"/>
    </row>
    <row r="879" spans="1:6" x14ac:dyDescent="0.25">
      <c r="A879" s="7"/>
      <c r="E879" s="7"/>
      <c r="F879" s="7"/>
    </row>
    <row r="880" spans="1:6" x14ac:dyDescent="0.25">
      <c r="A880" s="7"/>
      <c r="E880" s="7"/>
      <c r="F880" s="7"/>
    </row>
    <row r="881" spans="1:6" x14ac:dyDescent="0.25">
      <c r="A881" s="7"/>
      <c r="E881" s="7"/>
      <c r="F881" s="7"/>
    </row>
    <row r="882" spans="1:6" x14ac:dyDescent="0.25">
      <c r="A882" s="7"/>
      <c r="E882" s="7"/>
      <c r="F882" s="7"/>
    </row>
    <row r="883" spans="1:6" x14ac:dyDescent="0.25">
      <c r="A883" s="7"/>
      <c r="E883" s="7"/>
      <c r="F883" s="7"/>
    </row>
    <row r="884" spans="1:6" x14ac:dyDescent="0.25">
      <c r="A884" s="7"/>
      <c r="E884" s="7"/>
      <c r="F884" s="7"/>
    </row>
    <row r="885" spans="1:6" x14ac:dyDescent="0.25">
      <c r="A885" s="7"/>
      <c r="E885" s="7"/>
      <c r="F885" s="7"/>
    </row>
    <row r="886" spans="1:6" x14ac:dyDescent="0.25">
      <c r="A886" s="7"/>
      <c r="E886" s="7"/>
      <c r="F886" s="7"/>
    </row>
    <row r="887" spans="1:6" x14ac:dyDescent="0.25">
      <c r="A887" s="7"/>
      <c r="E887" s="7"/>
      <c r="F887" s="7"/>
    </row>
    <row r="888" spans="1:6" x14ac:dyDescent="0.25">
      <c r="A888" s="7"/>
      <c r="E888" s="7"/>
      <c r="F888" s="7"/>
    </row>
    <row r="889" spans="1:6" x14ac:dyDescent="0.25">
      <c r="A889" s="7"/>
      <c r="E889" s="7"/>
      <c r="F889" s="7"/>
    </row>
    <row r="890" spans="1:6" x14ac:dyDescent="0.25">
      <c r="A890" s="7"/>
      <c r="E890" s="7"/>
      <c r="F890" s="7"/>
    </row>
    <row r="891" spans="1:6" x14ac:dyDescent="0.25">
      <c r="A891" s="7"/>
      <c r="E891" s="7"/>
      <c r="F891" s="7"/>
    </row>
    <row r="892" spans="1:6" x14ac:dyDescent="0.25">
      <c r="A892" s="7"/>
      <c r="E892" s="7"/>
      <c r="F892" s="7"/>
    </row>
    <row r="893" spans="1:6" x14ac:dyDescent="0.25">
      <c r="A893" s="7"/>
      <c r="E893" s="7"/>
      <c r="F893" s="7"/>
    </row>
    <row r="894" spans="1:6" x14ac:dyDescent="0.25">
      <c r="A894" s="7"/>
      <c r="E894" s="7"/>
      <c r="F894" s="7"/>
    </row>
    <row r="895" spans="1:6" x14ac:dyDescent="0.25">
      <c r="A895" s="7"/>
      <c r="E895" s="7"/>
      <c r="F895" s="7"/>
    </row>
    <row r="896" spans="1:6" x14ac:dyDescent="0.25">
      <c r="A896" s="7"/>
      <c r="E896" s="7"/>
      <c r="F896" s="7"/>
    </row>
    <row r="897" spans="1:6" x14ac:dyDescent="0.25">
      <c r="A897" s="7"/>
      <c r="E897" s="7"/>
      <c r="F897" s="7"/>
    </row>
    <row r="898" spans="1:6" x14ac:dyDescent="0.25">
      <c r="A898" s="7"/>
      <c r="E898" s="7"/>
      <c r="F898" s="7"/>
    </row>
    <row r="899" spans="1:6" x14ac:dyDescent="0.25">
      <c r="A899" s="7"/>
      <c r="E899" s="7"/>
      <c r="F899" s="7"/>
    </row>
    <row r="900" spans="1:6" x14ac:dyDescent="0.25">
      <c r="A900" s="7"/>
      <c r="E900" s="7"/>
      <c r="F900" s="7"/>
    </row>
    <row r="901" spans="1:6" x14ac:dyDescent="0.25">
      <c r="A901" s="7"/>
      <c r="E901" s="7"/>
      <c r="F901" s="7"/>
    </row>
    <row r="902" spans="1:6" x14ac:dyDescent="0.25">
      <c r="A902" s="7"/>
      <c r="E902" s="7"/>
      <c r="F902" s="7"/>
    </row>
    <row r="903" spans="1:6" x14ac:dyDescent="0.25">
      <c r="A903" s="7"/>
      <c r="E903" s="7"/>
      <c r="F903" s="7"/>
    </row>
    <row r="904" spans="1:6" x14ac:dyDescent="0.25">
      <c r="A904" s="7"/>
      <c r="E904" s="7"/>
      <c r="F904" s="7"/>
    </row>
    <row r="905" spans="1:6" x14ac:dyDescent="0.25">
      <c r="A905" s="7"/>
      <c r="E905" s="7"/>
      <c r="F905" s="7"/>
    </row>
    <row r="906" spans="1:6" x14ac:dyDescent="0.25">
      <c r="A906" s="7"/>
      <c r="E906" s="7"/>
      <c r="F906" s="7"/>
    </row>
    <row r="907" spans="1:6" x14ac:dyDescent="0.25">
      <c r="A907" s="7"/>
      <c r="E907" s="7"/>
      <c r="F907" s="7"/>
    </row>
    <row r="908" spans="1:6" x14ac:dyDescent="0.25">
      <c r="A908" s="7"/>
      <c r="E908" s="7"/>
      <c r="F908" s="7"/>
    </row>
    <row r="909" spans="1:6" x14ac:dyDescent="0.25">
      <c r="A909" s="7"/>
      <c r="E909" s="7"/>
      <c r="F909" s="7"/>
    </row>
    <row r="910" spans="1:6" x14ac:dyDescent="0.25">
      <c r="A910" s="7"/>
      <c r="E910" s="7"/>
      <c r="F910" s="7"/>
    </row>
    <row r="911" spans="1:6" x14ac:dyDescent="0.25">
      <c r="A911" s="7"/>
      <c r="E911" s="7"/>
      <c r="F911" s="7"/>
    </row>
    <row r="912" spans="1:6" x14ac:dyDescent="0.25">
      <c r="A912" s="7"/>
      <c r="E912" s="7"/>
      <c r="F912" s="7"/>
    </row>
    <row r="913" spans="1:6" x14ac:dyDescent="0.25">
      <c r="A913" s="7"/>
      <c r="E913" s="7"/>
      <c r="F913" s="7"/>
    </row>
    <row r="914" spans="1:6" x14ac:dyDescent="0.25">
      <c r="A914" s="7"/>
      <c r="E914" s="7"/>
      <c r="F914" s="7"/>
    </row>
    <row r="915" spans="1:6" x14ac:dyDescent="0.25">
      <c r="A915" s="7"/>
      <c r="E915" s="7"/>
      <c r="F915" s="7"/>
    </row>
    <row r="916" spans="1:6" x14ac:dyDescent="0.25">
      <c r="A916" s="7"/>
      <c r="E916" s="7"/>
      <c r="F916" s="7"/>
    </row>
    <row r="917" spans="1:6" x14ac:dyDescent="0.25">
      <c r="A917" s="7"/>
      <c r="E917" s="7"/>
      <c r="F917" s="7"/>
    </row>
    <row r="918" spans="1:6" x14ac:dyDescent="0.25">
      <c r="A918" s="7"/>
      <c r="E918" s="7"/>
      <c r="F918" s="7"/>
    </row>
    <row r="919" spans="1:6" x14ac:dyDescent="0.25">
      <c r="A919" s="7"/>
      <c r="E919" s="7"/>
      <c r="F919" s="7"/>
    </row>
    <row r="920" spans="1:6" x14ac:dyDescent="0.25">
      <c r="A920" s="7"/>
      <c r="E920" s="7"/>
      <c r="F920" s="7"/>
    </row>
    <row r="921" spans="1:6" x14ac:dyDescent="0.25">
      <c r="A921" s="7"/>
      <c r="E921" s="7"/>
      <c r="F921" s="7"/>
    </row>
    <row r="922" spans="1:6" x14ac:dyDescent="0.25">
      <c r="A922" s="7"/>
      <c r="E922" s="7"/>
      <c r="F922" s="7"/>
    </row>
    <row r="923" spans="1:6" x14ac:dyDescent="0.25">
      <c r="A923" s="7"/>
      <c r="E923" s="7"/>
      <c r="F923" s="7"/>
    </row>
    <row r="924" spans="1:6" x14ac:dyDescent="0.25">
      <c r="A924" s="7"/>
      <c r="E924" s="7"/>
      <c r="F924" s="7"/>
    </row>
    <row r="925" spans="1:6" x14ac:dyDescent="0.25">
      <c r="A925" s="7"/>
      <c r="E925" s="7"/>
      <c r="F925" s="7"/>
    </row>
    <row r="926" spans="1:6" x14ac:dyDescent="0.25">
      <c r="A926" s="7"/>
      <c r="E926" s="7"/>
      <c r="F926" s="7"/>
    </row>
    <row r="927" spans="1:6" x14ac:dyDescent="0.25">
      <c r="A927" s="7"/>
      <c r="E927" s="7"/>
      <c r="F927" s="7"/>
    </row>
    <row r="928" spans="1:6" x14ac:dyDescent="0.25">
      <c r="A928" s="7"/>
      <c r="E928" s="7"/>
      <c r="F928" s="7"/>
    </row>
    <row r="929" spans="1:6" x14ac:dyDescent="0.25">
      <c r="A929" s="7"/>
      <c r="E929" s="7"/>
      <c r="F929" s="7"/>
    </row>
    <row r="930" spans="1:6" x14ac:dyDescent="0.25">
      <c r="A930" s="7"/>
      <c r="E930" s="7"/>
      <c r="F930" s="7"/>
    </row>
    <row r="931" spans="1:6" x14ac:dyDescent="0.25">
      <c r="A931" s="7"/>
      <c r="E931" s="7"/>
      <c r="F931" s="7"/>
    </row>
    <row r="932" spans="1:6" x14ac:dyDescent="0.25">
      <c r="A932" s="7"/>
      <c r="E932" s="7"/>
      <c r="F932" s="7"/>
    </row>
    <row r="933" spans="1:6" x14ac:dyDescent="0.25">
      <c r="A933" s="7"/>
      <c r="E933" s="7"/>
      <c r="F933" s="7"/>
    </row>
    <row r="934" spans="1:6" x14ac:dyDescent="0.25">
      <c r="A934" s="7"/>
      <c r="E934" s="7"/>
      <c r="F934" s="7"/>
    </row>
    <row r="935" spans="1:6" x14ac:dyDescent="0.25">
      <c r="A935" s="7"/>
      <c r="E935" s="7"/>
      <c r="F935" s="7"/>
    </row>
    <row r="936" spans="1:6" x14ac:dyDescent="0.25">
      <c r="A936" s="7"/>
      <c r="E936" s="7"/>
      <c r="F936" s="7"/>
    </row>
    <row r="937" spans="1:6" x14ac:dyDescent="0.25">
      <c r="A937" s="7"/>
      <c r="E937" s="7"/>
      <c r="F937" s="7"/>
    </row>
    <row r="938" spans="1:6" x14ac:dyDescent="0.25">
      <c r="A938" s="7"/>
      <c r="E938" s="7"/>
      <c r="F938" s="7"/>
    </row>
    <row r="939" spans="1:6" x14ac:dyDescent="0.25">
      <c r="A939" s="7"/>
      <c r="E939" s="7"/>
      <c r="F939" s="7"/>
    </row>
    <row r="940" spans="1:6" x14ac:dyDescent="0.25">
      <c r="A940" s="7"/>
      <c r="E940" s="7"/>
      <c r="F940" s="7"/>
    </row>
    <row r="941" spans="1:6" x14ac:dyDescent="0.25">
      <c r="A941" s="7"/>
      <c r="E941" s="7"/>
      <c r="F941" s="7"/>
    </row>
    <row r="942" spans="1:6" x14ac:dyDescent="0.25">
      <c r="A942" s="7"/>
      <c r="E942" s="7"/>
      <c r="F942" s="7"/>
    </row>
    <row r="943" spans="1:6" x14ac:dyDescent="0.25">
      <c r="A943" s="7"/>
      <c r="E943" s="7"/>
      <c r="F943" s="7"/>
    </row>
    <row r="944" spans="1:6" x14ac:dyDescent="0.25">
      <c r="A944" s="7"/>
      <c r="E944" s="7"/>
      <c r="F944" s="7"/>
    </row>
    <row r="945" spans="1:6" x14ac:dyDescent="0.25">
      <c r="A945" s="7"/>
      <c r="E945" s="7"/>
      <c r="F945" s="7"/>
    </row>
    <row r="946" spans="1:6" x14ac:dyDescent="0.25">
      <c r="A946" s="7"/>
      <c r="E946" s="7"/>
      <c r="F946" s="7"/>
    </row>
    <row r="947" spans="1:6" x14ac:dyDescent="0.25">
      <c r="A947" s="7"/>
      <c r="E947" s="7"/>
      <c r="F947" s="7"/>
    </row>
    <row r="948" spans="1:6" x14ac:dyDescent="0.25">
      <c r="A948" s="7"/>
      <c r="E948" s="7"/>
      <c r="F948" s="7"/>
    </row>
    <row r="949" spans="1:6" x14ac:dyDescent="0.25">
      <c r="A949" s="7"/>
      <c r="E949" s="7"/>
      <c r="F949" s="7"/>
    </row>
    <row r="950" spans="1:6" x14ac:dyDescent="0.25">
      <c r="A950" s="7"/>
      <c r="E950" s="7"/>
      <c r="F950" s="7"/>
    </row>
    <row r="951" spans="1:6" x14ac:dyDescent="0.25">
      <c r="A951" s="7"/>
      <c r="E951" s="7"/>
      <c r="F951" s="7"/>
    </row>
    <row r="952" spans="1:6" x14ac:dyDescent="0.25">
      <c r="A952" s="7"/>
      <c r="E952" s="7"/>
      <c r="F952" s="7"/>
    </row>
    <row r="953" spans="1:6" x14ac:dyDescent="0.25">
      <c r="A953" s="7"/>
      <c r="E953" s="7"/>
      <c r="F953" s="7"/>
    </row>
    <row r="954" spans="1:6" x14ac:dyDescent="0.25">
      <c r="A954" s="7"/>
      <c r="E954" s="7"/>
      <c r="F954" s="7"/>
    </row>
    <row r="955" spans="1:6" x14ac:dyDescent="0.25">
      <c r="A955" s="7"/>
      <c r="E955" s="7"/>
      <c r="F955" s="7"/>
    </row>
    <row r="956" spans="1:6" x14ac:dyDescent="0.25">
      <c r="A956" s="7"/>
      <c r="E956" s="7"/>
      <c r="F956" s="7"/>
    </row>
    <row r="957" spans="1:6" x14ac:dyDescent="0.25">
      <c r="A957" s="7"/>
      <c r="E957" s="7"/>
      <c r="F957" s="7"/>
    </row>
    <row r="958" spans="1:6" x14ac:dyDescent="0.25">
      <c r="A958" s="7"/>
      <c r="E958" s="7"/>
      <c r="F958" s="7"/>
    </row>
    <row r="959" spans="1:6" x14ac:dyDescent="0.25">
      <c r="A959" s="7"/>
      <c r="E959" s="7"/>
      <c r="F959" s="7"/>
    </row>
    <row r="960" spans="1:6" x14ac:dyDescent="0.25">
      <c r="A960" s="7"/>
      <c r="E960" s="7"/>
      <c r="F960" s="7"/>
    </row>
    <row r="961" spans="1:6" x14ac:dyDescent="0.25">
      <c r="A961" s="7"/>
      <c r="E961" s="7"/>
      <c r="F961" s="7"/>
    </row>
    <row r="962" spans="1:6" x14ac:dyDescent="0.25">
      <c r="A962" s="7"/>
      <c r="E962" s="7"/>
      <c r="F962" s="7"/>
    </row>
    <row r="963" spans="1:6" x14ac:dyDescent="0.25">
      <c r="A963" s="7"/>
      <c r="E963" s="7"/>
      <c r="F963" s="7"/>
    </row>
    <row r="964" spans="1:6" x14ac:dyDescent="0.25">
      <c r="A964" s="7"/>
      <c r="E964" s="7"/>
      <c r="F964" s="7"/>
    </row>
    <row r="965" spans="1:6" x14ac:dyDescent="0.25">
      <c r="A965" s="7"/>
      <c r="E965" s="7"/>
      <c r="F965" s="7"/>
    </row>
    <row r="966" spans="1:6" x14ac:dyDescent="0.25">
      <c r="A966" s="7"/>
      <c r="E966" s="7"/>
      <c r="F966" s="7"/>
    </row>
    <row r="967" spans="1:6" x14ac:dyDescent="0.25">
      <c r="A967" s="7"/>
      <c r="E967" s="7"/>
      <c r="F967" s="7"/>
    </row>
    <row r="968" spans="1:6" x14ac:dyDescent="0.25">
      <c r="A968" s="7"/>
      <c r="E968" s="7"/>
      <c r="F968" s="7"/>
    </row>
    <row r="969" spans="1:6" x14ac:dyDescent="0.25">
      <c r="A969" s="7"/>
      <c r="E969" s="7"/>
      <c r="F969" s="7"/>
    </row>
    <row r="970" spans="1:6" x14ac:dyDescent="0.25">
      <c r="A970" s="7"/>
      <c r="E970" s="7"/>
      <c r="F970" s="7"/>
    </row>
    <row r="971" spans="1:6" x14ac:dyDescent="0.25">
      <c r="A971" s="7"/>
      <c r="E971" s="7"/>
      <c r="F971" s="7"/>
    </row>
    <row r="972" spans="1:6" x14ac:dyDescent="0.25">
      <c r="A972" s="7"/>
      <c r="E972" s="7"/>
      <c r="F972" s="7"/>
    </row>
    <row r="973" spans="1:6" x14ac:dyDescent="0.25">
      <c r="A973" s="7"/>
      <c r="E973" s="7"/>
      <c r="F973" s="7"/>
    </row>
    <row r="974" spans="1:6" x14ac:dyDescent="0.25">
      <c r="A974" s="7"/>
      <c r="E974" s="7"/>
      <c r="F974" s="7"/>
    </row>
    <row r="975" spans="1:6" x14ac:dyDescent="0.25">
      <c r="A975" s="7"/>
      <c r="E975" s="7"/>
      <c r="F975" s="7"/>
    </row>
    <row r="976" spans="1:6" x14ac:dyDescent="0.25">
      <c r="A976" s="7"/>
      <c r="E976" s="7"/>
      <c r="F976" s="7"/>
    </row>
    <row r="977" spans="1:6" x14ac:dyDescent="0.25">
      <c r="A977" s="7"/>
      <c r="E977" s="7"/>
      <c r="F977" s="7"/>
    </row>
    <row r="978" spans="1:6" x14ac:dyDescent="0.25">
      <c r="A978" s="7"/>
      <c r="E978" s="7"/>
      <c r="F978" s="7"/>
    </row>
    <row r="979" spans="1:6" x14ac:dyDescent="0.25">
      <c r="A979" s="7"/>
      <c r="E979" s="7"/>
      <c r="F979" s="7"/>
    </row>
    <row r="980" spans="1:6" x14ac:dyDescent="0.25">
      <c r="A980" s="7"/>
      <c r="E980" s="7"/>
      <c r="F980" s="7"/>
    </row>
    <row r="981" spans="1:6" x14ac:dyDescent="0.25">
      <c r="A981" s="7"/>
      <c r="E981" s="7"/>
      <c r="F981" s="7"/>
    </row>
    <row r="982" spans="1:6" x14ac:dyDescent="0.25">
      <c r="A982" s="7"/>
      <c r="E982" s="7"/>
      <c r="F982" s="7"/>
    </row>
    <row r="983" spans="1:6" x14ac:dyDescent="0.25">
      <c r="A983" s="7"/>
      <c r="E983" s="7"/>
      <c r="F983" s="7"/>
    </row>
    <row r="984" spans="1:6" x14ac:dyDescent="0.25">
      <c r="A984" s="7"/>
      <c r="E984" s="7"/>
      <c r="F984" s="7"/>
    </row>
    <row r="985" spans="1:6" x14ac:dyDescent="0.25">
      <c r="A985" s="7"/>
      <c r="E985" s="7"/>
      <c r="F985" s="7"/>
    </row>
    <row r="986" spans="1:6" x14ac:dyDescent="0.25">
      <c r="A986" s="7"/>
      <c r="E986" s="7"/>
      <c r="F986" s="7"/>
    </row>
    <row r="987" spans="1:6" x14ac:dyDescent="0.25">
      <c r="A987" s="7"/>
      <c r="E987" s="7"/>
      <c r="F987" s="7"/>
    </row>
    <row r="988" spans="1:6" x14ac:dyDescent="0.25">
      <c r="A988" s="7"/>
      <c r="E988" s="7"/>
      <c r="F988" s="7"/>
    </row>
    <row r="989" spans="1:6" x14ac:dyDescent="0.25">
      <c r="A989" s="7"/>
      <c r="E989" s="7"/>
      <c r="F989" s="7"/>
    </row>
    <row r="990" spans="1:6" x14ac:dyDescent="0.25">
      <c r="A990" s="7"/>
      <c r="E990" s="7"/>
      <c r="F990" s="7"/>
    </row>
    <row r="991" spans="1:6" x14ac:dyDescent="0.25">
      <c r="A991" s="7"/>
      <c r="E991" s="7"/>
      <c r="F991" s="7"/>
    </row>
    <row r="992" spans="1:6" x14ac:dyDescent="0.25">
      <c r="A992" s="7"/>
      <c r="E992" s="7"/>
      <c r="F992" s="7"/>
    </row>
    <row r="993" spans="1:6" x14ac:dyDescent="0.25">
      <c r="A993" s="7"/>
      <c r="E993" s="7"/>
      <c r="F993" s="7"/>
    </row>
    <row r="994" spans="1:6" x14ac:dyDescent="0.25">
      <c r="A994" s="7"/>
      <c r="E994" s="7"/>
      <c r="F994" s="7"/>
    </row>
    <row r="995" spans="1:6" x14ac:dyDescent="0.25">
      <c r="A995" s="7"/>
      <c r="E995" s="7"/>
      <c r="F995" s="7"/>
    </row>
    <row r="996" spans="1:6" x14ac:dyDescent="0.25">
      <c r="A996" s="7"/>
      <c r="E996" s="7"/>
      <c r="F996" s="7"/>
    </row>
    <row r="997" spans="1:6" x14ac:dyDescent="0.25">
      <c r="A997" s="7"/>
      <c r="E997" s="7"/>
      <c r="F997" s="7"/>
    </row>
    <row r="998" spans="1:6" x14ac:dyDescent="0.25">
      <c r="A998" s="7"/>
      <c r="E998" s="7"/>
      <c r="F998" s="7"/>
    </row>
    <row r="999" spans="1:6" x14ac:dyDescent="0.25">
      <c r="A999" s="7"/>
      <c r="E999" s="7"/>
      <c r="F999" s="7"/>
    </row>
    <row r="1000" spans="1:6" x14ac:dyDescent="0.25">
      <c r="A1000" s="7"/>
      <c r="E1000" s="7"/>
      <c r="F1000" s="7"/>
    </row>
    <row r="1001" spans="1:6" x14ac:dyDescent="0.25">
      <c r="A1001" s="7"/>
      <c r="E1001" s="7"/>
      <c r="F1001" s="7"/>
    </row>
    <row r="1002" spans="1:6" x14ac:dyDescent="0.25">
      <c r="A1002" s="7"/>
      <c r="E1002" s="7"/>
      <c r="F1002" s="7"/>
    </row>
    <row r="1003" spans="1:6" x14ac:dyDescent="0.25">
      <c r="A1003" s="7"/>
      <c r="E1003" s="7"/>
      <c r="F1003" s="7"/>
    </row>
    <row r="1004" spans="1:6" x14ac:dyDescent="0.25">
      <c r="A1004" s="7"/>
      <c r="E1004" s="7"/>
      <c r="F1004" s="7"/>
    </row>
    <row r="1005" spans="1:6" x14ac:dyDescent="0.25">
      <c r="A1005" s="7"/>
      <c r="E1005" s="7"/>
      <c r="F1005" s="7"/>
    </row>
    <row r="1006" spans="1:6" x14ac:dyDescent="0.25">
      <c r="A1006" s="7"/>
      <c r="E1006" s="7"/>
      <c r="F1006" s="7"/>
    </row>
    <row r="1007" spans="1:6" x14ac:dyDescent="0.25">
      <c r="A1007" s="7"/>
      <c r="E1007" s="7"/>
      <c r="F1007" s="7"/>
    </row>
    <row r="1008" spans="1:6" x14ac:dyDescent="0.25">
      <c r="A1008" s="7"/>
      <c r="E1008" s="7"/>
      <c r="F1008" s="7"/>
    </row>
    <row r="1009" spans="1:6" x14ac:dyDescent="0.25">
      <c r="A1009" s="7"/>
      <c r="E1009" s="7"/>
      <c r="F1009" s="7"/>
    </row>
    <row r="1010" spans="1:6" x14ac:dyDescent="0.25">
      <c r="A1010" s="7"/>
      <c r="E1010" s="7"/>
      <c r="F1010" s="7"/>
    </row>
    <row r="1011" spans="1:6" x14ac:dyDescent="0.25">
      <c r="A1011" s="7"/>
      <c r="E1011" s="7"/>
      <c r="F1011" s="7"/>
    </row>
    <row r="1012" spans="1:6" x14ac:dyDescent="0.25">
      <c r="A1012" s="7"/>
      <c r="E1012" s="7"/>
      <c r="F1012" s="7"/>
    </row>
    <row r="1013" spans="1:6" x14ac:dyDescent="0.25">
      <c r="A1013" s="7"/>
      <c r="E1013" s="7"/>
      <c r="F1013" s="7"/>
    </row>
  </sheetData>
  <mergeCells count="24">
    <mergeCell ref="C15:C18"/>
    <mergeCell ref="D15:D18"/>
    <mergeCell ref="A27:I27"/>
    <mergeCell ref="A9:A11"/>
    <mergeCell ref="A12:A14"/>
    <mergeCell ref="B12:B14"/>
    <mergeCell ref="C12:C14"/>
    <mergeCell ref="D12:D14"/>
    <mergeCell ref="A15:A18"/>
    <mergeCell ref="B15:B18"/>
    <mergeCell ref="A7:A8"/>
    <mergeCell ref="B7:B8"/>
    <mergeCell ref="C7:C8"/>
    <mergeCell ref="D7:D8"/>
    <mergeCell ref="B9:B11"/>
    <mergeCell ref="C9:C11"/>
    <mergeCell ref="D9:D11"/>
    <mergeCell ref="A1:I1"/>
    <mergeCell ref="A2:I2"/>
    <mergeCell ref="B3:C3"/>
    <mergeCell ref="A5:A6"/>
    <mergeCell ref="B5:B6"/>
    <mergeCell ref="C5:C6"/>
    <mergeCell ref="D5:D6"/>
  </mergeCells>
  <printOptions horizontalCentered="1" verticalCentered="1" gridLines="1"/>
  <pageMargins left="0.25" right="0.25" top="0.75" bottom="0.75" header="0" footer="0"/>
  <pageSetup fitToHeight="0" pageOrder="overThenDown" orientation="landscape" cellComments="atEnd"/>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outlinePr summaryBelow="0" summaryRight="0"/>
    <pageSetUpPr fitToPage="1"/>
  </sheetPr>
  <dimension ref="A1:W1006"/>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46.33203125" customWidth="1"/>
    <col min="2" max="2" width="7.33203125" customWidth="1"/>
    <col min="3" max="4" width="7.88671875" customWidth="1"/>
    <col min="5" max="5" width="22.21875" customWidth="1"/>
    <col min="6" max="6" width="14.6640625" customWidth="1"/>
    <col min="13" max="13" width="37.109375" customWidth="1"/>
    <col min="14" max="14" width="47.109375" customWidth="1"/>
  </cols>
  <sheetData>
    <row r="1" spans="1:23" x14ac:dyDescent="0.25">
      <c r="A1" s="141" t="s">
        <v>809</v>
      </c>
      <c r="B1" s="142"/>
      <c r="C1" s="142"/>
      <c r="D1" s="142"/>
      <c r="E1" s="142"/>
      <c r="F1" s="142"/>
      <c r="G1" s="142"/>
      <c r="H1" s="142"/>
      <c r="I1" s="143"/>
    </row>
    <row r="2" spans="1:23" x14ac:dyDescent="0.25">
      <c r="A2" s="144" t="s">
        <v>810</v>
      </c>
      <c r="B2" s="142"/>
      <c r="C2" s="142"/>
      <c r="D2" s="142"/>
      <c r="E2" s="142"/>
      <c r="F2" s="142"/>
      <c r="G2" s="142"/>
      <c r="H2" s="142"/>
      <c r="I2" s="143"/>
    </row>
    <row r="3" spans="1:23" x14ac:dyDescent="0.25">
      <c r="A3" s="43" t="s">
        <v>374</v>
      </c>
      <c r="B3" s="145" t="s">
        <v>408</v>
      </c>
      <c r="C3" s="143"/>
      <c r="D3" s="49" t="s">
        <v>370</v>
      </c>
      <c r="E3" s="50" t="s">
        <v>371</v>
      </c>
      <c r="F3" s="51" t="s">
        <v>372</v>
      </c>
      <c r="G3" s="52" t="s">
        <v>373</v>
      </c>
      <c r="H3" s="53" t="s">
        <v>409</v>
      </c>
      <c r="I3" s="53" t="s">
        <v>410</v>
      </c>
      <c r="J3" s="7"/>
      <c r="K3" s="7"/>
      <c r="L3" s="7"/>
      <c r="M3" s="7"/>
      <c r="N3" s="7"/>
      <c r="O3" s="7"/>
      <c r="P3" s="7"/>
      <c r="Q3" s="7"/>
      <c r="R3" s="7"/>
      <c r="S3" s="7"/>
      <c r="T3" s="7"/>
      <c r="U3" s="7"/>
      <c r="V3" s="7"/>
      <c r="W3" s="7"/>
    </row>
    <row r="4" spans="1:23" x14ac:dyDescent="0.25">
      <c r="A4" s="41" t="s">
        <v>411</v>
      </c>
      <c r="B4" s="54">
        <f>SUM(B5:B7)/3</f>
        <v>1</v>
      </c>
      <c r="C4" s="55">
        <f>D4*B4</f>
        <v>0.7</v>
      </c>
      <c r="D4" s="56">
        <v>0.7</v>
      </c>
      <c r="E4" s="57"/>
      <c r="F4" s="57"/>
      <c r="G4" s="58"/>
      <c r="H4" s="58"/>
      <c r="I4" s="58"/>
    </row>
    <row r="5" spans="1:23" x14ac:dyDescent="0.25">
      <c r="A5" s="42" t="s">
        <v>811</v>
      </c>
      <c r="B5" s="59">
        <v>1</v>
      </c>
      <c r="C5" s="60"/>
      <c r="D5" s="60"/>
      <c r="E5" s="42"/>
      <c r="F5" s="61"/>
      <c r="G5" s="59">
        <v>0.8</v>
      </c>
      <c r="H5" s="59">
        <v>0.8</v>
      </c>
      <c r="I5" s="59">
        <v>1</v>
      </c>
    </row>
    <row r="6" spans="1:23" x14ac:dyDescent="0.25">
      <c r="A6" s="42" t="s">
        <v>812</v>
      </c>
      <c r="B6" s="59">
        <v>1</v>
      </c>
      <c r="C6" s="60"/>
      <c r="D6" s="60"/>
      <c r="E6" s="42"/>
      <c r="F6" s="61"/>
      <c r="G6" s="59">
        <v>0.8</v>
      </c>
      <c r="H6" s="59">
        <v>0.8</v>
      </c>
      <c r="I6" s="59">
        <v>1</v>
      </c>
    </row>
    <row r="7" spans="1:23" x14ac:dyDescent="0.25">
      <c r="A7" s="42" t="s">
        <v>813</v>
      </c>
      <c r="B7" s="59">
        <v>1</v>
      </c>
      <c r="C7" s="60"/>
      <c r="D7" s="60"/>
      <c r="E7" s="42"/>
      <c r="F7" s="61"/>
      <c r="G7" s="59">
        <v>0.8</v>
      </c>
      <c r="H7" s="59">
        <v>0.8</v>
      </c>
      <c r="I7" s="59">
        <v>1</v>
      </c>
    </row>
    <row r="8" spans="1:23" x14ac:dyDescent="0.25">
      <c r="A8" s="42"/>
      <c r="B8" s="62"/>
      <c r="C8" s="60"/>
      <c r="D8" s="60"/>
      <c r="E8" s="42"/>
      <c r="F8" s="42"/>
      <c r="G8" s="60"/>
      <c r="H8" s="60"/>
      <c r="I8" s="60"/>
    </row>
    <row r="9" spans="1:23" x14ac:dyDescent="0.25">
      <c r="A9" s="41" t="s">
        <v>415</v>
      </c>
      <c r="B9" s="54">
        <f>SUM(B13:B15)/4</f>
        <v>0.75</v>
      </c>
      <c r="C9" s="55">
        <f>D9*B9</f>
        <v>0.15000000000000002</v>
      </c>
      <c r="D9" s="56">
        <v>0.2</v>
      </c>
      <c r="E9" s="57"/>
      <c r="F9" s="57"/>
      <c r="G9" s="58"/>
      <c r="H9" s="58"/>
      <c r="I9" s="58"/>
    </row>
    <row r="10" spans="1:23" x14ac:dyDescent="0.25">
      <c r="A10" s="79" t="s">
        <v>814</v>
      </c>
      <c r="B10" s="80">
        <v>1</v>
      </c>
      <c r="C10" s="81"/>
      <c r="D10" s="81"/>
      <c r="E10" s="79" t="s">
        <v>815</v>
      </c>
      <c r="F10" s="79" t="s">
        <v>425</v>
      </c>
      <c r="G10" s="80">
        <v>1</v>
      </c>
      <c r="H10" s="80"/>
      <c r="I10" s="80"/>
      <c r="J10" s="85"/>
      <c r="S10" s="85"/>
      <c r="T10" s="85"/>
      <c r="U10" s="85"/>
      <c r="V10" s="85"/>
      <c r="W10" s="85"/>
    </row>
    <row r="11" spans="1:23" x14ac:dyDescent="0.25">
      <c r="A11" s="85" t="s">
        <v>816</v>
      </c>
      <c r="B11" s="80">
        <v>1</v>
      </c>
      <c r="C11" s="81"/>
      <c r="D11" s="81"/>
      <c r="E11" s="79" t="s">
        <v>817</v>
      </c>
      <c r="F11" s="79" t="s">
        <v>425</v>
      </c>
      <c r="G11" s="80">
        <v>1</v>
      </c>
      <c r="H11" s="80"/>
      <c r="I11" s="80"/>
      <c r="J11" s="85"/>
      <c r="S11" s="85"/>
      <c r="T11" s="85"/>
      <c r="U11" s="85"/>
      <c r="V11" s="85"/>
      <c r="W11" s="85"/>
    </row>
    <row r="12" spans="1:23" x14ac:dyDescent="0.25">
      <c r="A12" s="79" t="s">
        <v>818</v>
      </c>
      <c r="B12" s="80">
        <v>1</v>
      </c>
      <c r="C12" s="81"/>
      <c r="D12" s="81"/>
      <c r="E12" s="79" t="s">
        <v>819</v>
      </c>
      <c r="F12" s="79" t="s">
        <v>425</v>
      </c>
      <c r="G12" s="80">
        <v>1</v>
      </c>
      <c r="H12" s="80"/>
      <c r="I12" s="80"/>
      <c r="J12" s="85"/>
      <c r="S12" s="85"/>
      <c r="T12" s="85"/>
      <c r="U12" s="85"/>
      <c r="V12" s="85"/>
      <c r="W12" s="85"/>
    </row>
    <row r="13" spans="1:23" x14ac:dyDescent="0.25">
      <c r="A13" s="79" t="s">
        <v>820</v>
      </c>
      <c r="B13" s="80">
        <v>1</v>
      </c>
      <c r="C13" s="81"/>
      <c r="D13" s="81"/>
      <c r="E13" s="79" t="s">
        <v>821</v>
      </c>
      <c r="F13" s="79" t="s">
        <v>425</v>
      </c>
      <c r="G13" s="80">
        <v>1</v>
      </c>
      <c r="H13" s="80"/>
      <c r="I13" s="80"/>
      <c r="J13" s="85"/>
      <c r="S13" s="85"/>
      <c r="T13" s="85"/>
      <c r="U13" s="85"/>
      <c r="V13" s="85"/>
      <c r="W13" s="85"/>
    </row>
    <row r="14" spans="1:23" x14ac:dyDescent="0.25">
      <c r="A14" s="79" t="s">
        <v>822</v>
      </c>
      <c r="B14" s="80">
        <v>1</v>
      </c>
      <c r="C14" s="81"/>
      <c r="D14" s="81"/>
      <c r="E14" s="79" t="s">
        <v>823</v>
      </c>
      <c r="F14" s="79" t="s">
        <v>425</v>
      </c>
      <c r="G14" s="80">
        <v>1</v>
      </c>
      <c r="H14" s="80"/>
      <c r="I14" s="80"/>
      <c r="J14" s="85"/>
      <c r="S14" s="85"/>
      <c r="T14" s="85"/>
      <c r="U14" s="85"/>
      <c r="V14" s="85"/>
      <c r="W14" s="85"/>
    </row>
    <row r="15" spans="1:23" x14ac:dyDescent="0.25">
      <c r="A15" s="79" t="s">
        <v>824</v>
      </c>
      <c r="B15" s="80">
        <v>1</v>
      </c>
      <c r="C15" s="81"/>
      <c r="D15" s="81"/>
      <c r="E15" s="79" t="s">
        <v>825</v>
      </c>
      <c r="F15" s="79" t="s">
        <v>425</v>
      </c>
      <c r="G15" s="80">
        <v>1</v>
      </c>
      <c r="H15" s="80"/>
      <c r="I15" s="80"/>
      <c r="J15" s="85"/>
      <c r="S15" s="85"/>
      <c r="T15" s="85"/>
      <c r="U15" s="85"/>
      <c r="V15" s="85"/>
      <c r="W15" s="85"/>
    </row>
    <row r="16" spans="1:23" x14ac:dyDescent="0.25">
      <c r="A16" s="41" t="s">
        <v>385</v>
      </c>
      <c r="B16" s="54">
        <f>SUM(B17:B18)/2</f>
        <v>1</v>
      </c>
      <c r="C16" s="55">
        <f>D16*B16</f>
        <v>0.1</v>
      </c>
      <c r="D16" s="56">
        <v>0.1</v>
      </c>
      <c r="E16" s="57"/>
      <c r="F16" s="57"/>
      <c r="G16" s="58"/>
      <c r="H16" s="58"/>
      <c r="I16" s="58"/>
    </row>
    <row r="17" spans="1:9" x14ac:dyDescent="0.25">
      <c r="A17" s="42" t="s">
        <v>386</v>
      </c>
      <c r="B17" s="59">
        <v>1</v>
      </c>
      <c r="C17" s="60"/>
      <c r="D17" s="53"/>
      <c r="E17" s="42"/>
      <c r="F17" s="42" t="s">
        <v>418</v>
      </c>
      <c r="G17" s="59">
        <v>0.8</v>
      </c>
      <c r="H17" s="59">
        <v>0.8</v>
      </c>
      <c r="I17" s="59">
        <v>1</v>
      </c>
    </row>
    <row r="18" spans="1:9" x14ac:dyDescent="0.25">
      <c r="A18" s="42" t="s">
        <v>387</v>
      </c>
      <c r="B18" s="59">
        <v>1</v>
      </c>
      <c r="C18" s="60"/>
      <c r="D18" s="53"/>
      <c r="E18" s="42"/>
      <c r="F18" s="42" t="s">
        <v>419</v>
      </c>
      <c r="G18" s="59">
        <v>0.8</v>
      </c>
      <c r="H18" s="59">
        <v>0.8</v>
      </c>
      <c r="I18" s="59">
        <v>1</v>
      </c>
    </row>
    <row r="19" spans="1:9" x14ac:dyDescent="0.25">
      <c r="A19" s="42"/>
      <c r="B19" s="60"/>
      <c r="C19" s="64">
        <f t="shared" ref="C19:D19" si="0">SUM(C4+C9+C16)</f>
        <v>0.95</v>
      </c>
      <c r="D19" s="64">
        <f t="shared" si="0"/>
        <v>0.99999999999999989</v>
      </c>
      <c r="E19" s="42"/>
      <c r="F19" s="42"/>
      <c r="G19" s="60"/>
      <c r="H19" s="60"/>
      <c r="I19" s="60"/>
    </row>
    <row r="20" spans="1:9" x14ac:dyDescent="0.25">
      <c r="A20" s="152" t="s">
        <v>826</v>
      </c>
      <c r="B20" s="142"/>
      <c r="C20" s="142"/>
      <c r="D20" s="142"/>
      <c r="E20" s="142"/>
      <c r="F20" s="142"/>
      <c r="G20" s="142"/>
      <c r="H20" s="142"/>
      <c r="I20" s="143"/>
    </row>
    <row r="21" spans="1:9" x14ac:dyDescent="0.25">
      <c r="A21" s="66" t="s">
        <v>827</v>
      </c>
      <c r="B21" s="67" t="s">
        <v>423</v>
      </c>
      <c r="C21" s="64"/>
      <c r="D21" s="64"/>
      <c r="E21" s="68" t="s">
        <v>35</v>
      </c>
      <c r="F21" s="42" t="s">
        <v>425</v>
      </c>
      <c r="G21" s="42"/>
      <c r="H21" s="60"/>
      <c r="I21" s="60"/>
    </row>
    <row r="22" spans="1:9" x14ac:dyDescent="0.25">
      <c r="A22" s="66" t="s">
        <v>828</v>
      </c>
      <c r="B22" s="67" t="s">
        <v>427</v>
      </c>
      <c r="C22" s="64"/>
      <c r="D22" s="64"/>
      <c r="E22" s="68" t="s">
        <v>62</v>
      </c>
      <c r="F22" s="42" t="s">
        <v>425</v>
      </c>
      <c r="G22" s="42"/>
      <c r="H22" s="60"/>
      <c r="I22" s="60"/>
    </row>
    <row r="23" spans="1:9" x14ac:dyDescent="0.25">
      <c r="A23" s="66" t="s">
        <v>829</v>
      </c>
      <c r="B23" s="67" t="s">
        <v>427</v>
      </c>
      <c r="C23" s="64"/>
      <c r="D23" s="64"/>
      <c r="E23" s="68" t="s">
        <v>160</v>
      </c>
      <c r="F23" s="42" t="s">
        <v>425</v>
      </c>
      <c r="G23" s="42"/>
      <c r="H23" s="60"/>
      <c r="I23" s="60"/>
    </row>
    <row r="24" spans="1:9" x14ac:dyDescent="0.25">
      <c r="A24" s="66" t="s">
        <v>830</v>
      </c>
      <c r="B24" s="67" t="s">
        <v>427</v>
      </c>
      <c r="C24" s="64"/>
      <c r="D24" s="64"/>
      <c r="E24" s="68" t="s">
        <v>238</v>
      </c>
      <c r="F24" s="42" t="s">
        <v>425</v>
      </c>
      <c r="G24" s="42"/>
      <c r="H24" s="60"/>
      <c r="I24" s="60"/>
    </row>
    <row r="25" spans="1:9" x14ac:dyDescent="0.25">
      <c r="A25" s="7"/>
      <c r="E25" s="7"/>
      <c r="F25" s="7"/>
    </row>
    <row r="26" spans="1:9" x14ac:dyDescent="0.25">
      <c r="A26" s="7"/>
      <c r="E26" s="7"/>
      <c r="F26" s="7"/>
    </row>
    <row r="27" spans="1:9" x14ac:dyDescent="0.25">
      <c r="A27" s="7"/>
      <c r="E27" s="7"/>
      <c r="F27" s="7"/>
    </row>
    <row r="28" spans="1:9" x14ac:dyDescent="0.25">
      <c r="A28" s="7"/>
      <c r="E28" s="7"/>
      <c r="F28" s="7"/>
    </row>
    <row r="29" spans="1:9" x14ac:dyDescent="0.25">
      <c r="A29" s="7"/>
      <c r="E29" s="7"/>
      <c r="F29" s="7"/>
    </row>
    <row r="30" spans="1:9" x14ac:dyDescent="0.25">
      <c r="A30" s="7"/>
      <c r="E30" s="7"/>
      <c r="F30" s="7"/>
    </row>
    <row r="31" spans="1:9" x14ac:dyDescent="0.25">
      <c r="A31" s="7"/>
      <c r="E31" s="7"/>
      <c r="F31" s="7"/>
    </row>
    <row r="32" spans="1:9" x14ac:dyDescent="0.25">
      <c r="A32" s="7"/>
      <c r="E32" s="7"/>
      <c r="F32" s="7"/>
    </row>
    <row r="33" spans="1:6" x14ac:dyDescent="0.25">
      <c r="A33" s="7"/>
      <c r="E33" s="7"/>
      <c r="F33" s="7"/>
    </row>
    <row r="34" spans="1:6" x14ac:dyDescent="0.25">
      <c r="A34" s="7"/>
      <c r="E34" s="7"/>
      <c r="F34" s="7"/>
    </row>
    <row r="35" spans="1:6" x14ac:dyDescent="0.25">
      <c r="A35" s="7"/>
      <c r="E35" s="7"/>
      <c r="F35" s="7"/>
    </row>
    <row r="36" spans="1:6" x14ac:dyDescent="0.25">
      <c r="A36" s="7"/>
      <c r="E36" s="7"/>
      <c r="F36" s="7"/>
    </row>
    <row r="37" spans="1:6" x14ac:dyDescent="0.25">
      <c r="A37" s="7"/>
      <c r="E37" s="7"/>
      <c r="F37" s="7"/>
    </row>
    <row r="38" spans="1:6" x14ac:dyDescent="0.25">
      <c r="A38" s="7"/>
      <c r="E38" s="7"/>
      <c r="F38" s="7"/>
    </row>
    <row r="39" spans="1:6" x14ac:dyDescent="0.25">
      <c r="A39" s="7"/>
      <c r="E39" s="7"/>
      <c r="F39" s="7"/>
    </row>
    <row r="40" spans="1:6" x14ac:dyDescent="0.25">
      <c r="A40" s="7"/>
      <c r="E40" s="7"/>
      <c r="F40" s="7"/>
    </row>
    <row r="41" spans="1:6" x14ac:dyDescent="0.25">
      <c r="A41" s="7"/>
      <c r="E41" s="7"/>
      <c r="F41" s="7"/>
    </row>
    <row r="42" spans="1:6" x14ac:dyDescent="0.25">
      <c r="A42" s="7"/>
      <c r="E42" s="7"/>
      <c r="F42" s="7"/>
    </row>
    <row r="43" spans="1:6" x14ac:dyDescent="0.25">
      <c r="A43" s="7"/>
      <c r="E43" s="7"/>
      <c r="F43" s="7"/>
    </row>
    <row r="44" spans="1:6" x14ac:dyDescent="0.25">
      <c r="A44" s="7"/>
      <c r="E44" s="7"/>
      <c r="F44" s="7"/>
    </row>
    <row r="45" spans="1:6" x14ac:dyDescent="0.25">
      <c r="A45" s="7"/>
      <c r="E45" s="7"/>
      <c r="F45" s="7"/>
    </row>
    <row r="46" spans="1:6" x14ac:dyDescent="0.25">
      <c r="A46" s="7"/>
      <c r="E46" s="7"/>
      <c r="F46" s="7"/>
    </row>
    <row r="47" spans="1:6" x14ac:dyDescent="0.25">
      <c r="A47" s="7"/>
      <c r="E47" s="7"/>
      <c r="F47" s="7"/>
    </row>
    <row r="48" spans="1:6" x14ac:dyDescent="0.25">
      <c r="A48" s="7"/>
      <c r="E48" s="7"/>
      <c r="F48" s="7"/>
    </row>
    <row r="49" spans="1:6" x14ac:dyDescent="0.25">
      <c r="A49" s="7"/>
      <c r="E49" s="7"/>
      <c r="F49" s="7"/>
    </row>
    <row r="50" spans="1:6" x14ac:dyDescent="0.25">
      <c r="A50" s="7"/>
      <c r="E50" s="7"/>
      <c r="F50" s="7"/>
    </row>
    <row r="51" spans="1:6" x14ac:dyDescent="0.25">
      <c r="A51" s="7"/>
      <c r="E51" s="7"/>
      <c r="F51" s="7"/>
    </row>
    <row r="52" spans="1:6" x14ac:dyDescent="0.25">
      <c r="A52" s="7"/>
      <c r="E52" s="7"/>
      <c r="F52" s="7"/>
    </row>
    <row r="53" spans="1:6" x14ac:dyDescent="0.25">
      <c r="A53" s="7"/>
      <c r="E53" s="7"/>
      <c r="F53" s="7"/>
    </row>
    <row r="54" spans="1:6" x14ac:dyDescent="0.25">
      <c r="A54" s="7"/>
      <c r="E54" s="7"/>
      <c r="F54" s="7"/>
    </row>
    <row r="55" spans="1:6" x14ac:dyDescent="0.25">
      <c r="A55" s="7"/>
      <c r="E55" s="7"/>
      <c r="F55" s="7"/>
    </row>
    <row r="56" spans="1:6" x14ac:dyDescent="0.25">
      <c r="A56" s="7"/>
      <c r="E56" s="7"/>
      <c r="F56" s="7"/>
    </row>
    <row r="57" spans="1:6" x14ac:dyDescent="0.25">
      <c r="A57" s="7"/>
      <c r="E57" s="7"/>
      <c r="F57" s="7"/>
    </row>
    <row r="58" spans="1:6" x14ac:dyDescent="0.25">
      <c r="A58" s="7"/>
      <c r="E58" s="7"/>
      <c r="F58" s="7"/>
    </row>
    <row r="59" spans="1:6" x14ac:dyDescent="0.25">
      <c r="A59" s="7"/>
      <c r="E59" s="7"/>
      <c r="F59" s="7"/>
    </row>
    <row r="60" spans="1:6" x14ac:dyDescent="0.25">
      <c r="A60" s="7"/>
      <c r="E60" s="7"/>
      <c r="F60" s="7"/>
    </row>
    <row r="61" spans="1:6" x14ac:dyDescent="0.25">
      <c r="A61" s="7"/>
      <c r="E61" s="7"/>
      <c r="F61" s="7"/>
    </row>
    <row r="62" spans="1:6" x14ac:dyDescent="0.25">
      <c r="A62" s="7"/>
      <c r="E62" s="7"/>
      <c r="F62" s="7"/>
    </row>
    <row r="63" spans="1:6" x14ac:dyDescent="0.25">
      <c r="A63" s="7"/>
      <c r="E63" s="7"/>
      <c r="F63" s="7"/>
    </row>
    <row r="64" spans="1:6" x14ac:dyDescent="0.25">
      <c r="A64" s="7"/>
      <c r="E64" s="7"/>
      <c r="F64" s="7"/>
    </row>
    <row r="65" spans="1:6" x14ac:dyDescent="0.25">
      <c r="A65" s="7"/>
      <c r="E65" s="7"/>
      <c r="F65" s="7"/>
    </row>
    <row r="66" spans="1:6" x14ac:dyDescent="0.25">
      <c r="A66" s="7"/>
      <c r="E66" s="7"/>
      <c r="F66" s="7"/>
    </row>
    <row r="67" spans="1:6" x14ac:dyDescent="0.25">
      <c r="A67" s="7"/>
      <c r="E67" s="7"/>
      <c r="F67" s="7"/>
    </row>
    <row r="68" spans="1:6" x14ac:dyDescent="0.25">
      <c r="A68" s="7"/>
      <c r="E68" s="7"/>
      <c r="F68" s="7"/>
    </row>
    <row r="69" spans="1:6" x14ac:dyDescent="0.25">
      <c r="A69" s="7"/>
      <c r="E69" s="7"/>
      <c r="F69" s="7"/>
    </row>
    <row r="70" spans="1:6" x14ac:dyDescent="0.25">
      <c r="A70" s="7"/>
      <c r="E70" s="7"/>
      <c r="F70" s="7"/>
    </row>
    <row r="71" spans="1:6" x14ac:dyDescent="0.25">
      <c r="A71" s="7"/>
      <c r="E71" s="7"/>
      <c r="F71" s="7"/>
    </row>
    <row r="72" spans="1:6" x14ac:dyDescent="0.25">
      <c r="A72" s="7"/>
      <c r="E72" s="7"/>
      <c r="F72" s="7"/>
    </row>
    <row r="73" spans="1:6" x14ac:dyDescent="0.25">
      <c r="A73" s="7"/>
      <c r="E73" s="7"/>
      <c r="F73" s="7"/>
    </row>
    <row r="74" spans="1:6" x14ac:dyDescent="0.25">
      <c r="A74" s="7"/>
      <c r="E74" s="7"/>
      <c r="F74" s="7"/>
    </row>
    <row r="75" spans="1:6" x14ac:dyDescent="0.25">
      <c r="A75" s="7"/>
      <c r="E75" s="7"/>
      <c r="F75" s="7"/>
    </row>
    <row r="76" spans="1:6" x14ac:dyDescent="0.25">
      <c r="A76" s="7"/>
      <c r="E76" s="7"/>
      <c r="F76" s="7"/>
    </row>
    <row r="77" spans="1:6" x14ac:dyDescent="0.25">
      <c r="A77" s="7"/>
      <c r="E77" s="7"/>
      <c r="F77" s="7"/>
    </row>
    <row r="78" spans="1:6" x14ac:dyDescent="0.25">
      <c r="A78" s="7"/>
      <c r="E78" s="7"/>
      <c r="F78" s="7"/>
    </row>
    <row r="79" spans="1:6" x14ac:dyDescent="0.25">
      <c r="A79" s="7"/>
      <c r="E79" s="7"/>
      <c r="F79" s="7"/>
    </row>
    <row r="80" spans="1:6" x14ac:dyDescent="0.25">
      <c r="A80" s="7"/>
      <c r="E80" s="7"/>
      <c r="F80" s="7"/>
    </row>
    <row r="81" spans="1:6" x14ac:dyDescent="0.25">
      <c r="A81" s="7"/>
      <c r="E81" s="7"/>
      <c r="F81" s="7"/>
    </row>
    <row r="82" spans="1:6" x14ac:dyDescent="0.25">
      <c r="A82" s="7"/>
      <c r="E82" s="7"/>
      <c r="F82" s="7"/>
    </row>
    <row r="83" spans="1:6" x14ac:dyDescent="0.25">
      <c r="A83" s="7"/>
      <c r="E83" s="7"/>
      <c r="F83" s="7"/>
    </row>
    <row r="84" spans="1:6" x14ac:dyDescent="0.25">
      <c r="A84" s="7"/>
      <c r="E84" s="7"/>
      <c r="F84" s="7"/>
    </row>
    <row r="85" spans="1:6" x14ac:dyDescent="0.25">
      <c r="A85" s="7"/>
      <c r="E85" s="7"/>
      <c r="F85" s="7"/>
    </row>
    <row r="86" spans="1:6" x14ac:dyDescent="0.25">
      <c r="A86" s="7"/>
      <c r="E86" s="7"/>
      <c r="F86" s="7"/>
    </row>
    <row r="87" spans="1:6" x14ac:dyDescent="0.25">
      <c r="A87" s="7"/>
      <c r="E87" s="7"/>
      <c r="F87" s="7"/>
    </row>
    <row r="88" spans="1:6" x14ac:dyDescent="0.25">
      <c r="A88" s="7"/>
      <c r="E88" s="7"/>
      <c r="F88" s="7"/>
    </row>
    <row r="89" spans="1:6" x14ac:dyDescent="0.25">
      <c r="A89" s="7"/>
      <c r="E89" s="7"/>
      <c r="F89" s="7"/>
    </row>
    <row r="90" spans="1:6" x14ac:dyDescent="0.25">
      <c r="A90" s="7"/>
      <c r="E90" s="7"/>
      <c r="F90" s="7"/>
    </row>
    <row r="91" spans="1:6" x14ac:dyDescent="0.25">
      <c r="A91" s="7"/>
      <c r="E91" s="7"/>
      <c r="F91" s="7"/>
    </row>
    <row r="92" spans="1:6" x14ac:dyDescent="0.25">
      <c r="A92" s="7"/>
      <c r="E92" s="7"/>
      <c r="F92" s="7"/>
    </row>
    <row r="93" spans="1:6" x14ac:dyDescent="0.25">
      <c r="A93" s="7"/>
      <c r="E93" s="7"/>
      <c r="F93" s="7"/>
    </row>
    <row r="94" spans="1:6" x14ac:dyDescent="0.25">
      <c r="A94" s="7"/>
      <c r="E94" s="7"/>
      <c r="F94" s="7"/>
    </row>
    <row r="95" spans="1:6" x14ac:dyDescent="0.25">
      <c r="A95" s="7"/>
      <c r="E95" s="7"/>
      <c r="F95" s="7"/>
    </row>
    <row r="96" spans="1:6" x14ac:dyDescent="0.25">
      <c r="A96" s="7"/>
      <c r="E96" s="7"/>
      <c r="F96" s="7"/>
    </row>
    <row r="97" spans="1:6" x14ac:dyDescent="0.25">
      <c r="A97" s="7"/>
      <c r="E97" s="7"/>
      <c r="F97" s="7"/>
    </row>
    <row r="98" spans="1:6" x14ac:dyDescent="0.25">
      <c r="A98" s="7"/>
      <c r="E98" s="7"/>
      <c r="F98" s="7"/>
    </row>
    <row r="99" spans="1:6" x14ac:dyDescent="0.25">
      <c r="A99" s="7"/>
      <c r="E99" s="7"/>
      <c r="F99" s="7"/>
    </row>
    <row r="100" spans="1:6" x14ac:dyDescent="0.25">
      <c r="A100" s="7"/>
      <c r="E100" s="7"/>
      <c r="F100" s="7"/>
    </row>
    <row r="101" spans="1:6" x14ac:dyDescent="0.25">
      <c r="A101" s="7"/>
      <c r="E101" s="7"/>
      <c r="F101" s="7"/>
    </row>
    <row r="102" spans="1:6" x14ac:dyDescent="0.25">
      <c r="A102" s="7"/>
      <c r="E102" s="7"/>
      <c r="F102" s="7"/>
    </row>
    <row r="103" spans="1:6" x14ac:dyDescent="0.25">
      <c r="A103" s="7"/>
      <c r="E103" s="7"/>
      <c r="F103" s="7"/>
    </row>
    <row r="104" spans="1:6" x14ac:dyDescent="0.25">
      <c r="A104" s="7"/>
      <c r="E104" s="7"/>
      <c r="F104" s="7"/>
    </row>
    <row r="105" spans="1:6" x14ac:dyDescent="0.25">
      <c r="A105" s="7"/>
      <c r="E105" s="7"/>
      <c r="F105" s="7"/>
    </row>
    <row r="106" spans="1:6" x14ac:dyDescent="0.25">
      <c r="A106" s="7"/>
      <c r="E106" s="7"/>
      <c r="F106" s="7"/>
    </row>
    <row r="107" spans="1:6" x14ac:dyDescent="0.25">
      <c r="A107" s="7"/>
      <c r="E107" s="7"/>
      <c r="F107" s="7"/>
    </row>
    <row r="108" spans="1:6" x14ac:dyDescent="0.25">
      <c r="A108" s="7"/>
      <c r="E108" s="7"/>
      <c r="F108" s="7"/>
    </row>
    <row r="109" spans="1:6" x14ac:dyDescent="0.25">
      <c r="A109" s="7"/>
      <c r="E109" s="7"/>
      <c r="F109" s="7"/>
    </row>
    <row r="110" spans="1:6" x14ac:dyDescent="0.25">
      <c r="A110" s="7"/>
      <c r="E110" s="7"/>
      <c r="F110" s="7"/>
    </row>
    <row r="111" spans="1:6" x14ac:dyDescent="0.25">
      <c r="A111" s="7"/>
      <c r="E111" s="7"/>
      <c r="F111" s="7"/>
    </row>
    <row r="112" spans="1:6" x14ac:dyDescent="0.25">
      <c r="A112" s="7"/>
      <c r="E112" s="7"/>
      <c r="F112" s="7"/>
    </row>
    <row r="113" spans="1:6" x14ac:dyDescent="0.25">
      <c r="A113" s="7"/>
      <c r="E113" s="7"/>
      <c r="F113" s="7"/>
    </row>
    <row r="114" spans="1:6" x14ac:dyDescent="0.25">
      <c r="A114" s="7"/>
      <c r="E114" s="7"/>
      <c r="F114" s="7"/>
    </row>
    <row r="115" spans="1:6" x14ac:dyDescent="0.25">
      <c r="A115" s="7"/>
      <c r="E115" s="7"/>
      <c r="F115" s="7"/>
    </row>
    <row r="116" spans="1:6" x14ac:dyDescent="0.25">
      <c r="A116" s="7"/>
      <c r="E116" s="7"/>
      <c r="F116" s="7"/>
    </row>
    <row r="117" spans="1:6" x14ac:dyDescent="0.25">
      <c r="A117" s="7"/>
      <c r="E117" s="7"/>
      <c r="F117" s="7"/>
    </row>
    <row r="118" spans="1:6" x14ac:dyDescent="0.25">
      <c r="A118" s="7"/>
      <c r="E118" s="7"/>
      <c r="F118" s="7"/>
    </row>
    <row r="119" spans="1:6" x14ac:dyDescent="0.25">
      <c r="A119" s="7"/>
      <c r="E119" s="7"/>
      <c r="F119" s="7"/>
    </row>
    <row r="120" spans="1:6" x14ac:dyDescent="0.25">
      <c r="A120" s="7"/>
      <c r="E120" s="7"/>
      <c r="F120" s="7"/>
    </row>
    <row r="121" spans="1:6" x14ac:dyDescent="0.25">
      <c r="A121" s="7"/>
      <c r="E121" s="7"/>
      <c r="F121" s="7"/>
    </row>
    <row r="122" spans="1:6" x14ac:dyDescent="0.25">
      <c r="A122" s="7"/>
      <c r="E122" s="7"/>
      <c r="F122" s="7"/>
    </row>
    <row r="123" spans="1:6" x14ac:dyDescent="0.25">
      <c r="A123" s="7"/>
      <c r="E123" s="7"/>
      <c r="F123" s="7"/>
    </row>
    <row r="124" spans="1:6" x14ac:dyDescent="0.25">
      <c r="A124" s="7"/>
      <c r="E124" s="7"/>
      <c r="F124" s="7"/>
    </row>
    <row r="125" spans="1:6" x14ac:dyDescent="0.25">
      <c r="A125" s="7"/>
      <c r="E125" s="7"/>
      <c r="F125" s="7"/>
    </row>
    <row r="126" spans="1:6" x14ac:dyDescent="0.25">
      <c r="A126" s="7"/>
      <c r="E126" s="7"/>
      <c r="F126" s="7"/>
    </row>
    <row r="127" spans="1:6" x14ac:dyDescent="0.25">
      <c r="A127" s="7"/>
      <c r="E127" s="7"/>
      <c r="F127" s="7"/>
    </row>
    <row r="128" spans="1:6" x14ac:dyDescent="0.25">
      <c r="A128" s="7"/>
      <c r="E128" s="7"/>
      <c r="F128" s="7"/>
    </row>
    <row r="129" spans="1:6" x14ac:dyDescent="0.25">
      <c r="A129" s="7"/>
      <c r="E129" s="7"/>
      <c r="F129" s="7"/>
    </row>
    <row r="130" spans="1:6" x14ac:dyDescent="0.25">
      <c r="A130" s="7"/>
      <c r="E130" s="7"/>
      <c r="F130" s="7"/>
    </row>
    <row r="131" spans="1:6" x14ac:dyDescent="0.25">
      <c r="A131" s="7"/>
      <c r="E131" s="7"/>
      <c r="F131" s="7"/>
    </row>
    <row r="132" spans="1:6" x14ac:dyDescent="0.25">
      <c r="A132" s="7"/>
      <c r="E132" s="7"/>
      <c r="F132" s="7"/>
    </row>
    <row r="133" spans="1:6" x14ac:dyDescent="0.25">
      <c r="A133" s="7"/>
      <c r="E133" s="7"/>
      <c r="F133" s="7"/>
    </row>
    <row r="134" spans="1:6" x14ac:dyDescent="0.25">
      <c r="A134" s="7"/>
      <c r="E134" s="7"/>
      <c r="F134" s="7"/>
    </row>
    <row r="135" spans="1:6" x14ac:dyDescent="0.25">
      <c r="A135" s="7"/>
      <c r="E135" s="7"/>
      <c r="F135" s="7"/>
    </row>
    <row r="136" spans="1:6" x14ac:dyDescent="0.25">
      <c r="A136" s="7"/>
      <c r="E136" s="7"/>
      <c r="F136" s="7"/>
    </row>
    <row r="137" spans="1:6" x14ac:dyDescent="0.25">
      <c r="A137" s="7"/>
      <c r="E137" s="7"/>
      <c r="F137" s="7"/>
    </row>
    <row r="138" spans="1:6" x14ac:dyDescent="0.25">
      <c r="A138" s="7"/>
      <c r="E138" s="7"/>
      <c r="F138" s="7"/>
    </row>
    <row r="139" spans="1:6" x14ac:dyDescent="0.25">
      <c r="A139" s="7"/>
      <c r="E139" s="7"/>
      <c r="F139" s="7"/>
    </row>
    <row r="140" spans="1:6" x14ac:dyDescent="0.25">
      <c r="A140" s="7"/>
      <c r="E140" s="7"/>
      <c r="F140" s="7"/>
    </row>
    <row r="141" spans="1:6" x14ac:dyDescent="0.25">
      <c r="A141" s="7"/>
      <c r="E141" s="7"/>
      <c r="F141" s="7"/>
    </row>
    <row r="142" spans="1:6" x14ac:dyDescent="0.25">
      <c r="A142" s="7"/>
      <c r="E142" s="7"/>
      <c r="F142" s="7"/>
    </row>
    <row r="143" spans="1:6" x14ac:dyDescent="0.25">
      <c r="A143" s="7"/>
      <c r="E143" s="7"/>
      <c r="F143" s="7"/>
    </row>
    <row r="144" spans="1:6" x14ac:dyDescent="0.25">
      <c r="A144" s="7"/>
      <c r="E144" s="7"/>
      <c r="F144" s="7"/>
    </row>
    <row r="145" spans="1:6" x14ac:dyDescent="0.25">
      <c r="A145" s="7"/>
      <c r="E145" s="7"/>
      <c r="F145" s="7"/>
    </row>
    <row r="146" spans="1:6" x14ac:dyDescent="0.25">
      <c r="A146" s="7"/>
      <c r="E146" s="7"/>
      <c r="F146" s="7"/>
    </row>
    <row r="147" spans="1:6" x14ac:dyDescent="0.25">
      <c r="A147" s="7"/>
      <c r="E147" s="7"/>
      <c r="F147" s="7"/>
    </row>
    <row r="148" spans="1:6" x14ac:dyDescent="0.25">
      <c r="A148" s="7"/>
      <c r="E148" s="7"/>
      <c r="F148" s="7"/>
    </row>
    <row r="149" spans="1:6" x14ac:dyDescent="0.25">
      <c r="A149" s="7"/>
      <c r="E149" s="7"/>
      <c r="F149" s="7"/>
    </row>
    <row r="150" spans="1:6" x14ac:dyDescent="0.25">
      <c r="A150" s="7"/>
      <c r="E150" s="7"/>
      <c r="F150" s="7"/>
    </row>
    <row r="151" spans="1:6" x14ac:dyDescent="0.25">
      <c r="A151" s="7"/>
      <c r="E151" s="7"/>
      <c r="F151" s="7"/>
    </row>
    <row r="152" spans="1:6" x14ac:dyDescent="0.25">
      <c r="A152" s="7"/>
      <c r="E152" s="7"/>
      <c r="F152" s="7"/>
    </row>
    <row r="153" spans="1:6" x14ac:dyDescent="0.25">
      <c r="A153" s="7"/>
      <c r="E153" s="7"/>
      <c r="F153" s="7"/>
    </row>
    <row r="154" spans="1:6" x14ac:dyDescent="0.25">
      <c r="A154" s="7"/>
      <c r="E154" s="7"/>
      <c r="F154" s="7"/>
    </row>
    <row r="155" spans="1:6" x14ac:dyDescent="0.25">
      <c r="A155" s="7"/>
      <c r="E155" s="7"/>
      <c r="F155" s="7"/>
    </row>
    <row r="156" spans="1:6" x14ac:dyDescent="0.25">
      <c r="A156" s="7"/>
      <c r="E156" s="7"/>
      <c r="F156" s="7"/>
    </row>
    <row r="157" spans="1:6" x14ac:dyDescent="0.25">
      <c r="A157" s="7"/>
      <c r="E157" s="7"/>
      <c r="F157" s="7"/>
    </row>
    <row r="158" spans="1:6" x14ac:dyDescent="0.25">
      <c r="A158" s="7"/>
      <c r="E158" s="7"/>
      <c r="F158" s="7"/>
    </row>
    <row r="159" spans="1:6" x14ac:dyDescent="0.25">
      <c r="A159" s="7"/>
      <c r="E159" s="7"/>
      <c r="F159" s="7"/>
    </row>
    <row r="160" spans="1:6" x14ac:dyDescent="0.25">
      <c r="A160" s="7"/>
      <c r="E160" s="7"/>
      <c r="F160" s="7"/>
    </row>
    <row r="161" spans="1:6" x14ac:dyDescent="0.25">
      <c r="A161" s="7"/>
      <c r="E161" s="7"/>
      <c r="F161" s="7"/>
    </row>
    <row r="162" spans="1:6" x14ac:dyDescent="0.25">
      <c r="A162" s="7"/>
      <c r="E162" s="7"/>
      <c r="F162" s="7"/>
    </row>
    <row r="163" spans="1:6" x14ac:dyDescent="0.25">
      <c r="A163" s="7"/>
      <c r="E163" s="7"/>
      <c r="F163" s="7"/>
    </row>
    <row r="164" spans="1:6" x14ac:dyDescent="0.25">
      <c r="A164" s="7"/>
      <c r="E164" s="7"/>
      <c r="F164" s="7"/>
    </row>
    <row r="165" spans="1:6" x14ac:dyDescent="0.25">
      <c r="A165" s="7"/>
      <c r="E165" s="7"/>
      <c r="F165" s="7"/>
    </row>
    <row r="166" spans="1:6" x14ac:dyDescent="0.25">
      <c r="A166" s="7"/>
      <c r="E166" s="7"/>
      <c r="F166" s="7"/>
    </row>
    <row r="167" spans="1:6" x14ac:dyDescent="0.25">
      <c r="A167" s="7"/>
      <c r="E167" s="7"/>
      <c r="F167" s="7"/>
    </row>
    <row r="168" spans="1:6" x14ac:dyDescent="0.25">
      <c r="A168" s="7"/>
      <c r="E168" s="7"/>
      <c r="F168" s="7"/>
    </row>
    <row r="169" spans="1:6" x14ac:dyDescent="0.25">
      <c r="A169" s="7"/>
      <c r="E169" s="7"/>
      <c r="F169" s="7"/>
    </row>
    <row r="170" spans="1:6" x14ac:dyDescent="0.25">
      <c r="A170" s="7"/>
      <c r="E170" s="7"/>
      <c r="F170" s="7"/>
    </row>
    <row r="171" spans="1:6" x14ac:dyDescent="0.25">
      <c r="A171" s="7"/>
      <c r="E171" s="7"/>
      <c r="F171" s="7"/>
    </row>
    <row r="172" spans="1:6" x14ac:dyDescent="0.25">
      <c r="A172" s="7"/>
      <c r="E172" s="7"/>
      <c r="F172" s="7"/>
    </row>
    <row r="173" spans="1:6" x14ac:dyDescent="0.25">
      <c r="A173" s="7"/>
      <c r="E173" s="7"/>
      <c r="F173" s="7"/>
    </row>
    <row r="174" spans="1:6" x14ac:dyDescent="0.25">
      <c r="A174" s="7"/>
      <c r="E174" s="7"/>
      <c r="F174" s="7"/>
    </row>
    <row r="175" spans="1:6" x14ac:dyDescent="0.25">
      <c r="A175" s="7"/>
      <c r="E175" s="7"/>
      <c r="F175" s="7"/>
    </row>
    <row r="176" spans="1:6" x14ac:dyDescent="0.25">
      <c r="A176" s="7"/>
      <c r="E176" s="7"/>
      <c r="F176" s="7"/>
    </row>
    <row r="177" spans="1:6" x14ac:dyDescent="0.25">
      <c r="A177" s="7"/>
      <c r="E177" s="7"/>
      <c r="F177" s="7"/>
    </row>
    <row r="178" spans="1:6" x14ac:dyDescent="0.25">
      <c r="A178" s="7"/>
      <c r="E178" s="7"/>
      <c r="F178" s="7"/>
    </row>
    <row r="179" spans="1:6" x14ac:dyDescent="0.25">
      <c r="A179" s="7"/>
      <c r="E179" s="7"/>
      <c r="F179" s="7"/>
    </row>
    <row r="180" spans="1:6" x14ac:dyDescent="0.25">
      <c r="A180" s="7"/>
      <c r="E180" s="7"/>
      <c r="F180" s="7"/>
    </row>
    <row r="181" spans="1:6" x14ac:dyDescent="0.25">
      <c r="A181" s="7"/>
      <c r="E181" s="7"/>
      <c r="F181" s="7"/>
    </row>
    <row r="182" spans="1:6" x14ac:dyDescent="0.25">
      <c r="A182" s="7"/>
      <c r="E182" s="7"/>
      <c r="F182" s="7"/>
    </row>
    <row r="183" spans="1:6" x14ac:dyDescent="0.25">
      <c r="A183" s="7"/>
      <c r="E183" s="7"/>
      <c r="F183" s="7"/>
    </row>
    <row r="184" spans="1:6" x14ac:dyDescent="0.25">
      <c r="A184" s="7"/>
      <c r="E184" s="7"/>
      <c r="F184" s="7"/>
    </row>
    <row r="185" spans="1:6" x14ac:dyDescent="0.25">
      <c r="A185" s="7"/>
      <c r="E185" s="7"/>
      <c r="F185" s="7"/>
    </row>
    <row r="186" spans="1:6" x14ac:dyDescent="0.25">
      <c r="A186" s="7"/>
      <c r="E186" s="7"/>
      <c r="F186" s="7"/>
    </row>
    <row r="187" spans="1:6" x14ac:dyDescent="0.25">
      <c r="A187" s="7"/>
      <c r="E187" s="7"/>
      <c r="F187" s="7"/>
    </row>
    <row r="188" spans="1:6" x14ac:dyDescent="0.25">
      <c r="A188" s="7"/>
      <c r="E188" s="7"/>
      <c r="F188" s="7"/>
    </row>
    <row r="189" spans="1:6" x14ac:dyDescent="0.25">
      <c r="A189" s="7"/>
      <c r="E189" s="7"/>
      <c r="F189" s="7"/>
    </row>
    <row r="190" spans="1:6" x14ac:dyDescent="0.25">
      <c r="A190" s="7"/>
      <c r="E190" s="7"/>
      <c r="F190" s="7"/>
    </row>
    <row r="191" spans="1:6" x14ac:dyDescent="0.25">
      <c r="A191" s="7"/>
      <c r="E191" s="7"/>
      <c r="F191" s="7"/>
    </row>
    <row r="192" spans="1:6" x14ac:dyDescent="0.25">
      <c r="A192" s="7"/>
      <c r="E192" s="7"/>
      <c r="F192" s="7"/>
    </row>
    <row r="193" spans="1:6" x14ac:dyDescent="0.25">
      <c r="A193" s="7"/>
      <c r="E193" s="7"/>
      <c r="F193" s="7"/>
    </row>
    <row r="194" spans="1:6" x14ac:dyDescent="0.25">
      <c r="A194" s="7"/>
      <c r="E194" s="7"/>
      <c r="F194" s="7"/>
    </row>
    <row r="195" spans="1:6" x14ac:dyDescent="0.25">
      <c r="A195" s="7"/>
      <c r="E195" s="7"/>
      <c r="F195" s="7"/>
    </row>
    <row r="196" spans="1:6" x14ac:dyDescent="0.25">
      <c r="A196" s="7"/>
      <c r="E196" s="7"/>
      <c r="F196" s="7"/>
    </row>
    <row r="197" spans="1:6" x14ac:dyDescent="0.25">
      <c r="A197" s="7"/>
      <c r="E197" s="7"/>
      <c r="F197" s="7"/>
    </row>
    <row r="198" spans="1:6" x14ac:dyDescent="0.25">
      <c r="A198" s="7"/>
      <c r="E198" s="7"/>
      <c r="F198" s="7"/>
    </row>
    <row r="199" spans="1:6" x14ac:dyDescent="0.25">
      <c r="A199" s="7"/>
      <c r="E199" s="7"/>
      <c r="F199" s="7"/>
    </row>
    <row r="200" spans="1:6" x14ac:dyDescent="0.25">
      <c r="A200" s="7"/>
      <c r="E200" s="7"/>
      <c r="F200" s="7"/>
    </row>
    <row r="201" spans="1:6" x14ac:dyDescent="0.25">
      <c r="A201" s="7"/>
      <c r="E201" s="7"/>
      <c r="F201" s="7"/>
    </row>
    <row r="202" spans="1:6" x14ac:dyDescent="0.25">
      <c r="A202" s="7"/>
      <c r="E202" s="7"/>
      <c r="F202" s="7"/>
    </row>
    <row r="203" spans="1:6" x14ac:dyDescent="0.25">
      <c r="A203" s="7"/>
      <c r="E203" s="7"/>
      <c r="F203" s="7"/>
    </row>
    <row r="204" spans="1:6" x14ac:dyDescent="0.25">
      <c r="A204" s="7"/>
      <c r="E204" s="7"/>
      <c r="F204" s="7"/>
    </row>
    <row r="205" spans="1:6" x14ac:dyDescent="0.25">
      <c r="A205" s="7"/>
      <c r="E205" s="7"/>
      <c r="F205" s="7"/>
    </row>
    <row r="206" spans="1:6" x14ac:dyDescent="0.25">
      <c r="A206" s="7"/>
      <c r="E206" s="7"/>
      <c r="F206" s="7"/>
    </row>
    <row r="207" spans="1:6" x14ac:dyDescent="0.25">
      <c r="A207" s="7"/>
      <c r="E207" s="7"/>
      <c r="F207" s="7"/>
    </row>
    <row r="208" spans="1:6" x14ac:dyDescent="0.25">
      <c r="A208" s="7"/>
      <c r="E208" s="7"/>
      <c r="F208" s="7"/>
    </row>
    <row r="209" spans="1:6" x14ac:dyDescent="0.25">
      <c r="A209" s="7"/>
      <c r="E209" s="7"/>
      <c r="F209" s="7"/>
    </row>
    <row r="210" spans="1:6" x14ac:dyDescent="0.25">
      <c r="A210" s="7"/>
      <c r="E210" s="7"/>
      <c r="F210" s="7"/>
    </row>
    <row r="211" spans="1:6" x14ac:dyDescent="0.25">
      <c r="A211" s="7"/>
      <c r="E211" s="7"/>
      <c r="F211" s="7"/>
    </row>
    <row r="212" spans="1:6" x14ac:dyDescent="0.25">
      <c r="A212" s="7"/>
      <c r="E212" s="7"/>
      <c r="F212" s="7"/>
    </row>
    <row r="213" spans="1:6" x14ac:dyDescent="0.25">
      <c r="A213" s="7"/>
      <c r="E213" s="7"/>
      <c r="F213" s="7"/>
    </row>
    <row r="214" spans="1:6" x14ac:dyDescent="0.25">
      <c r="A214" s="7"/>
      <c r="E214" s="7"/>
      <c r="F214" s="7"/>
    </row>
    <row r="215" spans="1:6" x14ac:dyDescent="0.25">
      <c r="A215" s="7"/>
      <c r="E215" s="7"/>
      <c r="F215" s="7"/>
    </row>
    <row r="216" spans="1:6" x14ac:dyDescent="0.25">
      <c r="A216" s="7"/>
      <c r="E216" s="7"/>
      <c r="F216" s="7"/>
    </row>
    <row r="217" spans="1:6" x14ac:dyDescent="0.25">
      <c r="A217" s="7"/>
      <c r="E217" s="7"/>
      <c r="F217" s="7"/>
    </row>
    <row r="218" spans="1:6" x14ac:dyDescent="0.25">
      <c r="A218" s="7"/>
      <c r="E218" s="7"/>
      <c r="F218" s="7"/>
    </row>
    <row r="219" spans="1:6" x14ac:dyDescent="0.25">
      <c r="A219" s="7"/>
      <c r="E219" s="7"/>
      <c r="F219" s="7"/>
    </row>
    <row r="220" spans="1:6" x14ac:dyDescent="0.25">
      <c r="A220" s="7"/>
      <c r="E220" s="7"/>
      <c r="F220" s="7"/>
    </row>
    <row r="221" spans="1:6" x14ac:dyDescent="0.25">
      <c r="A221" s="7"/>
      <c r="E221" s="7"/>
      <c r="F221" s="7"/>
    </row>
    <row r="222" spans="1:6" x14ac:dyDescent="0.25">
      <c r="A222" s="7"/>
      <c r="E222" s="7"/>
      <c r="F222" s="7"/>
    </row>
    <row r="223" spans="1:6" x14ac:dyDescent="0.25">
      <c r="A223" s="7"/>
      <c r="E223" s="7"/>
      <c r="F223" s="7"/>
    </row>
    <row r="224" spans="1:6" x14ac:dyDescent="0.25">
      <c r="A224" s="7"/>
      <c r="E224" s="7"/>
      <c r="F224" s="7"/>
    </row>
    <row r="225" spans="1:6" x14ac:dyDescent="0.25">
      <c r="A225" s="7"/>
      <c r="E225" s="7"/>
      <c r="F225" s="7"/>
    </row>
    <row r="226" spans="1:6" x14ac:dyDescent="0.25">
      <c r="A226" s="7"/>
      <c r="E226" s="7"/>
      <c r="F226" s="7"/>
    </row>
    <row r="227" spans="1:6" x14ac:dyDescent="0.25">
      <c r="A227" s="7"/>
      <c r="E227" s="7"/>
      <c r="F227" s="7"/>
    </row>
    <row r="228" spans="1:6" x14ac:dyDescent="0.25">
      <c r="A228" s="7"/>
      <c r="E228" s="7"/>
      <c r="F228" s="7"/>
    </row>
    <row r="229" spans="1:6" x14ac:dyDescent="0.25">
      <c r="A229" s="7"/>
      <c r="E229" s="7"/>
      <c r="F229" s="7"/>
    </row>
    <row r="230" spans="1:6" x14ac:dyDescent="0.25">
      <c r="A230" s="7"/>
      <c r="E230" s="7"/>
      <c r="F230" s="7"/>
    </row>
    <row r="231" spans="1:6" x14ac:dyDescent="0.25">
      <c r="A231" s="7"/>
      <c r="E231" s="7"/>
      <c r="F231" s="7"/>
    </row>
    <row r="232" spans="1:6" x14ac:dyDescent="0.25">
      <c r="A232" s="7"/>
      <c r="E232" s="7"/>
      <c r="F232" s="7"/>
    </row>
    <row r="233" spans="1:6" x14ac:dyDescent="0.25">
      <c r="A233" s="7"/>
      <c r="E233" s="7"/>
      <c r="F233" s="7"/>
    </row>
    <row r="234" spans="1:6" x14ac:dyDescent="0.25">
      <c r="A234" s="7"/>
      <c r="E234" s="7"/>
      <c r="F234" s="7"/>
    </row>
    <row r="235" spans="1:6" x14ac:dyDescent="0.25">
      <c r="A235" s="7"/>
      <c r="E235" s="7"/>
      <c r="F235" s="7"/>
    </row>
    <row r="236" spans="1:6" x14ac:dyDescent="0.25">
      <c r="A236" s="7"/>
      <c r="E236" s="7"/>
      <c r="F236" s="7"/>
    </row>
    <row r="237" spans="1:6" x14ac:dyDescent="0.25">
      <c r="A237" s="7"/>
      <c r="E237" s="7"/>
      <c r="F237" s="7"/>
    </row>
    <row r="238" spans="1:6" x14ac:dyDescent="0.25">
      <c r="A238" s="7"/>
      <c r="E238" s="7"/>
      <c r="F238" s="7"/>
    </row>
    <row r="239" spans="1:6" x14ac:dyDescent="0.25">
      <c r="A239" s="7"/>
      <c r="E239" s="7"/>
      <c r="F239" s="7"/>
    </row>
    <row r="240" spans="1:6" x14ac:dyDescent="0.25">
      <c r="A240" s="7"/>
      <c r="E240" s="7"/>
      <c r="F240" s="7"/>
    </row>
    <row r="241" spans="1:6" x14ac:dyDescent="0.25">
      <c r="A241" s="7"/>
      <c r="E241" s="7"/>
      <c r="F241" s="7"/>
    </row>
    <row r="242" spans="1:6" x14ac:dyDescent="0.25">
      <c r="A242" s="7"/>
      <c r="E242" s="7"/>
      <c r="F242" s="7"/>
    </row>
    <row r="243" spans="1:6" x14ac:dyDescent="0.25">
      <c r="A243" s="7"/>
      <c r="E243" s="7"/>
      <c r="F243" s="7"/>
    </row>
    <row r="244" spans="1:6" x14ac:dyDescent="0.25">
      <c r="A244" s="7"/>
      <c r="E244" s="7"/>
      <c r="F244" s="7"/>
    </row>
    <row r="245" spans="1:6" x14ac:dyDescent="0.25">
      <c r="A245" s="7"/>
      <c r="E245" s="7"/>
      <c r="F245" s="7"/>
    </row>
    <row r="246" spans="1:6" x14ac:dyDescent="0.25">
      <c r="A246" s="7"/>
      <c r="E246" s="7"/>
      <c r="F246" s="7"/>
    </row>
    <row r="247" spans="1:6" x14ac:dyDescent="0.25">
      <c r="A247" s="7"/>
      <c r="E247" s="7"/>
      <c r="F247" s="7"/>
    </row>
    <row r="248" spans="1:6" x14ac:dyDescent="0.25">
      <c r="A248" s="7"/>
      <c r="E248" s="7"/>
      <c r="F248" s="7"/>
    </row>
    <row r="249" spans="1:6" x14ac:dyDescent="0.25">
      <c r="A249" s="7"/>
      <c r="E249" s="7"/>
      <c r="F249" s="7"/>
    </row>
    <row r="250" spans="1:6" x14ac:dyDescent="0.25">
      <c r="A250" s="7"/>
      <c r="E250" s="7"/>
      <c r="F250" s="7"/>
    </row>
    <row r="251" spans="1:6" x14ac:dyDescent="0.25">
      <c r="A251" s="7"/>
      <c r="E251" s="7"/>
      <c r="F251" s="7"/>
    </row>
    <row r="252" spans="1:6" x14ac:dyDescent="0.25">
      <c r="A252" s="7"/>
      <c r="E252" s="7"/>
      <c r="F252" s="7"/>
    </row>
    <row r="253" spans="1:6" x14ac:dyDescent="0.25">
      <c r="A253" s="7"/>
      <c r="E253" s="7"/>
      <c r="F253" s="7"/>
    </row>
    <row r="254" spans="1:6" x14ac:dyDescent="0.25">
      <c r="A254" s="7"/>
      <c r="E254" s="7"/>
      <c r="F254" s="7"/>
    </row>
    <row r="255" spans="1:6" x14ac:dyDescent="0.25">
      <c r="A255" s="7"/>
      <c r="E255" s="7"/>
      <c r="F255" s="7"/>
    </row>
    <row r="256" spans="1:6" x14ac:dyDescent="0.25">
      <c r="A256" s="7"/>
      <c r="E256" s="7"/>
      <c r="F256" s="7"/>
    </row>
    <row r="257" spans="1:6" x14ac:dyDescent="0.25">
      <c r="A257" s="7"/>
      <c r="E257" s="7"/>
      <c r="F257" s="7"/>
    </row>
    <row r="258" spans="1:6" x14ac:dyDescent="0.25">
      <c r="A258" s="7"/>
      <c r="E258" s="7"/>
      <c r="F258" s="7"/>
    </row>
    <row r="259" spans="1:6" x14ac:dyDescent="0.25">
      <c r="A259" s="7"/>
      <c r="E259" s="7"/>
      <c r="F259" s="7"/>
    </row>
    <row r="260" spans="1:6" x14ac:dyDescent="0.25">
      <c r="A260" s="7"/>
      <c r="E260" s="7"/>
      <c r="F260" s="7"/>
    </row>
    <row r="261" spans="1:6" x14ac:dyDescent="0.25">
      <c r="A261" s="7"/>
      <c r="E261" s="7"/>
      <c r="F261" s="7"/>
    </row>
    <row r="262" spans="1:6" x14ac:dyDescent="0.25">
      <c r="A262" s="7"/>
      <c r="E262" s="7"/>
      <c r="F262" s="7"/>
    </row>
    <row r="263" spans="1:6" x14ac:dyDescent="0.25">
      <c r="A263" s="7"/>
      <c r="E263" s="7"/>
      <c r="F263" s="7"/>
    </row>
    <row r="264" spans="1:6" x14ac:dyDescent="0.25">
      <c r="A264" s="7"/>
      <c r="E264" s="7"/>
      <c r="F264" s="7"/>
    </row>
    <row r="265" spans="1:6" x14ac:dyDescent="0.25">
      <c r="A265" s="7"/>
      <c r="E265" s="7"/>
      <c r="F265" s="7"/>
    </row>
    <row r="266" spans="1:6" x14ac:dyDescent="0.25">
      <c r="A266" s="7"/>
      <c r="E266" s="7"/>
      <c r="F266" s="7"/>
    </row>
    <row r="267" spans="1:6" x14ac:dyDescent="0.25">
      <c r="A267" s="7"/>
      <c r="E267" s="7"/>
      <c r="F267" s="7"/>
    </row>
    <row r="268" spans="1:6" x14ac:dyDescent="0.25">
      <c r="A268" s="7"/>
      <c r="E268" s="7"/>
      <c r="F268" s="7"/>
    </row>
    <row r="269" spans="1:6" x14ac:dyDescent="0.25">
      <c r="A269" s="7"/>
      <c r="E269" s="7"/>
      <c r="F269" s="7"/>
    </row>
    <row r="270" spans="1:6" x14ac:dyDescent="0.25">
      <c r="A270" s="7"/>
      <c r="E270" s="7"/>
      <c r="F270" s="7"/>
    </row>
    <row r="271" spans="1:6" x14ac:dyDescent="0.25">
      <c r="A271" s="7"/>
      <c r="E271" s="7"/>
      <c r="F271" s="7"/>
    </row>
    <row r="272" spans="1:6" x14ac:dyDescent="0.25">
      <c r="A272" s="7"/>
      <c r="E272" s="7"/>
      <c r="F272" s="7"/>
    </row>
    <row r="273" spans="1:6" x14ac:dyDescent="0.25">
      <c r="A273" s="7"/>
      <c r="E273" s="7"/>
      <c r="F273" s="7"/>
    </row>
    <row r="274" spans="1:6" x14ac:dyDescent="0.25">
      <c r="A274" s="7"/>
      <c r="E274" s="7"/>
      <c r="F274" s="7"/>
    </row>
    <row r="275" spans="1:6" x14ac:dyDescent="0.25">
      <c r="A275" s="7"/>
      <c r="E275" s="7"/>
      <c r="F275" s="7"/>
    </row>
    <row r="276" spans="1:6" x14ac:dyDescent="0.25">
      <c r="A276" s="7"/>
      <c r="E276" s="7"/>
      <c r="F276" s="7"/>
    </row>
    <row r="277" spans="1:6" x14ac:dyDescent="0.25">
      <c r="A277" s="7"/>
      <c r="E277" s="7"/>
      <c r="F277" s="7"/>
    </row>
    <row r="278" spans="1:6" x14ac:dyDescent="0.25">
      <c r="A278" s="7"/>
      <c r="E278" s="7"/>
      <c r="F278" s="7"/>
    </row>
    <row r="279" spans="1:6" x14ac:dyDescent="0.25">
      <c r="A279" s="7"/>
      <c r="E279" s="7"/>
      <c r="F279" s="7"/>
    </row>
    <row r="280" spans="1:6" x14ac:dyDescent="0.25">
      <c r="A280" s="7"/>
      <c r="E280" s="7"/>
      <c r="F280" s="7"/>
    </row>
    <row r="281" spans="1:6" x14ac:dyDescent="0.25">
      <c r="A281" s="7"/>
      <c r="E281" s="7"/>
      <c r="F281" s="7"/>
    </row>
    <row r="282" spans="1:6" x14ac:dyDescent="0.25">
      <c r="A282" s="7"/>
      <c r="E282" s="7"/>
      <c r="F282" s="7"/>
    </row>
    <row r="283" spans="1:6" x14ac:dyDescent="0.25">
      <c r="A283" s="7"/>
      <c r="E283" s="7"/>
      <c r="F283" s="7"/>
    </row>
    <row r="284" spans="1:6" x14ac:dyDescent="0.25">
      <c r="A284" s="7"/>
      <c r="E284" s="7"/>
      <c r="F284" s="7"/>
    </row>
    <row r="285" spans="1:6" x14ac:dyDescent="0.25">
      <c r="A285" s="7"/>
      <c r="E285" s="7"/>
      <c r="F285" s="7"/>
    </row>
    <row r="286" spans="1:6" x14ac:dyDescent="0.25">
      <c r="A286" s="7"/>
      <c r="E286" s="7"/>
      <c r="F286" s="7"/>
    </row>
    <row r="287" spans="1:6" x14ac:dyDescent="0.25">
      <c r="A287" s="7"/>
      <c r="E287" s="7"/>
      <c r="F287" s="7"/>
    </row>
    <row r="288" spans="1:6" x14ac:dyDescent="0.25">
      <c r="A288" s="7"/>
      <c r="E288" s="7"/>
      <c r="F288" s="7"/>
    </row>
    <row r="289" spans="1:6" x14ac:dyDescent="0.25">
      <c r="A289" s="7"/>
      <c r="E289" s="7"/>
      <c r="F289" s="7"/>
    </row>
    <row r="290" spans="1:6" x14ac:dyDescent="0.25">
      <c r="A290" s="7"/>
      <c r="E290" s="7"/>
      <c r="F290" s="7"/>
    </row>
    <row r="291" spans="1:6" x14ac:dyDescent="0.25">
      <c r="A291" s="7"/>
      <c r="E291" s="7"/>
      <c r="F291" s="7"/>
    </row>
    <row r="292" spans="1:6" x14ac:dyDescent="0.25">
      <c r="A292" s="7"/>
      <c r="E292" s="7"/>
      <c r="F292" s="7"/>
    </row>
    <row r="293" spans="1:6" x14ac:dyDescent="0.25">
      <c r="A293" s="7"/>
      <c r="E293" s="7"/>
      <c r="F293" s="7"/>
    </row>
    <row r="294" spans="1:6" x14ac:dyDescent="0.25">
      <c r="A294" s="7"/>
      <c r="E294" s="7"/>
      <c r="F294" s="7"/>
    </row>
    <row r="295" spans="1:6" x14ac:dyDescent="0.25">
      <c r="A295" s="7"/>
      <c r="E295" s="7"/>
      <c r="F295" s="7"/>
    </row>
    <row r="296" spans="1:6" x14ac:dyDescent="0.25">
      <c r="A296" s="7"/>
      <c r="E296" s="7"/>
      <c r="F296" s="7"/>
    </row>
    <row r="297" spans="1:6" x14ac:dyDescent="0.25">
      <c r="A297" s="7"/>
      <c r="E297" s="7"/>
      <c r="F297" s="7"/>
    </row>
    <row r="298" spans="1:6" x14ac:dyDescent="0.25">
      <c r="A298" s="7"/>
      <c r="E298" s="7"/>
      <c r="F298" s="7"/>
    </row>
    <row r="299" spans="1:6" x14ac:dyDescent="0.25">
      <c r="A299" s="7"/>
      <c r="E299" s="7"/>
      <c r="F299" s="7"/>
    </row>
    <row r="300" spans="1:6" x14ac:dyDescent="0.25">
      <c r="A300" s="7"/>
      <c r="E300" s="7"/>
      <c r="F300" s="7"/>
    </row>
    <row r="301" spans="1:6" x14ac:dyDescent="0.25">
      <c r="A301" s="7"/>
      <c r="E301" s="7"/>
      <c r="F301" s="7"/>
    </row>
    <row r="302" spans="1:6" x14ac:dyDescent="0.25">
      <c r="A302" s="7"/>
      <c r="E302" s="7"/>
      <c r="F302" s="7"/>
    </row>
    <row r="303" spans="1:6" x14ac:dyDescent="0.25">
      <c r="A303" s="7"/>
      <c r="E303" s="7"/>
      <c r="F303" s="7"/>
    </row>
    <row r="304" spans="1:6" x14ac:dyDescent="0.25">
      <c r="A304" s="7"/>
      <c r="E304" s="7"/>
      <c r="F304" s="7"/>
    </row>
    <row r="305" spans="1:6" x14ac:dyDescent="0.25">
      <c r="A305" s="7"/>
      <c r="E305" s="7"/>
      <c r="F305" s="7"/>
    </row>
    <row r="306" spans="1:6" x14ac:dyDescent="0.25">
      <c r="A306" s="7"/>
      <c r="E306" s="7"/>
      <c r="F306" s="7"/>
    </row>
    <row r="307" spans="1:6" x14ac:dyDescent="0.25">
      <c r="A307" s="7"/>
      <c r="E307" s="7"/>
      <c r="F307" s="7"/>
    </row>
    <row r="308" spans="1:6" x14ac:dyDescent="0.25">
      <c r="A308" s="7"/>
      <c r="E308" s="7"/>
      <c r="F308" s="7"/>
    </row>
    <row r="309" spans="1:6" x14ac:dyDescent="0.25">
      <c r="A309" s="7"/>
      <c r="E309" s="7"/>
      <c r="F309" s="7"/>
    </row>
    <row r="310" spans="1:6" x14ac:dyDescent="0.25">
      <c r="A310" s="7"/>
      <c r="E310" s="7"/>
      <c r="F310" s="7"/>
    </row>
    <row r="311" spans="1:6" x14ac:dyDescent="0.25">
      <c r="A311" s="7"/>
      <c r="E311" s="7"/>
      <c r="F311" s="7"/>
    </row>
    <row r="312" spans="1:6" x14ac:dyDescent="0.25">
      <c r="A312" s="7"/>
      <c r="E312" s="7"/>
      <c r="F312" s="7"/>
    </row>
    <row r="313" spans="1:6" x14ac:dyDescent="0.25">
      <c r="A313" s="7"/>
      <c r="E313" s="7"/>
      <c r="F313" s="7"/>
    </row>
    <row r="314" spans="1:6" x14ac:dyDescent="0.25">
      <c r="A314" s="7"/>
      <c r="E314" s="7"/>
      <c r="F314" s="7"/>
    </row>
    <row r="315" spans="1:6" x14ac:dyDescent="0.25">
      <c r="A315" s="7"/>
      <c r="E315" s="7"/>
      <c r="F315" s="7"/>
    </row>
    <row r="316" spans="1:6" x14ac:dyDescent="0.25">
      <c r="A316" s="7"/>
      <c r="E316" s="7"/>
      <c r="F316" s="7"/>
    </row>
    <row r="317" spans="1:6" x14ac:dyDescent="0.25">
      <c r="A317" s="7"/>
      <c r="E317" s="7"/>
      <c r="F317" s="7"/>
    </row>
    <row r="318" spans="1:6" x14ac:dyDescent="0.25">
      <c r="A318" s="7"/>
      <c r="E318" s="7"/>
      <c r="F318" s="7"/>
    </row>
    <row r="319" spans="1:6" x14ac:dyDescent="0.25">
      <c r="A319" s="7"/>
      <c r="E319" s="7"/>
      <c r="F319" s="7"/>
    </row>
    <row r="320" spans="1:6" x14ac:dyDescent="0.25">
      <c r="A320" s="7"/>
      <c r="E320" s="7"/>
      <c r="F320" s="7"/>
    </row>
    <row r="321" spans="1:6" x14ac:dyDescent="0.25">
      <c r="A321" s="7"/>
      <c r="E321" s="7"/>
      <c r="F321" s="7"/>
    </row>
    <row r="322" spans="1:6" x14ac:dyDescent="0.25">
      <c r="A322" s="7"/>
      <c r="E322" s="7"/>
      <c r="F322" s="7"/>
    </row>
    <row r="323" spans="1:6" x14ac:dyDescent="0.25">
      <c r="A323" s="7"/>
      <c r="E323" s="7"/>
      <c r="F323" s="7"/>
    </row>
    <row r="324" spans="1:6" x14ac:dyDescent="0.25">
      <c r="A324" s="7"/>
      <c r="E324" s="7"/>
      <c r="F324" s="7"/>
    </row>
    <row r="325" spans="1:6" x14ac:dyDescent="0.25">
      <c r="A325" s="7"/>
      <c r="E325" s="7"/>
      <c r="F325" s="7"/>
    </row>
    <row r="326" spans="1:6" x14ac:dyDescent="0.25">
      <c r="A326" s="7"/>
      <c r="E326" s="7"/>
      <c r="F326" s="7"/>
    </row>
    <row r="327" spans="1:6" x14ac:dyDescent="0.25">
      <c r="A327" s="7"/>
      <c r="E327" s="7"/>
      <c r="F327" s="7"/>
    </row>
    <row r="328" spans="1:6" x14ac:dyDescent="0.25">
      <c r="A328" s="7"/>
      <c r="E328" s="7"/>
      <c r="F328" s="7"/>
    </row>
    <row r="329" spans="1:6" x14ac:dyDescent="0.25">
      <c r="A329" s="7"/>
      <c r="E329" s="7"/>
      <c r="F329" s="7"/>
    </row>
    <row r="330" spans="1:6" x14ac:dyDescent="0.25">
      <c r="A330" s="7"/>
      <c r="E330" s="7"/>
      <c r="F330" s="7"/>
    </row>
    <row r="331" spans="1:6" x14ac:dyDescent="0.25">
      <c r="A331" s="7"/>
      <c r="E331" s="7"/>
      <c r="F331" s="7"/>
    </row>
    <row r="332" spans="1:6" x14ac:dyDescent="0.25">
      <c r="A332" s="7"/>
      <c r="E332" s="7"/>
      <c r="F332" s="7"/>
    </row>
    <row r="333" spans="1:6" x14ac:dyDescent="0.25">
      <c r="A333" s="7"/>
      <c r="E333" s="7"/>
      <c r="F333" s="7"/>
    </row>
    <row r="334" spans="1:6" x14ac:dyDescent="0.25">
      <c r="A334" s="7"/>
      <c r="E334" s="7"/>
      <c r="F334" s="7"/>
    </row>
    <row r="335" spans="1:6" x14ac:dyDescent="0.25">
      <c r="A335" s="7"/>
      <c r="E335" s="7"/>
      <c r="F335" s="7"/>
    </row>
    <row r="336" spans="1:6" x14ac:dyDescent="0.25">
      <c r="A336" s="7"/>
      <c r="E336" s="7"/>
      <c r="F336" s="7"/>
    </row>
    <row r="337" spans="1:6" x14ac:dyDescent="0.25">
      <c r="A337" s="7"/>
      <c r="E337" s="7"/>
      <c r="F337" s="7"/>
    </row>
    <row r="338" spans="1:6" x14ac:dyDescent="0.25">
      <c r="A338" s="7"/>
      <c r="E338" s="7"/>
      <c r="F338" s="7"/>
    </row>
    <row r="339" spans="1:6" x14ac:dyDescent="0.25">
      <c r="A339" s="7"/>
      <c r="E339" s="7"/>
      <c r="F339" s="7"/>
    </row>
    <row r="340" spans="1:6" x14ac:dyDescent="0.25">
      <c r="A340" s="7"/>
      <c r="E340" s="7"/>
      <c r="F340" s="7"/>
    </row>
    <row r="341" spans="1:6" x14ac:dyDescent="0.25">
      <c r="A341" s="7"/>
      <c r="E341" s="7"/>
      <c r="F341" s="7"/>
    </row>
    <row r="342" spans="1:6" x14ac:dyDescent="0.25">
      <c r="A342" s="7"/>
      <c r="E342" s="7"/>
      <c r="F342" s="7"/>
    </row>
    <row r="343" spans="1:6" x14ac:dyDescent="0.25">
      <c r="A343" s="7"/>
      <c r="E343" s="7"/>
      <c r="F343" s="7"/>
    </row>
    <row r="344" spans="1:6" x14ac:dyDescent="0.25">
      <c r="A344" s="7"/>
      <c r="E344" s="7"/>
      <c r="F344" s="7"/>
    </row>
    <row r="345" spans="1:6" x14ac:dyDescent="0.25">
      <c r="A345" s="7"/>
      <c r="E345" s="7"/>
      <c r="F345" s="7"/>
    </row>
    <row r="346" spans="1:6" x14ac:dyDescent="0.25">
      <c r="A346" s="7"/>
      <c r="E346" s="7"/>
      <c r="F346" s="7"/>
    </row>
    <row r="347" spans="1:6" x14ac:dyDescent="0.25">
      <c r="A347" s="7"/>
      <c r="E347" s="7"/>
      <c r="F347" s="7"/>
    </row>
    <row r="348" spans="1:6" x14ac:dyDescent="0.25">
      <c r="A348" s="7"/>
      <c r="E348" s="7"/>
      <c r="F348" s="7"/>
    </row>
    <row r="349" spans="1:6" x14ac:dyDescent="0.25">
      <c r="A349" s="7"/>
      <c r="E349" s="7"/>
      <c r="F349" s="7"/>
    </row>
    <row r="350" spans="1:6" x14ac:dyDescent="0.25">
      <c r="A350" s="7"/>
      <c r="E350" s="7"/>
      <c r="F350" s="7"/>
    </row>
    <row r="351" spans="1:6" x14ac:dyDescent="0.25">
      <c r="A351" s="7"/>
      <c r="E351" s="7"/>
      <c r="F351" s="7"/>
    </row>
    <row r="352" spans="1:6" x14ac:dyDescent="0.25">
      <c r="A352" s="7"/>
      <c r="E352" s="7"/>
      <c r="F352" s="7"/>
    </row>
    <row r="353" spans="1:6" x14ac:dyDescent="0.25">
      <c r="A353" s="7"/>
      <c r="E353" s="7"/>
      <c r="F353" s="7"/>
    </row>
    <row r="354" spans="1:6" x14ac:dyDescent="0.25">
      <c r="A354" s="7"/>
      <c r="E354" s="7"/>
      <c r="F354" s="7"/>
    </row>
    <row r="355" spans="1:6" x14ac:dyDescent="0.25">
      <c r="A355" s="7"/>
      <c r="E355" s="7"/>
      <c r="F355" s="7"/>
    </row>
    <row r="356" spans="1:6" x14ac:dyDescent="0.25">
      <c r="A356" s="7"/>
      <c r="E356" s="7"/>
      <c r="F356" s="7"/>
    </row>
    <row r="357" spans="1:6" x14ac:dyDescent="0.25">
      <c r="A357" s="7"/>
      <c r="E357" s="7"/>
      <c r="F357" s="7"/>
    </row>
    <row r="358" spans="1:6" x14ac:dyDescent="0.25">
      <c r="A358" s="7"/>
      <c r="E358" s="7"/>
      <c r="F358" s="7"/>
    </row>
    <row r="359" spans="1:6" x14ac:dyDescent="0.25">
      <c r="A359" s="7"/>
      <c r="E359" s="7"/>
      <c r="F359" s="7"/>
    </row>
    <row r="360" spans="1:6" x14ac:dyDescent="0.25">
      <c r="A360" s="7"/>
      <c r="E360" s="7"/>
      <c r="F360" s="7"/>
    </row>
    <row r="361" spans="1:6" x14ac:dyDescent="0.25">
      <c r="A361" s="7"/>
      <c r="E361" s="7"/>
      <c r="F361" s="7"/>
    </row>
    <row r="362" spans="1:6" x14ac:dyDescent="0.25">
      <c r="A362" s="7"/>
      <c r="E362" s="7"/>
      <c r="F362" s="7"/>
    </row>
    <row r="363" spans="1:6" x14ac:dyDescent="0.25">
      <c r="A363" s="7"/>
      <c r="E363" s="7"/>
      <c r="F363" s="7"/>
    </row>
    <row r="364" spans="1:6" x14ac:dyDescent="0.25">
      <c r="A364" s="7"/>
      <c r="E364" s="7"/>
      <c r="F364" s="7"/>
    </row>
    <row r="365" spans="1:6" x14ac:dyDescent="0.25">
      <c r="A365" s="7"/>
      <c r="E365" s="7"/>
      <c r="F365" s="7"/>
    </row>
    <row r="366" spans="1:6" x14ac:dyDescent="0.25">
      <c r="A366" s="7"/>
      <c r="E366" s="7"/>
      <c r="F366" s="7"/>
    </row>
    <row r="367" spans="1:6" x14ac:dyDescent="0.25">
      <c r="A367" s="7"/>
      <c r="E367" s="7"/>
      <c r="F367" s="7"/>
    </row>
    <row r="368" spans="1:6" x14ac:dyDescent="0.25">
      <c r="A368" s="7"/>
      <c r="E368" s="7"/>
      <c r="F368" s="7"/>
    </row>
    <row r="369" spans="1:6" x14ac:dyDescent="0.25">
      <c r="A369" s="7"/>
      <c r="E369" s="7"/>
      <c r="F369" s="7"/>
    </row>
    <row r="370" spans="1:6" x14ac:dyDescent="0.25">
      <c r="A370" s="7"/>
      <c r="E370" s="7"/>
      <c r="F370" s="7"/>
    </row>
    <row r="371" spans="1:6" x14ac:dyDescent="0.25">
      <c r="A371" s="7"/>
      <c r="E371" s="7"/>
      <c r="F371" s="7"/>
    </row>
    <row r="372" spans="1:6" x14ac:dyDescent="0.25">
      <c r="A372" s="7"/>
      <c r="E372" s="7"/>
      <c r="F372" s="7"/>
    </row>
    <row r="373" spans="1:6" x14ac:dyDescent="0.25">
      <c r="A373" s="7"/>
      <c r="E373" s="7"/>
      <c r="F373" s="7"/>
    </row>
    <row r="374" spans="1:6" x14ac:dyDescent="0.25">
      <c r="A374" s="7"/>
      <c r="E374" s="7"/>
      <c r="F374" s="7"/>
    </row>
    <row r="375" spans="1:6" x14ac:dyDescent="0.25">
      <c r="A375" s="7"/>
      <c r="E375" s="7"/>
      <c r="F375" s="7"/>
    </row>
    <row r="376" spans="1:6" x14ac:dyDescent="0.25">
      <c r="A376" s="7"/>
      <c r="E376" s="7"/>
      <c r="F376" s="7"/>
    </row>
    <row r="377" spans="1:6" x14ac:dyDescent="0.25">
      <c r="A377" s="7"/>
      <c r="E377" s="7"/>
      <c r="F377" s="7"/>
    </row>
    <row r="378" spans="1:6" x14ac:dyDescent="0.25">
      <c r="A378" s="7"/>
      <c r="E378" s="7"/>
      <c r="F378" s="7"/>
    </row>
    <row r="379" spans="1:6" x14ac:dyDescent="0.25">
      <c r="A379" s="7"/>
      <c r="E379" s="7"/>
      <c r="F379" s="7"/>
    </row>
    <row r="380" spans="1:6" x14ac:dyDescent="0.25">
      <c r="A380" s="7"/>
      <c r="E380" s="7"/>
      <c r="F380" s="7"/>
    </row>
    <row r="381" spans="1:6" x14ac:dyDescent="0.25">
      <c r="A381" s="7"/>
      <c r="E381" s="7"/>
      <c r="F381" s="7"/>
    </row>
    <row r="382" spans="1:6" x14ac:dyDescent="0.25">
      <c r="A382" s="7"/>
      <c r="E382" s="7"/>
      <c r="F382" s="7"/>
    </row>
    <row r="383" spans="1:6" x14ac:dyDescent="0.25">
      <c r="A383" s="7"/>
      <c r="E383" s="7"/>
      <c r="F383" s="7"/>
    </row>
    <row r="384" spans="1:6" x14ac:dyDescent="0.25">
      <c r="A384" s="7"/>
      <c r="E384" s="7"/>
      <c r="F384" s="7"/>
    </row>
    <row r="385" spans="1:6" x14ac:dyDescent="0.25">
      <c r="A385" s="7"/>
      <c r="E385" s="7"/>
      <c r="F385" s="7"/>
    </row>
    <row r="386" spans="1:6" x14ac:dyDescent="0.25">
      <c r="A386" s="7"/>
      <c r="E386" s="7"/>
      <c r="F386" s="7"/>
    </row>
    <row r="387" spans="1:6" x14ac:dyDescent="0.25">
      <c r="A387" s="7"/>
      <c r="E387" s="7"/>
      <c r="F387" s="7"/>
    </row>
    <row r="388" spans="1:6" x14ac:dyDescent="0.25">
      <c r="A388" s="7"/>
      <c r="E388" s="7"/>
      <c r="F388" s="7"/>
    </row>
    <row r="389" spans="1:6" x14ac:dyDescent="0.25">
      <c r="A389" s="7"/>
      <c r="E389" s="7"/>
      <c r="F389" s="7"/>
    </row>
    <row r="390" spans="1:6" x14ac:dyDescent="0.25">
      <c r="A390" s="7"/>
      <c r="E390" s="7"/>
      <c r="F390" s="7"/>
    </row>
    <row r="391" spans="1:6" x14ac:dyDescent="0.25">
      <c r="A391" s="7"/>
      <c r="E391" s="7"/>
      <c r="F391" s="7"/>
    </row>
    <row r="392" spans="1:6" x14ac:dyDescent="0.25">
      <c r="A392" s="7"/>
      <c r="E392" s="7"/>
      <c r="F392" s="7"/>
    </row>
    <row r="393" spans="1:6" x14ac:dyDescent="0.25">
      <c r="A393" s="7"/>
      <c r="E393" s="7"/>
      <c r="F393" s="7"/>
    </row>
    <row r="394" spans="1:6" x14ac:dyDescent="0.25">
      <c r="A394" s="7"/>
      <c r="E394" s="7"/>
      <c r="F394" s="7"/>
    </row>
    <row r="395" spans="1:6" x14ac:dyDescent="0.25">
      <c r="A395" s="7"/>
      <c r="E395" s="7"/>
      <c r="F395" s="7"/>
    </row>
    <row r="396" spans="1:6" x14ac:dyDescent="0.25">
      <c r="A396" s="7"/>
      <c r="E396" s="7"/>
      <c r="F396" s="7"/>
    </row>
    <row r="397" spans="1:6" x14ac:dyDescent="0.25">
      <c r="A397" s="7"/>
      <c r="E397" s="7"/>
      <c r="F397" s="7"/>
    </row>
    <row r="398" spans="1:6" x14ac:dyDescent="0.25">
      <c r="A398" s="7"/>
      <c r="E398" s="7"/>
      <c r="F398" s="7"/>
    </row>
    <row r="399" spans="1:6" x14ac:dyDescent="0.25">
      <c r="A399" s="7"/>
      <c r="E399" s="7"/>
      <c r="F399" s="7"/>
    </row>
    <row r="400" spans="1:6" x14ac:dyDescent="0.25">
      <c r="A400" s="7"/>
      <c r="E400" s="7"/>
      <c r="F400" s="7"/>
    </row>
    <row r="401" spans="1:6" x14ac:dyDescent="0.25">
      <c r="A401" s="7"/>
      <c r="E401" s="7"/>
      <c r="F401" s="7"/>
    </row>
    <row r="402" spans="1:6" x14ac:dyDescent="0.25">
      <c r="A402" s="7"/>
      <c r="E402" s="7"/>
      <c r="F402" s="7"/>
    </row>
    <row r="403" spans="1:6" x14ac:dyDescent="0.25">
      <c r="A403" s="7"/>
      <c r="E403" s="7"/>
      <c r="F403" s="7"/>
    </row>
    <row r="404" spans="1:6" x14ac:dyDescent="0.25">
      <c r="A404" s="7"/>
      <c r="E404" s="7"/>
      <c r="F404" s="7"/>
    </row>
    <row r="405" spans="1:6" x14ac:dyDescent="0.25">
      <c r="A405" s="7"/>
      <c r="E405" s="7"/>
      <c r="F405" s="7"/>
    </row>
    <row r="406" spans="1:6" x14ac:dyDescent="0.25">
      <c r="A406" s="7"/>
      <c r="E406" s="7"/>
      <c r="F406" s="7"/>
    </row>
    <row r="407" spans="1:6" x14ac:dyDescent="0.25">
      <c r="A407" s="7"/>
      <c r="E407" s="7"/>
      <c r="F407" s="7"/>
    </row>
    <row r="408" spans="1:6" x14ac:dyDescent="0.25">
      <c r="A408" s="7"/>
      <c r="E408" s="7"/>
      <c r="F408" s="7"/>
    </row>
    <row r="409" spans="1:6" x14ac:dyDescent="0.25">
      <c r="A409" s="7"/>
      <c r="E409" s="7"/>
      <c r="F409" s="7"/>
    </row>
    <row r="410" spans="1:6" x14ac:dyDescent="0.25">
      <c r="A410" s="7"/>
      <c r="E410" s="7"/>
      <c r="F410" s="7"/>
    </row>
    <row r="411" spans="1:6" x14ac:dyDescent="0.25">
      <c r="A411" s="7"/>
      <c r="E411" s="7"/>
      <c r="F411" s="7"/>
    </row>
    <row r="412" spans="1:6" x14ac:dyDescent="0.25">
      <c r="A412" s="7"/>
      <c r="E412" s="7"/>
      <c r="F412" s="7"/>
    </row>
    <row r="413" spans="1:6" x14ac:dyDescent="0.25">
      <c r="A413" s="7"/>
      <c r="E413" s="7"/>
      <c r="F413" s="7"/>
    </row>
    <row r="414" spans="1:6" x14ac:dyDescent="0.25">
      <c r="A414" s="7"/>
      <c r="E414" s="7"/>
      <c r="F414" s="7"/>
    </row>
    <row r="415" spans="1:6" x14ac:dyDescent="0.25">
      <c r="A415" s="7"/>
      <c r="E415" s="7"/>
      <c r="F415" s="7"/>
    </row>
    <row r="416" spans="1:6" x14ac:dyDescent="0.25">
      <c r="A416" s="7"/>
      <c r="E416" s="7"/>
      <c r="F416" s="7"/>
    </row>
    <row r="417" spans="1:6" x14ac:dyDescent="0.25">
      <c r="A417" s="7"/>
      <c r="E417" s="7"/>
      <c r="F417" s="7"/>
    </row>
    <row r="418" spans="1:6" x14ac:dyDescent="0.25">
      <c r="A418" s="7"/>
      <c r="E418" s="7"/>
      <c r="F418" s="7"/>
    </row>
    <row r="419" spans="1:6" x14ac:dyDescent="0.25">
      <c r="A419" s="7"/>
      <c r="E419" s="7"/>
      <c r="F419" s="7"/>
    </row>
    <row r="420" spans="1:6" x14ac:dyDescent="0.25">
      <c r="A420" s="7"/>
      <c r="E420" s="7"/>
      <c r="F420" s="7"/>
    </row>
    <row r="421" spans="1:6" x14ac:dyDescent="0.25">
      <c r="A421" s="7"/>
      <c r="E421" s="7"/>
      <c r="F421" s="7"/>
    </row>
    <row r="422" spans="1:6" x14ac:dyDescent="0.25">
      <c r="A422" s="7"/>
      <c r="E422" s="7"/>
      <c r="F422" s="7"/>
    </row>
    <row r="423" spans="1:6" x14ac:dyDescent="0.25">
      <c r="A423" s="7"/>
      <c r="E423" s="7"/>
      <c r="F423" s="7"/>
    </row>
    <row r="424" spans="1:6" x14ac:dyDescent="0.25">
      <c r="A424" s="7"/>
      <c r="E424" s="7"/>
      <c r="F424" s="7"/>
    </row>
    <row r="425" spans="1:6" x14ac:dyDescent="0.25">
      <c r="A425" s="7"/>
      <c r="E425" s="7"/>
      <c r="F425" s="7"/>
    </row>
    <row r="426" spans="1:6" x14ac:dyDescent="0.25">
      <c r="A426" s="7"/>
      <c r="E426" s="7"/>
      <c r="F426" s="7"/>
    </row>
    <row r="427" spans="1:6" x14ac:dyDescent="0.25">
      <c r="A427" s="7"/>
      <c r="E427" s="7"/>
      <c r="F427" s="7"/>
    </row>
    <row r="428" spans="1:6" x14ac:dyDescent="0.25">
      <c r="A428" s="7"/>
      <c r="E428" s="7"/>
      <c r="F428" s="7"/>
    </row>
    <row r="429" spans="1:6" x14ac:dyDescent="0.25">
      <c r="A429" s="7"/>
      <c r="E429" s="7"/>
      <c r="F429" s="7"/>
    </row>
    <row r="430" spans="1:6" x14ac:dyDescent="0.25">
      <c r="A430" s="7"/>
      <c r="E430" s="7"/>
      <c r="F430" s="7"/>
    </row>
    <row r="431" spans="1:6" x14ac:dyDescent="0.25">
      <c r="A431" s="7"/>
      <c r="E431" s="7"/>
      <c r="F431" s="7"/>
    </row>
    <row r="432" spans="1:6" x14ac:dyDescent="0.25">
      <c r="A432" s="7"/>
      <c r="E432" s="7"/>
      <c r="F432" s="7"/>
    </row>
    <row r="433" spans="1:6" x14ac:dyDescent="0.25">
      <c r="A433" s="7"/>
      <c r="E433" s="7"/>
      <c r="F433" s="7"/>
    </row>
    <row r="434" spans="1:6" x14ac:dyDescent="0.25">
      <c r="A434" s="7"/>
      <c r="E434" s="7"/>
      <c r="F434" s="7"/>
    </row>
    <row r="435" spans="1:6" x14ac:dyDescent="0.25">
      <c r="A435" s="7"/>
      <c r="E435" s="7"/>
      <c r="F435" s="7"/>
    </row>
    <row r="436" spans="1:6" x14ac:dyDescent="0.25">
      <c r="A436" s="7"/>
      <c r="E436" s="7"/>
      <c r="F436" s="7"/>
    </row>
    <row r="437" spans="1:6" x14ac:dyDescent="0.25">
      <c r="A437" s="7"/>
      <c r="E437" s="7"/>
      <c r="F437" s="7"/>
    </row>
    <row r="438" spans="1:6" x14ac:dyDescent="0.25">
      <c r="A438" s="7"/>
      <c r="E438" s="7"/>
      <c r="F438" s="7"/>
    </row>
    <row r="439" spans="1:6" x14ac:dyDescent="0.25">
      <c r="A439" s="7"/>
      <c r="E439" s="7"/>
      <c r="F439" s="7"/>
    </row>
    <row r="440" spans="1:6" x14ac:dyDescent="0.25">
      <c r="A440" s="7"/>
      <c r="E440" s="7"/>
      <c r="F440" s="7"/>
    </row>
    <row r="441" spans="1:6" x14ac:dyDescent="0.25">
      <c r="A441" s="7"/>
      <c r="E441" s="7"/>
      <c r="F441" s="7"/>
    </row>
    <row r="442" spans="1:6" x14ac:dyDescent="0.25">
      <c r="A442" s="7"/>
      <c r="E442" s="7"/>
      <c r="F442" s="7"/>
    </row>
    <row r="443" spans="1:6" x14ac:dyDescent="0.25">
      <c r="A443" s="7"/>
      <c r="E443" s="7"/>
      <c r="F443" s="7"/>
    </row>
    <row r="444" spans="1:6" x14ac:dyDescent="0.25">
      <c r="A444" s="7"/>
      <c r="E444" s="7"/>
      <c r="F444" s="7"/>
    </row>
    <row r="445" spans="1:6" x14ac:dyDescent="0.25">
      <c r="A445" s="7"/>
      <c r="E445" s="7"/>
      <c r="F445" s="7"/>
    </row>
    <row r="446" spans="1:6" x14ac:dyDescent="0.25">
      <c r="A446" s="7"/>
      <c r="E446" s="7"/>
      <c r="F446" s="7"/>
    </row>
    <row r="447" spans="1:6" x14ac:dyDescent="0.25">
      <c r="A447" s="7"/>
      <c r="E447" s="7"/>
      <c r="F447" s="7"/>
    </row>
    <row r="448" spans="1:6" x14ac:dyDescent="0.25">
      <c r="A448" s="7"/>
      <c r="E448" s="7"/>
      <c r="F448" s="7"/>
    </row>
    <row r="449" spans="1:6" x14ac:dyDescent="0.25">
      <c r="A449" s="7"/>
      <c r="E449" s="7"/>
      <c r="F449" s="7"/>
    </row>
    <row r="450" spans="1:6" x14ac:dyDescent="0.25">
      <c r="A450" s="7"/>
      <c r="E450" s="7"/>
      <c r="F450" s="7"/>
    </row>
    <row r="451" spans="1:6" x14ac:dyDescent="0.25">
      <c r="A451" s="7"/>
      <c r="E451" s="7"/>
      <c r="F451" s="7"/>
    </row>
    <row r="452" spans="1:6" x14ac:dyDescent="0.25">
      <c r="A452" s="7"/>
      <c r="E452" s="7"/>
      <c r="F452" s="7"/>
    </row>
    <row r="453" spans="1:6" x14ac:dyDescent="0.25">
      <c r="A453" s="7"/>
      <c r="E453" s="7"/>
      <c r="F453" s="7"/>
    </row>
    <row r="454" spans="1:6" x14ac:dyDescent="0.25">
      <c r="A454" s="7"/>
      <c r="E454" s="7"/>
      <c r="F454" s="7"/>
    </row>
    <row r="455" spans="1:6" x14ac:dyDescent="0.25">
      <c r="A455" s="7"/>
      <c r="E455" s="7"/>
      <c r="F455" s="7"/>
    </row>
    <row r="456" spans="1:6" x14ac:dyDescent="0.25">
      <c r="A456" s="7"/>
      <c r="E456" s="7"/>
      <c r="F456" s="7"/>
    </row>
    <row r="457" spans="1:6" x14ac:dyDescent="0.25">
      <c r="A457" s="7"/>
      <c r="E457" s="7"/>
      <c r="F457" s="7"/>
    </row>
    <row r="458" spans="1:6" x14ac:dyDescent="0.25">
      <c r="A458" s="7"/>
      <c r="E458" s="7"/>
      <c r="F458" s="7"/>
    </row>
    <row r="459" spans="1:6" x14ac:dyDescent="0.25">
      <c r="A459" s="7"/>
      <c r="E459" s="7"/>
      <c r="F459" s="7"/>
    </row>
    <row r="460" spans="1:6" x14ac:dyDescent="0.25">
      <c r="A460" s="7"/>
      <c r="E460" s="7"/>
      <c r="F460" s="7"/>
    </row>
    <row r="461" spans="1:6" x14ac:dyDescent="0.25">
      <c r="A461" s="7"/>
      <c r="E461" s="7"/>
      <c r="F461" s="7"/>
    </row>
    <row r="462" spans="1:6" x14ac:dyDescent="0.25">
      <c r="A462" s="7"/>
      <c r="E462" s="7"/>
      <c r="F462" s="7"/>
    </row>
    <row r="463" spans="1:6" x14ac:dyDescent="0.25">
      <c r="A463" s="7"/>
      <c r="E463" s="7"/>
      <c r="F463" s="7"/>
    </row>
    <row r="464" spans="1:6" x14ac:dyDescent="0.25">
      <c r="A464" s="7"/>
      <c r="E464" s="7"/>
      <c r="F464" s="7"/>
    </row>
    <row r="465" spans="1:6" x14ac:dyDescent="0.25">
      <c r="A465" s="7"/>
      <c r="E465" s="7"/>
      <c r="F465" s="7"/>
    </row>
    <row r="466" spans="1:6" x14ac:dyDescent="0.25">
      <c r="A466" s="7"/>
      <c r="E466" s="7"/>
      <c r="F466" s="7"/>
    </row>
    <row r="467" spans="1:6" x14ac:dyDescent="0.25">
      <c r="A467" s="7"/>
      <c r="E467" s="7"/>
      <c r="F467" s="7"/>
    </row>
    <row r="468" spans="1:6" x14ac:dyDescent="0.25">
      <c r="A468" s="7"/>
      <c r="E468" s="7"/>
      <c r="F468" s="7"/>
    </row>
    <row r="469" spans="1:6" x14ac:dyDescent="0.25">
      <c r="A469" s="7"/>
      <c r="E469" s="7"/>
      <c r="F469" s="7"/>
    </row>
    <row r="470" spans="1:6" x14ac:dyDescent="0.25">
      <c r="A470" s="7"/>
      <c r="E470" s="7"/>
      <c r="F470" s="7"/>
    </row>
    <row r="471" spans="1:6" x14ac:dyDescent="0.25">
      <c r="A471" s="7"/>
      <c r="E471" s="7"/>
      <c r="F471" s="7"/>
    </row>
    <row r="472" spans="1:6" x14ac:dyDescent="0.25">
      <c r="A472" s="7"/>
      <c r="E472" s="7"/>
      <c r="F472" s="7"/>
    </row>
    <row r="473" spans="1:6" x14ac:dyDescent="0.25">
      <c r="A473" s="7"/>
      <c r="E473" s="7"/>
      <c r="F473" s="7"/>
    </row>
    <row r="474" spans="1:6" x14ac:dyDescent="0.25">
      <c r="A474" s="7"/>
      <c r="E474" s="7"/>
      <c r="F474" s="7"/>
    </row>
    <row r="475" spans="1:6" x14ac:dyDescent="0.25">
      <c r="A475" s="7"/>
      <c r="E475" s="7"/>
      <c r="F475" s="7"/>
    </row>
    <row r="476" spans="1:6" x14ac:dyDescent="0.25">
      <c r="A476" s="7"/>
      <c r="E476" s="7"/>
      <c r="F476" s="7"/>
    </row>
    <row r="477" spans="1:6" x14ac:dyDescent="0.25">
      <c r="A477" s="7"/>
      <c r="E477" s="7"/>
      <c r="F477" s="7"/>
    </row>
    <row r="478" spans="1:6" x14ac:dyDescent="0.25">
      <c r="A478" s="7"/>
      <c r="E478" s="7"/>
      <c r="F478" s="7"/>
    </row>
    <row r="479" spans="1:6" x14ac:dyDescent="0.25">
      <c r="A479" s="7"/>
      <c r="E479" s="7"/>
      <c r="F479" s="7"/>
    </row>
    <row r="480" spans="1:6" x14ac:dyDescent="0.25">
      <c r="A480" s="7"/>
      <c r="E480" s="7"/>
      <c r="F480" s="7"/>
    </row>
    <row r="481" spans="1:6" x14ac:dyDescent="0.25">
      <c r="A481" s="7"/>
      <c r="E481" s="7"/>
      <c r="F481" s="7"/>
    </row>
    <row r="482" spans="1:6" x14ac:dyDescent="0.25">
      <c r="A482" s="7"/>
      <c r="E482" s="7"/>
      <c r="F482" s="7"/>
    </row>
    <row r="483" spans="1:6" x14ac:dyDescent="0.25">
      <c r="A483" s="7"/>
      <c r="E483" s="7"/>
      <c r="F483" s="7"/>
    </row>
    <row r="484" spans="1:6" x14ac:dyDescent="0.25">
      <c r="A484" s="7"/>
      <c r="E484" s="7"/>
      <c r="F484" s="7"/>
    </row>
    <row r="485" spans="1:6" x14ac:dyDescent="0.25">
      <c r="A485" s="7"/>
      <c r="E485" s="7"/>
      <c r="F485" s="7"/>
    </row>
    <row r="486" spans="1:6" x14ac:dyDescent="0.25">
      <c r="A486" s="7"/>
      <c r="E486" s="7"/>
      <c r="F486" s="7"/>
    </row>
    <row r="487" spans="1:6" x14ac:dyDescent="0.25">
      <c r="A487" s="7"/>
      <c r="E487" s="7"/>
      <c r="F487" s="7"/>
    </row>
    <row r="488" spans="1:6" x14ac:dyDescent="0.25">
      <c r="A488" s="7"/>
      <c r="E488" s="7"/>
      <c r="F488" s="7"/>
    </row>
    <row r="489" spans="1:6" x14ac:dyDescent="0.25">
      <c r="A489" s="7"/>
      <c r="E489" s="7"/>
      <c r="F489" s="7"/>
    </row>
    <row r="490" spans="1:6" x14ac:dyDescent="0.25">
      <c r="A490" s="7"/>
      <c r="E490" s="7"/>
      <c r="F490" s="7"/>
    </row>
    <row r="491" spans="1:6" x14ac:dyDescent="0.25">
      <c r="A491" s="7"/>
      <c r="E491" s="7"/>
      <c r="F491" s="7"/>
    </row>
    <row r="492" spans="1:6" x14ac:dyDescent="0.25">
      <c r="A492" s="7"/>
      <c r="E492" s="7"/>
      <c r="F492" s="7"/>
    </row>
    <row r="493" spans="1:6" x14ac:dyDescent="0.25">
      <c r="A493" s="7"/>
      <c r="E493" s="7"/>
      <c r="F493" s="7"/>
    </row>
    <row r="494" spans="1:6" x14ac:dyDescent="0.25">
      <c r="A494" s="7"/>
      <c r="E494" s="7"/>
      <c r="F494" s="7"/>
    </row>
    <row r="495" spans="1:6" x14ac:dyDescent="0.25">
      <c r="A495" s="7"/>
      <c r="E495" s="7"/>
      <c r="F495" s="7"/>
    </row>
    <row r="496" spans="1:6" x14ac:dyDescent="0.25">
      <c r="A496" s="7"/>
      <c r="E496" s="7"/>
      <c r="F496" s="7"/>
    </row>
    <row r="497" spans="1:6" x14ac:dyDescent="0.25">
      <c r="A497" s="7"/>
      <c r="E497" s="7"/>
      <c r="F497" s="7"/>
    </row>
    <row r="498" spans="1:6" x14ac:dyDescent="0.25">
      <c r="A498" s="7"/>
      <c r="E498" s="7"/>
      <c r="F498" s="7"/>
    </row>
    <row r="499" spans="1:6" x14ac:dyDescent="0.25">
      <c r="A499" s="7"/>
      <c r="E499" s="7"/>
      <c r="F499" s="7"/>
    </row>
    <row r="500" spans="1:6" x14ac:dyDescent="0.25">
      <c r="A500" s="7"/>
      <c r="E500" s="7"/>
      <c r="F500" s="7"/>
    </row>
    <row r="501" spans="1:6" x14ac:dyDescent="0.25">
      <c r="A501" s="7"/>
      <c r="E501" s="7"/>
      <c r="F501" s="7"/>
    </row>
    <row r="502" spans="1:6" x14ac:dyDescent="0.25">
      <c r="A502" s="7"/>
      <c r="E502" s="7"/>
      <c r="F502" s="7"/>
    </row>
    <row r="503" spans="1:6" x14ac:dyDescent="0.25">
      <c r="A503" s="7"/>
      <c r="E503" s="7"/>
      <c r="F503" s="7"/>
    </row>
    <row r="504" spans="1:6" x14ac:dyDescent="0.25">
      <c r="A504" s="7"/>
      <c r="E504" s="7"/>
      <c r="F504" s="7"/>
    </row>
    <row r="505" spans="1:6" x14ac:dyDescent="0.25">
      <c r="A505" s="7"/>
      <c r="E505" s="7"/>
      <c r="F505" s="7"/>
    </row>
    <row r="506" spans="1:6" x14ac:dyDescent="0.25">
      <c r="A506" s="7"/>
      <c r="E506" s="7"/>
      <c r="F506" s="7"/>
    </row>
    <row r="507" spans="1:6" x14ac:dyDescent="0.25">
      <c r="A507" s="7"/>
      <c r="E507" s="7"/>
      <c r="F507" s="7"/>
    </row>
    <row r="508" spans="1:6" x14ac:dyDescent="0.25">
      <c r="A508" s="7"/>
      <c r="E508" s="7"/>
      <c r="F508" s="7"/>
    </row>
    <row r="509" spans="1:6" x14ac:dyDescent="0.25">
      <c r="A509" s="7"/>
      <c r="E509" s="7"/>
      <c r="F509" s="7"/>
    </row>
    <row r="510" spans="1:6" x14ac:dyDescent="0.25">
      <c r="A510" s="7"/>
      <c r="E510" s="7"/>
      <c r="F510" s="7"/>
    </row>
    <row r="511" spans="1:6" x14ac:dyDescent="0.25">
      <c r="A511" s="7"/>
      <c r="E511" s="7"/>
      <c r="F511" s="7"/>
    </row>
    <row r="512" spans="1:6" x14ac:dyDescent="0.25">
      <c r="A512" s="7"/>
      <c r="E512" s="7"/>
      <c r="F512" s="7"/>
    </row>
    <row r="513" spans="1:6" x14ac:dyDescent="0.25">
      <c r="A513" s="7"/>
      <c r="E513" s="7"/>
      <c r="F513" s="7"/>
    </row>
    <row r="514" spans="1:6" x14ac:dyDescent="0.25">
      <c r="A514" s="7"/>
      <c r="E514" s="7"/>
      <c r="F514" s="7"/>
    </row>
    <row r="515" spans="1:6" x14ac:dyDescent="0.25">
      <c r="A515" s="7"/>
      <c r="E515" s="7"/>
      <c r="F515" s="7"/>
    </row>
    <row r="516" spans="1:6" x14ac:dyDescent="0.25">
      <c r="A516" s="7"/>
      <c r="E516" s="7"/>
      <c r="F516" s="7"/>
    </row>
    <row r="517" spans="1:6" x14ac:dyDescent="0.25">
      <c r="A517" s="7"/>
      <c r="E517" s="7"/>
      <c r="F517" s="7"/>
    </row>
    <row r="518" spans="1:6" x14ac:dyDescent="0.25">
      <c r="A518" s="7"/>
      <c r="E518" s="7"/>
      <c r="F518" s="7"/>
    </row>
    <row r="519" spans="1:6" x14ac:dyDescent="0.25">
      <c r="A519" s="7"/>
      <c r="E519" s="7"/>
      <c r="F519" s="7"/>
    </row>
    <row r="520" spans="1:6" x14ac:dyDescent="0.25">
      <c r="A520" s="7"/>
      <c r="E520" s="7"/>
      <c r="F520" s="7"/>
    </row>
    <row r="521" spans="1:6" x14ac:dyDescent="0.25">
      <c r="A521" s="7"/>
      <c r="E521" s="7"/>
      <c r="F521" s="7"/>
    </row>
    <row r="522" spans="1:6" x14ac:dyDescent="0.25">
      <c r="A522" s="7"/>
      <c r="E522" s="7"/>
      <c r="F522" s="7"/>
    </row>
    <row r="523" spans="1:6" x14ac:dyDescent="0.25">
      <c r="A523" s="7"/>
      <c r="E523" s="7"/>
      <c r="F523" s="7"/>
    </row>
    <row r="524" spans="1:6" x14ac:dyDescent="0.25">
      <c r="A524" s="7"/>
      <c r="E524" s="7"/>
      <c r="F524" s="7"/>
    </row>
    <row r="525" spans="1:6" x14ac:dyDescent="0.25">
      <c r="A525" s="7"/>
      <c r="E525" s="7"/>
      <c r="F525" s="7"/>
    </row>
    <row r="526" spans="1:6" x14ac:dyDescent="0.25">
      <c r="A526" s="7"/>
      <c r="E526" s="7"/>
      <c r="F526" s="7"/>
    </row>
    <row r="527" spans="1:6" x14ac:dyDescent="0.25">
      <c r="A527" s="7"/>
      <c r="E527" s="7"/>
      <c r="F527" s="7"/>
    </row>
    <row r="528" spans="1:6" x14ac:dyDescent="0.25">
      <c r="A528" s="7"/>
      <c r="E528" s="7"/>
      <c r="F528" s="7"/>
    </row>
    <row r="529" spans="1:6" x14ac:dyDescent="0.25">
      <c r="A529" s="7"/>
      <c r="E529" s="7"/>
      <c r="F529" s="7"/>
    </row>
    <row r="530" spans="1:6" x14ac:dyDescent="0.25">
      <c r="A530" s="7"/>
      <c r="E530" s="7"/>
      <c r="F530" s="7"/>
    </row>
    <row r="531" spans="1:6" x14ac:dyDescent="0.25">
      <c r="A531" s="7"/>
      <c r="E531" s="7"/>
      <c r="F531" s="7"/>
    </row>
    <row r="532" spans="1:6" x14ac:dyDescent="0.25">
      <c r="A532" s="7"/>
      <c r="E532" s="7"/>
      <c r="F532" s="7"/>
    </row>
    <row r="533" spans="1:6" x14ac:dyDescent="0.25">
      <c r="A533" s="7"/>
      <c r="E533" s="7"/>
      <c r="F533" s="7"/>
    </row>
    <row r="534" spans="1:6" x14ac:dyDescent="0.25">
      <c r="A534" s="7"/>
      <c r="E534" s="7"/>
      <c r="F534" s="7"/>
    </row>
    <row r="535" spans="1:6" x14ac:dyDescent="0.25">
      <c r="A535" s="7"/>
      <c r="E535" s="7"/>
      <c r="F535" s="7"/>
    </row>
    <row r="536" spans="1:6" x14ac:dyDescent="0.25">
      <c r="A536" s="7"/>
      <c r="E536" s="7"/>
      <c r="F536" s="7"/>
    </row>
    <row r="537" spans="1:6" x14ac:dyDescent="0.25">
      <c r="A537" s="7"/>
      <c r="E537" s="7"/>
      <c r="F537" s="7"/>
    </row>
    <row r="538" spans="1:6" x14ac:dyDescent="0.25">
      <c r="A538" s="7"/>
      <c r="E538" s="7"/>
      <c r="F538" s="7"/>
    </row>
    <row r="539" spans="1:6" x14ac:dyDescent="0.25">
      <c r="A539" s="7"/>
      <c r="E539" s="7"/>
      <c r="F539" s="7"/>
    </row>
    <row r="540" spans="1:6" x14ac:dyDescent="0.25">
      <c r="A540" s="7"/>
      <c r="E540" s="7"/>
      <c r="F540" s="7"/>
    </row>
    <row r="541" spans="1:6" x14ac:dyDescent="0.25">
      <c r="A541" s="7"/>
      <c r="E541" s="7"/>
      <c r="F541" s="7"/>
    </row>
    <row r="542" spans="1:6" x14ac:dyDescent="0.25">
      <c r="A542" s="7"/>
      <c r="E542" s="7"/>
      <c r="F542" s="7"/>
    </row>
    <row r="543" spans="1:6" x14ac:dyDescent="0.25">
      <c r="A543" s="7"/>
      <c r="E543" s="7"/>
      <c r="F543" s="7"/>
    </row>
    <row r="544" spans="1:6" x14ac:dyDescent="0.25">
      <c r="A544" s="7"/>
      <c r="E544" s="7"/>
      <c r="F544" s="7"/>
    </row>
    <row r="545" spans="1:6" x14ac:dyDescent="0.25">
      <c r="A545" s="7"/>
      <c r="E545" s="7"/>
      <c r="F545" s="7"/>
    </row>
    <row r="546" spans="1:6" x14ac:dyDescent="0.25">
      <c r="A546" s="7"/>
      <c r="E546" s="7"/>
      <c r="F546" s="7"/>
    </row>
    <row r="547" spans="1:6" x14ac:dyDescent="0.25">
      <c r="A547" s="7"/>
      <c r="E547" s="7"/>
      <c r="F547" s="7"/>
    </row>
    <row r="548" spans="1:6" x14ac:dyDescent="0.25">
      <c r="A548" s="7"/>
      <c r="E548" s="7"/>
      <c r="F548" s="7"/>
    </row>
    <row r="549" spans="1:6" x14ac:dyDescent="0.25">
      <c r="A549" s="7"/>
      <c r="E549" s="7"/>
      <c r="F549" s="7"/>
    </row>
    <row r="550" spans="1:6" x14ac:dyDescent="0.25">
      <c r="A550" s="7"/>
      <c r="E550" s="7"/>
      <c r="F550" s="7"/>
    </row>
    <row r="551" spans="1:6" x14ac:dyDescent="0.25">
      <c r="A551" s="7"/>
      <c r="E551" s="7"/>
      <c r="F551" s="7"/>
    </row>
    <row r="552" spans="1:6" x14ac:dyDescent="0.25">
      <c r="A552" s="7"/>
      <c r="E552" s="7"/>
      <c r="F552" s="7"/>
    </row>
    <row r="553" spans="1:6" x14ac:dyDescent="0.25">
      <c r="A553" s="7"/>
      <c r="E553" s="7"/>
      <c r="F553" s="7"/>
    </row>
    <row r="554" spans="1:6" x14ac:dyDescent="0.25">
      <c r="A554" s="7"/>
      <c r="E554" s="7"/>
      <c r="F554" s="7"/>
    </row>
    <row r="555" spans="1:6" x14ac:dyDescent="0.25">
      <c r="A555" s="7"/>
      <c r="E555" s="7"/>
      <c r="F555" s="7"/>
    </row>
    <row r="556" spans="1:6" x14ac:dyDescent="0.25">
      <c r="A556" s="7"/>
      <c r="E556" s="7"/>
      <c r="F556" s="7"/>
    </row>
    <row r="557" spans="1:6" x14ac:dyDescent="0.25">
      <c r="A557" s="7"/>
      <c r="E557" s="7"/>
      <c r="F557" s="7"/>
    </row>
    <row r="558" spans="1:6" x14ac:dyDescent="0.25">
      <c r="A558" s="7"/>
      <c r="E558" s="7"/>
      <c r="F558" s="7"/>
    </row>
    <row r="559" spans="1:6" x14ac:dyDescent="0.25">
      <c r="A559" s="7"/>
      <c r="E559" s="7"/>
      <c r="F559" s="7"/>
    </row>
    <row r="560" spans="1:6" x14ac:dyDescent="0.25">
      <c r="A560" s="7"/>
      <c r="E560" s="7"/>
      <c r="F560" s="7"/>
    </row>
    <row r="561" spans="1:6" x14ac:dyDescent="0.25">
      <c r="A561" s="7"/>
      <c r="E561" s="7"/>
      <c r="F561" s="7"/>
    </row>
    <row r="562" spans="1:6" x14ac:dyDescent="0.25">
      <c r="A562" s="7"/>
      <c r="E562" s="7"/>
      <c r="F562" s="7"/>
    </row>
    <row r="563" spans="1:6" x14ac:dyDescent="0.25">
      <c r="A563" s="7"/>
      <c r="E563" s="7"/>
      <c r="F563" s="7"/>
    </row>
    <row r="564" spans="1:6" x14ac:dyDescent="0.25">
      <c r="A564" s="7"/>
      <c r="E564" s="7"/>
      <c r="F564" s="7"/>
    </row>
    <row r="565" spans="1:6" x14ac:dyDescent="0.25">
      <c r="A565" s="7"/>
      <c r="E565" s="7"/>
      <c r="F565" s="7"/>
    </row>
    <row r="566" spans="1:6" x14ac:dyDescent="0.25">
      <c r="A566" s="7"/>
      <c r="E566" s="7"/>
      <c r="F566" s="7"/>
    </row>
    <row r="567" spans="1:6" x14ac:dyDescent="0.25">
      <c r="A567" s="7"/>
      <c r="E567" s="7"/>
      <c r="F567" s="7"/>
    </row>
    <row r="568" spans="1:6" x14ac:dyDescent="0.25">
      <c r="A568" s="7"/>
      <c r="E568" s="7"/>
      <c r="F568" s="7"/>
    </row>
    <row r="569" spans="1:6" x14ac:dyDescent="0.25">
      <c r="A569" s="7"/>
      <c r="E569" s="7"/>
      <c r="F569" s="7"/>
    </row>
    <row r="570" spans="1:6" x14ac:dyDescent="0.25">
      <c r="A570" s="7"/>
      <c r="E570" s="7"/>
      <c r="F570" s="7"/>
    </row>
    <row r="571" spans="1:6" x14ac:dyDescent="0.25">
      <c r="A571" s="7"/>
      <c r="E571" s="7"/>
      <c r="F571" s="7"/>
    </row>
    <row r="572" spans="1:6" x14ac:dyDescent="0.25">
      <c r="A572" s="7"/>
      <c r="E572" s="7"/>
      <c r="F572" s="7"/>
    </row>
    <row r="573" spans="1:6" x14ac:dyDescent="0.25">
      <c r="A573" s="7"/>
      <c r="E573" s="7"/>
      <c r="F573" s="7"/>
    </row>
    <row r="574" spans="1:6" x14ac:dyDescent="0.25">
      <c r="A574" s="7"/>
      <c r="E574" s="7"/>
      <c r="F574" s="7"/>
    </row>
    <row r="575" spans="1:6" x14ac:dyDescent="0.25">
      <c r="A575" s="7"/>
      <c r="E575" s="7"/>
      <c r="F575" s="7"/>
    </row>
    <row r="576" spans="1:6" x14ac:dyDescent="0.25">
      <c r="A576" s="7"/>
      <c r="E576" s="7"/>
      <c r="F576" s="7"/>
    </row>
    <row r="577" spans="1:6" x14ac:dyDescent="0.25">
      <c r="A577" s="7"/>
      <c r="E577" s="7"/>
      <c r="F577" s="7"/>
    </row>
    <row r="578" spans="1:6" x14ac:dyDescent="0.25">
      <c r="A578" s="7"/>
      <c r="E578" s="7"/>
      <c r="F578" s="7"/>
    </row>
    <row r="579" spans="1:6" x14ac:dyDescent="0.25">
      <c r="A579" s="7"/>
      <c r="E579" s="7"/>
      <c r="F579" s="7"/>
    </row>
    <row r="580" spans="1:6" x14ac:dyDescent="0.25">
      <c r="A580" s="7"/>
      <c r="E580" s="7"/>
      <c r="F580" s="7"/>
    </row>
    <row r="581" spans="1:6" x14ac:dyDescent="0.25">
      <c r="A581" s="7"/>
      <c r="E581" s="7"/>
      <c r="F581" s="7"/>
    </row>
    <row r="582" spans="1:6" x14ac:dyDescent="0.25">
      <c r="A582" s="7"/>
      <c r="E582" s="7"/>
      <c r="F582" s="7"/>
    </row>
    <row r="583" spans="1:6" x14ac:dyDescent="0.25">
      <c r="A583" s="7"/>
      <c r="E583" s="7"/>
      <c r="F583" s="7"/>
    </row>
    <row r="584" spans="1:6" x14ac:dyDescent="0.25">
      <c r="A584" s="7"/>
      <c r="E584" s="7"/>
      <c r="F584" s="7"/>
    </row>
    <row r="585" spans="1:6" x14ac:dyDescent="0.25">
      <c r="A585" s="7"/>
      <c r="E585" s="7"/>
      <c r="F585" s="7"/>
    </row>
    <row r="586" spans="1:6" x14ac:dyDescent="0.25">
      <c r="A586" s="7"/>
      <c r="E586" s="7"/>
      <c r="F586" s="7"/>
    </row>
    <row r="587" spans="1:6" x14ac:dyDescent="0.25">
      <c r="A587" s="7"/>
      <c r="E587" s="7"/>
      <c r="F587" s="7"/>
    </row>
    <row r="588" spans="1:6" x14ac:dyDescent="0.25">
      <c r="A588" s="7"/>
      <c r="E588" s="7"/>
      <c r="F588" s="7"/>
    </row>
    <row r="589" spans="1:6" x14ac:dyDescent="0.25">
      <c r="A589" s="7"/>
      <c r="E589" s="7"/>
      <c r="F589" s="7"/>
    </row>
    <row r="590" spans="1:6" x14ac:dyDescent="0.25">
      <c r="A590" s="7"/>
      <c r="E590" s="7"/>
      <c r="F590" s="7"/>
    </row>
    <row r="591" spans="1:6" x14ac:dyDescent="0.25">
      <c r="A591" s="7"/>
      <c r="E591" s="7"/>
      <c r="F591" s="7"/>
    </row>
    <row r="592" spans="1:6" x14ac:dyDescent="0.25">
      <c r="A592" s="7"/>
      <c r="E592" s="7"/>
      <c r="F592" s="7"/>
    </row>
    <row r="593" spans="1:6" x14ac:dyDescent="0.25">
      <c r="A593" s="7"/>
      <c r="E593" s="7"/>
      <c r="F593" s="7"/>
    </row>
    <row r="594" spans="1:6" x14ac:dyDescent="0.25">
      <c r="A594" s="7"/>
      <c r="E594" s="7"/>
      <c r="F594" s="7"/>
    </row>
    <row r="595" spans="1:6" x14ac:dyDescent="0.25">
      <c r="A595" s="7"/>
      <c r="E595" s="7"/>
      <c r="F595" s="7"/>
    </row>
    <row r="596" spans="1:6" x14ac:dyDescent="0.25">
      <c r="A596" s="7"/>
      <c r="E596" s="7"/>
      <c r="F596" s="7"/>
    </row>
    <row r="597" spans="1:6" x14ac:dyDescent="0.25">
      <c r="A597" s="7"/>
      <c r="E597" s="7"/>
      <c r="F597" s="7"/>
    </row>
    <row r="598" spans="1:6" x14ac:dyDescent="0.25">
      <c r="A598" s="7"/>
      <c r="E598" s="7"/>
      <c r="F598" s="7"/>
    </row>
    <row r="599" spans="1:6" x14ac:dyDescent="0.25">
      <c r="A599" s="7"/>
      <c r="E599" s="7"/>
      <c r="F599" s="7"/>
    </row>
    <row r="600" spans="1:6" x14ac:dyDescent="0.25">
      <c r="A600" s="7"/>
      <c r="E600" s="7"/>
      <c r="F600" s="7"/>
    </row>
    <row r="601" spans="1:6" x14ac:dyDescent="0.25">
      <c r="A601" s="7"/>
      <c r="E601" s="7"/>
      <c r="F601" s="7"/>
    </row>
    <row r="602" spans="1:6" x14ac:dyDescent="0.25">
      <c r="A602" s="7"/>
      <c r="E602" s="7"/>
      <c r="F602" s="7"/>
    </row>
    <row r="603" spans="1:6" x14ac:dyDescent="0.25">
      <c r="A603" s="7"/>
      <c r="E603" s="7"/>
      <c r="F603" s="7"/>
    </row>
    <row r="604" spans="1:6" x14ac:dyDescent="0.25">
      <c r="A604" s="7"/>
      <c r="E604" s="7"/>
      <c r="F604" s="7"/>
    </row>
    <row r="605" spans="1:6" x14ac:dyDescent="0.25">
      <c r="A605" s="7"/>
      <c r="E605" s="7"/>
      <c r="F605" s="7"/>
    </row>
    <row r="606" spans="1:6" x14ac:dyDescent="0.25">
      <c r="A606" s="7"/>
      <c r="E606" s="7"/>
      <c r="F606" s="7"/>
    </row>
    <row r="607" spans="1:6" x14ac:dyDescent="0.25">
      <c r="A607" s="7"/>
      <c r="E607" s="7"/>
      <c r="F607" s="7"/>
    </row>
    <row r="608" spans="1:6" x14ac:dyDescent="0.25">
      <c r="A608" s="7"/>
      <c r="E608" s="7"/>
      <c r="F608" s="7"/>
    </row>
    <row r="609" spans="1:6" x14ac:dyDescent="0.25">
      <c r="A609" s="7"/>
      <c r="E609" s="7"/>
      <c r="F609" s="7"/>
    </row>
    <row r="610" spans="1:6" x14ac:dyDescent="0.25">
      <c r="A610" s="7"/>
      <c r="E610" s="7"/>
      <c r="F610" s="7"/>
    </row>
    <row r="611" spans="1:6" x14ac:dyDescent="0.25">
      <c r="A611" s="7"/>
      <c r="E611" s="7"/>
      <c r="F611" s="7"/>
    </row>
    <row r="612" spans="1:6" x14ac:dyDescent="0.25">
      <c r="A612" s="7"/>
      <c r="E612" s="7"/>
      <c r="F612" s="7"/>
    </row>
    <row r="613" spans="1:6" x14ac:dyDescent="0.25">
      <c r="A613" s="7"/>
      <c r="E613" s="7"/>
      <c r="F613" s="7"/>
    </row>
    <row r="614" spans="1:6" x14ac:dyDescent="0.25">
      <c r="A614" s="7"/>
      <c r="E614" s="7"/>
      <c r="F614" s="7"/>
    </row>
    <row r="615" spans="1:6" x14ac:dyDescent="0.25">
      <c r="A615" s="7"/>
      <c r="E615" s="7"/>
      <c r="F615" s="7"/>
    </row>
    <row r="616" spans="1:6" x14ac:dyDescent="0.25">
      <c r="A616" s="7"/>
      <c r="E616" s="7"/>
      <c r="F616" s="7"/>
    </row>
    <row r="617" spans="1:6" x14ac:dyDescent="0.25">
      <c r="A617" s="7"/>
      <c r="E617" s="7"/>
      <c r="F617" s="7"/>
    </row>
    <row r="618" spans="1:6" x14ac:dyDescent="0.25">
      <c r="A618" s="7"/>
      <c r="E618" s="7"/>
      <c r="F618" s="7"/>
    </row>
    <row r="619" spans="1:6" x14ac:dyDescent="0.25">
      <c r="A619" s="7"/>
      <c r="E619" s="7"/>
      <c r="F619" s="7"/>
    </row>
    <row r="620" spans="1:6" x14ac:dyDescent="0.25">
      <c r="A620" s="7"/>
      <c r="E620" s="7"/>
      <c r="F620" s="7"/>
    </row>
    <row r="621" spans="1:6" x14ac:dyDescent="0.25">
      <c r="A621" s="7"/>
      <c r="E621" s="7"/>
      <c r="F621" s="7"/>
    </row>
    <row r="622" spans="1:6" x14ac:dyDescent="0.25">
      <c r="A622" s="7"/>
      <c r="E622" s="7"/>
      <c r="F622" s="7"/>
    </row>
    <row r="623" spans="1:6" x14ac:dyDescent="0.25">
      <c r="A623" s="7"/>
      <c r="E623" s="7"/>
      <c r="F623" s="7"/>
    </row>
    <row r="624" spans="1:6" x14ac:dyDescent="0.25">
      <c r="A624" s="7"/>
      <c r="E624" s="7"/>
      <c r="F624" s="7"/>
    </row>
    <row r="625" spans="1:6" x14ac:dyDescent="0.25">
      <c r="A625" s="7"/>
      <c r="E625" s="7"/>
      <c r="F625" s="7"/>
    </row>
    <row r="626" spans="1:6" x14ac:dyDescent="0.25">
      <c r="A626" s="7"/>
      <c r="E626" s="7"/>
      <c r="F626" s="7"/>
    </row>
    <row r="627" spans="1:6" x14ac:dyDescent="0.25">
      <c r="A627" s="7"/>
      <c r="E627" s="7"/>
      <c r="F627" s="7"/>
    </row>
    <row r="628" spans="1:6" x14ac:dyDescent="0.25">
      <c r="A628" s="7"/>
      <c r="E628" s="7"/>
      <c r="F628" s="7"/>
    </row>
    <row r="629" spans="1:6" x14ac:dyDescent="0.25">
      <c r="A629" s="7"/>
      <c r="E629" s="7"/>
      <c r="F629" s="7"/>
    </row>
    <row r="630" spans="1:6" x14ac:dyDescent="0.25">
      <c r="A630" s="7"/>
      <c r="E630" s="7"/>
      <c r="F630" s="7"/>
    </row>
    <row r="631" spans="1:6" x14ac:dyDescent="0.25">
      <c r="A631" s="7"/>
      <c r="E631" s="7"/>
      <c r="F631" s="7"/>
    </row>
    <row r="632" spans="1:6" x14ac:dyDescent="0.25">
      <c r="A632" s="7"/>
      <c r="E632" s="7"/>
      <c r="F632" s="7"/>
    </row>
    <row r="633" spans="1:6" x14ac:dyDescent="0.25">
      <c r="A633" s="7"/>
      <c r="E633" s="7"/>
      <c r="F633" s="7"/>
    </row>
    <row r="634" spans="1:6" x14ac:dyDescent="0.25">
      <c r="A634" s="7"/>
      <c r="E634" s="7"/>
      <c r="F634" s="7"/>
    </row>
    <row r="635" spans="1:6" x14ac:dyDescent="0.25">
      <c r="A635" s="7"/>
      <c r="E635" s="7"/>
      <c r="F635" s="7"/>
    </row>
    <row r="636" spans="1:6" x14ac:dyDescent="0.25">
      <c r="A636" s="7"/>
      <c r="E636" s="7"/>
      <c r="F636" s="7"/>
    </row>
    <row r="637" spans="1:6" x14ac:dyDescent="0.25">
      <c r="A637" s="7"/>
      <c r="E637" s="7"/>
      <c r="F637" s="7"/>
    </row>
    <row r="638" spans="1:6" x14ac:dyDescent="0.25">
      <c r="A638" s="7"/>
      <c r="E638" s="7"/>
      <c r="F638" s="7"/>
    </row>
    <row r="639" spans="1:6" x14ac:dyDescent="0.25">
      <c r="A639" s="7"/>
      <c r="E639" s="7"/>
      <c r="F639" s="7"/>
    </row>
    <row r="640" spans="1:6" x14ac:dyDescent="0.25">
      <c r="A640" s="7"/>
      <c r="E640" s="7"/>
      <c r="F640" s="7"/>
    </row>
    <row r="641" spans="1:6" x14ac:dyDescent="0.25">
      <c r="A641" s="7"/>
      <c r="E641" s="7"/>
      <c r="F641" s="7"/>
    </row>
    <row r="642" spans="1:6" x14ac:dyDescent="0.25">
      <c r="A642" s="7"/>
      <c r="E642" s="7"/>
      <c r="F642" s="7"/>
    </row>
    <row r="643" spans="1:6" x14ac:dyDescent="0.25">
      <c r="A643" s="7"/>
      <c r="E643" s="7"/>
      <c r="F643" s="7"/>
    </row>
    <row r="644" spans="1:6" x14ac:dyDescent="0.25">
      <c r="A644" s="7"/>
      <c r="E644" s="7"/>
      <c r="F644" s="7"/>
    </row>
    <row r="645" spans="1:6" x14ac:dyDescent="0.25">
      <c r="A645" s="7"/>
      <c r="E645" s="7"/>
      <c r="F645" s="7"/>
    </row>
    <row r="646" spans="1:6" x14ac:dyDescent="0.25">
      <c r="A646" s="7"/>
      <c r="E646" s="7"/>
      <c r="F646" s="7"/>
    </row>
    <row r="647" spans="1:6" x14ac:dyDescent="0.25">
      <c r="A647" s="7"/>
      <c r="E647" s="7"/>
      <c r="F647" s="7"/>
    </row>
    <row r="648" spans="1:6" x14ac:dyDescent="0.25">
      <c r="A648" s="7"/>
      <c r="E648" s="7"/>
      <c r="F648" s="7"/>
    </row>
    <row r="649" spans="1:6" x14ac:dyDescent="0.25">
      <c r="A649" s="7"/>
      <c r="E649" s="7"/>
      <c r="F649" s="7"/>
    </row>
    <row r="650" spans="1:6" x14ac:dyDescent="0.25">
      <c r="A650" s="7"/>
      <c r="E650" s="7"/>
      <c r="F650" s="7"/>
    </row>
    <row r="651" spans="1:6" x14ac:dyDescent="0.25">
      <c r="A651" s="7"/>
      <c r="E651" s="7"/>
      <c r="F651" s="7"/>
    </row>
    <row r="652" spans="1:6" x14ac:dyDescent="0.25">
      <c r="A652" s="7"/>
      <c r="E652" s="7"/>
      <c r="F652" s="7"/>
    </row>
    <row r="653" spans="1:6" x14ac:dyDescent="0.25">
      <c r="A653" s="7"/>
      <c r="E653" s="7"/>
      <c r="F653" s="7"/>
    </row>
    <row r="654" spans="1:6" x14ac:dyDescent="0.25">
      <c r="A654" s="7"/>
      <c r="E654" s="7"/>
      <c r="F654" s="7"/>
    </row>
    <row r="655" spans="1:6" x14ac:dyDescent="0.25">
      <c r="A655" s="7"/>
      <c r="E655" s="7"/>
      <c r="F655" s="7"/>
    </row>
    <row r="656" spans="1:6" x14ac:dyDescent="0.25">
      <c r="A656" s="7"/>
      <c r="E656" s="7"/>
      <c r="F656" s="7"/>
    </row>
    <row r="657" spans="1:6" x14ac:dyDescent="0.25">
      <c r="A657" s="7"/>
      <c r="E657" s="7"/>
      <c r="F657" s="7"/>
    </row>
    <row r="658" spans="1:6" x14ac:dyDescent="0.25">
      <c r="A658" s="7"/>
      <c r="E658" s="7"/>
      <c r="F658" s="7"/>
    </row>
    <row r="659" spans="1:6" x14ac:dyDescent="0.25">
      <c r="A659" s="7"/>
      <c r="E659" s="7"/>
      <c r="F659" s="7"/>
    </row>
    <row r="660" spans="1:6" x14ac:dyDescent="0.25">
      <c r="A660" s="7"/>
      <c r="E660" s="7"/>
      <c r="F660" s="7"/>
    </row>
    <row r="661" spans="1:6" x14ac:dyDescent="0.25">
      <c r="A661" s="7"/>
      <c r="E661" s="7"/>
      <c r="F661" s="7"/>
    </row>
    <row r="662" spans="1:6" x14ac:dyDescent="0.25">
      <c r="A662" s="7"/>
      <c r="E662" s="7"/>
      <c r="F662" s="7"/>
    </row>
    <row r="663" spans="1:6" x14ac:dyDescent="0.25">
      <c r="A663" s="7"/>
      <c r="E663" s="7"/>
      <c r="F663" s="7"/>
    </row>
    <row r="664" spans="1:6" x14ac:dyDescent="0.25">
      <c r="A664" s="7"/>
      <c r="E664" s="7"/>
      <c r="F664" s="7"/>
    </row>
    <row r="665" spans="1:6" x14ac:dyDescent="0.25">
      <c r="A665" s="7"/>
      <c r="E665" s="7"/>
      <c r="F665" s="7"/>
    </row>
    <row r="666" spans="1:6" x14ac:dyDescent="0.25">
      <c r="A666" s="7"/>
      <c r="E666" s="7"/>
      <c r="F666" s="7"/>
    </row>
    <row r="667" spans="1:6" x14ac:dyDescent="0.25">
      <c r="A667" s="7"/>
      <c r="E667" s="7"/>
      <c r="F667" s="7"/>
    </row>
    <row r="668" spans="1:6" x14ac:dyDescent="0.25">
      <c r="A668" s="7"/>
      <c r="E668" s="7"/>
      <c r="F668" s="7"/>
    </row>
    <row r="669" spans="1:6" x14ac:dyDescent="0.25">
      <c r="A669" s="7"/>
      <c r="E669" s="7"/>
      <c r="F669" s="7"/>
    </row>
    <row r="670" spans="1:6" x14ac:dyDescent="0.25">
      <c r="A670" s="7"/>
      <c r="E670" s="7"/>
      <c r="F670" s="7"/>
    </row>
    <row r="671" spans="1:6" x14ac:dyDescent="0.25">
      <c r="A671" s="7"/>
      <c r="E671" s="7"/>
      <c r="F671" s="7"/>
    </row>
    <row r="672" spans="1:6" x14ac:dyDescent="0.25">
      <c r="A672" s="7"/>
      <c r="E672" s="7"/>
      <c r="F672" s="7"/>
    </row>
    <row r="673" spans="1:6" x14ac:dyDescent="0.25">
      <c r="A673" s="7"/>
      <c r="E673" s="7"/>
      <c r="F673" s="7"/>
    </row>
    <row r="674" spans="1:6" x14ac:dyDescent="0.25">
      <c r="A674" s="7"/>
      <c r="E674" s="7"/>
      <c r="F674" s="7"/>
    </row>
    <row r="675" spans="1:6" x14ac:dyDescent="0.25">
      <c r="A675" s="7"/>
      <c r="E675" s="7"/>
      <c r="F675" s="7"/>
    </row>
    <row r="676" spans="1:6" x14ac:dyDescent="0.25">
      <c r="A676" s="7"/>
      <c r="E676" s="7"/>
      <c r="F676" s="7"/>
    </row>
    <row r="677" spans="1:6" x14ac:dyDescent="0.25">
      <c r="A677" s="7"/>
      <c r="E677" s="7"/>
      <c r="F677" s="7"/>
    </row>
    <row r="678" spans="1:6" x14ac:dyDescent="0.25">
      <c r="A678" s="7"/>
      <c r="E678" s="7"/>
      <c r="F678" s="7"/>
    </row>
    <row r="679" spans="1:6" x14ac:dyDescent="0.25">
      <c r="A679" s="7"/>
      <c r="E679" s="7"/>
      <c r="F679" s="7"/>
    </row>
    <row r="680" spans="1:6" x14ac:dyDescent="0.25">
      <c r="A680" s="7"/>
      <c r="E680" s="7"/>
      <c r="F680" s="7"/>
    </row>
    <row r="681" spans="1:6" x14ac:dyDescent="0.25">
      <c r="A681" s="7"/>
      <c r="E681" s="7"/>
      <c r="F681" s="7"/>
    </row>
    <row r="682" spans="1:6" x14ac:dyDescent="0.25">
      <c r="A682" s="7"/>
      <c r="E682" s="7"/>
      <c r="F682" s="7"/>
    </row>
    <row r="683" spans="1:6" x14ac:dyDescent="0.25">
      <c r="A683" s="7"/>
      <c r="E683" s="7"/>
      <c r="F683" s="7"/>
    </row>
    <row r="684" spans="1:6" x14ac:dyDescent="0.25">
      <c r="A684" s="7"/>
      <c r="E684" s="7"/>
      <c r="F684" s="7"/>
    </row>
    <row r="685" spans="1:6" x14ac:dyDescent="0.25">
      <c r="A685" s="7"/>
      <c r="E685" s="7"/>
      <c r="F685" s="7"/>
    </row>
    <row r="686" spans="1:6" x14ac:dyDescent="0.25">
      <c r="A686" s="7"/>
      <c r="E686" s="7"/>
      <c r="F686" s="7"/>
    </row>
    <row r="687" spans="1:6" x14ac:dyDescent="0.25">
      <c r="A687" s="7"/>
      <c r="E687" s="7"/>
      <c r="F687" s="7"/>
    </row>
    <row r="688" spans="1:6" x14ac:dyDescent="0.25">
      <c r="A688" s="7"/>
      <c r="E688" s="7"/>
      <c r="F688" s="7"/>
    </row>
    <row r="689" spans="1:6" x14ac:dyDescent="0.25">
      <c r="A689" s="7"/>
      <c r="E689" s="7"/>
      <c r="F689" s="7"/>
    </row>
    <row r="690" spans="1:6" x14ac:dyDescent="0.25">
      <c r="A690" s="7"/>
      <c r="E690" s="7"/>
      <c r="F690" s="7"/>
    </row>
    <row r="691" spans="1:6" x14ac:dyDescent="0.25">
      <c r="A691" s="7"/>
      <c r="E691" s="7"/>
      <c r="F691" s="7"/>
    </row>
    <row r="692" spans="1:6" x14ac:dyDescent="0.25">
      <c r="A692" s="7"/>
      <c r="E692" s="7"/>
      <c r="F692" s="7"/>
    </row>
    <row r="693" spans="1:6" x14ac:dyDescent="0.25">
      <c r="A693" s="7"/>
      <c r="E693" s="7"/>
      <c r="F693" s="7"/>
    </row>
    <row r="694" spans="1:6" x14ac:dyDescent="0.25">
      <c r="A694" s="7"/>
      <c r="E694" s="7"/>
      <c r="F694" s="7"/>
    </row>
    <row r="695" spans="1:6" x14ac:dyDescent="0.25">
      <c r="A695" s="7"/>
      <c r="E695" s="7"/>
      <c r="F695" s="7"/>
    </row>
    <row r="696" spans="1:6" x14ac:dyDescent="0.25">
      <c r="A696" s="7"/>
      <c r="E696" s="7"/>
      <c r="F696" s="7"/>
    </row>
    <row r="697" spans="1:6" x14ac:dyDescent="0.25">
      <c r="A697" s="7"/>
      <c r="E697" s="7"/>
      <c r="F697" s="7"/>
    </row>
    <row r="698" spans="1:6" x14ac:dyDescent="0.25">
      <c r="A698" s="7"/>
      <c r="E698" s="7"/>
      <c r="F698" s="7"/>
    </row>
    <row r="699" spans="1:6" x14ac:dyDescent="0.25">
      <c r="A699" s="7"/>
      <c r="E699" s="7"/>
      <c r="F699" s="7"/>
    </row>
    <row r="700" spans="1:6" x14ac:dyDescent="0.25">
      <c r="A700" s="7"/>
      <c r="E700" s="7"/>
      <c r="F700" s="7"/>
    </row>
    <row r="701" spans="1:6" x14ac:dyDescent="0.25">
      <c r="A701" s="7"/>
      <c r="E701" s="7"/>
      <c r="F701" s="7"/>
    </row>
    <row r="702" spans="1:6" x14ac:dyDescent="0.25">
      <c r="A702" s="7"/>
      <c r="E702" s="7"/>
      <c r="F702" s="7"/>
    </row>
    <row r="703" spans="1:6" x14ac:dyDescent="0.25">
      <c r="A703" s="7"/>
      <c r="E703" s="7"/>
      <c r="F703" s="7"/>
    </row>
    <row r="704" spans="1:6" x14ac:dyDescent="0.25">
      <c r="A704" s="7"/>
      <c r="E704" s="7"/>
      <c r="F704" s="7"/>
    </row>
    <row r="705" spans="1:6" x14ac:dyDescent="0.25">
      <c r="A705" s="7"/>
      <c r="E705" s="7"/>
      <c r="F705" s="7"/>
    </row>
    <row r="706" spans="1:6" x14ac:dyDescent="0.25">
      <c r="A706" s="7"/>
      <c r="E706" s="7"/>
      <c r="F706" s="7"/>
    </row>
    <row r="707" spans="1:6" x14ac:dyDescent="0.25">
      <c r="A707" s="7"/>
      <c r="E707" s="7"/>
      <c r="F707" s="7"/>
    </row>
    <row r="708" spans="1:6" x14ac:dyDescent="0.25">
      <c r="A708" s="7"/>
      <c r="E708" s="7"/>
      <c r="F708" s="7"/>
    </row>
    <row r="709" spans="1:6" x14ac:dyDescent="0.25">
      <c r="A709" s="7"/>
      <c r="E709" s="7"/>
      <c r="F709" s="7"/>
    </row>
    <row r="710" spans="1:6" x14ac:dyDescent="0.25">
      <c r="A710" s="7"/>
      <c r="E710" s="7"/>
      <c r="F710" s="7"/>
    </row>
    <row r="711" spans="1:6" x14ac:dyDescent="0.25">
      <c r="A711" s="7"/>
      <c r="E711" s="7"/>
      <c r="F711" s="7"/>
    </row>
    <row r="712" spans="1:6" x14ac:dyDescent="0.25">
      <c r="A712" s="7"/>
      <c r="E712" s="7"/>
      <c r="F712" s="7"/>
    </row>
    <row r="713" spans="1:6" x14ac:dyDescent="0.25">
      <c r="A713" s="7"/>
      <c r="E713" s="7"/>
      <c r="F713" s="7"/>
    </row>
    <row r="714" spans="1:6" x14ac:dyDescent="0.25">
      <c r="A714" s="7"/>
      <c r="E714" s="7"/>
      <c r="F714" s="7"/>
    </row>
    <row r="715" spans="1:6" x14ac:dyDescent="0.25">
      <c r="A715" s="7"/>
      <c r="E715" s="7"/>
      <c r="F715" s="7"/>
    </row>
    <row r="716" spans="1:6" x14ac:dyDescent="0.25">
      <c r="A716" s="7"/>
      <c r="E716" s="7"/>
      <c r="F716" s="7"/>
    </row>
    <row r="717" spans="1:6" x14ac:dyDescent="0.25">
      <c r="A717" s="7"/>
      <c r="E717" s="7"/>
      <c r="F717" s="7"/>
    </row>
    <row r="718" spans="1:6" x14ac:dyDescent="0.25">
      <c r="A718" s="7"/>
      <c r="E718" s="7"/>
      <c r="F718" s="7"/>
    </row>
    <row r="719" spans="1:6" x14ac:dyDescent="0.25">
      <c r="A719" s="7"/>
      <c r="E719" s="7"/>
      <c r="F719" s="7"/>
    </row>
    <row r="720" spans="1:6" x14ac:dyDescent="0.25">
      <c r="A720" s="7"/>
      <c r="E720" s="7"/>
      <c r="F720" s="7"/>
    </row>
    <row r="721" spans="1:6" x14ac:dyDescent="0.25">
      <c r="A721" s="7"/>
      <c r="E721" s="7"/>
      <c r="F721" s="7"/>
    </row>
    <row r="722" spans="1:6" x14ac:dyDescent="0.25">
      <c r="A722" s="7"/>
      <c r="E722" s="7"/>
      <c r="F722" s="7"/>
    </row>
    <row r="723" spans="1:6" x14ac:dyDescent="0.25">
      <c r="A723" s="7"/>
      <c r="E723" s="7"/>
      <c r="F723" s="7"/>
    </row>
    <row r="724" spans="1:6" x14ac:dyDescent="0.25">
      <c r="A724" s="7"/>
      <c r="E724" s="7"/>
      <c r="F724" s="7"/>
    </row>
    <row r="725" spans="1:6" x14ac:dyDescent="0.25">
      <c r="A725" s="7"/>
      <c r="E725" s="7"/>
      <c r="F725" s="7"/>
    </row>
    <row r="726" spans="1:6" x14ac:dyDescent="0.25">
      <c r="A726" s="7"/>
      <c r="E726" s="7"/>
      <c r="F726" s="7"/>
    </row>
    <row r="727" spans="1:6" x14ac:dyDescent="0.25">
      <c r="A727" s="7"/>
      <c r="E727" s="7"/>
      <c r="F727" s="7"/>
    </row>
    <row r="728" spans="1:6" x14ac:dyDescent="0.25">
      <c r="A728" s="7"/>
      <c r="E728" s="7"/>
      <c r="F728" s="7"/>
    </row>
    <row r="729" spans="1:6" x14ac:dyDescent="0.25">
      <c r="A729" s="7"/>
      <c r="E729" s="7"/>
      <c r="F729" s="7"/>
    </row>
    <row r="730" spans="1:6" x14ac:dyDescent="0.25">
      <c r="A730" s="7"/>
      <c r="E730" s="7"/>
      <c r="F730" s="7"/>
    </row>
    <row r="731" spans="1:6" x14ac:dyDescent="0.25">
      <c r="A731" s="7"/>
      <c r="E731" s="7"/>
      <c r="F731" s="7"/>
    </row>
    <row r="732" spans="1:6" x14ac:dyDescent="0.25">
      <c r="A732" s="7"/>
      <c r="E732" s="7"/>
      <c r="F732" s="7"/>
    </row>
    <row r="733" spans="1:6" x14ac:dyDescent="0.25">
      <c r="A733" s="7"/>
      <c r="E733" s="7"/>
      <c r="F733" s="7"/>
    </row>
    <row r="734" spans="1:6" x14ac:dyDescent="0.25">
      <c r="A734" s="7"/>
      <c r="E734" s="7"/>
      <c r="F734" s="7"/>
    </row>
    <row r="735" spans="1:6" x14ac:dyDescent="0.25">
      <c r="A735" s="7"/>
      <c r="E735" s="7"/>
      <c r="F735" s="7"/>
    </row>
    <row r="736" spans="1:6" x14ac:dyDescent="0.25">
      <c r="A736" s="7"/>
      <c r="E736" s="7"/>
      <c r="F736" s="7"/>
    </row>
    <row r="737" spans="1:6" x14ac:dyDescent="0.25">
      <c r="A737" s="7"/>
      <c r="E737" s="7"/>
      <c r="F737" s="7"/>
    </row>
    <row r="738" spans="1:6" x14ac:dyDescent="0.25">
      <c r="A738" s="7"/>
      <c r="E738" s="7"/>
      <c r="F738" s="7"/>
    </row>
    <row r="739" spans="1:6" x14ac:dyDescent="0.25">
      <c r="A739" s="7"/>
      <c r="E739" s="7"/>
      <c r="F739" s="7"/>
    </row>
    <row r="740" spans="1:6" x14ac:dyDescent="0.25">
      <c r="A740" s="7"/>
      <c r="E740" s="7"/>
      <c r="F740" s="7"/>
    </row>
    <row r="741" spans="1:6" x14ac:dyDescent="0.25">
      <c r="A741" s="7"/>
      <c r="E741" s="7"/>
      <c r="F741" s="7"/>
    </row>
    <row r="742" spans="1:6" x14ac:dyDescent="0.25">
      <c r="A742" s="7"/>
      <c r="E742" s="7"/>
      <c r="F742" s="7"/>
    </row>
    <row r="743" spans="1:6" x14ac:dyDescent="0.25">
      <c r="A743" s="7"/>
      <c r="E743" s="7"/>
      <c r="F743" s="7"/>
    </row>
    <row r="744" spans="1:6" x14ac:dyDescent="0.25">
      <c r="A744" s="7"/>
      <c r="E744" s="7"/>
      <c r="F744" s="7"/>
    </row>
    <row r="745" spans="1:6" x14ac:dyDescent="0.25">
      <c r="A745" s="7"/>
      <c r="E745" s="7"/>
      <c r="F745" s="7"/>
    </row>
    <row r="746" spans="1:6" x14ac:dyDescent="0.25">
      <c r="A746" s="7"/>
      <c r="E746" s="7"/>
      <c r="F746" s="7"/>
    </row>
    <row r="747" spans="1:6" x14ac:dyDescent="0.25">
      <c r="A747" s="7"/>
      <c r="E747" s="7"/>
      <c r="F747" s="7"/>
    </row>
    <row r="748" spans="1:6" x14ac:dyDescent="0.25">
      <c r="A748" s="7"/>
      <c r="E748" s="7"/>
      <c r="F748" s="7"/>
    </row>
    <row r="749" spans="1:6" x14ac:dyDescent="0.25">
      <c r="A749" s="7"/>
      <c r="E749" s="7"/>
      <c r="F749" s="7"/>
    </row>
    <row r="750" spans="1:6" x14ac:dyDescent="0.25">
      <c r="A750" s="7"/>
      <c r="E750" s="7"/>
      <c r="F750" s="7"/>
    </row>
    <row r="751" spans="1:6" x14ac:dyDescent="0.25">
      <c r="A751" s="7"/>
      <c r="E751" s="7"/>
      <c r="F751" s="7"/>
    </row>
    <row r="752" spans="1:6" x14ac:dyDescent="0.25">
      <c r="A752" s="7"/>
      <c r="E752" s="7"/>
      <c r="F752" s="7"/>
    </row>
    <row r="753" spans="1:6" x14ac:dyDescent="0.25">
      <c r="A753" s="7"/>
      <c r="E753" s="7"/>
      <c r="F753" s="7"/>
    </row>
    <row r="754" spans="1:6" x14ac:dyDescent="0.25">
      <c r="A754" s="7"/>
      <c r="E754" s="7"/>
      <c r="F754" s="7"/>
    </row>
    <row r="755" spans="1:6" x14ac:dyDescent="0.25">
      <c r="A755" s="7"/>
      <c r="E755" s="7"/>
      <c r="F755" s="7"/>
    </row>
    <row r="756" spans="1:6" x14ac:dyDescent="0.25">
      <c r="A756" s="7"/>
      <c r="E756" s="7"/>
      <c r="F756" s="7"/>
    </row>
    <row r="757" spans="1:6" x14ac:dyDescent="0.25">
      <c r="A757" s="7"/>
      <c r="E757" s="7"/>
      <c r="F757" s="7"/>
    </row>
    <row r="758" spans="1:6" x14ac:dyDescent="0.25">
      <c r="A758" s="7"/>
      <c r="E758" s="7"/>
      <c r="F758" s="7"/>
    </row>
    <row r="759" spans="1:6" x14ac:dyDescent="0.25">
      <c r="A759" s="7"/>
      <c r="E759" s="7"/>
      <c r="F759" s="7"/>
    </row>
    <row r="760" spans="1:6" x14ac:dyDescent="0.25">
      <c r="A760" s="7"/>
      <c r="E760" s="7"/>
      <c r="F760" s="7"/>
    </row>
    <row r="761" spans="1:6" x14ac:dyDescent="0.25">
      <c r="A761" s="7"/>
      <c r="E761" s="7"/>
      <c r="F761" s="7"/>
    </row>
    <row r="762" spans="1:6" x14ac:dyDescent="0.25">
      <c r="A762" s="7"/>
      <c r="E762" s="7"/>
      <c r="F762" s="7"/>
    </row>
    <row r="763" spans="1:6" x14ac:dyDescent="0.25">
      <c r="A763" s="7"/>
      <c r="E763" s="7"/>
      <c r="F763" s="7"/>
    </row>
    <row r="764" spans="1:6" x14ac:dyDescent="0.25">
      <c r="A764" s="7"/>
      <c r="E764" s="7"/>
      <c r="F764" s="7"/>
    </row>
    <row r="765" spans="1:6" x14ac:dyDescent="0.25">
      <c r="A765" s="7"/>
      <c r="E765" s="7"/>
      <c r="F765" s="7"/>
    </row>
    <row r="766" spans="1:6" x14ac:dyDescent="0.25">
      <c r="A766" s="7"/>
      <c r="E766" s="7"/>
      <c r="F766" s="7"/>
    </row>
    <row r="767" spans="1:6" x14ac:dyDescent="0.25">
      <c r="A767" s="7"/>
      <c r="E767" s="7"/>
      <c r="F767" s="7"/>
    </row>
    <row r="768" spans="1:6" x14ac:dyDescent="0.25">
      <c r="A768" s="7"/>
      <c r="E768" s="7"/>
      <c r="F768" s="7"/>
    </row>
    <row r="769" spans="1:6" x14ac:dyDescent="0.25">
      <c r="A769" s="7"/>
      <c r="E769" s="7"/>
      <c r="F769" s="7"/>
    </row>
    <row r="770" spans="1:6" x14ac:dyDescent="0.25">
      <c r="A770" s="7"/>
      <c r="E770" s="7"/>
      <c r="F770" s="7"/>
    </row>
    <row r="771" spans="1:6" x14ac:dyDescent="0.25">
      <c r="A771" s="7"/>
      <c r="E771" s="7"/>
      <c r="F771" s="7"/>
    </row>
    <row r="772" spans="1:6" x14ac:dyDescent="0.25">
      <c r="A772" s="7"/>
      <c r="E772" s="7"/>
      <c r="F772" s="7"/>
    </row>
    <row r="773" spans="1:6" x14ac:dyDescent="0.25">
      <c r="A773" s="7"/>
      <c r="E773" s="7"/>
      <c r="F773" s="7"/>
    </row>
    <row r="774" spans="1:6" x14ac:dyDescent="0.25">
      <c r="A774" s="7"/>
      <c r="E774" s="7"/>
      <c r="F774" s="7"/>
    </row>
    <row r="775" spans="1:6" x14ac:dyDescent="0.25">
      <c r="A775" s="7"/>
      <c r="E775" s="7"/>
      <c r="F775" s="7"/>
    </row>
    <row r="776" spans="1:6" x14ac:dyDescent="0.25">
      <c r="A776" s="7"/>
      <c r="E776" s="7"/>
      <c r="F776" s="7"/>
    </row>
    <row r="777" spans="1:6" x14ac:dyDescent="0.25">
      <c r="A777" s="7"/>
      <c r="E777" s="7"/>
      <c r="F777" s="7"/>
    </row>
    <row r="778" spans="1:6" x14ac:dyDescent="0.25">
      <c r="A778" s="7"/>
      <c r="E778" s="7"/>
      <c r="F778" s="7"/>
    </row>
    <row r="779" spans="1:6" x14ac:dyDescent="0.25">
      <c r="A779" s="7"/>
      <c r="E779" s="7"/>
      <c r="F779" s="7"/>
    </row>
    <row r="780" spans="1:6" x14ac:dyDescent="0.25">
      <c r="A780" s="7"/>
      <c r="E780" s="7"/>
      <c r="F780" s="7"/>
    </row>
    <row r="781" spans="1:6" x14ac:dyDescent="0.25">
      <c r="A781" s="7"/>
      <c r="E781" s="7"/>
      <c r="F781" s="7"/>
    </row>
    <row r="782" spans="1:6" x14ac:dyDescent="0.25">
      <c r="A782" s="7"/>
      <c r="E782" s="7"/>
      <c r="F782" s="7"/>
    </row>
    <row r="783" spans="1:6" x14ac:dyDescent="0.25">
      <c r="A783" s="7"/>
      <c r="E783" s="7"/>
      <c r="F783" s="7"/>
    </row>
    <row r="784" spans="1:6" x14ac:dyDescent="0.25">
      <c r="A784" s="7"/>
      <c r="E784" s="7"/>
      <c r="F784" s="7"/>
    </row>
    <row r="785" spans="1:6" x14ac:dyDescent="0.25">
      <c r="A785" s="7"/>
      <c r="E785" s="7"/>
      <c r="F785" s="7"/>
    </row>
    <row r="786" spans="1:6" x14ac:dyDescent="0.25">
      <c r="A786" s="7"/>
      <c r="E786" s="7"/>
      <c r="F786" s="7"/>
    </row>
    <row r="787" spans="1:6" x14ac:dyDescent="0.25">
      <c r="A787" s="7"/>
      <c r="E787" s="7"/>
      <c r="F787" s="7"/>
    </row>
    <row r="788" spans="1:6" x14ac:dyDescent="0.25">
      <c r="A788" s="7"/>
      <c r="E788" s="7"/>
      <c r="F788" s="7"/>
    </row>
    <row r="789" spans="1:6" x14ac:dyDescent="0.25">
      <c r="A789" s="7"/>
      <c r="E789" s="7"/>
      <c r="F789" s="7"/>
    </row>
    <row r="790" spans="1:6" x14ac:dyDescent="0.25">
      <c r="A790" s="7"/>
      <c r="E790" s="7"/>
      <c r="F790" s="7"/>
    </row>
    <row r="791" spans="1:6" x14ac:dyDescent="0.25">
      <c r="A791" s="7"/>
      <c r="E791" s="7"/>
      <c r="F791" s="7"/>
    </row>
    <row r="792" spans="1:6" x14ac:dyDescent="0.25">
      <c r="A792" s="7"/>
      <c r="E792" s="7"/>
      <c r="F792" s="7"/>
    </row>
    <row r="793" spans="1:6" x14ac:dyDescent="0.25">
      <c r="A793" s="7"/>
      <c r="E793" s="7"/>
      <c r="F793" s="7"/>
    </row>
    <row r="794" spans="1:6" x14ac:dyDescent="0.25">
      <c r="A794" s="7"/>
      <c r="E794" s="7"/>
      <c r="F794" s="7"/>
    </row>
    <row r="795" spans="1:6" x14ac:dyDescent="0.25">
      <c r="A795" s="7"/>
      <c r="E795" s="7"/>
      <c r="F795" s="7"/>
    </row>
    <row r="796" spans="1:6" x14ac:dyDescent="0.25">
      <c r="A796" s="7"/>
      <c r="E796" s="7"/>
      <c r="F796" s="7"/>
    </row>
    <row r="797" spans="1:6" x14ac:dyDescent="0.25">
      <c r="A797" s="7"/>
      <c r="E797" s="7"/>
      <c r="F797" s="7"/>
    </row>
    <row r="798" spans="1:6" x14ac:dyDescent="0.25">
      <c r="A798" s="7"/>
      <c r="E798" s="7"/>
      <c r="F798" s="7"/>
    </row>
    <row r="799" spans="1:6" x14ac:dyDescent="0.25">
      <c r="A799" s="7"/>
      <c r="E799" s="7"/>
      <c r="F799" s="7"/>
    </row>
    <row r="800" spans="1:6" x14ac:dyDescent="0.25">
      <c r="A800" s="7"/>
      <c r="E800" s="7"/>
      <c r="F800" s="7"/>
    </row>
    <row r="801" spans="1:6" x14ac:dyDescent="0.25">
      <c r="A801" s="7"/>
      <c r="E801" s="7"/>
      <c r="F801" s="7"/>
    </row>
    <row r="802" spans="1:6" x14ac:dyDescent="0.25">
      <c r="A802" s="7"/>
      <c r="E802" s="7"/>
      <c r="F802" s="7"/>
    </row>
    <row r="803" spans="1:6" x14ac:dyDescent="0.25">
      <c r="A803" s="7"/>
      <c r="E803" s="7"/>
      <c r="F803" s="7"/>
    </row>
    <row r="804" spans="1:6" x14ac:dyDescent="0.25">
      <c r="A804" s="7"/>
      <c r="E804" s="7"/>
      <c r="F804" s="7"/>
    </row>
    <row r="805" spans="1:6" x14ac:dyDescent="0.25">
      <c r="A805" s="7"/>
      <c r="E805" s="7"/>
      <c r="F805" s="7"/>
    </row>
    <row r="806" spans="1:6" x14ac:dyDescent="0.25">
      <c r="A806" s="7"/>
      <c r="E806" s="7"/>
      <c r="F806" s="7"/>
    </row>
    <row r="807" spans="1:6" x14ac:dyDescent="0.25">
      <c r="A807" s="7"/>
      <c r="E807" s="7"/>
      <c r="F807" s="7"/>
    </row>
    <row r="808" spans="1:6" x14ac:dyDescent="0.25">
      <c r="A808" s="7"/>
      <c r="E808" s="7"/>
      <c r="F808" s="7"/>
    </row>
    <row r="809" spans="1:6" x14ac:dyDescent="0.25">
      <c r="A809" s="7"/>
      <c r="E809" s="7"/>
      <c r="F809" s="7"/>
    </row>
    <row r="810" spans="1:6" x14ac:dyDescent="0.25">
      <c r="A810" s="7"/>
      <c r="E810" s="7"/>
      <c r="F810" s="7"/>
    </row>
    <row r="811" spans="1:6" x14ac:dyDescent="0.25">
      <c r="A811" s="7"/>
      <c r="E811" s="7"/>
      <c r="F811" s="7"/>
    </row>
    <row r="812" spans="1:6" x14ac:dyDescent="0.25">
      <c r="A812" s="7"/>
      <c r="E812" s="7"/>
      <c r="F812" s="7"/>
    </row>
    <row r="813" spans="1:6" x14ac:dyDescent="0.25">
      <c r="A813" s="7"/>
      <c r="E813" s="7"/>
      <c r="F813" s="7"/>
    </row>
    <row r="814" spans="1:6" x14ac:dyDescent="0.25">
      <c r="A814" s="7"/>
      <c r="E814" s="7"/>
      <c r="F814" s="7"/>
    </row>
    <row r="815" spans="1:6" x14ac:dyDescent="0.25">
      <c r="A815" s="7"/>
      <c r="E815" s="7"/>
      <c r="F815" s="7"/>
    </row>
    <row r="816" spans="1:6" x14ac:dyDescent="0.25">
      <c r="A816" s="7"/>
      <c r="E816" s="7"/>
      <c r="F816" s="7"/>
    </row>
    <row r="817" spans="1:6" x14ac:dyDescent="0.25">
      <c r="A817" s="7"/>
      <c r="E817" s="7"/>
      <c r="F817" s="7"/>
    </row>
    <row r="818" spans="1:6" x14ac:dyDescent="0.25">
      <c r="A818" s="7"/>
      <c r="E818" s="7"/>
      <c r="F818" s="7"/>
    </row>
    <row r="819" spans="1:6" x14ac:dyDescent="0.25">
      <c r="A819" s="7"/>
      <c r="E819" s="7"/>
      <c r="F819" s="7"/>
    </row>
    <row r="820" spans="1:6" x14ac:dyDescent="0.25">
      <c r="A820" s="7"/>
      <c r="E820" s="7"/>
      <c r="F820" s="7"/>
    </row>
    <row r="821" spans="1:6" x14ac:dyDescent="0.25">
      <c r="A821" s="7"/>
      <c r="E821" s="7"/>
      <c r="F821" s="7"/>
    </row>
    <row r="822" spans="1:6" x14ac:dyDescent="0.25">
      <c r="A822" s="7"/>
      <c r="E822" s="7"/>
      <c r="F822" s="7"/>
    </row>
    <row r="823" spans="1:6" x14ac:dyDescent="0.25">
      <c r="A823" s="7"/>
      <c r="E823" s="7"/>
      <c r="F823" s="7"/>
    </row>
    <row r="824" spans="1:6" x14ac:dyDescent="0.25">
      <c r="A824" s="7"/>
      <c r="E824" s="7"/>
      <c r="F824" s="7"/>
    </row>
    <row r="825" spans="1:6" x14ac:dyDescent="0.25">
      <c r="A825" s="7"/>
      <c r="E825" s="7"/>
      <c r="F825" s="7"/>
    </row>
    <row r="826" spans="1:6" x14ac:dyDescent="0.25">
      <c r="A826" s="7"/>
      <c r="E826" s="7"/>
      <c r="F826" s="7"/>
    </row>
    <row r="827" spans="1:6" x14ac:dyDescent="0.25">
      <c r="A827" s="7"/>
      <c r="E827" s="7"/>
      <c r="F827" s="7"/>
    </row>
    <row r="828" spans="1:6" x14ac:dyDescent="0.25">
      <c r="A828" s="7"/>
      <c r="E828" s="7"/>
      <c r="F828" s="7"/>
    </row>
    <row r="829" spans="1:6" x14ac:dyDescent="0.25">
      <c r="A829" s="7"/>
      <c r="E829" s="7"/>
      <c r="F829" s="7"/>
    </row>
    <row r="830" spans="1:6" x14ac:dyDescent="0.25">
      <c r="A830" s="7"/>
      <c r="E830" s="7"/>
      <c r="F830" s="7"/>
    </row>
    <row r="831" spans="1:6" x14ac:dyDescent="0.25">
      <c r="A831" s="7"/>
      <c r="E831" s="7"/>
      <c r="F831" s="7"/>
    </row>
    <row r="832" spans="1:6" x14ac:dyDescent="0.25">
      <c r="A832" s="7"/>
      <c r="E832" s="7"/>
      <c r="F832" s="7"/>
    </row>
    <row r="833" spans="1:6" x14ac:dyDescent="0.25">
      <c r="A833" s="7"/>
      <c r="E833" s="7"/>
      <c r="F833" s="7"/>
    </row>
    <row r="834" spans="1:6" x14ac:dyDescent="0.25">
      <c r="A834" s="7"/>
      <c r="E834" s="7"/>
      <c r="F834" s="7"/>
    </row>
    <row r="835" spans="1:6" x14ac:dyDescent="0.25">
      <c r="A835" s="7"/>
      <c r="E835" s="7"/>
      <c r="F835" s="7"/>
    </row>
    <row r="836" spans="1:6" x14ac:dyDescent="0.25">
      <c r="A836" s="7"/>
      <c r="E836" s="7"/>
      <c r="F836" s="7"/>
    </row>
    <row r="837" spans="1:6" x14ac:dyDescent="0.25">
      <c r="A837" s="7"/>
      <c r="E837" s="7"/>
      <c r="F837" s="7"/>
    </row>
    <row r="838" spans="1:6" x14ac:dyDescent="0.25">
      <c r="A838" s="7"/>
      <c r="E838" s="7"/>
      <c r="F838" s="7"/>
    </row>
    <row r="839" spans="1:6" x14ac:dyDescent="0.25">
      <c r="A839" s="7"/>
      <c r="E839" s="7"/>
      <c r="F839" s="7"/>
    </row>
    <row r="840" spans="1:6" x14ac:dyDescent="0.25">
      <c r="A840" s="7"/>
      <c r="E840" s="7"/>
      <c r="F840" s="7"/>
    </row>
    <row r="841" spans="1:6" x14ac:dyDescent="0.25">
      <c r="A841" s="7"/>
      <c r="E841" s="7"/>
      <c r="F841" s="7"/>
    </row>
    <row r="842" spans="1:6" x14ac:dyDescent="0.25">
      <c r="A842" s="7"/>
      <c r="E842" s="7"/>
      <c r="F842" s="7"/>
    </row>
    <row r="843" spans="1:6" x14ac:dyDescent="0.25">
      <c r="A843" s="7"/>
      <c r="E843" s="7"/>
      <c r="F843" s="7"/>
    </row>
    <row r="844" spans="1:6" x14ac:dyDescent="0.25">
      <c r="A844" s="7"/>
      <c r="E844" s="7"/>
      <c r="F844" s="7"/>
    </row>
    <row r="845" spans="1:6" x14ac:dyDescent="0.25">
      <c r="A845" s="7"/>
      <c r="E845" s="7"/>
      <c r="F845" s="7"/>
    </row>
    <row r="846" spans="1:6" x14ac:dyDescent="0.25">
      <c r="A846" s="7"/>
      <c r="E846" s="7"/>
      <c r="F846" s="7"/>
    </row>
    <row r="847" spans="1:6" x14ac:dyDescent="0.25">
      <c r="A847" s="7"/>
      <c r="E847" s="7"/>
      <c r="F847" s="7"/>
    </row>
    <row r="848" spans="1:6" x14ac:dyDescent="0.25">
      <c r="A848" s="7"/>
      <c r="E848" s="7"/>
      <c r="F848" s="7"/>
    </row>
    <row r="849" spans="1:6" x14ac:dyDescent="0.25">
      <c r="A849" s="7"/>
      <c r="E849" s="7"/>
      <c r="F849" s="7"/>
    </row>
    <row r="850" spans="1:6" x14ac:dyDescent="0.25">
      <c r="A850" s="7"/>
      <c r="E850" s="7"/>
      <c r="F850" s="7"/>
    </row>
    <row r="851" spans="1:6" x14ac:dyDescent="0.25">
      <c r="A851" s="7"/>
      <c r="E851" s="7"/>
      <c r="F851" s="7"/>
    </row>
    <row r="852" spans="1:6" x14ac:dyDescent="0.25">
      <c r="A852" s="7"/>
      <c r="E852" s="7"/>
      <c r="F852" s="7"/>
    </row>
    <row r="853" spans="1:6" x14ac:dyDescent="0.25">
      <c r="A853" s="7"/>
      <c r="E853" s="7"/>
      <c r="F853" s="7"/>
    </row>
    <row r="854" spans="1:6" x14ac:dyDescent="0.25">
      <c r="A854" s="7"/>
      <c r="E854" s="7"/>
      <c r="F854" s="7"/>
    </row>
    <row r="855" spans="1:6" x14ac:dyDescent="0.25">
      <c r="A855" s="7"/>
      <c r="E855" s="7"/>
      <c r="F855" s="7"/>
    </row>
    <row r="856" spans="1:6" x14ac:dyDescent="0.25">
      <c r="A856" s="7"/>
      <c r="E856" s="7"/>
      <c r="F856" s="7"/>
    </row>
    <row r="857" spans="1:6" x14ac:dyDescent="0.25">
      <c r="A857" s="7"/>
      <c r="E857" s="7"/>
      <c r="F857" s="7"/>
    </row>
    <row r="858" spans="1:6" x14ac:dyDescent="0.25">
      <c r="A858" s="7"/>
      <c r="E858" s="7"/>
      <c r="F858" s="7"/>
    </row>
    <row r="859" spans="1:6" x14ac:dyDescent="0.25">
      <c r="A859" s="7"/>
      <c r="E859" s="7"/>
      <c r="F859" s="7"/>
    </row>
    <row r="860" spans="1:6" x14ac:dyDescent="0.25">
      <c r="A860" s="7"/>
      <c r="E860" s="7"/>
      <c r="F860" s="7"/>
    </row>
    <row r="861" spans="1:6" x14ac:dyDescent="0.25">
      <c r="A861" s="7"/>
      <c r="E861" s="7"/>
      <c r="F861" s="7"/>
    </row>
    <row r="862" spans="1:6" x14ac:dyDescent="0.25">
      <c r="A862" s="7"/>
      <c r="E862" s="7"/>
      <c r="F862" s="7"/>
    </row>
    <row r="863" spans="1:6" x14ac:dyDescent="0.25">
      <c r="A863" s="7"/>
      <c r="E863" s="7"/>
      <c r="F863" s="7"/>
    </row>
    <row r="864" spans="1:6" x14ac:dyDescent="0.25">
      <c r="A864" s="7"/>
      <c r="E864" s="7"/>
      <c r="F864" s="7"/>
    </row>
    <row r="865" spans="1:6" x14ac:dyDescent="0.25">
      <c r="A865" s="7"/>
      <c r="E865" s="7"/>
      <c r="F865" s="7"/>
    </row>
    <row r="866" spans="1:6" x14ac:dyDescent="0.25">
      <c r="A866" s="7"/>
      <c r="E866" s="7"/>
      <c r="F866" s="7"/>
    </row>
    <row r="867" spans="1:6" x14ac:dyDescent="0.25">
      <c r="A867" s="7"/>
      <c r="E867" s="7"/>
      <c r="F867" s="7"/>
    </row>
    <row r="868" spans="1:6" x14ac:dyDescent="0.25">
      <c r="A868" s="7"/>
      <c r="E868" s="7"/>
      <c r="F868" s="7"/>
    </row>
    <row r="869" spans="1:6" x14ac:dyDescent="0.25">
      <c r="A869" s="7"/>
      <c r="E869" s="7"/>
      <c r="F869" s="7"/>
    </row>
    <row r="870" spans="1:6" x14ac:dyDescent="0.25">
      <c r="A870" s="7"/>
      <c r="E870" s="7"/>
      <c r="F870" s="7"/>
    </row>
    <row r="871" spans="1:6" x14ac:dyDescent="0.25">
      <c r="A871" s="7"/>
      <c r="E871" s="7"/>
      <c r="F871" s="7"/>
    </row>
    <row r="872" spans="1:6" x14ac:dyDescent="0.25">
      <c r="A872" s="7"/>
      <c r="E872" s="7"/>
      <c r="F872" s="7"/>
    </row>
    <row r="873" spans="1:6" x14ac:dyDescent="0.25">
      <c r="A873" s="7"/>
      <c r="E873" s="7"/>
      <c r="F873" s="7"/>
    </row>
    <row r="874" spans="1:6" x14ac:dyDescent="0.25">
      <c r="A874" s="7"/>
      <c r="E874" s="7"/>
      <c r="F874" s="7"/>
    </row>
    <row r="875" spans="1:6" x14ac:dyDescent="0.25">
      <c r="A875" s="7"/>
      <c r="E875" s="7"/>
      <c r="F875" s="7"/>
    </row>
    <row r="876" spans="1:6" x14ac:dyDescent="0.25">
      <c r="A876" s="7"/>
      <c r="E876" s="7"/>
      <c r="F876" s="7"/>
    </row>
    <row r="877" spans="1:6" x14ac:dyDescent="0.25">
      <c r="A877" s="7"/>
      <c r="E877" s="7"/>
      <c r="F877" s="7"/>
    </row>
    <row r="878" spans="1:6" x14ac:dyDescent="0.25">
      <c r="A878" s="7"/>
      <c r="E878" s="7"/>
      <c r="F878" s="7"/>
    </row>
    <row r="879" spans="1:6" x14ac:dyDescent="0.25">
      <c r="A879" s="7"/>
      <c r="E879" s="7"/>
      <c r="F879" s="7"/>
    </row>
    <row r="880" spans="1:6" x14ac:dyDescent="0.25">
      <c r="A880" s="7"/>
      <c r="E880" s="7"/>
      <c r="F880" s="7"/>
    </row>
    <row r="881" spans="1:6" x14ac:dyDescent="0.25">
      <c r="A881" s="7"/>
      <c r="E881" s="7"/>
      <c r="F881" s="7"/>
    </row>
    <row r="882" spans="1:6" x14ac:dyDescent="0.25">
      <c r="A882" s="7"/>
      <c r="E882" s="7"/>
      <c r="F882" s="7"/>
    </row>
    <row r="883" spans="1:6" x14ac:dyDescent="0.25">
      <c r="A883" s="7"/>
      <c r="E883" s="7"/>
      <c r="F883" s="7"/>
    </row>
    <row r="884" spans="1:6" x14ac:dyDescent="0.25">
      <c r="A884" s="7"/>
      <c r="E884" s="7"/>
      <c r="F884" s="7"/>
    </row>
    <row r="885" spans="1:6" x14ac:dyDescent="0.25">
      <c r="A885" s="7"/>
      <c r="E885" s="7"/>
      <c r="F885" s="7"/>
    </row>
    <row r="886" spans="1:6" x14ac:dyDescent="0.25">
      <c r="A886" s="7"/>
      <c r="E886" s="7"/>
      <c r="F886" s="7"/>
    </row>
    <row r="887" spans="1:6" x14ac:dyDescent="0.25">
      <c r="A887" s="7"/>
      <c r="E887" s="7"/>
      <c r="F887" s="7"/>
    </row>
    <row r="888" spans="1:6" x14ac:dyDescent="0.25">
      <c r="A888" s="7"/>
      <c r="E888" s="7"/>
      <c r="F888" s="7"/>
    </row>
    <row r="889" spans="1:6" x14ac:dyDescent="0.25">
      <c r="A889" s="7"/>
      <c r="E889" s="7"/>
      <c r="F889" s="7"/>
    </row>
    <row r="890" spans="1:6" x14ac:dyDescent="0.25">
      <c r="A890" s="7"/>
      <c r="E890" s="7"/>
      <c r="F890" s="7"/>
    </row>
    <row r="891" spans="1:6" x14ac:dyDescent="0.25">
      <c r="A891" s="7"/>
      <c r="E891" s="7"/>
      <c r="F891" s="7"/>
    </row>
    <row r="892" spans="1:6" x14ac:dyDescent="0.25">
      <c r="A892" s="7"/>
      <c r="E892" s="7"/>
      <c r="F892" s="7"/>
    </row>
    <row r="893" spans="1:6" x14ac:dyDescent="0.25">
      <c r="A893" s="7"/>
      <c r="E893" s="7"/>
      <c r="F893" s="7"/>
    </row>
    <row r="894" spans="1:6" x14ac:dyDescent="0.25">
      <c r="A894" s="7"/>
      <c r="E894" s="7"/>
      <c r="F894" s="7"/>
    </row>
    <row r="895" spans="1:6" x14ac:dyDescent="0.25">
      <c r="A895" s="7"/>
      <c r="E895" s="7"/>
      <c r="F895" s="7"/>
    </row>
    <row r="896" spans="1:6" x14ac:dyDescent="0.25">
      <c r="A896" s="7"/>
      <c r="E896" s="7"/>
      <c r="F896" s="7"/>
    </row>
    <row r="897" spans="1:6" x14ac:dyDescent="0.25">
      <c r="A897" s="7"/>
      <c r="E897" s="7"/>
      <c r="F897" s="7"/>
    </row>
    <row r="898" spans="1:6" x14ac:dyDescent="0.25">
      <c r="A898" s="7"/>
      <c r="E898" s="7"/>
      <c r="F898" s="7"/>
    </row>
    <row r="899" spans="1:6" x14ac:dyDescent="0.25">
      <c r="A899" s="7"/>
      <c r="E899" s="7"/>
      <c r="F899" s="7"/>
    </row>
    <row r="900" spans="1:6" x14ac:dyDescent="0.25">
      <c r="A900" s="7"/>
      <c r="E900" s="7"/>
      <c r="F900" s="7"/>
    </row>
    <row r="901" spans="1:6" x14ac:dyDescent="0.25">
      <c r="A901" s="7"/>
      <c r="E901" s="7"/>
      <c r="F901" s="7"/>
    </row>
    <row r="902" spans="1:6" x14ac:dyDescent="0.25">
      <c r="A902" s="7"/>
      <c r="E902" s="7"/>
      <c r="F902" s="7"/>
    </row>
    <row r="903" spans="1:6" x14ac:dyDescent="0.25">
      <c r="A903" s="7"/>
      <c r="E903" s="7"/>
      <c r="F903" s="7"/>
    </row>
    <row r="904" spans="1:6" x14ac:dyDescent="0.25">
      <c r="A904" s="7"/>
      <c r="E904" s="7"/>
      <c r="F904" s="7"/>
    </row>
    <row r="905" spans="1:6" x14ac:dyDescent="0.25">
      <c r="A905" s="7"/>
      <c r="E905" s="7"/>
      <c r="F905" s="7"/>
    </row>
    <row r="906" spans="1:6" x14ac:dyDescent="0.25">
      <c r="A906" s="7"/>
      <c r="E906" s="7"/>
      <c r="F906" s="7"/>
    </row>
    <row r="907" spans="1:6" x14ac:dyDescent="0.25">
      <c r="A907" s="7"/>
      <c r="E907" s="7"/>
      <c r="F907" s="7"/>
    </row>
    <row r="908" spans="1:6" x14ac:dyDescent="0.25">
      <c r="A908" s="7"/>
      <c r="E908" s="7"/>
      <c r="F908" s="7"/>
    </row>
    <row r="909" spans="1:6" x14ac:dyDescent="0.25">
      <c r="A909" s="7"/>
      <c r="E909" s="7"/>
      <c r="F909" s="7"/>
    </row>
    <row r="910" spans="1:6" x14ac:dyDescent="0.25">
      <c r="A910" s="7"/>
      <c r="E910" s="7"/>
      <c r="F910" s="7"/>
    </row>
    <row r="911" spans="1:6" x14ac:dyDescent="0.25">
      <c r="A911" s="7"/>
      <c r="E911" s="7"/>
      <c r="F911" s="7"/>
    </row>
    <row r="912" spans="1:6" x14ac:dyDescent="0.25">
      <c r="A912" s="7"/>
      <c r="E912" s="7"/>
      <c r="F912" s="7"/>
    </row>
    <row r="913" spans="1:6" x14ac:dyDescent="0.25">
      <c r="A913" s="7"/>
      <c r="E913" s="7"/>
      <c r="F913" s="7"/>
    </row>
    <row r="914" spans="1:6" x14ac:dyDescent="0.25">
      <c r="A914" s="7"/>
      <c r="E914" s="7"/>
      <c r="F914" s="7"/>
    </row>
    <row r="915" spans="1:6" x14ac:dyDescent="0.25">
      <c r="A915" s="7"/>
      <c r="E915" s="7"/>
      <c r="F915" s="7"/>
    </row>
    <row r="916" spans="1:6" x14ac:dyDescent="0.25">
      <c r="A916" s="7"/>
      <c r="E916" s="7"/>
      <c r="F916" s="7"/>
    </row>
    <row r="917" spans="1:6" x14ac:dyDescent="0.25">
      <c r="A917" s="7"/>
      <c r="E917" s="7"/>
      <c r="F917" s="7"/>
    </row>
    <row r="918" spans="1:6" x14ac:dyDescent="0.25">
      <c r="A918" s="7"/>
      <c r="E918" s="7"/>
      <c r="F918" s="7"/>
    </row>
    <row r="919" spans="1:6" x14ac:dyDescent="0.25">
      <c r="A919" s="7"/>
      <c r="E919" s="7"/>
      <c r="F919" s="7"/>
    </row>
    <row r="920" spans="1:6" x14ac:dyDescent="0.25">
      <c r="A920" s="7"/>
      <c r="E920" s="7"/>
      <c r="F920" s="7"/>
    </row>
    <row r="921" spans="1:6" x14ac:dyDescent="0.25">
      <c r="A921" s="7"/>
      <c r="E921" s="7"/>
      <c r="F921" s="7"/>
    </row>
    <row r="922" spans="1:6" x14ac:dyDescent="0.25">
      <c r="A922" s="7"/>
      <c r="E922" s="7"/>
      <c r="F922" s="7"/>
    </row>
    <row r="923" spans="1:6" x14ac:dyDescent="0.25">
      <c r="A923" s="7"/>
      <c r="E923" s="7"/>
      <c r="F923" s="7"/>
    </row>
    <row r="924" spans="1:6" x14ac:dyDescent="0.25">
      <c r="A924" s="7"/>
      <c r="E924" s="7"/>
      <c r="F924" s="7"/>
    </row>
    <row r="925" spans="1:6" x14ac:dyDescent="0.25">
      <c r="A925" s="7"/>
      <c r="E925" s="7"/>
      <c r="F925" s="7"/>
    </row>
    <row r="926" spans="1:6" x14ac:dyDescent="0.25">
      <c r="A926" s="7"/>
      <c r="E926" s="7"/>
      <c r="F926" s="7"/>
    </row>
    <row r="927" spans="1:6" x14ac:dyDescent="0.25">
      <c r="A927" s="7"/>
      <c r="E927" s="7"/>
      <c r="F927" s="7"/>
    </row>
    <row r="928" spans="1:6" x14ac:dyDescent="0.25">
      <c r="A928" s="7"/>
      <c r="E928" s="7"/>
      <c r="F928" s="7"/>
    </row>
    <row r="929" spans="1:6" x14ac:dyDescent="0.25">
      <c r="A929" s="7"/>
      <c r="E929" s="7"/>
      <c r="F929" s="7"/>
    </row>
    <row r="930" spans="1:6" x14ac:dyDescent="0.25">
      <c r="A930" s="7"/>
      <c r="E930" s="7"/>
      <c r="F930" s="7"/>
    </row>
    <row r="931" spans="1:6" x14ac:dyDescent="0.25">
      <c r="A931" s="7"/>
      <c r="E931" s="7"/>
      <c r="F931" s="7"/>
    </row>
    <row r="932" spans="1:6" x14ac:dyDescent="0.25">
      <c r="A932" s="7"/>
      <c r="E932" s="7"/>
      <c r="F932" s="7"/>
    </row>
    <row r="933" spans="1:6" x14ac:dyDescent="0.25">
      <c r="A933" s="7"/>
      <c r="E933" s="7"/>
      <c r="F933" s="7"/>
    </row>
    <row r="934" spans="1:6" x14ac:dyDescent="0.25">
      <c r="A934" s="7"/>
      <c r="E934" s="7"/>
      <c r="F934" s="7"/>
    </row>
    <row r="935" spans="1:6" x14ac:dyDescent="0.25">
      <c r="A935" s="7"/>
      <c r="E935" s="7"/>
      <c r="F935" s="7"/>
    </row>
    <row r="936" spans="1:6" x14ac:dyDescent="0.25">
      <c r="A936" s="7"/>
      <c r="E936" s="7"/>
      <c r="F936" s="7"/>
    </row>
    <row r="937" spans="1:6" x14ac:dyDescent="0.25">
      <c r="A937" s="7"/>
      <c r="E937" s="7"/>
      <c r="F937" s="7"/>
    </row>
    <row r="938" spans="1:6" x14ac:dyDescent="0.25">
      <c r="A938" s="7"/>
      <c r="E938" s="7"/>
      <c r="F938" s="7"/>
    </row>
    <row r="939" spans="1:6" x14ac:dyDescent="0.25">
      <c r="A939" s="7"/>
      <c r="E939" s="7"/>
      <c r="F939" s="7"/>
    </row>
    <row r="940" spans="1:6" x14ac:dyDescent="0.25">
      <c r="A940" s="7"/>
      <c r="E940" s="7"/>
      <c r="F940" s="7"/>
    </row>
    <row r="941" spans="1:6" x14ac:dyDescent="0.25">
      <c r="A941" s="7"/>
      <c r="E941" s="7"/>
      <c r="F941" s="7"/>
    </row>
    <row r="942" spans="1:6" x14ac:dyDescent="0.25">
      <c r="A942" s="7"/>
      <c r="E942" s="7"/>
      <c r="F942" s="7"/>
    </row>
    <row r="943" spans="1:6" x14ac:dyDescent="0.25">
      <c r="A943" s="7"/>
      <c r="E943" s="7"/>
      <c r="F943" s="7"/>
    </row>
    <row r="944" spans="1:6" x14ac:dyDescent="0.25">
      <c r="A944" s="7"/>
      <c r="E944" s="7"/>
      <c r="F944" s="7"/>
    </row>
    <row r="945" spans="1:6" x14ac:dyDescent="0.25">
      <c r="A945" s="7"/>
      <c r="E945" s="7"/>
      <c r="F945" s="7"/>
    </row>
    <row r="946" spans="1:6" x14ac:dyDescent="0.25">
      <c r="A946" s="7"/>
      <c r="E946" s="7"/>
      <c r="F946" s="7"/>
    </row>
    <row r="947" spans="1:6" x14ac:dyDescent="0.25">
      <c r="A947" s="7"/>
      <c r="E947" s="7"/>
      <c r="F947" s="7"/>
    </row>
    <row r="948" spans="1:6" x14ac:dyDescent="0.25">
      <c r="A948" s="7"/>
      <c r="E948" s="7"/>
      <c r="F948" s="7"/>
    </row>
    <row r="949" spans="1:6" x14ac:dyDescent="0.25">
      <c r="A949" s="7"/>
      <c r="E949" s="7"/>
      <c r="F949" s="7"/>
    </row>
    <row r="950" spans="1:6" x14ac:dyDescent="0.25">
      <c r="A950" s="7"/>
      <c r="E950" s="7"/>
      <c r="F950" s="7"/>
    </row>
    <row r="951" spans="1:6" x14ac:dyDescent="0.25">
      <c r="A951" s="7"/>
      <c r="E951" s="7"/>
      <c r="F951" s="7"/>
    </row>
    <row r="952" spans="1:6" x14ac:dyDescent="0.25">
      <c r="A952" s="7"/>
      <c r="E952" s="7"/>
      <c r="F952" s="7"/>
    </row>
    <row r="953" spans="1:6" x14ac:dyDescent="0.25">
      <c r="A953" s="7"/>
      <c r="E953" s="7"/>
      <c r="F953" s="7"/>
    </row>
    <row r="954" spans="1:6" x14ac:dyDescent="0.25">
      <c r="A954" s="7"/>
      <c r="E954" s="7"/>
      <c r="F954" s="7"/>
    </row>
    <row r="955" spans="1:6" x14ac:dyDescent="0.25">
      <c r="A955" s="7"/>
      <c r="E955" s="7"/>
      <c r="F955" s="7"/>
    </row>
    <row r="956" spans="1:6" x14ac:dyDescent="0.25">
      <c r="A956" s="7"/>
      <c r="E956" s="7"/>
      <c r="F956" s="7"/>
    </row>
    <row r="957" spans="1:6" x14ac:dyDescent="0.25">
      <c r="A957" s="7"/>
      <c r="E957" s="7"/>
      <c r="F957" s="7"/>
    </row>
    <row r="958" spans="1:6" x14ac:dyDescent="0.25">
      <c r="A958" s="7"/>
      <c r="E958" s="7"/>
      <c r="F958" s="7"/>
    </row>
    <row r="959" spans="1:6" x14ac:dyDescent="0.25">
      <c r="A959" s="7"/>
      <c r="E959" s="7"/>
      <c r="F959" s="7"/>
    </row>
    <row r="960" spans="1:6" x14ac:dyDescent="0.25">
      <c r="A960" s="7"/>
      <c r="E960" s="7"/>
      <c r="F960" s="7"/>
    </row>
    <row r="961" spans="1:6" x14ac:dyDescent="0.25">
      <c r="A961" s="7"/>
      <c r="E961" s="7"/>
      <c r="F961" s="7"/>
    </row>
    <row r="962" spans="1:6" x14ac:dyDescent="0.25">
      <c r="A962" s="7"/>
      <c r="E962" s="7"/>
      <c r="F962" s="7"/>
    </row>
    <row r="963" spans="1:6" x14ac:dyDescent="0.25">
      <c r="A963" s="7"/>
      <c r="E963" s="7"/>
      <c r="F963" s="7"/>
    </row>
    <row r="964" spans="1:6" x14ac:dyDescent="0.25">
      <c r="A964" s="7"/>
      <c r="E964" s="7"/>
      <c r="F964" s="7"/>
    </row>
    <row r="965" spans="1:6" x14ac:dyDescent="0.25">
      <c r="A965" s="7"/>
      <c r="E965" s="7"/>
      <c r="F965" s="7"/>
    </row>
    <row r="966" spans="1:6" x14ac:dyDescent="0.25">
      <c r="A966" s="7"/>
      <c r="E966" s="7"/>
      <c r="F966" s="7"/>
    </row>
    <row r="967" spans="1:6" x14ac:dyDescent="0.25">
      <c r="A967" s="7"/>
      <c r="E967" s="7"/>
      <c r="F967" s="7"/>
    </row>
    <row r="968" spans="1:6" x14ac:dyDescent="0.25">
      <c r="A968" s="7"/>
      <c r="E968" s="7"/>
      <c r="F968" s="7"/>
    </row>
    <row r="969" spans="1:6" x14ac:dyDescent="0.25">
      <c r="A969" s="7"/>
      <c r="E969" s="7"/>
      <c r="F969" s="7"/>
    </row>
    <row r="970" spans="1:6" x14ac:dyDescent="0.25">
      <c r="A970" s="7"/>
      <c r="E970" s="7"/>
      <c r="F970" s="7"/>
    </row>
    <row r="971" spans="1:6" x14ac:dyDescent="0.25">
      <c r="A971" s="7"/>
      <c r="E971" s="7"/>
      <c r="F971" s="7"/>
    </row>
    <row r="972" spans="1:6" x14ac:dyDescent="0.25">
      <c r="A972" s="7"/>
      <c r="E972" s="7"/>
      <c r="F972" s="7"/>
    </row>
    <row r="973" spans="1:6" x14ac:dyDescent="0.25">
      <c r="A973" s="7"/>
      <c r="E973" s="7"/>
      <c r="F973" s="7"/>
    </row>
    <row r="974" spans="1:6" x14ac:dyDescent="0.25">
      <c r="A974" s="7"/>
      <c r="E974" s="7"/>
      <c r="F974" s="7"/>
    </row>
    <row r="975" spans="1:6" x14ac:dyDescent="0.25">
      <c r="A975" s="7"/>
      <c r="E975" s="7"/>
      <c r="F975" s="7"/>
    </row>
    <row r="976" spans="1:6" x14ac:dyDescent="0.25">
      <c r="A976" s="7"/>
      <c r="E976" s="7"/>
      <c r="F976" s="7"/>
    </row>
    <row r="977" spans="1:6" x14ac:dyDescent="0.25">
      <c r="A977" s="7"/>
      <c r="E977" s="7"/>
      <c r="F977" s="7"/>
    </row>
    <row r="978" spans="1:6" x14ac:dyDescent="0.25">
      <c r="A978" s="7"/>
      <c r="E978" s="7"/>
      <c r="F978" s="7"/>
    </row>
    <row r="979" spans="1:6" x14ac:dyDescent="0.25">
      <c r="A979" s="7"/>
      <c r="E979" s="7"/>
      <c r="F979" s="7"/>
    </row>
    <row r="980" spans="1:6" x14ac:dyDescent="0.25">
      <c r="A980" s="7"/>
      <c r="E980" s="7"/>
      <c r="F980" s="7"/>
    </row>
    <row r="981" spans="1:6" x14ac:dyDescent="0.25">
      <c r="A981" s="7"/>
      <c r="E981" s="7"/>
      <c r="F981" s="7"/>
    </row>
    <row r="982" spans="1:6" x14ac:dyDescent="0.25">
      <c r="A982" s="7"/>
      <c r="E982" s="7"/>
      <c r="F982" s="7"/>
    </row>
    <row r="983" spans="1:6" x14ac:dyDescent="0.25">
      <c r="A983" s="7"/>
      <c r="E983" s="7"/>
      <c r="F983" s="7"/>
    </row>
    <row r="984" spans="1:6" x14ac:dyDescent="0.25">
      <c r="A984" s="7"/>
      <c r="E984" s="7"/>
      <c r="F984" s="7"/>
    </row>
    <row r="985" spans="1:6" x14ac:dyDescent="0.25">
      <c r="A985" s="7"/>
      <c r="E985" s="7"/>
      <c r="F985" s="7"/>
    </row>
    <row r="986" spans="1:6" x14ac:dyDescent="0.25">
      <c r="A986" s="7"/>
      <c r="E986" s="7"/>
      <c r="F986" s="7"/>
    </row>
    <row r="987" spans="1:6" x14ac:dyDescent="0.25">
      <c r="A987" s="7"/>
      <c r="E987" s="7"/>
      <c r="F987" s="7"/>
    </row>
    <row r="988" spans="1:6" x14ac:dyDescent="0.25">
      <c r="A988" s="7"/>
      <c r="E988" s="7"/>
      <c r="F988" s="7"/>
    </row>
    <row r="989" spans="1:6" x14ac:dyDescent="0.25">
      <c r="A989" s="7"/>
      <c r="E989" s="7"/>
      <c r="F989" s="7"/>
    </row>
    <row r="990" spans="1:6" x14ac:dyDescent="0.25">
      <c r="A990" s="7"/>
      <c r="E990" s="7"/>
      <c r="F990" s="7"/>
    </row>
    <row r="991" spans="1:6" x14ac:dyDescent="0.25">
      <c r="A991" s="7"/>
      <c r="E991" s="7"/>
      <c r="F991" s="7"/>
    </row>
    <row r="992" spans="1:6" x14ac:dyDescent="0.25">
      <c r="A992" s="7"/>
      <c r="E992" s="7"/>
      <c r="F992" s="7"/>
    </row>
    <row r="993" spans="1:6" x14ac:dyDescent="0.25">
      <c r="A993" s="7"/>
      <c r="E993" s="7"/>
      <c r="F993" s="7"/>
    </row>
    <row r="994" spans="1:6" x14ac:dyDescent="0.25">
      <c r="A994" s="7"/>
      <c r="E994" s="7"/>
      <c r="F994" s="7"/>
    </row>
    <row r="995" spans="1:6" x14ac:dyDescent="0.25">
      <c r="A995" s="7"/>
      <c r="E995" s="7"/>
      <c r="F995" s="7"/>
    </row>
    <row r="996" spans="1:6" x14ac:dyDescent="0.25">
      <c r="A996" s="7"/>
      <c r="E996" s="7"/>
      <c r="F996" s="7"/>
    </row>
    <row r="997" spans="1:6" x14ac:dyDescent="0.25">
      <c r="A997" s="7"/>
      <c r="E997" s="7"/>
      <c r="F997" s="7"/>
    </row>
    <row r="998" spans="1:6" x14ac:dyDescent="0.25">
      <c r="A998" s="7"/>
      <c r="E998" s="7"/>
      <c r="F998" s="7"/>
    </row>
    <row r="999" spans="1:6" x14ac:dyDescent="0.25">
      <c r="A999" s="7"/>
      <c r="E999" s="7"/>
      <c r="F999" s="7"/>
    </row>
    <row r="1000" spans="1:6" x14ac:dyDescent="0.25">
      <c r="A1000" s="7"/>
      <c r="E1000" s="7"/>
      <c r="F1000" s="7"/>
    </row>
    <row r="1001" spans="1:6" x14ac:dyDescent="0.25">
      <c r="A1001" s="7"/>
      <c r="E1001" s="7"/>
      <c r="F1001" s="7"/>
    </row>
    <row r="1002" spans="1:6" x14ac:dyDescent="0.25">
      <c r="A1002" s="7"/>
      <c r="E1002" s="7"/>
      <c r="F1002" s="7"/>
    </row>
    <row r="1003" spans="1:6" x14ac:dyDescent="0.25">
      <c r="A1003" s="7"/>
      <c r="E1003" s="7"/>
      <c r="F1003" s="7"/>
    </row>
    <row r="1004" spans="1:6" x14ac:dyDescent="0.25">
      <c r="A1004" s="7"/>
      <c r="E1004" s="7"/>
      <c r="F1004" s="7"/>
    </row>
    <row r="1005" spans="1:6" x14ac:dyDescent="0.25">
      <c r="A1005" s="7"/>
      <c r="E1005" s="7"/>
      <c r="F1005" s="7"/>
    </row>
    <row r="1006" spans="1:6" x14ac:dyDescent="0.25">
      <c r="A1006" s="7"/>
      <c r="E1006" s="7"/>
      <c r="F1006" s="7"/>
    </row>
  </sheetData>
  <mergeCells count="4">
    <mergeCell ref="A1:I1"/>
    <mergeCell ref="A2:I2"/>
    <mergeCell ref="B3:C3"/>
    <mergeCell ref="A20:I20"/>
  </mergeCells>
  <printOptions horizontalCentered="1" verticalCentered="1" gridLines="1"/>
  <pageMargins left="0.25" right="0.25" top="0.75" bottom="0.75" header="0" footer="0"/>
  <pageSetup pageOrder="overThenDown" orientation="landscape" cellComments="atEnd"/>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rgb="FFB6D7A8"/>
    <outlinePr summaryBelow="0" summaryRight="0"/>
    <pageSetUpPr fitToPage="1"/>
  </sheetPr>
  <dimension ref="A1:W1015"/>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46.33203125" customWidth="1"/>
    <col min="2" max="2" width="7.33203125" customWidth="1"/>
    <col min="3" max="4" width="7.88671875" customWidth="1"/>
    <col min="5" max="5" width="22.21875" customWidth="1"/>
    <col min="6" max="6" width="14.6640625" customWidth="1"/>
  </cols>
  <sheetData>
    <row r="1" spans="1:23" x14ac:dyDescent="0.25">
      <c r="A1" s="141" t="s">
        <v>831</v>
      </c>
      <c r="B1" s="142"/>
      <c r="C1" s="142"/>
      <c r="D1" s="142"/>
      <c r="E1" s="142"/>
      <c r="F1" s="142"/>
      <c r="G1" s="142"/>
      <c r="H1" s="142"/>
      <c r="I1" s="143"/>
    </row>
    <row r="2" spans="1:23" x14ac:dyDescent="0.25">
      <c r="A2" s="144" t="s">
        <v>832</v>
      </c>
      <c r="B2" s="142"/>
      <c r="C2" s="142"/>
      <c r="D2" s="142"/>
      <c r="E2" s="142"/>
      <c r="F2" s="142"/>
      <c r="G2" s="142"/>
      <c r="H2" s="142"/>
      <c r="I2" s="143"/>
    </row>
    <row r="3" spans="1:23" x14ac:dyDescent="0.25">
      <c r="A3" s="43" t="s">
        <v>374</v>
      </c>
      <c r="B3" s="145" t="s">
        <v>408</v>
      </c>
      <c r="C3" s="143"/>
      <c r="D3" s="49" t="s">
        <v>370</v>
      </c>
      <c r="E3" s="50" t="s">
        <v>371</v>
      </c>
      <c r="F3" s="51" t="s">
        <v>372</v>
      </c>
      <c r="G3" s="52" t="s">
        <v>373</v>
      </c>
      <c r="H3" s="53" t="s">
        <v>409</v>
      </c>
      <c r="I3" s="53" t="s">
        <v>410</v>
      </c>
      <c r="J3" s="7"/>
      <c r="K3" s="7"/>
      <c r="L3" s="7"/>
      <c r="M3" s="7"/>
      <c r="N3" s="7"/>
      <c r="O3" s="7"/>
      <c r="P3" s="7"/>
      <c r="Q3" s="7"/>
      <c r="R3" s="7"/>
      <c r="S3" s="7"/>
      <c r="T3" s="7"/>
      <c r="U3" s="7"/>
      <c r="V3" s="7"/>
      <c r="W3" s="7"/>
    </row>
    <row r="4" spans="1:23" x14ac:dyDescent="0.25">
      <c r="A4" s="41" t="s">
        <v>411</v>
      </c>
      <c r="B4" s="54">
        <f>SUM(B5:B10)/6</f>
        <v>1</v>
      </c>
      <c r="C4" s="55">
        <f>D4*B4</f>
        <v>0.7</v>
      </c>
      <c r="D4" s="56">
        <v>0.7</v>
      </c>
      <c r="E4" s="57"/>
      <c r="F4" s="57"/>
      <c r="G4" s="58"/>
      <c r="H4" s="58"/>
      <c r="I4" s="58"/>
    </row>
    <row r="5" spans="1:23" x14ac:dyDescent="0.25">
      <c r="A5" s="42" t="s">
        <v>833</v>
      </c>
      <c r="B5" s="59">
        <v>1</v>
      </c>
      <c r="C5" s="60"/>
      <c r="D5" s="60"/>
      <c r="E5" s="42"/>
      <c r="F5" s="61"/>
      <c r="G5" s="59">
        <v>0.8</v>
      </c>
      <c r="H5" s="59">
        <v>0.8</v>
      </c>
      <c r="I5" s="59">
        <v>1</v>
      </c>
    </row>
    <row r="6" spans="1:23" x14ac:dyDescent="0.25">
      <c r="A6" s="42" t="s">
        <v>834</v>
      </c>
      <c r="B6" s="59">
        <v>1</v>
      </c>
      <c r="C6" s="60"/>
      <c r="D6" s="60"/>
      <c r="E6" s="42"/>
      <c r="F6" s="61"/>
      <c r="G6" s="59">
        <v>0.8</v>
      </c>
      <c r="H6" s="59">
        <v>0.8</v>
      </c>
      <c r="I6" s="59">
        <v>1</v>
      </c>
    </row>
    <row r="7" spans="1:23" x14ac:dyDescent="0.25">
      <c r="A7" s="42" t="s">
        <v>664</v>
      </c>
      <c r="B7" s="59">
        <v>1</v>
      </c>
      <c r="C7" s="60"/>
      <c r="D7" s="60"/>
      <c r="E7" s="42"/>
      <c r="F7" s="61"/>
      <c r="G7" s="59">
        <v>0.8</v>
      </c>
      <c r="H7" s="59">
        <v>0.8</v>
      </c>
      <c r="I7" s="59">
        <v>1</v>
      </c>
    </row>
    <row r="8" spans="1:23" x14ac:dyDescent="0.25">
      <c r="A8" s="42" t="s">
        <v>835</v>
      </c>
      <c r="B8" s="59">
        <v>1</v>
      </c>
      <c r="C8" s="60"/>
      <c r="D8" s="60"/>
      <c r="E8" s="42"/>
      <c r="F8" s="61"/>
      <c r="G8" s="59">
        <v>0.8</v>
      </c>
      <c r="H8" s="59">
        <v>0.8</v>
      </c>
      <c r="I8" s="59">
        <v>1</v>
      </c>
    </row>
    <row r="9" spans="1:23" x14ac:dyDescent="0.25">
      <c r="A9" s="42" t="s">
        <v>836</v>
      </c>
      <c r="B9" s="59">
        <v>1</v>
      </c>
      <c r="C9" s="60"/>
      <c r="D9" s="60"/>
      <c r="E9" s="42"/>
      <c r="F9" s="42"/>
      <c r="G9" s="59">
        <v>0.8</v>
      </c>
      <c r="H9" s="59">
        <v>0.8</v>
      </c>
      <c r="I9" s="59">
        <v>1</v>
      </c>
    </row>
    <row r="10" spans="1:23" x14ac:dyDescent="0.25">
      <c r="A10" s="42" t="s">
        <v>837</v>
      </c>
      <c r="B10" s="59">
        <v>1</v>
      </c>
      <c r="C10" s="60"/>
      <c r="D10" s="60"/>
      <c r="E10" s="42"/>
      <c r="F10" s="42"/>
      <c r="G10" s="59">
        <v>0.8</v>
      </c>
      <c r="H10" s="59">
        <v>0.8</v>
      </c>
      <c r="I10" s="59">
        <v>1</v>
      </c>
    </row>
    <row r="11" spans="1:23" x14ac:dyDescent="0.25">
      <c r="A11" s="41" t="s">
        <v>415</v>
      </c>
      <c r="B11" s="54">
        <f>SUM(B12:B17)/5</f>
        <v>1</v>
      </c>
      <c r="C11" s="55">
        <f>D11*B11</f>
        <v>0.2</v>
      </c>
      <c r="D11" s="56">
        <v>0.2</v>
      </c>
      <c r="E11" s="57"/>
      <c r="F11" s="57"/>
      <c r="G11" s="58"/>
      <c r="H11" s="58"/>
      <c r="I11" s="58"/>
    </row>
    <row r="12" spans="1:23" x14ac:dyDescent="0.25">
      <c r="A12" s="43" t="s">
        <v>838</v>
      </c>
      <c r="B12" s="59">
        <v>1</v>
      </c>
      <c r="C12" s="60"/>
      <c r="D12" s="60"/>
      <c r="E12" s="42" t="s">
        <v>839</v>
      </c>
      <c r="F12" s="42" t="s">
        <v>425</v>
      </c>
      <c r="G12" s="59">
        <v>1</v>
      </c>
      <c r="H12" s="59"/>
      <c r="I12" s="59"/>
    </row>
    <row r="13" spans="1:23" x14ac:dyDescent="0.25">
      <c r="A13" s="43" t="s">
        <v>840</v>
      </c>
      <c r="B13" s="59">
        <v>1</v>
      </c>
      <c r="C13" s="60"/>
      <c r="D13" s="60"/>
      <c r="E13" s="42" t="s">
        <v>841</v>
      </c>
      <c r="F13" s="42" t="s">
        <v>425</v>
      </c>
      <c r="G13" s="59">
        <v>1</v>
      </c>
      <c r="H13" s="59"/>
      <c r="I13" s="59"/>
    </row>
    <row r="14" spans="1:23" x14ac:dyDescent="0.25">
      <c r="A14" s="43" t="s">
        <v>842</v>
      </c>
      <c r="B14" s="59">
        <v>1</v>
      </c>
      <c r="C14" s="60"/>
      <c r="D14" s="60"/>
      <c r="E14" s="42" t="s">
        <v>843</v>
      </c>
      <c r="F14" s="42" t="s">
        <v>425</v>
      </c>
      <c r="G14" s="59">
        <v>1</v>
      </c>
      <c r="H14" s="59"/>
      <c r="I14" s="59"/>
    </row>
    <row r="15" spans="1:23" x14ac:dyDescent="0.25">
      <c r="A15" s="43" t="s">
        <v>844</v>
      </c>
      <c r="B15" s="59">
        <v>1</v>
      </c>
      <c r="C15" s="60"/>
      <c r="D15" s="60"/>
      <c r="E15" s="42" t="s">
        <v>845</v>
      </c>
      <c r="F15" s="42" t="s">
        <v>425</v>
      </c>
      <c r="G15" s="59">
        <v>1</v>
      </c>
      <c r="H15" s="59"/>
      <c r="I15" s="59"/>
    </row>
    <row r="16" spans="1:23" x14ac:dyDescent="0.25">
      <c r="A16" s="43" t="s">
        <v>846</v>
      </c>
      <c r="B16" s="59">
        <v>1</v>
      </c>
      <c r="C16" s="60"/>
      <c r="D16" s="60"/>
      <c r="E16" s="42" t="s">
        <v>758</v>
      </c>
      <c r="F16" s="42" t="s">
        <v>425</v>
      </c>
      <c r="G16" s="59">
        <v>1</v>
      </c>
      <c r="H16" s="59"/>
      <c r="I16" s="59"/>
    </row>
    <row r="17" spans="1:9" x14ac:dyDescent="0.25">
      <c r="A17" s="42"/>
      <c r="B17" s="59"/>
      <c r="C17" s="60"/>
      <c r="D17" s="60"/>
      <c r="E17" s="42"/>
      <c r="F17" s="42"/>
      <c r="G17" s="59"/>
      <c r="H17" s="59"/>
      <c r="I17" s="59"/>
    </row>
    <row r="18" spans="1:9" x14ac:dyDescent="0.25">
      <c r="A18" s="41" t="s">
        <v>385</v>
      </c>
      <c r="B18" s="54">
        <f>SUM(B19:B21)/2</f>
        <v>1</v>
      </c>
      <c r="C18" s="55">
        <f>D18*B18</f>
        <v>0.1</v>
      </c>
      <c r="D18" s="56">
        <v>0.1</v>
      </c>
      <c r="E18" s="57"/>
      <c r="F18" s="57"/>
      <c r="G18" s="58"/>
      <c r="H18" s="58"/>
      <c r="I18" s="58"/>
    </row>
    <row r="19" spans="1:9" x14ac:dyDescent="0.25">
      <c r="A19" s="42" t="s">
        <v>386</v>
      </c>
      <c r="B19" s="59">
        <v>1</v>
      </c>
      <c r="C19" s="60"/>
      <c r="D19" s="53"/>
      <c r="E19" s="42"/>
      <c r="F19" s="42" t="s">
        <v>418</v>
      </c>
      <c r="G19" s="59">
        <v>0.8</v>
      </c>
      <c r="H19" s="59">
        <v>0.8</v>
      </c>
      <c r="I19" s="59">
        <v>1</v>
      </c>
    </row>
    <row r="20" spans="1:9" x14ac:dyDescent="0.25">
      <c r="A20" s="42" t="s">
        <v>387</v>
      </c>
      <c r="B20" s="59">
        <v>0.5</v>
      </c>
      <c r="C20" s="60"/>
      <c r="D20" s="53"/>
      <c r="E20" s="42"/>
      <c r="F20" s="42" t="s">
        <v>419</v>
      </c>
      <c r="G20" s="59">
        <v>0.8</v>
      </c>
      <c r="H20" s="59">
        <v>0.8</v>
      </c>
      <c r="I20" s="59">
        <v>1</v>
      </c>
    </row>
    <row r="21" spans="1:9" x14ac:dyDescent="0.25">
      <c r="A21" s="151" t="s">
        <v>506</v>
      </c>
      <c r="B21" s="148">
        <v>0.5</v>
      </c>
      <c r="C21" s="153"/>
      <c r="D21" s="153"/>
      <c r="E21" s="70" t="s">
        <v>847</v>
      </c>
      <c r="F21" s="70"/>
      <c r="G21" s="74"/>
      <c r="H21" s="74"/>
      <c r="I21" s="74"/>
    </row>
    <row r="22" spans="1:9" x14ac:dyDescent="0.25">
      <c r="A22" s="150"/>
      <c r="B22" s="150"/>
      <c r="C22" s="150"/>
      <c r="D22" s="150"/>
      <c r="E22" s="70" t="s">
        <v>848</v>
      </c>
      <c r="F22" s="70"/>
      <c r="G22" s="74"/>
      <c r="H22" s="74"/>
      <c r="I22" s="74"/>
    </row>
    <row r="23" spans="1:9" x14ac:dyDescent="0.25">
      <c r="A23" s="150"/>
      <c r="B23" s="150"/>
      <c r="C23" s="150"/>
      <c r="D23" s="150"/>
      <c r="E23" s="70" t="s">
        <v>849</v>
      </c>
      <c r="F23" s="70"/>
      <c r="G23" s="74"/>
      <c r="H23" s="74"/>
      <c r="I23" s="74"/>
    </row>
    <row r="24" spans="1:9" x14ac:dyDescent="0.25">
      <c r="A24" s="147"/>
      <c r="B24" s="147"/>
      <c r="C24" s="147"/>
      <c r="D24" s="147"/>
      <c r="E24" s="70" t="s">
        <v>850</v>
      </c>
      <c r="F24" s="70"/>
      <c r="G24" s="74"/>
      <c r="H24" s="74"/>
      <c r="I24" s="74"/>
    </row>
    <row r="25" spans="1:9" x14ac:dyDescent="0.25">
      <c r="A25" s="90"/>
      <c r="B25" s="71"/>
      <c r="C25" s="77"/>
      <c r="D25" s="77"/>
      <c r="E25" s="70" t="s">
        <v>851</v>
      </c>
      <c r="F25" s="70"/>
      <c r="G25" s="74"/>
      <c r="H25" s="74"/>
      <c r="I25" s="74"/>
    </row>
    <row r="26" spans="1:9" x14ac:dyDescent="0.25">
      <c r="A26" s="90"/>
      <c r="B26" s="71"/>
      <c r="C26" s="77"/>
      <c r="D26" s="77"/>
      <c r="E26" s="70" t="s">
        <v>852</v>
      </c>
      <c r="F26" s="70"/>
      <c r="G26" s="74"/>
      <c r="H26" s="74"/>
      <c r="I26" s="74"/>
    </row>
    <row r="27" spans="1:9" x14ac:dyDescent="0.25">
      <c r="A27" s="90"/>
      <c r="B27" s="71"/>
      <c r="C27" s="77"/>
      <c r="D27" s="77"/>
      <c r="E27" s="70" t="s">
        <v>853</v>
      </c>
      <c r="F27" s="70"/>
      <c r="G27" s="74"/>
      <c r="H27" s="74"/>
      <c r="I27" s="74"/>
    </row>
    <row r="28" spans="1:9" x14ac:dyDescent="0.25">
      <c r="A28" s="90"/>
      <c r="B28" s="71"/>
      <c r="C28" s="64">
        <f t="shared" ref="C28:D28" si="0">SUM(C4+C11+C18)</f>
        <v>0.99999999999999989</v>
      </c>
      <c r="D28" s="64">
        <f t="shared" si="0"/>
        <v>0.99999999999999989</v>
      </c>
      <c r="E28" s="70"/>
      <c r="F28" s="70"/>
      <c r="G28" s="74"/>
      <c r="H28" s="74"/>
      <c r="I28" s="74"/>
    </row>
    <row r="29" spans="1:9" x14ac:dyDescent="0.25">
      <c r="A29" s="152" t="s">
        <v>854</v>
      </c>
      <c r="B29" s="142"/>
      <c r="C29" s="142"/>
      <c r="D29" s="142"/>
      <c r="E29" s="142"/>
      <c r="F29" s="142"/>
      <c r="G29" s="142"/>
      <c r="H29" s="142"/>
      <c r="I29" s="143"/>
    </row>
    <row r="30" spans="1:9" x14ac:dyDescent="0.25">
      <c r="A30" s="66" t="s">
        <v>855</v>
      </c>
      <c r="B30" s="67" t="s">
        <v>423</v>
      </c>
      <c r="C30" s="64"/>
      <c r="D30" s="64"/>
      <c r="E30" s="68" t="s">
        <v>40</v>
      </c>
      <c r="F30" s="42" t="s">
        <v>425</v>
      </c>
      <c r="G30" s="42"/>
      <c r="H30" s="60"/>
      <c r="I30" s="60"/>
    </row>
    <row r="31" spans="1:9" x14ac:dyDescent="0.25">
      <c r="A31" s="66" t="s">
        <v>856</v>
      </c>
      <c r="B31" s="67" t="s">
        <v>423</v>
      </c>
      <c r="C31" s="64"/>
      <c r="D31" s="64"/>
      <c r="E31" s="68" t="s">
        <v>46</v>
      </c>
      <c r="F31" s="42" t="s">
        <v>425</v>
      </c>
      <c r="G31" s="42"/>
      <c r="H31" s="60"/>
      <c r="I31" s="60"/>
    </row>
    <row r="32" spans="1:9" x14ac:dyDescent="0.25">
      <c r="A32" s="66" t="s">
        <v>857</v>
      </c>
      <c r="B32" s="67" t="s">
        <v>427</v>
      </c>
      <c r="C32" s="64"/>
      <c r="D32" s="64"/>
      <c r="E32" s="68" t="s">
        <v>62</v>
      </c>
      <c r="F32" s="42" t="s">
        <v>425</v>
      </c>
      <c r="G32" s="42"/>
      <c r="H32" s="60"/>
      <c r="I32" s="60"/>
    </row>
    <row r="33" spans="1:9" x14ac:dyDescent="0.25">
      <c r="A33" s="66" t="s">
        <v>858</v>
      </c>
      <c r="B33" s="67" t="s">
        <v>423</v>
      </c>
      <c r="C33" s="64"/>
      <c r="D33" s="64"/>
      <c r="E33" s="68" t="s">
        <v>89</v>
      </c>
      <c r="F33" s="42" t="s">
        <v>425</v>
      </c>
      <c r="G33" s="42"/>
      <c r="H33" s="60"/>
      <c r="I33" s="60"/>
    </row>
    <row r="34" spans="1:9" x14ac:dyDescent="0.25">
      <c r="A34" s="66" t="s">
        <v>859</v>
      </c>
      <c r="B34" s="67" t="s">
        <v>423</v>
      </c>
      <c r="C34" s="64"/>
      <c r="D34" s="64"/>
      <c r="E34" s="68" t="s">
        <v>104</v>
      </c>
      <c r="F34" s="42" t="s">
        <v>425</v>
      </c>
      <c r="G34" s="42"/>
      <c r="H34" s="60"/>
      <c r="I34" s="60"/>
    </row>
    <row r="35" spans="1:9" x14ac:dyDescent="0.25">
      <c r="A35" s="66" t="s">
        <v>860</v>
      </c>
      <c r="B35" s="67" t="s">
        <v>423</v>
      </c>
      <c r="C35" s="64"/>
      <c r="D35" s="64"/>
      <c r="E35" s="68" t="s">
        <v>146</v>
      </c>
      <c r="F35" s="42" t="s">
        <v>425</v>
      </c>
      <c r="G35" s="42"/>
      <c r="H35" s="60"/>
      <c r="I35" s="60"/>
    </row>
    <row r="36" spans="1:9" x14ac:dyDescent="0.25">
      <c r="A36" s="66" t="s">
        <v>861</v>
      </c>
      <c r="B36" s="67" t="s">
        <v>423</v>
      </c>
      <c r="C36" s="64"/>
      <c r="D36" s="64"/>
      <c r="E36" s="68" t="s">
        <v>165</v>
      </c>
      <c r="F36" s="42" t="s">
        <v>425</v>
      </c>
      <c r="G36" s="42"/>
      <c r="H36" s="60"/>
      <c r="I36" s="60"/>
    </row>
    <row r="37" spans="1:9" x14ac:dyDescent="0.25">
      <c r="A37" s="66" t="s">
        <v>862</v>
      </c>
      <c r="B37" s="67" t="s">
        <v>423</v>
      </c>
      <c r="C37" s="64"/>
      <c r="D37" s="64"/>
      <c r="E37" s="68" t="s">
        <v>170</v>
      </c>
      <c r="F37" s="42" t="s">
        <v>425</v>
      </c>
      <c r="G37" s="42"/>
      <c r="H37" s="60"/>
      <c r="I37" s="60"/>
    </row>
    <row r="38" spans="1:9" x14ac:dyDescent="0.25">
      <c r="A38" s="66" t="s">
        <v>863</v>
      </c>
      <c r="B38" s="67" t="s">
        <v>423</v>
      </c>
      <c r="C38" s="64"/>
      <c r="D38" s="64"/>
      <c r="E38" s="68" t="s">
        <v>178</v>
      </c>
      <c r="F38" s="42" t="s">
        <v>425</v>
      </c>
      <c r="G38" s="42"/>
      <c r="H38" s="60"/>
      <c r="I38" s="60"/>
    </row>
    <row r="39" spans="1:9" x14ac:dyDescent="0.25">
      <c r="A39" s="66" t="s">
        <v>864</v>
      </c>
      <c r="B39" s="67" t="s">
        <v>423</v>
      </c>
      <c r="C39" s="64"/>
      <c r="D39" s="64"/>
      <c r="E39" s="68" t="s">
        <v>211</v>
      </c>
      <c r="F39" s="42" t="s">
        <v>425</v>
      </c>
      <c r="G39" s="42"/>
      <c r="H39" s="60"/>
      <c r="I39" s="60"/>
    </row>
    <row r="40" spans="1:9" x14ac:dyDescent="0.25">
      <c r="A40" s="66" t="s">
        <v>865</v>
      </c>
      <c r="B40" s="67" t="s">
        <v>423</v>
      </c>
      <c r="C40" s="64"/>
      <c r="D40" s="64"/>
      <c r="E40" s="68" t="s">
        <v>215</v>
      </c>
      <c r="F40" s="42" t="s">
        <v>425</v>
      </c>
      <c r="G40" s="42"/>
      <c r="H40" s="60"/>
      <c r="I40" s="60"/>
    </row>
    <row r="41" spans="1:9" x14ac:dyDescent="0.25">
      <c r="A41" s="66" t="s">
        <v>866</v>
      </c>
      <c r="B41" s="67" t="s">
        <v>423</v>
      </c>
      <c r="C41" s="64"/>
      <c r="D41" s="64"/>
      <c r="E41" s="68" t="s">
        <v>238</v>
      </c>
      <c r="F41" s="42" t="s">
        <v>425</v>
      </c>
      <c r="G41" s="42"/>
      <c r="H41" s="60"/>
      <c r="I41" s="60"/>
    </row>
    <row r="42" spans="1:9" x14ac:dyDescent="0.25">
      <c r="A42" s="66" t="s">
        <v>867</v>
      </c>
      <c r="B42" s="67" t="s">
        <v>423</v>
      </c>
      <c r="C42" s="64"/>
      <c r="D42" s="64"/>
      <c r="E42" s="68" t="s">
        <v>242</v>
      </c>
      <c r="F42" s="42" t="s">
        <v>425</v>
      </c>
      <c r="G42" s="42"/>
      <c r="H42" s="60"/>
      <c r="I42" s="60"/>
    </row>
    <row r="43" spans="1:9" x14ac:dyDescent="0.25">
      <c r="A43" s="66" t="s">
        <v>868</v>
      </c>
      <c r="B43" s="67" t="s">
        <v>423</v>
      </c>
      <c r="C43" s="64"/>
      <c r="D43" s="64"/>
      <c r="E43" s="68" t="s">
        <v>247</v>
      </c>
      <c r="F43" s="42" t="s">
        <v>425</v>
      </c>
      <c r="G43" s="42"/>
      <c r="H43" s="60"/>
      <c r="I43" s="60"/>
    </row>
    <row r="44" spans="1:9" x14ac:dyDescent="0.25">
      <c r="A44" s="66" t="s">
        <v>869</v>
      </c>
      <c r="B44" s="67" t="s">
        <v>423</v>
      </c>
      <c r="C44" s="64"/>
      <c r="D44" s="64"/>
      <c r="E44" s="68" t="s">
        <v>252</v>
      </c>
      <c r="F44" s="42" t="s">
        <v>425</v>
      </c>
      <c r="G44" s="42"/>
      <c r="H44" s="60"/>
      <c r="I44" s="60"/>
    </row>
    <row r="45" spans="1:9" x14ac:dyDescent="0.25">
      <c r="A45" s="66" t="s">
        <v>870</v>
      </c>
      <c r="B45" s="67" t="s">
        <v>423</v>
      </c>
      <c r="C45" s="64"/>
      <c r="D45" s="64"/>
      <c r="E45" s="68" t="s">
        <v>270</v>
      </c>
      <c r="F45" s="42" t="s">
        <v>425</v>
      </c>
      <c r="G45" s="42"/>
      <c r="H45" s="60"/>
      <c r="I45" s="60"/>
    </row>
    <row r="46" spans="1:9" x14ac:dyDescent="0.25">
      <c r="A46" s="66" t="s">
        <v>871</v>
      </c>
      <c r="B46" s="67" t="s">
        <v>427</v>
      </c>
      <c r="C46" s="64"/>
      <c r="D46" s="64"/>
      <c r="E46" s="68" t="s">
        <v>19</v>
      </c>
      <c r="F46" s="42" t="s">
        <v>425</v>
      </c>
      <c r="G46" s="42"/>
      <c r="H46" s="60"/>
      <c r="I46" s="60"/>
    </row>
    <row r="47" spans="1:9" x14ac:dyDescent="0.25">
      <c r="A47" s="66" t="s">
        <v>872</v>
      </c>
      <c r="B47" s="67" t="s">
        <v>427</v>
      </c>
      <c r="C47" s="64"/>
      <c r="D47" s="64"/>
      <c r="E47" s="68" t="s">
        <v>135</v>
      </c>
      <c r="F47" s="42" t="s">
        <v>425</v>
      </c>
      <c r="G47" s="42"/>
      <c r="H47" s="60"/>
      <c r="I47" s="60"/>
    </row>
    <row r="48" spans="1:9" x14ac:dyDescent="0.25">
      <c r="A48" s="66" t="s">
        <v>873</v>
      </c>
      <c r="B48" s="67" t="s">
        <v>427</v>
      </c>
      <c r="C48" s="64"/>
      <c r="D48" s="64"/>
      <c r="E48" s="68" t="s">
        <v>141</v>
      </c>
      <c r="F48" s="42" t="s">
        <v>425</v>
      </c>
      <c r="G48" s="42"/>
      <c r="H48" s="60"/>
      <c r="I48" s="60"/>
    </row>
    <row r="49" spans="1:9" x14ac:dyDescent="0.25">
      <c r="A49" s="66" t="s">
        <v>874</v>
      </c>
      <c r="B49" s="67" t="s">
        <v>423</v>
      </c>
      <c r="C49" s="64"/>
      <c r="D49" s="64"/>
      <c r="E49" s="68" t="s">
        <v>228</v>
      </c>
      <c r="F49" s="42" t="s">
        <v>425</v>
      </c>
      <c r="G49" s="42"/>
      <c r="H49" s="60"/>
      <c r="I49" s="60"/>
    </row>
    <row r="50" spans="1:9" x14ac:dyDescent="0.25">
      <c r="A50" s="66" t="s">
        <v>875</v>
      </c>
      <c r="B50" s="67" t="s">
        <v>427</v>
      </c>
      <c r="C50" s="64"/>
      <c r="D50" s="64"/>
      <c r="E50" s="68" t="s">
        <v>233</v>
      </c>
      <c r="F50" s="42" t="s">
        <v>425</v>
      </c>
      <c r="G50" s="42"/>
      <c r="H50" s="60"/>
      <c r="I50" s="60"/>
    </row>
    <row r="51" spans="1:9" x14ac:dyDescent="0.25">
      <c r="A51" s="66" t="s">
        <v>876</v>
      </c>
      <c r="B51" s="67" t="s">
        <v>423</v>
      </c>
      <c r="C51" s="64"/>
      <c r="D51" s="64"/>
      <c r="E51" s="68" t="s">
        <v>256</v>
      </c>
      <c r="F51" s="42" t="s">
        <v>425</v>
      </c>
      <c r="G51" s="42"/>
      <c r="H51" s="60"/>
      <c r="I51" s="60"/>
    </row>
    <row r="52" spans="1:9" x14ac:dyDescent="0.25">
      <c r="A52" s="7"/>
      <c r="E52" s="7"/>
      <c r="F52" s="7"/>
    </row>
    <row r="53" spans="1:9" x14ac:dyDescent="0.25">
      <c r="A53" s="7"/>
      <c r="E53" s="7"/>
      <c r="F53" s="7"/>
    </row>
    <row r="54" spans="1:9" x14ac:dyDescent="0.25">
      <c r="A54" s="121" t="s">
        <v>877</v>
      </c>
      <c r="E54" s="7"/>
      <c r="F54" s="7"/>
    </row>
    <row r="55" spans="1:9" x14ac:dyDescent="0.25">
      <c r="A55" s="7"/>
      <c r="E55" s="7"/>
      <c r="F55" s="7"/>
    </row>
    <row r="56" spans="1:9" x14ac:dyDescent="0.25">
      <c r="A56" s="7"/>
      <c r="E56" s="7"/>
      <c r="F56" s="7"/>
    </row>
    <row r="57" spans="1:9" x14ac:dyDescent="0.25">
      <c r="A57" s="7" t="str">
        <f>PROPER(A54)</f>
        <v xml:space="preserve">80% Of Total Targetted Agricultural And Fishery Machinery And Equipment Registered To Rafmes														</v>
      </c>
      <c r="E57" s="7"/>
      <c r="F57" s="7"/>
    </row>
    <row r="58" spans="1:9" x14ac:dyDescent="0.25">
      <c r="A58" s="7"/>
      <c r="E58" s="7"/>
      <c r="F58" s="7"/>
    </row>
    <row r="59" spans="1:9" x14ac:dyDescent="0.25">
      <c r="A59" s="7"/>
      <c r="E59" s="7"/>
      <c r="F59" s="7"/>
    </row>
    <row r="60" spans="1:9" x14ac:dyDescent="0.25">
      <c r="A60" s="7"/>
      <c r="E60" s="7"/>
      <c r="F60" s="7"/>
    </row>
    <row r="61" spans="1:9" x14ac:dyDescent="0.25">
      <c r="A61" s="7"/>
      <c r="E61" s="7"/>
      <c r="F61" s="7"/>
    </row>
    <row r="62" spans="1:9" x14ac:dyDescent="0.25">
      <c r="A62" s="7"/>
      <c r="E62" s="7"/>
      <c r="F62" s="7"/>
    </row>
    <row r="63" spans="1:9" x14ac:dyDescent="0.25">
      <c r="A63" s="7"/>
      <c r="E63" s="7"/>
      <c r="F63" s="7"/>
    </row>
    <row r="64" spans="1:9" x14ac:dyDescent="0.25">
      <c r="A64" s="7"/>
      <c r="E64" s="7"/>
      <c r="F64" s="7"/>
    </row>
    <row r="65" spans="1:6" x14ac:dyDescent="0.25">
      <c r="A65" s="7"/>
      <c r="E65" s="7"/>
      <c r="F65" s="7"/>
    </row>
    <row r="66" spans="1:6" x14ac:dyDescent="0.25">
      <c r="A66" s="7"/>
      <c r="E66" s="7"/>
      <c r="F66" s="7"/>
    </row>
    <row r="67" spans="1:6" x14ac:dyDescent="0.25">
      <c r="A67" s="7"/>
      <c r="E67" s="7"/>
      <c r="F67" s="7"/>
    </row>
    <row r="68" spans="1:6" x14ac:dyDescent="0.25">
      <c r="A68" s="7"/>
      <c r="E68" s="7"/>
      <c r="F68" s="7"/>
    </row>
    <row r="69" spans="1:6" x14ac:dyDescent="0.25">
      <c r="A69" s="7"/>
      <c r="E69" s="7"/>
      <c r="F69" s="7"/>
    </row>
    <row r="70" spans="1:6" x14ac:dyDescent="0.25">
      <c r="A70" s="7"/>
      <c r="E70" s="7"/>
      <c r="F70" s="7"/>
    </row>
    <row r="71" spans="1:6" x14ac:dyDescent="0.25">
      <c r="A71" s="7"/>
      <c r="E71" s="7"/>
      <c r="F71" s="7"/>
    </row>
    <row r="72" spans="1:6" x14ac:dyDescent="0.25">
      <c r="A72" s="7"/>
      <c r="E72" s="7"/>
      <c r="F72" s="7"/>
    </row>
    <row r="73" spans="1:6" x14ac:dyDescent="0.25">
      <c r="A73" s="7"/>
      <c r="E73" s="7"/>
      <c r="F73" s="7"/>
    </row>
    <row r="74" spans="1:6" x14ac:dyDescent="0.25">
      <c r="A74" s="7"/>
      <c r="E74" s="7"/>
      <c r="F74" s="7"/>
    </row>
    <row r="75" spans="1:6" x14ac:dyDescent="0.25">
      <c r="A75" s="7"/>
      <c r="E75" s="7"/>
      <c r="F75" s="7"/>
    </row>
    <row r="76" spans="1:6" x14ac:dyDescent="0.25">
      <c r="A76" s="7"/>
      <c r="E76" s="7"/>
      <c r="F76" s="7"/>
    </row>
    <row r="77" spans="1:6" x14ac:dyDescent="0.25">
      <c r="A77" s="7"/>
      <c r="E77" s="7"/>
      <c r="F77" s="7"/>
    </row>
    <row r="78" spans="1:6" x14ac:dyDescent="0.25">
      <c r="A78" s="7"/>
      <c r="E78" s="7"/>
      <c r="F78" s="7"/>
    </row>
    <row r="79" spans="1:6" x14ac:dyDescent="0.25">
      <c r="A79" s="7"/>
      <c r="E79" s="7"/>
      <c r="F79" s="7"/>
    </row>
    <row r="80" spans="1:6" x14ac:dyDescent="0.25">
      <c r="A80" s="7"/>
      <c r="E80" s="7"/>
      <c r="F80" s="7"/>
    </row>
    <row r="81" spans="1:6" x14ac:dyDescent="0.25">
      <c r="A81" s="7"/>
      <c r="E81" s="7"/>
      <c r="F81" s="7"/>
    </row>
    <row r="82" spans="1:6" x14ac:dyDescent="0.25">
      <c r="A82" s="7"/>
      <c r="E82" s="7"/>
      <c r="F82" s="7"/>
    </row>
    <row r="83" spans="1:6" x14ac:dyDescent="0.25">
      <c r="A83" s="7"/>
      <c r="E83" s="7"/>
      <c r="F83" s="7"/>
    </row>
    <row r="84" spans="1:6" x14ac:dyDescent="0.25">
      <c r="A84" s="7"/>
      <c r="E84" s="7"/>
      <c r="F84" s="7"/>
    </row>
    <row r="85" spans="1:6" x14ac:dyDescent="0.25">
      <c r="A85" s="7"/>
      <c r="E85" s="7"/>
      <c r="F85" s="7"/>
    </row>
    <row r="86" spans="1:6" x14ac:dyDescent="0.25">
      <c r="A86" s="7"/>
      <c r="E86" s="7"/>
      <c r="F86" s="7"/>
    </row>
    <row r="87" spans="1:6" x14ac:dyDescent="0.25">
      <c r="A87" s="7"/>
      <c r="E87" s="7"/>
      <c r="F87" s="7"/>
    </row>
    <row r="88" spans="1:6" x14ac:dyDescent="0.25">
      <c r="A88" s="7"/>
      <c r="E88" s="7"/>
      <c r="F88" s="7"/>
    </row>
    <row r="89" spans="1:6" x14ac:dyDescent="0.25">
      <c r="A89" s="7"/>
      <c r="E89" s="7"/>
      <c r="F89" s="7"/>
    </row>
    <row r="90" spans="1:6" x14ac:dyDescent="0.25">
      <c r="A90" s="7"/>
      <c r="E90" s="7"/>
      <c r="F90" s="7"/>
    </row>
    <row r="91" spans="1:6" x14ac:dyDescent="0.25">
      <c r="A91" s="7"/>
      <c r="E91" s="7"/>
      <c r="F91" s="7"/>
    </row>
    <row r="92" spans="1:6" x14ac:dyDescent="0.25">
      <c r="A92" s="7"/>
      <c r="E92" s="7"/>
      <c r="F92" s="7"/>
    </row>
    <row r="93" spans="1:6" x14ac:dyDescent="0.25">
      <c r="A93" s="7"/>
      <c r="E93" s="7"/>
      <c r="F93" s="7"/>
    </row>
    <row r="94" spans="1:6" x14ac:dyDescent="0.25">
      <c r="A94" s="7"/>
      <c r="E94" s="7"/>
      <c r="F94" s="7"/>
    </row>
    <row r="95" spans="1:6" x14ac:dyDescent="0.25">
      <c r="A95" s="7"/>
      <c r="E95" s="7"/>
      <c r="F95" s="7"/>
    </row>
    <row r="96" spans="1:6" x14ac:dyDescent="0.25">
      <c r="A96" s="7"/>
      <c r="E96" s="7"/>
      <c r="F96" s="7"/>
    </row>
    <row r="97" spans="1:6" x14ac:dyDescent="0.25">
      <c r="A97" s="7"/>
      <c r="E97" s="7"/>
      <c r="F97" s="7"/>
    </row>
    <row r="98" spans="1:6" x14ac:dyDescent="0.25">
      <c r="A98" s="7"/>
      <c r="E98" s="7"/>
      <c r="F98" s="7"/>
    </row>
    <row r="99" spans="1:6" x14ac:dyDescent="0.25">
      <c r="A99" s="7"/>
      <c r="E99" s="7"/>
      <c r="F99" s="7"/>
    </row>
    <row r="100" spans="1:6" x14ac:dyDescent="0.25">
      <c r="A100" s="7"/>
      <c r="E100" s="7"/>
      <c r="F100" s="7"/>
    </row>
    <row r="101" spans="1:6" x14ac:dyDescent="0.25">
      <c r="A101" s="7"/>
      <c r="E101" s="7"/>
      <c r="F101" s="7"/>
    </row>
    <row r="102" spans="1:6" x14ac:dyDescent="0.25">
      <c r="A102" s="7"/>
      <c r="E102" s="7"/>
      <c r="F102" s="7"/>
    </row>
    <row r="103" spans="1:6" x14ac:dyDescent="0.25">
      <c r="A103" s="7"/>
      <c r="E103" s="7"/>
      <c r="F103" s="7"/>
    </row>
    <row r="104" spans="1:6" x14ac:dyDescent="0.25">
      <c r="A104" s="7"/>
      <c r="E104" s="7"/>
      <c r="F104" s="7"/>
    </row>
    <row r="105" spans="1:6" x14ac:dyDescent="0.25">
      <c r="A105" s="7"/>
      <c r="E105" s="7"/>
      <c r="F105" s="7"/>
    </row>
    <row r="106" spans="1:6" x14ac:dyDescent="0.25">
      <c r="A106" s="7"/>
      <c r="E106" s="7"/>
      <c r="F106" s="7"/>
    </row>
    <row r="107" spans="1:6" x14ac:dyDescent="0.25">
      <c r="A107" s="7"/>
      <c r="E107" s="7"/>
      <c r="F107" s="7"/>
    </row>
    <row r="108" spans="1:6" x14ac:dyDescent="0.25">
      <c r="A108" s="7"/>
      <c r="E108" s="7"/>
      <c r="F108" s="7"/>
    </row>
    <row r="109" spans="1:6" x14ac:dyDescent="0.25">
      <c r="A109" s="7"/>
      <c r="E109" s="7"/>
      <c r="F109" s="7"/>
    </row>
    <row r="110" spans="1:6" x14ac:dyDescent="0.25">
      <c r="A110" s="7"/>
      <c r="E110" s="7"/>
      <c r="F110" s="7"/>
    </row>
    <row r="111" spans="1:6" x14ac:dyDescent="0.25">
      <c r="A111" s="7"/>
      <c r="E111" s="7"/>
      <c r="F111" s="7"/>
    </row>
    <row r="112" spans="1:6" x14ac:dyDescent="0.25">
      <c r="A112" s="7"/>
      <c r="E112" s="7"/>
      <c r="F112" s="7"/>
    </row>
    <row r="113" spans="1:6" x14ac:dyDescent="0.25">
      <c r="A113" s="7"/>
      <c r="E113" s="7"/>
      <c r="F113" s="7"/>
    </row>
    <row r="114" spans="1:6" x14ac:dyDescent="0.25">
      <c r="A114" s="7"/>
      <c r="E114" s="7"/>
      <c r="F114" s="7"/>
    </row>
    <row r="115" spans="1:6" x14ac:dyDescent="0.25">
      <c r="A115" s="7"/>
      <c r="E115" s="7"/>
      <c r="F115" s="7"/>
    </row>
    <row r="116" spans="1:6" x14ac:dyDescent="0.25">
      <c r="A116" s="7"/>
      <c r="E116" s="7"/>
      <c r="F116" s="7"/>
    </row>
    <row r="117" spans="1:6" x14ac:dyDescent="0.25">
      <c r="A117" s="7"/>
      <c r="E117" s="7"/>
      <c r="F117" s="7"/>
    </row>
    <row r="118" spans="1:6" x14ac:dyDescent="0.25">
      <c r="A118" s="7"/>
      <c r="E118" s="7"/>
      <c r="F118" s="7"/>
    </row>
    <row r="119" spans="1:6" x14ac:dyDescent="0.25">
      <c r="A119" s="7"/>
      <c r="E119" s="7"/>
      <c r="F119" s="7"/>
    </row>
    <row r="120" spans="1:6" x14ac:dyDescent="0.25">
      <c r="A120" s="7"/>
      <c r="E120" s="7"/>
      <c r="F120" s="7"/>
    </row>
    <row r="121" spans="1:6" x14ac:dyDescent="0.25">
      <c r="A121" s="7"/>
      <c r="E121" s="7"/>
      <c r="F121" s="7"/>
    </row>
    <row r="122" spans="1:6" x14ac:dyDescent="0.25">
      <c r="A122" s="7"/>
      <c r="E122" s="7"/>
      <c r="F122" s="7"/>
    </row>
    <row r="123" spans="1:6" x14ac:dyDescent="0.25">
      <c r="A123" s="7"/>
      <c r="E123" s="7"/>
      <c r="F123" s="7"/>
    </row>
    <row r="124" spans="1:6" x14ac:dyDescent="0.25">
      <c r="A124" s="7"/>
      <c r="E124" s="7"/>
      <c r="F124" s="7"/>
    </row>
    <row r="125" spans="1:6" x14ac:dyDescent="0.25">
      <c r="A125" s="7"/>
      <c r="E125" s="7"/>
      <c r="F125" s="7"/>
    </row>
    <row r="126" spans="1:6" x14ac:dyDescent="0.25">
      <c r="A126" s="7"/>
      <c r="E126" s="7"/>
      <c r="F126" s="7"/>
    </row>
    <row r="127" spans="1:6" x14ac:dyDescent="0.25">
      <c r="A127" s="7"/>
      <c r="E127" s="7"/>
      <c r="F127" s="7"/>
    </row>
    <row r="128" spans="1:6" x14ac:dyDescent="0.25">
      <c r="A128" s="7"/>
      <c r="E128" s="7"/>
      <c r="F128" s="7"/>
    </row>
    <row r="129" spans="1:6" x14ac:dyDescent="0.25">
      <c r="A129" s="7"/>
      <c r="E129" s="7"/>
      <c r="F129" s="7"/>
    </row>
    <row r="130" spans="1:6" x14ac:dyDescent="0.25">
      <c r="A130" s="7"/>
      <c r="E130" s="7"/>
      <c r="F130" s="7"/>
    </row>
    <row r="131" spans="1:6" x14ac:dyDescent="0.25">
      <c r="A131" s="7"/>
      <c r="E131" s="7"/>
      <c r="F131" s="7"/>
    </row>
    <row r="132" spans="1:6" x14ac:dyDescent="0.25">
      <c r="A132" s="7"/>
      <c r="E132" s="7"/>
      <c r="F132" s="7"/>
    </row>
    <row r="133" spans="1:6" x14ac:dyDescent="0.25">
      <c r="A133" s="7"/>
      <c r="E133" s="7"/>
      <c r="F133" s="7"/>
    </row>
    <row r="134" spans="1:6" x14ac:dyDescent="0.25">
      <c r="A134" s="7"/>
      <c r="E134" s="7"/>
      <c r="F134" s="7"/>
    </row>
    <row r="135" spans="1:6" x14ac:dyDescent="0.25">
      <c r="A135" s="7"/>
      <c r="E135" s="7"/>
      <c r="F135" s="7"/>
    </row>
    <row r="136" spans="1:6" x14ac:dyDescent="0.25">
      <c r="A136" s="7"/>
      <c r="E136" s="7"/>
      <c r="F136" s="7"/>
    </row>
    <row r="137" spans="1:6" x14ac:dyDescent="0.25">
      <c r="A137" s="7"/>
      <c r="E137" s="7"/>
      <c r="F137" s="7"/>
    </row>
    <row r="138" spans="1:6" x14ac:dyDescent="0.25">
      <c r="A138" s="7"/>
      <c r="E138" s="7"/>
      <c r="F138" s="7"/>
    </row>
    <row r="139" spans="1:6" x14ac:dyDescent="0.25">
      <c r="A139" s="7"/>
      <c r="E139" s="7"/>
      <c r="F139" s="7"/>
    </row>
    <row r="140" spans="1:6" x14ac:dyDescent="0.25">
      <c r="A140" s="7"/>
      <c r="E140" s="7"/>
      <c r="F140" s="7"/>
    </row>
    <row r="141" spans="1:6" x14ac:dyDescent="0.25">
      <c r="A141" s="7"/>
      <c r="E141" s="7"/>
      <c r="F141" s="7"/>
    </row>
    <row r="142" spans="1:6" x14ac:dyDescent="0.25">
      <c r="A142" s="7"/>
      <c r="E142" s="7"/>
      <c r="F142" s="7"/>
    </row>
    <row r="143" spans="1:6" x14ac:dyDescent="0.25">
      <c r="A143" s="7"/>
      <c r="E143" s="7"/>
      <c r="F143" s="7"/>
    </row>
    <row r="144" spans="1:6" x14ac:dyDescent="0.25">
      <c r="A144" s="7"/>
      <c r="E144" s="7"/>
      <c r="F144" s="7"/>
    </row>
    <row r="145" spans="1:6" x14ac:dyDescent="0.25">
      <c r="A145" s="7"/>
      <c r="E145" s="7"/>
      <c r="F145" s="7"/>
    </row>
    <row r="146" spans="1:6" x14ac:dyDescent="0.25">
      <c r="A146" s="7"/>
      <c r="E146" s="7"/>
      <c r="F146" s="7"/>
    </row>
    <row r="147" spans="1:6" x14ac:dyDescent="0.25">
      <c r="A147" s="7"/>
      <c r="E147" s="7"/>
      <c r="F147" s="7"/>
    </row>
    <row r="148" spans="1:6" x14ac:dyDescent="0.25">
      <c r="A148" s="7"/>
      <c r="E148" s="7"/>
      <c r="F148" s="7"/>
    </row>
    <row r="149" spans="1:6" x14ac:dyDescent="0.25">
      <c r="A149" s="7"/>
      <c r="E149" s="7"/>
      <c r="F149" s="7"/>
    </row>
    <row r="150" spans="1:6" x14ac:dyDescent="0.25">
      <c r="A150" s="7"/>
      <c r="E150" s="7"/>
      <c r="F150" s="7"/>
    </row>
    <row r="151" spans="1:6" x14ac:dyDescent="0.25">
      <c r="A151" s="7"/>
      <c r="E151" s="7"/>
      <c r="F151" s="7"/>
    </row>
    <row r="152" spans="1:6" x14ac:dyDescent="0.25">
      <c r="A152" s="7"/>
      <c r="E152" s="7"/>
      <c r="F152" s="7"/>
    </row>
    <row r="153" spans="1:6" x14ac:dyDescent="0.25">
      <c r="A153" s="7"/>
      <c r="E153" s="7"/>
      <c r="F153" s="7"/>
    </row>
    <row r="154" spans="1:6" x14ac:dyDescent="0.25">
      <c r="A154" s="7"/>
      <c r="E154" s="7"/>
      <c r="F154" s="7"/>
    </row>
    <row r="155" spans="1:6" x14ac:dyDescent="0.25">
      <c r="A155" s="7"/>
      <c r="E155" s="7"/>
      <c r="F155" s="7"/>
    </row>
    <row r="156" spans="1:6" x14ac:dyDescent="0.25">
      <c r="A156" s="7"/>
      <c r="E156" s="7"/>
      <c r="F156" s="7"/>
    </row>
    <row r="157" spans="1:6" x14ac:dyDescent="0.25">
      <c r="A157" s="7"/>
      <c r="E157" s="7"/>
      <c r="F157" s="7"/>
    </row>
    <row r="158" spans="1:6" x14ac:dyDescent="0.25">
      <c r="A158" s="7"/>
      <c r="E158" s="7"/>
      <c r="F158" s="7"/>
    </row>
    <row r="159" spans="1:6" x14ac:dyDescent="0.25">
      <c r="A159" s="7"/>
      <c r="E159" s="7"/>
      <c r="F159" s="7"/>
    </row>
    <row r="160" spans="1:6" x14ac:dyDescent="0.25">
      <c r="A160" s="7"/>
      <c r="E160" s="7"/>
      <c r="F160" s="7"/>
    </row>
    <row r="161" spans="1:6" x14ac:dyDescent="0.25">
      <c r="A161" s="7"/>
      <c r="E161" s="7"/>
      <c r="F161" s="7"/>
    </row>
    <row r="162" spans="1:6" x14ac:dyDescent="0.25">
      <c r="A162" s="7"/>
      <c r="E162" s="7"/>
      <c r="F162" s="7"/>
    </row>
    <row r="163" spans="1:6" x14ac:dyDescent="0.25">
      <c r="A163" s="7"/>
      <c r="E163" s="7"/>
      <c r="F163" s="7"/>
    </row>
    <row r="164" spans="1:6" x14ac:dyDescent="0.25">
      <c r="A164" s="7"/>
      <c r="E164" s="7"/>
      <c r="F164" s="7"/>
    </row>
    <row r="165" spans="1:6" x14ac:dyDescent="0.25">
      <c r="A165" s="7"/>
      <c r="E165" s="7"/>
      <c r="F165" s="7"/>
    </row>
    <row r="166" spans="1:6" x14ac:dyDescent="0.25">
      <c r="A166" s="7"/>
      <c r="E166" s="7"/>
      <c r="F166" s="7"/>
    </row>
    <row r="167" spans="1:6" x14ac:dyDescent="0.25">
      <c r="A167" s="7"/>
      <c r="E167" s="7"/>
      <c r="F167" s="7"/>
    </row>
    <row r="168" spans="1:6" x14ac:dyDescent="0.25">
      <c r="A168" s="7"/>
      <c r="E168" s="7"/>
      <c r="F168" s="7"/>
    </row>
    <row r="169" spans="1:6" x14ac:dyDescent="0.25">
      <c r="A169" s="7"/>
      <c r="E169" s="7"/>
      <c r="F169" s="7"/>
    </row>
    <row r="170" spans="1:6" x14ac:dyDescent="0.25">
      <c r="A170" s="7"/>
      <c r="E170" s="7"/>
      <c r="F170" s="7"/>
    </row>
    <row r="171" spans="1:6" x14ac:dyDescent="0.25">
      <c r="A171" s="7"/>
      <c r="E171" s="7"/>
      <c r="F171" s="7"/>
    </row>
    <row r="172" spans="1:6" x14ac:dyDescent="0.25">
      <c r="A172" s="7"/>
      <c r="E172" s="7"/>
      <c r="F172" s="7"/>
    </row>
    <row r="173" spans="1:6" x14ac:dyDescent="0.25">
      <c r="A173" s="7"/>
      <c r="E173" s="7"/>
      <c r="F173" s="7"/>
    </row>
    <row r="174" spans="1:6" x14ac:dyDescent="0.25">
      <c r="A174" s="7"/>
      <c r="E174" s="7"/>
      <c r="F174" s="7"/>
    </row>
    <row r="175" spans="1:6" x14ac:dyDescent="0.25">
      <c r="A175" s="7"/>
      <c r="E175" s="7"/>
      <c r="F175" s="7"/>
    </row>
    <row r="176" spans="1:6" x14ac:dyDescent="0.25">
      <c r="A176" s="7"/>
      <c r="E176" s="7"/>
      <c r="F176" s="7"/>
    </row>
    <row r="177" spans="1:6" x14ac:dyDescent="0.25">
      <c r="A177" s="7"/>
      <c r="E177" s="7"/>
      <c r="F177" s="7"/>
    </row>
    <row r="178" spans="1:6" x14ac:dyDescent="0.25">
      <c r="A178" s="7"/>
      <c r="E178" s="7"/>
      <c r="F178" s="7"/>
    </row>
    <row r="179" spans="1:6" x14ac:dyDescent="0.25">
      <c r="A179" s="7"/>
      <c r="E179" s="7"/>
      <c r="F179" s="7"/>
    </row>
    <row r="180" spans="1:6" x14ac:dyDescent="0.25">
      <c r="A180" s="7"/>
      <c r="E180" s="7"/>
      <c r="F180" s="7"/>
    </row>
    <row r="181" spans="1:6" x14ac:dyDescent="0.25">
      <c r="A181" s="7"/>
      <c r="E181" s="7"/>
      <c r="F181" s="7"/>
    </row>
    <row r="182" spans="1:6" x14ac:dyDescent="0.25">
      <c r="A182" s="7"/>
      <c r="E182" s="7"/>
      <c r="F182" s="7"/>
    </row>
    <row r="183" spans="1:6" x14ac:dyDescent="0.25">
      <c r="A183" s="7"/>
      <c r="E183" s="7"/>
      <c r="F183" s="7"/>
    </row>
    <row r="184" spans="1:6" x14ac:dyDescent="0.25">
      <c r="A184" s="7"/>
      <c r="E184" s="7"/>
      <c r="F184" s="7"/>
    </row>
    <row r="185" spans="1:6" x14ac:dyDescent="0.25">
      <c r="A185" s="7"/>
      <c r="E185" s="7"/>
      <c r="F185" s="7"/>
    </row>
    <row r="186" spans="1:6" x14ac:dyDescent="0.25">
      <c r="A186" s="7"/>
      <c r="E186" s="7"/>
      <c r="F186" s="7"/>
    </row>
    <row r="187" spans="1:6" x14ac:dyDescent="0.25">
      <c r="A187" s="7"/>
      <c r="E187" s="7"/>
      <c r="F187" s="7"/>
    </row>
    <row r="188" spans="1:6" x14ac:dyDescent="0.25">
      <c r="A188" s="7"/>
      <c r="E188" s="7"/>
      <c r="F188" s="7"/>
    </row>
    <row r="189" spans="1:6" x14ac:dyDescent="0.25">
      <c r="A189" s="7"/>
      <c r="E189" s="7"/>
      <c r="F189" s="7"/>
    </row>
    <row r="190" spans="1:6" x14ac:dyDescent="0.25">
      <c r="A190" s="7"/>
      <c r="E190" s="7"/>
      <c r="F190" s="7"/>
    </row>
    <row r="191" spans="1:6" x14ac:dyDescent="0.25">
      <c r="A191" s="7"/>
      <c r="E191" s="7"/>
      <c r="F191" s="7"/>
    </row>
    <row r="192" spans="1:6" x14ac:dyDescent="0.25">
      <c r="A192" s="7"/>
      <c r="E192" s="7"/>
      <c r="F192" s="7"/>
    </row>
    <row r="193" spans="1:6" x14ac:dyDescent="0.25">
      <c r="A193" s="7"/>
      <c r="E193" s="7"/>
      <c r="F193" s="7"/>
    </row>
    <row r="194" spans="1:6" x14ac:dyDescent="0.25">
      <c r="A194" s="7"/>
      <c r="E194" s="7"/>
      <c r="F194" s="7"/>
    </row>
    <row r="195" spans="1:6" x14ac:dyDescent="0.25">
      <c r="A195" s="7"/>
      <c r="E195" s="7"/>
      <c r="F195" s="7"/>
    </row>
    <row r="196" spans="1:6" x14ac:dyDescent="0.25">
      <c r="A196" s="7"/>
      <c r="E196" s="7"/>
      <c r="F196" s="7"/>
    </row>
    <row r="197" spans="1:6" x14ac:dyDescent="0.25">
      <c r="A197" s="7"/>
      <c r="E197" s="7"/>
      <c r="F197" s="7"/>
    </row>
    <row r="198" spans="1:6" x14ac:dyDescent="0.25">
      <c r="A198" s="7"/>
      <c r="E198" s="7"/>
      <c r="F198" s="7"/>
    </row>
    <row r="199" spans="1:6" x14ac:dyDescent="0.25">
      <c r="A199" s="7"/>
      <c r="E199" s="7"/>
      <c r="F199" s="7"/>
    </row>
    <row r="200" spans="1:6" x14ac:dyDescent="0.25">
      <c r="A200" s="7"/>
      <c r="E200" s="7"/>
      <c r="F200" s="7"/>
    </row>
    <row r="201" spans="1:6" x14ac:dyDescent="0.25">
      <c r="A201" s="7"/>
      <c r="E201" s="7"/>
      <c r="F201" s="7"/>
    </row>
    <row r="202" spans="1:6" x14ac:dyDescent="0.25">
      <c r="A202" s="7"/>
      <c r="E202" s="7"/>
      <c r="F202" s="7"/>
    </row>
    <row r="203" spans="1:6" x14ac:dyDescent="0.25">
      <c r="A203" s="7"/>
      <c r="E203" s="7"/>
      <c r="F203" s="7"/>
    </row>
    <row r="204" spans="1:6" x14ac:dyDescent="0.25">
      <c r="A204" s="7"/>
      <c r="E204" s="7"/>
      <c r="F204" s="7"/>
    </row>
    <row r="205" spans="1:6" x14ac:dyDescent="0.25">
      <c r="A205" s="7"/>
      <c r="E205" s="7"/>
      <c r="F205" s="7"/>
    </row>
    <row r="206" spans="1:6" x14ac:dyDescent="0.25">
      <c r="A206" s="7"/>
      <c r="E206" s="7"/>
      <c r="F206" s="7"/>
    </row>
    <row r="207" spans="1:6" x14ac:dyDescent="0.25">
      <c r="A207" s="7"/>
      <c r="E207" s="7"/>
      <c r="F207" s="7"/>
    </row>
    <row r="208" spans="1:6" x14ac:dyDescent="0.25">
      <c r="A208" s="7"/>
      <c r="E208" s="7"/>
      <c r="F208" s="7"/>
    </row>
    <row r="209" spans="1:6" x14ac:dyDescent="0.25">
      <c r="A209" s="7"/>
      <c r="E209" s="7"/>
      <c r="F209" s="7"/>
    </row>
    <row r="210" spans="1:6" x14ac:dyDescent="0.25">
      <c r="A210" s="7"/>
      <c r="E210" s="7"/>
      <c r="F210" s="7"/>
    </row>
    <row r="211" spans="1:6" x14ac:dyDescent="0.25">
      <c r="A211" s="7"/>
      <c r="E211" s="7"/>
      <c r="F211" s="7"/>
    </row>
    <row r="212" spans="1:6" x14ac:dyDescent="0.25">
      <c r="A212" s="7"/>
      <c r="E212" s="7"/>
      <c r="F212" s="7"/>
    </row>
    <row r="213" spans="1:6" x14ac:dyDescent="0.25">
      <c r="A213" s="7"/>
      <c r="E213" s="7"/>
      <c r="F213" s="7"/>
    </row>
    <row r="214" spans="1:6" x14ac:dyDescent="0.25">
      <c r="A214" s="7"/>
      <c r="E214" s="7"/>
      <c r="F214" s="7"/>
    </row>
    <row r="215" spans="1:6" x14ac:dyDescent="0.25">
      <c r="A215" s="7"/>
      <c r="E215" s="7"/>
      <c r="F215" s="7"/>
    </row>
    <row r="216" spans="1:6" x14ac:dyDescent="0.25">
      <c r="A216" s="7"/>
      <c r="E216" s="7"/>
      <c r="F216" s="7"/>
    </row>
    <row r="217" spans="1:6" x14ac:dyDescent="0.25">
      <c r="A217" s="7"/>
      <c r="E217" s="7"/>
      <c r="F217" s="7"/>
    </row>
    <row r="218" spans="1:6" x14ac:dyDescent="0.25">
      <c r="A218" s="7"/>
      <c r="E218" s="7"/>
      <c r="F218" s="7"/>
    </row>
    <row r="219" spans="1:6" x14ac:dyDescent="0.25">
      <c r="A219" s="7"/>
      <c r="E219" s="7"/>
      <c r="F219" s="7"/>
    </row>
    <row r="220" spans="1:6" x14ac:dyDescent="0.25">
      <c r="A220" s="7"/>
      <c r="E220" s="7"/>
      <c r="F220" s="7"/>
    </row>
    <row r="221" spans="1:6" x14ac:dyDescent="0.25">
      <c r="A221" s="7"/>
      <c r="E221" s="7"/>
      <c r="F221" s="7"/>
    </row>
    <row r="222" spans="1:6" x14ac:dyDescent="0.25">
      <c r="A222" s="7"/>
      <c r="E222" s="7"/>
      <c r="F222" s="7"/>
    </row>
    <row r="223" spans="1:6" x14ac:dyDescent="0.25">
      <c r="A223" s="7"/>
      <c r="E223" s="7"/>
      <c r="F223" s="7"/>
    </row>
    <row r="224" spans="1:6" x14ac:dyDescent="0.25">
      <c r="A224" s="7"/>
      <c r="E224" s="7"/>
      <c r="F224" s="7"/>
    </row>
    <row r="225" spans="1:6" x14ac:dyDescent="0.25">
      <c r="A225" s="7"/>
      <c r="E225" s="7"/>
      <c r="F225" s="7"/>
    </row>
    <row r="226" spans="1:6" x14ac:dyDescent="0.25">
      <c r="A226" s="7"/>
      <c r="E226" s="7"/>
      <c r="F226" s="7"/>
    </row>
    <row r="227" spans="1:6" x14ac:dyDescent="0.25">
      <c r="A227" s="7"/>
      <c r="E227" s="7"/>
      <c r="F227" s="7"/>
    </row>
    <row r="228" spans="1:6" x14ac:dyDescent="0.25">
      <c r="A228" s="7"/>
      <c r="E228" s="7"/>
      <c r="F228" s="7"/>
    </row>
    <row r="229" spans="1:6" x14ac:dyDescent="0.25">
      <c r="A229" s="7"/>
      <c r="E229" s="7"/>
      <c r="F229" s="7"/>
    </row>
    <row r="230" spans="1:6" x14ac:dyDescent="0.25">
      <c r="A230" s="7"/>
      <c r="E230" s="7"/>
      <c r="F230" s="7"/>
    </row>
    <row r="231" spans="1:6" x14ac:dyDescent="0.25">
      <c r="A231" s="7"/>
      <c r="E231" s="7"/>
      <c r="F231" s="7"/>
    </row>
    <row r="232" spans="1:6" x14ac:dyDescent="0.25">
      <c r="A232" s="7"/>
      <c r="E232" s="7"/>
      <c r="F232" s="7"/>
    </row>
    <row r="233" spans="1:6" x14ac:dyDescent="0.25">
      <c r="A233" s="7"/>
      <c r="E233" s="7"/>
      <c r="F233" s="7"/>
    </row>
    <row r="234" spans="1:6" x14ac:dyDescent="0.25">
      <c r="A234" s="7"/>
      <c r="E234" s="7"/>
      <c r="F234" s="7"/>
    </row>
    <row r="235" spans="1:6" x14ac:dyDescent="0.25">
      <c r="A235" s="7"/>
      <c r="E235" s="7"/>
      <c r="F235" s="7"/>
    </row>
    <row r="236" spans="1:6" x14ac:dyDescent="0.25">
      <c r="A236" s="7"/>
      <c r="E236" s="7"/>
      <c r="F236" s="7"/>
    </row>
    <row r="237" spans="1:6" x14ac:dyDescent="0.25">
      <c r="A237" s="7"/>
      <c r="E237" s="7"/>
      <c r="F237" s="7"/>
    </row>
    <row r="238" spans="1:6" x14ac:dyDescent="0.25">
      <c r="A238" s="7"/>
      <c r="E238" s="7"/>
      <c r="F238" s="7"/>
    </row>
    <row r="239" spans="1:6" x14ac:dyDescent="0.25">
      <c r="A239" s="7"/>
      <c r="E239" s="7"/>
      <c r="F239" s="7"/>
    </row>
    <row r="240" spans="1:6" x14ac:dyDescent="0.25">
      <c r="A240" s="7"/>
      <c r="E240" s="7"/>
      <c r="F240" s="7"/>
    </row>
    <row r="241" spans="1:6" x14ac:dyDescent="0.25">
      <c r="A241" s="7"/>
      <c r="E241" s="7"/>
      <c r="F241" s="7"/>
    </row>
    <row r="242" spans="1:6" x14ac:dyDescent="0.25">
      <c r="A242" s="7"/>
      <c r="E242" s="7"/>
      <c r="F242" s="7"/>
    </row>
    <row r="243" spans="1:6" x14ac:dyDescent="0.25">
      <c r="A243" s="7"/>
      <c r="E243" s="7"/>
      <c r="F243" s="7"/>
    </row>
    <row r="244" spans="1:6" x14ac:dyDescent="0.25">
      <c r="A244" s="7"/>
      <c r="E244" s="7"/>
      <c r="F244" s="7"/>
    </row>
    <row r="245" spans="1:6" x14ac:dyDescent="0.25">
      <c r="A245" s="7"/>
      <c r="E245" s="7"/>
      <c r="F245" s="7"/>
    </row>
    <row r="246" spans="1:6" x14ac:dyDescent="0.25">
      <c r="A246" s="7"/>
      <c r="E246" s="7"/>
      <c r="F246" s="7"/>
    </row>
    <row r="247" spans="1:6" x14ac:dyDescent="0.25">
      <c r="A247" s="7"/>
      <c r="E247" s="7"/>
      <c r="F247" s="7"/>
    </row>
    <row r="248" spans="1:6" x14ac:dyDescent="0.25">
      <c r="A248" s="7"/>
      <c r="E248" s="7"/>
      <c r="F248" s="7"/>
    </row>
    <row r="249" spans="1:6" x14ac:dyDescent="0.25">
      <c r="A249" s="7"/>
      <c r="E249" s="7"/>
      <c r="F249" s="7"/>
    </row>
    <row r="250" spans="1:6" x14ac:dyDescent="0.25">
      <c r="A250" s="7"/>
      <c r="E250" s="7"/>
      <c r="F250" s="7"/>
    </row>
    <row r="251" spans="1:6" x14ac:dyDescent="0.25">
      <c r="A251" s="7"/>
      <c r="E251" s="7"/>
      <c r="F251" s="7"/>
    </row>
    <row r="252" spans="1:6" x14ac:dyDescent="0.25">
      <c r="A252" s="7"/>
      <c r="E252" s="7"/>
      <c r="F252" s="7"/>
    </row>
    <row r="253" spans="1:6" x14ac:dyDescent="0.25">
      <c r="A253" s="7"/>
      <c r="E253" s="7"/>
      <c r="F253" s="7"/>
    </row>
    <row r="254" spans="1:6" x14ac:dyDescent="0.25">
      <c r="A254" s="7"/>
      <c r="E254" s="7"/>
      <c r="F254" s="7"/>
    </row>
    <row r="255" spans="1:6" x14ac:dyDescent="0.25">
      <c r="A255" s="7"/>
      <c r="E255" s="7"/>
      <c r="F255" s="7"/>
    </row>
    <row r="256" spans="1:6" x14ac:dyDescent="0.25">
      <c r="A256" s="7"/>
      <c r="E256" s="7"/>
      <c r="F256" s="7"/>
    </row>
    <row r="257" spans="1:6" x14ac:dyDescent="0.25">
      <c r="A257" s="7"/>
      <c r="E257" s="7"/>
      <c r="F257" s="7"/>
    </row>
    <row r="258" spans="1:6" x14ac:dyDescent="0.25">
      <c r="A258" s="7"/>
      <c r="E258" s="7"/>
      <c r="F258" s="7"/>
    </row>
    <row r="259" spans="1:6" x14ac:dyDescent="0.25">
      <c r="A259" s="7"/>
      <c r="E259" s="7"/>
      <c r="F259" s="7"/>
    </row>
    <row r="260" spans="1:6" x14ac:dyDescent="0.25">
      <c r="A260" s="7"/>
      <c r="E260" s="7"/>
      <c r="F260" s="7"/>
    </row>
    <row r="261" spans="1:6" x14ac:dyDescent="0.25">
      <c r="A261" s="7"/>
      <c r="E261" s="7"/>
      <c r="F261" s="7"/>
    </row>
    <row r="262" spans="1:6" x14ac:dyDescent="0.25">
      <c r="A262" s="7"/>
      <c r="E262" s="7"/>
      <c r="F262" s="7"/>
    </row>
    <row r="263" spans="1:6" x14ac:dyDescent="0.25">
      <c r="A263" s="7"/>
      <c r="E263" s="7"/>
      <c r="F263" s="7"/>
    </row>
    <row r="264" spans="1:6" x14ac:dyDescent="0.25">
      <c r="A264" s="7"/>
      <c r="E264" s="7"/>
      <c r="F264" s="7"/>
    </row>
    <row r="265" spans="1:6" x14ac:dyDescent="0.25">
      <c r="A265" s="7"/>
      <c r="E265" s="7"/>
      <c r="F265" s="7"/>
    </row>
    <row r="266" spans="1:6" x14ac:dyDescent="0.25">
      <c r="A266" s="7"/>
      <c r="E266" s="7"/>
      <c r="F266" s="7"/>
    </row>
    <row r="267" spans="1:6" x14ac:dyDescent="0.25">
      <c r="A267" s="7"/>
      <c r="E267" s="7"/>
      <c r="F267" s="7"/>
    </row>
    <row r="268" spans="1:6" x14ac:dyDescent="0.25">
      <c r="A268" s="7"/>
      <c r="E268" s="7"/>
      <c r="F268" s="7"/>
    </row>
    <row r="269" spans="1:6" x14ac:dyDescent="0.25">
      <c r="A269" s="7"/>
      <c r="E269" s="7"/>
      <c r="F269" s="7"/>
    </row>
    <row r="270" spans="1:6" x14ac:dyDescent="0.25">
      <c r="A270" s="7"/>
      <c r="E270" s="7"/>
      <c r="F270" s="7"/>
    </row>
    <row r="271" spans="1:6" x14ac:dyDescent="0.25">
      <c r="A271" s="7"/>
      <c r="E271" s="7"/>
      <c r="F271" s="7"/>
    </row>
    <row r="272" spans="1:6" x14ac:dyDescent="0.25">
      <c r="A272" s="7"/>
      <c r="E272" s="7"/>
      <c r="F272" s="7"/>
    </row>
    <row r="273" spans="1:6" x14ac:dyDescent="0.25">
      <c r="A273" s="7"/>
      <c r="E273" s="7"/>
      <c r="F273" s="7"/>
    </row>
    <row r="274" spans="1:6" x14ac:dyDescent="0.25">
      <c r="A274" s="7"/>
      <c r="E274" s="7"/>
      <c r="F274" s="7"/>
    </row>
    <row r="275" spans="1:6" x14ac:dyDescent="0.25">
      <c r="A275" s="7"/>
      <c r="E275" s="7"/>
      <c r="F275" s="7"/>
    </row>
    <row r="276" spans="1:6" x14ac:dyDescent="0.25">
      <c r="A276" s="7"/>
      <c r="E276" s="7"/>
      <c r="F276" s="7"/>
    </row>
    <row r="277" spans="1:6" x14ac:dyDescent="0.25">
      <c r="A277" s="7"/>
      <c r="E277" s="7"/>
      <c r="F277" s="7"/>
    </row>
    <row r="278" spans="1:6" x14ac:dyDescent="0.25">
      <c r="A278" s="7"/>
      <c r="E278" s="7"/>
      <c r="F278" s="7"/>
    </row>
    <row r="279" spans="1:6" x14ac:dyDescent="0.25">
      <c r="A279" s="7"/>
      <c r="E279" s="7"/>
      <c r="F279" s="7"/>
    </row>
    <row r="280" spans="1:6" x14ac:dyDescent="0.25">
      <c r="A280" s="7"/>
      <c r="E280" s="7"/>
      <c r="F280" s="7"/>
    </row>
    <row r="281" spans="1:6" x14ac:dyDescent="0.25">
      <c r="A281" s="7"/>
      <c r="E281" s="7"/>
      <c r="F281" s="7"/>
    </row>
    <row r="282" spans="1:6" x14ac:dyDescent="0.25">
      <c r="A282" s="7"/>
      <c r="E282" s="7"/>
      <c r="F282" s="7"/>
    </row>
    <row r="283" spans="1:6" x14ac:dyDescent="0.25">
      <c r="A283" s="7"/>
      <c r="E283" s="7"/>
      <c r="F283" s="7"/>
    </row>
    <row r="284" spans="1:6" x14ac:dyDescent="0.25">
      <c r="A284" s="7"/>
      <c r="E284" s="7"/>
      <c r="F284" s="7"/>
    </row>
    <row r="285" spans="1:6" x14ac:dyDescent="0.25">
      <c r="A285" s="7"/>
      <c r="E285" s="7"/>
      <c r="F285" s="7"/>
    </row>
    <row r="286" spans="1:6" x14ac:dyDescent="0.25">
      <c r="A286" s="7"/>
      <c r="E286" s="7"/>
      <c r="F286" s="7"/>
    </row>
    <row r="287" spans="1:6" x14ac:dyDescent="0.25">
      <c r="A287" s="7"/>
      <c r="E287" s="7"/>
      <c r="F287" s="7"/>
    </row>
    <row r="288" spans="1:6" x14ac:dyDescent="0.25">
      <c r="A288" s="7"/>
      <c r="E288" s="7"/>
      <c r="F288" s="7"/>
    </row>
    <row r="289" spans="1:6" x14ac:dyDescent="0.25">
      <c r="A289" s="7"/>
      <c r="E289" s="7"/>
      <c r="F289" s="7"/>
    </row>
    <row r="290" spans="1:6" x14ac:dyDescent="0.25">
      <c r="A290" s="7"/>
      <c r="E290" s="7"/>
      <c r="F290" s="7"/>
    </row>
    <row r="291" spans="1:6" x14ac:dyDescent="0.25">
      <c r="A291" s="7"/>
      <c r="E291" s="7"/>
      <c r="F291" s="7"/>
    </row>
    <row r="292" spans="1:6" x14ac:dyDescent="0.25">
      <c r="A292" s="7"/>
      <c r="E292" s="7"/>
      <c r="F292" s="7"/>
    </row>
    <row r="293" spans="1:6" x14ac:dyDescent="0.25">
      <c r="A293" s="7"/>
      <c r="E293" s="7"/>
      <c r="F293" s="7"/>
    </row>
    <row r="294" spans="1:6" x14ac:dyDescent="0.25">
      <c r="A294" s="7"/>
      <c r="E294" s="7"/>
      <c r="F294" s="7"/>
    </row>
    <row r="295" spans="1:6" x14ac:dyDescent="0.25">
      <c r="A295" s="7"/>
      <c r="E295" s="7"/>
      <c r="F295" s="7"/>
    </row>
    <row r="296" spans="1:6" x14ac:dyDescent="0.25">
      <c r="A296" s="7"/>
      <c r="E296" s="7"/>
      <c r="F296" s="7"/>
    </row>
    <row r="297" spans="1:6" x14ac:dyDescent="0.25">
      <c r="A297" s="7"/>
      <c r="E297" s="7"/>
      <c r="F297" s="7"/>
    </row>
    <row r="298" spans="1:6" x14ac:dyDescent="0.25">
      <c r="A298" s="7"/>
      <c r="E298" s="7"/>
      <c r="F298" s="7"/>
    </row>
    <row r="299" spans="1:6" x14ac:dyDescent="0.25">
      <c r="A299" s="7"/>
      <c r="E299" s="7"/>
      <c r="F299" s="7"/>
    </row>
    <row r="300" spans="1:6" x14ac:dyDescent="0.25">
      <c r="A300" s="7"/>
      <c r="E300" s="7"/>
      <c r="F300" s="7"/>
    </row>
    <row r="301" spans="1:6" x14ac:dyDescent="0.25">
      <c r="A301" s="7"/>
      <c r="E301" s="7"/>
      <c r="F301" s="7"/>
    </row>
    <row r="302" spans="1:6" x14ac:dyDescent="0.25">
      <c r="A302" s="7"/>
      <c r="E302" s="7"/>
      <c r="F302" s="7"/>
    </row>
    <row r="303" spans="1:6" x14ac:dyDescent="0.25">
      <c r="A303" s="7"/>
      <c r="E303" s="7"/>
      <c r="F303" s="7"/>
    </row>
    <row r="304" spans="1:6" x14ac:dyDescent="0.25">
      <c r="A304" s="7"/>
      <c r="E304" s="7"/>
      <c r="F304" s="7"/>
    </row>
    <row r="305" spans="1:6" x14ac:dyDescent="0.25">
      <c r="A305" s="7"/>
      <c r="E305" s="7"/>
      <c r="F305" s="7"/>
    </row>
    <row r="306" spans="1:6" x14ac:dyDescent="0.25">
      <c r="A306" s="7"/>
      <c r="E306" s="7"/>
      <c r="F306" s="7"/>
    </row>
    <row r="307" spans="1:6" x14ac:dyDescent="0.25">
      <c r="A307" s="7"/>
      <c r="E307" s="7"/>
      <c r="F307" s="7"/>
    </row>
    <row r="308" spans="1:6" x14ac:dyDescent="0.25">
      <c r="A308" s="7"/>
      <c r="E308" s="7"/>
      <c r="F308" s="7"/>
    </row>
    <row r="309" spans="1:6" x14ac:dyDescent="0.25">
      <c r="A309" s="7"/>
      <c r="E309" s="7"/>
      <c r="F309" s="7"/>
    </row>
    <row r="310" spans="1:6" x14ac:dyDescent="0.25">
      <c r="A310" s="7"/>
      <c r="E310" s="7"/>
      <c r="F310" s="7"/>
    </row>
    <row r="311" spans="1:6" x14ac:dyDescent="0.25">
      <c r="A311" s="7"/>
      <c r="E311" s="7"/>
      <c r="F311" s="7"/>
    </row>
    <row r="312" spans="1:6" x14ac:dyDescent="0.25">
      <c r="A312" s="7"/>
      <c r="E312" s="7"/>
      <c r="F312" s="7"/>
    </row>
    <row r="313" spans="1:6" x14ac:dyDescent="0.25">
      <c r="A313" s="7"/>
      <c r="E313" s="7"/>
      <c r="F313" s="7"/>
    </row>
    <row r="314" spans="1:6" x14ac:dyDescent="0.25">
      <c r="A314" s="7"/>
      <c r="E314" s="7"/>
      <c r="F314" s="7"/>
    </row>
    <row r="315" spans="1:6" x14ac:dyDescent="0.25">
      <c r="A315" s="7"/>
      <c r="E315" s="7"/>
      <c r="F315" s="7"/>
    </row>
    <row r="316" spans="1:6" x14ac:dyDescent="0.25">
      <c r="A316" s="7"/>
      <c r="E316" s="7"/>
      <c r="F316" s="7"/>
    </row>
    <row r="317" spans="1:6" x14ac:dyDescent="0.25">
      <c r="A317" s="7"/>
      <c r="E317" s="7"/>
      <c r="F317" s="7"/>
    </row>
    <row r="318" spans="1:6" x14ac:dyDescent="0.25">
      <c r="A318" s="7"/>
      <c r="E318" s="7"/>
      <c r="F318" s="7"/>
    </row>
    <row r="319" spans="1:6" x14ac:dyDescent="0.25">
      <c r="A319" s="7"/>
      <c r="E319" s="7"/>
      <c r="F319" s="7"/>
    </row>
    <row r="320" spans="1:6" x14ac:dyDescent="0.25">
      <c r="A320" s="7"/>
      <c r="E320" s="7"/>
      <c r="F320" s="7"/>
    </row>
    <row r="321" spans="1:6" x14ac:dyDescent="0.25">
      <c r="A321" s="7"/>
      <c r="E321" s="7"/>
      <c r="F321" s="7"/>
    </row>
    <row r="322" spans="1:6" x14ac:dyDescent="0.25">
      <c r="A322" s="7"/>
      <c r="E322" s="7"/>
      <c r="F322" s="7"/>
    </row>
    <row r="323" spans="1:6" x14ac:dyDescent="0.25">
      <c r="A323" s="7"/>
      <c r="E323" s="7"/>
      <c r="F323" s="7"/>
    </row>
    <row r="324" spans="1:6" x14ac:dyDescent="0.25">
      <c r="A324" s="7"/>
      <c r="E324" s="7"/>
      <c r="F324" s="7"/>
    </row>
    <row r="325" spans="1:6" x14ac:dyDescent="0.25">
      <c r="A325" s="7"/>
      <c r="E325" s="7"/>
      <c r="F325" s="7"/>
    </row>
    <row r="326" spans="1:6" x14ac:dyDescent="0.25">
      <c r="A326" s="7"/>
      <c r="E326" s="7"/>
      <c r="F326" s="7"/>
    </row>
    <row r="327" spans="1:6" x14ac:dyDescent="0.25">
      <c r="A327" s="7"/>
      <c r="E327" s="7"/>
      <c r="F327" s="7"/>
    </row>
    <row r="328" spans="1:6" x14ac:dyDescent="0.25">
      <c r="A328" s="7"/>
      <c r="E328" s="7"/>
      <c r="F328" s="7"/>
    </row>
    <row r="329" spans="1:6" x14ac:dyDescent="0.25">
      <c r="A329" s="7"/>
      <c r="E329" s="7"/>
      <c r="F329" s="7"/>
    </row>
    <row r="330" spans="1:6" x14ac:dyDescent="0.25">
      <c r="A330" s="7"/>
      <c r="E330" s="7"/>
      <c r="F330" s="7"/>
    </row>
    <row r="331" spans="1:6" x14ac:dyDescent="0.25">
      <c r="A331" s="7"/>
      <c r="E331" s="7"/>
      <c r="F331" s="7"/>
    </row>
    <row r="332" spans="1:6" x14ac:dyDescent="0.25">
      <c r="A332" s="7"/>
      <c r="E332" s="7"/>
      <c r="F332" s="7"/>
    </row>
    <row r="333" spans="1:6" x14ac:dyDescent="0.25">
      <c r="A333" s="7"/>
      <c r="E333" s="7"/>
      <c r="F333" s="7"/>
    </row>
    <row r="334" spans="1:6" x14ac:dyDescent="0.25">
      <c r="A334" s="7"/>
      <c r="E334" s="7"/>
      <c r="F334" s="7"/>
    </row>
    <row r="335" spans="1:6" x14ac:dyDescent="0.25">
      <c r="A335" s="7"/>
      <c r="E335" s="7"/>
      <c r="F335" s="7"/>
    </row>
    <row r="336" spans="1:6" x14ac:dyDescent="0.25">
      <c r="A336" s="7"/>
      <c r="E336" s="7"/>
      <c r="F336" s="7"/>
    </row>
    <row r="337" spans="1:6" x14ac:dyDescent="0.25">
      <c r="A337" s="7"/>
      <c r="E337" s="7"/>
      <c r="F337" s="7"/>
    </row>
    <row r="338" spans="1:6" x14ac:dyDescent="0.25">
      <c r="A338" s="7"/>
      <c r="E338" s="7"/>
      <c r="F338" s="7"/>
    </row>
    <row r="339" spans="1:6" x14ac:dyDescent="0.25">
      <c r="A339" s="7"/>
      <c r="E339" s="7"/>
      <c r="F339" s="7"/>
    </row>
    <row r="340" spans="1:6" x14ac:dyDescent="0.25">
      <c r="A340" s="7"/>
      <c r="E340" s="7"/>
      <c r="F340" s="7"/>
    </row>
    <row r="341" spans="1:6" x14ac:dyDescent="0.25">
      <c r="A341" s="7"/>
      <c r="E341" s="7"/>
      <c r="F341" s="7"/>
    </row>
    <row r="342" spans="1:6" x14ac:dyDescent="0.25">
      <c r="A342" s="7"/>
      <c r="E342" s="7"/>
      <c r="F342" s="7"/>
    </row>
    <row r="343" spans="1:6" x14ac:dyDescent="0.25">
      <c r="A343" s="7"/>
      <c r="E343" s="7"/>
      <c r="F343" s="7"/>
    </row>
    <row r="344" spans="1:6" x14ac:dyDescent="0.25">
      <c r="A344" s="7"/>
      <c r="E344" s="7"/>
      <c r="F344" s="7"/>
    </row>
    <row r="345" spans="1:6" x14ac:dyDescent="0.25">
      <c r="A345" s="7"/>
      <c r="E345" s="7"/>
      <c r="F345" s="7"/>
    </row>
    <row r="346" spans="1:6" x14ac:dyDescent="0.25">
      <c r="A346" s="7"/>
      <c r="E346" s="7"/>
      <c r="F346" s="7"/>
    </row>
    <row r="347" spans="1:6" x14ac:dyDescent="0.25">
      <c r="A347" s="7"/>
      <c r="E347" s="7"/>
      <c r="F347" s="7"/>
    </row>
    <row r="348" spans="1:6" x14ac:dyDescent="0.25">
      <c r="A348" s="7"/>
      <c r="E348" s="7"/>
      <c r="F348" s="7"/>
    </row>
    <row r="349" spans="1:6" x14ac:dyDescent="0.25">
      <c r="A349" s="7"/>
      <c r="E349" s="7"/>
      <c r="F349" s="7"/>
    </row>
    <row r="350" spans="1:6" x14ac:dyDescent="0.25">
      <c r="A350" s="7"/>
      <c r="E350" s="7"/>
      <c r="F350" s="7"/>
    </row>
    <row r="351" spans="1:6" x14ac:dyDescent="0.25">
      <c r="A351" s="7"/>
      <c r="E351" s="7"/>
      <c r="F351" s="7"/>
    </row>
    <row r="352" spans="1:6" x14ac:dyDescent="0.25">
      <c r="A352" s="7"/>
      <c r="E352" s="7"/>
      <c r="F352" s="7"/>
    </row>
    <row r="353" spans="1:6" x14ac:dyDescent="0.25">
      <c r="A353" s="7"/>
      <c r="E353" s="7"/>
      <c r="F353" s="7"/>
    </row>
    <row r="354" spans="1:6" x14ac:dyDescent="0.25">
      <c r="A354" s="7"/>
      <c r="E354" s="7"/>
      <c r="F354" s="7"/>
    </row>
    <row r="355" spans="1:6" x14ac:dyDescent="0.25">
      <c r="A355" s="7"/>
      <c r="E355" s="7"/>
      <c r="F355" s="7"/>
    </row>
    <row r="356" spans="1:6" x14ac:dyDescent="0.25">
      <c r="A356" s="7"/>
      <c r="E356" s="7"/>
      <c r="F356" s="7"/>
    </row>
    <row r="357" spans="1:6" x14ac:dyDescent="0.25">
      <c r="A357" s="7"/>
      <c r="E357" s="7"/>
      <c r="F357" s="7"/>
    </row>
    <row r="358" spans="1:6" x14ac:dyDescent="0.25">
      <c r="A358" s="7"/>
      <c r="E358" s="7"/>
      <c r="F358" s="7"/>
    </row>
    <row r="359" spans="1:6" x14ac:dyDescent="0.25">
      <c r="A359" s="7"/>
      <c r="E359" s="7"/>
      <c r="F359" s="7"/>
    </row>
    <row r="360" spans="1:6" x14ac:dyDescent="0.25">
      <c r="A360" s="7"/>
      <c r="E360" s="7"/>
      <c r="F360" s="7"/>
    </row>
    <row r="361" spans="1:6" x14ac:dyDescent="0.25">
      <c r="A361" s="7"/>
      <c r="E361" s="7"/>
      <c r="F361" s="7"/>
    </row>
    <row r="362" spans="1:6" x14ac:dyDescent="0.25">
      <c r="A362" s="7"/>
      <c r="E362" s="7"/>
      <c r="F362" s="7"/>
    </row>
    <row r="363" spans="1:6" x14ac:dyDescent="0.25">
      <c r="A363" s="7"/>
      <c r="E363" s="7"/>
      <c r="F363" s="7"/>
    </row>
    <row r="364" spans="1:6" x14ac:dyDescent="0.25">
      <c r="A364" s="7"/>
      <c r="E364" s="7"/>
      <c r="F364" s="7"/>
    </row>
    <row r="365" spans="1:6" x14ac:dyDescent="0.25">
      <c r="A365" s="7"/>
      <c r="E365" s="7"/>
      <c r="F365" s="7"/>
    </row>
    <row r="366" spans="1:6" x14ac:dyDescent="0.25">
      <c r="A366" s="7"/>
      <c r="E366" s="7"/>
      <c r="F366" s="7"/>
    </row>
    <row r="367" spans="1:6" x14ac:dyDescent="0.25">
      <c r="A367" s="7"/>
      <c r="E367" s="7"/>
      <c r="F367" s="7"/>
    </row>
    <row r="368" spans="1:6" x14ac:dyDescent="0.25">
      <c r="A368" s="7"/>
      <c r="E368" s="7"/>
      <c r="F368" s="7"/>
    </row>
    <row r="369" spans="1:6" x14ac:dyDescent="0.25">
      <c r="A369" s="7"/>
      <c r="E369" s="7"/>
      <c r="F369" s="7"/>
    </row>
    <row r="370" spans="1:6" x14ac:dyDescent="0.25">
      <c r="A370" s="7"/>
      <c r="E370" s="7"/>
      <c r="F370" s="7"/>
    </row>
    <row r="371" spans="1:6" x14ac:dyDescent="0.25">
      <c r="A371" s="7"/>
      <c r="E371" s="7"/>
      <c r="F371" s="7"/>
    </row>
    <row r="372" spans="1:6" x14ac:dyDescent="0.25">
      <c r="A372" s="7"/>
      <c r="E372" s="7"/>
      <c r="F372" s="7"/>
    </row>
    <row r="373" spans="1:6" x14ac:dyDescent="0.25">
      <c r="A373" s="7"/>
      <c r="E373" s="7"/>
      <c r="F373" s="7"/>
    </row>
    <row r="374" spans="1:6" x14ac:dyDescent="0.25">
      <c r="A374" s="7"/>
      <c r="E374" s="7"/>
      <c r="F374" s="7"/>
    </row>
    <row r="375" spans="1:6" x14ac:dyDescent="0.25">
      <c r="A375" s="7"/>
      <c r="E375" s="7"/>
      <c r="F375" s="7"/>
    </row>
    <row r="376" spans="1:6" x14ac:dyDescent="0.25">
      <c r="A376" s="7"/>
      <c r="E376" s="7"/>
      <c r="F376" s="7"/>
    </row>
    <row r="377" spans="1:6" x14ac:dyDescent="0.25">
      <c r="A377" s="7"/>
      <c r="E377" s="7"/>
      <c r="F377" s="7"/>
    </row>
    <row r="378" spans="1:6" x14ac:dyDescent="0.25">
      <c r="A378" s="7"/>
      <c r="E378" s="7"/>
      <c r="F378" s="7"/>
    </row>
    <row r="379" spans="1:6" x14ac:dyDescent="0.25">
      <c r="A379" s="7"/>
      <c r="E379" s="7"/>
      <c r="F379" s="7"/>
    </row>
    <row r="380" spans="1:6" x14ac:dyDescent="0.25">
      <c r="A380" s="7"/>
      <c r="E380" s="7"/>
      <c r="F380" s="7"/>
    </row>
    <row r="381" spans="1:6" x14ac:dyDescent="0.25">
      <c r="A381" s="7"/>
      <c r="E381" s="7"/>
      <c r="F381" s="7"/>
    </row>
    <row r="382" spans="1:6" x14ac:dyDescent="0.25">
      <c r="A382" s="7"/>
      <c r="E382" s="7"/>
      <c r="F382" s="7"/>
    </row>
    <row r="383" spans="1:6" x14ac:dyDescent="0.25">
      <c r="A383" s="7"/>
      <c r="E383" s="7"/>
      <c r="F383" s="7"/>
    </row>
    <row r="384" spans="1:6" x14ac:dyDescent="0.25">
      <c r="A384" s="7"/>
      <c r="E384" s="7"/>
      <c r="F384" s="7"/>
    </row>
    <row r="385" spans="1:6" x14ac:dyDescent="0.25">
      <c r="A385" s="7"/>
      <c r="E385" s="7"/>
      <c r="F385" s="7"/>
    </row>
    <row r="386" spans="1:6" x14ac:dyDescent="0.25">
      <c r="A386" s="7"/>
      <c r="E386" s="7"/>
      <c r="F386" s="7"/>
    </row>
    <row r="387" spans="1:6" x14ac:dyDescent="0.25">
      <c r="A387" s="7"/>
      <c r="E387" s="7"/>
      <c r="F387" s="7"/>
    </row>
    <row r="388" spans="1:6" x14ac:dyDescent="0.25">
      <c r="A388" s="7"/>
      <c r="E388" s="7"/>
      <c r="F388" s="7"/>
    </row>
    <row r="389" spans="1:6" x14ac:dyDescent="0.25">
      <c r="A389" s="7"/>
      <c r="E389" s="7"/>
      <c r="F389" s="7"/>
    </row>
    <row r="390" spans="1:6" x14ac:dyDescent="0.25">
      <c r="A390" s="7"/>
      <c r="E390" s="7"/>
      <c r="F390" s="7"/>
    </row>
    <row r="391" spans="1:6" x14ac:dyDescent="0.25">
      <c r="A391" s="7"/>
      <c r="E391" s="7"/>
      <c r="F391" s="7"/>
    </row>
    <row r="392" spans="1:6" x14ac:dyDescent="0.25">
      <c r="A392" s="7"/>
      <c r="E392" s="7"/>
      <c r="F392" s="7"/>
    </row>
    <row r="393" spans="1:6" x14ac:dyDescent="0.25">
      <c r="A393" s="7"/>
      <c r="E393" s="7"/>
      <c r="F393" s="7"/>
    </row>
    <row r="394" spans="1:6" x14ac:dyDescent="0.25">
      <c r="A394" s="7"/>
      <c r="E394" s="7"/>
      <c r="F394" s="7"/>
    </row>
    <row r="395" spans="1:6" x14ac:dyDescent="0.25">
      <c r="A395" s="7"/>
      <c r="E395" s="7"/>
      <c r="F395" s="7"/>
    </row>
    <row r="396" spans="1:6" x14ac:dyDescent="0.25">
      <c r="A396" s="7"/>
      <c r="E396" s="7"/>
      <c r="F396" s="7"/>
    </row>
    <row r="397" spans="1:6" x14ac:dyDescent="0.25">
      <c r="A397" s="7"/>
      <c r="E397" s="7"/>
      <c r="F397" s="7"/>
    </row>
    <row r="398" spans="1:6" x14ac:dyDescent="0.25">
      <c r="A398" s="7"/>
      <c r="E398" s="7"/>
      <c r="F398" s="7"/>
    </row>
    <row r="399" spans="1:6" x14ac:dyDescent="0.25">
      <c r="A399" s="7"/>
      <c r="E399" s="7"/>
      <c r="F399" s="7"/>
    </row>
    <row r="400" spans="1:6" x14ac:dyDescent="0.25">
      <c r="A400" s="7"/>
      <c r="E400" s="7"/>
      <c r="F400" s="7"/>
    </row>
    <row r="401" spans="1:6" x14ac:dyDescent="0.25">
      <c r="A401" s="7"/>
      <c r="E401" s="7"/>
      <c r="F401" s="7"/>
    </row>
    <row r="402" spans="1:6" x14ac:dyDescent="0.25">
      <c r="A402" s="7"/>
      <c r="E402" s="7"/>
      <c r="F402" s="7"/>
    </row>
    <row r="403" spans="1:6" x14ac:dyDescent="0.25">
      <c r="A403" s="7"/>
      <c r="E403" s="7"/>
      <c r="F403" s="7"/>
    </row>
    <row r="404" spans="1:6" x14ac:dyDescent="0.25">
      <c r="A404" s="7"/>
      <c r="E404" s="7"/>
      <c r="F404" s="7"/>
    </row>
    <row r="405" spans="1:6" x14ac:dyDescent="0.25">
      <c r="A405" s="7"/>
      <c r="E405" s="7"/>
      <c r="F405" s="7"/>
    </row>
    <row r="406" spans="1:6" x14ac:dyDescent="0.25">
      <c r="A406" s="7"/>
      <c r="E406" s="7"/>
      <c r="F406" s="7"/>
    </row>
    <row r="407" spans="1:6" x14ac:dyDescent="0.25">
      <c r="A407" s="7"/>
      <c r="E407" s="7"/>
      <c r="F407" s="7"/>
    </row>
    <row r="408" spans="1:6" x14ac:dyDescent="0.25">
      <c r="A408" s="7"/>
      <c r="E408" s="7"/>
      <c r="F408" s="7"/>
    </row>
    <row r="409" spans="1:6" x14ac:dyDescent="0.25">
      <c r="A409" s="7"/>
      <c r="E409" s="7"/>
      <c r="F409" s="7"/>
    </row>
    <row r="410" spans="1:6" x14ac:dyDescent="0.25">
      <c r="A410" s="7"/>
      <c r="E410" s="7"/>
      <c r="F410" s="7"/>
    </row>
    <row r="411" spans="1:6" x14ac:dyDescent="0.25">
      <c r="A411" s="7"/>
      <c r="E411" s="7"/>
      <c r="F411" s="7"/>
    </row>
    <row r="412" spans="1:6" x14ac:dyDescent="0.25">
      <c r="A412" s="7"/>
      <c r="E412" s="7"/>
      <c r="F412" s="7"/>
    </row>
    <row r="413" spans="1:6" x14ac:dyDescent="0.25">
      <c r="A413" s="7"/>
      <c r="E413" s="7"/>
      <c r="F413" s="7"/>
    </row>
    <row r="414" spans="1:6" x14ac:dyDescent="0.25">
      <c r="A414" s="7"/>
      <c r="E414" s="7"/>
      <c r="F414" s="7"/>
    </row>
    <row r="415" spans="1:6" x14ac:dyDescent="0.25">
      <c r="A415" s="7"/>
      <c r="E415" s="7"/>
      <c r="F415" s="7"/>
    </row>
    <row r="416" spans="1:6" x14ac:dyDescent="0.25">
      <c r="A416" s="7"/>
      <c r="E416" s="7"/>
      <c r="F416" s="7"/>
    </row>
    <row r="417" spans="1:6" x14ac:dyDescent="0.25">
      <c r="A417" s="7"/>
      <c r="E417" s="7"/>
      <c r="F417" s="7"/>
    </row>
    <row r="418" spans="1:6" x14ac:dyDescent="0.25">
      <c r="A418" s="7"/>
      <c r="E418" s="7"/>
      <c r="F418" s="7"/>
    </row>
    <row r="419" spans="1:6" x14ac:dyDescent="0.25">
      <c r="A419" s="7"/>
      <c r="E419" s="7"/>
      <c r="F419" s="7"/>
    </row>
    <row r="420" spans="1:6" x14ac:dyDescent="0.25">
      <c r="A420" s="7"/>
      <c r="E420" s="7"/>
      <c r="F420" s="7"/>
    </row>
    <row r="421" spans="1:6" x14ac:dyDescent="0.25">
      <c r="A421" s="7"/>
      <c r="E421" s="7"/>
      <c r="F421" s="7"/>
    </row>
    <row r="422" spans="1:6" x14ac:dyDescent="0.25">
      <c r="A422" s="7"/>
      <c r="E422" s="7"/>
      <c r="F422" s="7"/>
    </row>
    <row r="423" spans="1:6" x14ac:dyDescent="0.25">
      <c r="A423" s="7"/>
      <c r="E423" s="7"/>
      <c r="F423" s="7"/>
    </row>
    <row r="424" spans="1:6" x14ac:dyDescent="0.25">
      <c r="A424" s="7"/>
      <c r="E424" s="7"/>
      <c r="F424" s="7"/>
    </row>
    <row r="425" spans="1:6" x14ac:dyDescent="0.25">
      <c r="A425" s="7"/>
      <c r="E425" s="7"/>
      <c r="F425" s="7"/>
    </row>
    <row r="426" spans="1:6" x14ac:dyDescent="0.25">
      <c r="A426" s="7"/>
      <c r="E426" s="7"/>
      <c r="F426" s="7"/>
    </row>
    <row r="427" spans="1:6" x14ac:dyDescent="0.25">
      <c r="A427" s="7"/>
      <c r="E427" s="7"/>
      <c r="F427" s="7"/>
    </row>
    <row r="428" spans="1:6" x14ac:dyDescent="0.25">
      <c r="A428" s="7"/>
      <c r="E428" s="7"/>
      <c r="F428" s="7"/>
    </row>
    <row r="429" spans="1:6" x14ac:dyDescent="0.25">
      <c r="A429" s="7"/>
      <c r="E429" s="7"/>
      <c r="F429" s="7"/>
    </row>
    <row r="430" spans="1:6" x14ac:dyDescent="0.25">
      <c r="A430" s="7"/>
      <c r="E430" s="7"/>
      <c r="F430" s="7"/>
    </row>
    <row r="431" spans="1:6" x14ac:dyDescent="0.25">
      <c r="A431" s="7"/>
      <c r="E431" s="7"/>
      <c r="F431" s="7"/>
    </row>
    <row r="432" spans="1:6" x14ac:dyDescent="0.25">
      <c r="A432" s="7"/>
      <c r="E432" s="7"/>
      <c r="F432" s="7"/>
    </row>
    <row r="433" spans="1:6" x14ac:dyDescent="0.25">
      <c r="A433" s="7"/>
      <c r="E433" s="7"/>
      <c r="F433" s="7"/>
    </row>
    <row r="434" spans="1:6" x14ac:dyDescent="0.25">
      <c r="A434" s="7"/>
      <c r="E434" s="7"/>
      <c r="F434" s="7"/>
    </row>
    <row r="435" spans="1:6" x14ac:dyDescent="0.25">
      <c r="A435" s="7"/>
      <c r="E435" s="7"/>
      <c r="F435" s="7"/>
    </row>
    <row r="436" spans="1:6" x14ac:dyDescent="0.25">
      <c r="A436" s="7"/>
      <c r="E436" s="7"/>
      <c r="F436" s="7"/>
    </row>
    <row r="437" spans="1:6" x14ac:dyDescent="0.25">
      <c r="A437" s="7"/>
      <c r="E437" s="7"/>
      <c r="F437" s="7"/>
    </row>
    <row r="438" spans="1:6" x14ac:dyDescent="0.25">
      <c r="A438" s="7"/>
      <c r="E438" s="7"/>
      <c r="F438" s="7"/>
    </row>
    <row r="439" spans="1:6" x14ac:dyDescent="0.25">
      <c r="A439" s="7"/>
      <c r="E439" s="7"/>
      <c r="F439" s="7"/>
    </row>
    <row r="440" spans="1:6" x14ac:dyDescent="0.25">
      <c r="A440" s="7"/>
      <c r="E440" s="7"/>
      <c r="F440" s="7"/>
    </row>
    <row r="441" spans="1:6" x14ac:dyDescent="0.25">
      <c r="A441" s="7"/>
      <c r="E441" s="7"/>
      <c r="F441" s="7"/>
    </row>
    <row r="442" spans="1:6" x14ac:dyDescent="0.25">
      <c r="A442" s="7"/>
      <c r="E442" s="7"/>
      <c r="F442" s="7"/>
    </row>
    <row r="443" spans="1:6" x14ac:dyDescent="0.25">
      <c r="A443" s="7"/>
      <c r="E443" s="7"/>
      <c r="F443" s="7"/>
    </row>
    <row r="444" spans="1:6" x14ac:dyDescent="0.25">
      <c r="A444" s="7"/>
      <c r="E444" s="7"/>
      <c r="F444" s="7"/>
    </row>
    <row r="445" spans="1:6" x14ac:dyDescent="0.25">
      <c r="A445" s="7"/>
      <c r="E445" s="7"/>
      <c r="F445" s="7"/>
    </row>
    <row r="446" spans="1:6" x14ac:dyDescent="0.25">
      <c r="A446" s="7"/>
      <c r="E446" s="7"/>
      <c r="F446" s="7"/>
    </row>
    <row r="447" spans="1:6" x14ac:dyDescent="0.25">
      <c r="A447" s="7"/>
      <c r="E447" s="7"/>
      <c r="F447" s="7"/>
    </row>
    <row r="448" spans="1:6" x14ac:dyDescent="0.25">
      <c r="A448" s="7"/>
      <c r="E448" s="7"/>
      <c r="F448" s="7"/>
    </row>
    <row r="449" spans="1:6" x14ac:dyDescent="0.25">
      <c r="A449" s="7"/>
      <c r="E449" s="7"/>
      <c r="F449" s="7"/>
    </row>
    <row r="450" spans="1:6" x14ac:dyDescent="0.25">
      <c r="A450" s="7"/>
      <c r="E450" s="7"/>
      <c r="F450" s="7"/>
    </row>
    <row r="451" spans="1:6" x14ac:dyDescent="0.25">
      <c r="A451" s="7"/>
      <c r="E451" s="7"/>
      <c r="F451" s="7"/>
    </row>
    <row r="452" spans="1:6" x14ac:dyDescent="0.25">
      <c r="A452" s="7"/>
      <c r="E452" s="7"/>
      <c r="F452" s="7"/>
    </row>
    <row r="453" spans="1:6" x14ac:dyDescent="0.25">
      <c r="A453" s="7"/>
      <c r="E453" s="7"/>
      <c r="F453" s="7"/>
    </row>
    <row r="454" spans="1:6" x14ac:dyDescent="0.25">
      <c r="A454" s="7"/>
      <c r="E454" s="7"/>
      <c r="F454" s="7"/>
    </row>
    <row r="455" spans="1:6" x14ac:dyDescent="0.25">
      <c r="A455" s="7"/>
      <c r="E455" s="7"/>
      <c r="F455" s="7"/>
    </row>
    <row r="456" spans="1:6" x14ac:dyDescent="0.25">
      <c r="A456" s="7"/>
      <c r="E456" s="7"/>
      <c r="F456" s="7"/>
    </row>
    <row r="457" spans="1:6" x14ac:dyDescent="0.25">
      <c r="A457" s="7"/>
      <c r="E457" s="7"/>
      <c r="F457" s="7"/>
    </row>
    <row r="458" spans="1:6" x14ac:dyDescent="0.25">
      <c r="A458" s="7"/>
      <c r="E458" s="7"/>
      <c r="F458" s="7"/>
    </row>
    <row r="459" spans="1:6" x14ac:dyDescent="0.25">
      <c r="A459" s="7"/>
      <c r="E459" s="7"/>
      <c r="F459" s="7"/>
    </row>
    <row r="460" spans="1:6" x14ac:dyDescent="0.25">
      <c r="A460" s="7"/>
      <c r="E460" s="7"/>
      <c r="F460" s="7"/>
    </row>
    <row r="461" spans="1:6" x14ac:dyDescent="0.25">
      <c r="A461" s="7"/>
      <c r="E461" s="7"/>
      <c r="F461" s="7"/>
    </row>
    <row r="462" spans="1:6" x14ac:dyDescent="0.25">
      <c r="A462" s="7"/>
      <c r="E462" s="7"/>
      <c r="F462" s="7"/>
    </row>
    <row r="463" spans="1:6" x14ac:dyDescent="0.25">
      <c r="A463" s="7"/>
      <c r="E463" s="7"/>
      <c r="F463" s="7"/>
    </row>
    <row r="464" spans="1:6" x14ac:dyDescent="0.25">
      <c r="A464" s="7"/>
      <c r="E464" s="7"/>
      <c r="F464" s="7"/>
    </row>
    <row r="465" spans="1:6" x14ac:dyDescent="0.25">
      <c r="A465" s="7"/>
      <c r="E465" s="7"/>
      <c r="F465" s="7"/>
    </row>
    <row r="466" spans="1:6" x14ac:dyDescent="0.25">
      <c r="A466" s="7"/>
      <c r="E466" s="7"/>
      <c r="F466" s="7"/>
    </row>
    <row r="467" spans="1:6" x14ac:dyDescent="0.25">
      <c r="A467" s="7"/>
      <c r="E467" s="7"/>
      <c r="F467" s="7"/>
    </row>
    <row r="468" spans="1:6" x14ac:dyDescent="0.25">
      <c r="A468" s="7"/>
      <c r="E468" s="7"/>
      <c r="F468" s="7"/>
    </row>
    <row r="469" spans="1:6" x14ac:dyDescent="0.25">
      <c r="A469" s="7"/>
      <c r="E469" s="7"/>
      <c r="F469" s="7"/>
    </row>
    <row r="470" spans="1:6" x14ac:dyDescent="0.25">
      <c r="A470" s="7"/>
      <c r="E470" s="7"/>
      <c r="F470" s="7"/>
    </row>
    <row r="471" spans="1:6" x14ac:dyDescent="0.25">
      <c r="A471" s="7"/>
      <c r="E471" s="7"/>
      <c r="F471" s="7"/>
    </row>
    <row r="472" spans="1:6" x14ac:dyDescent="0.25">
      <c r="A472" s="7"/>
      <c r="E472" s="7"/>
      <c r="F472" s="7"/>
    </row>
    <row r="473" spans="1:6" x14ac:dyDescent="0.25">
      <c r="A473" s="7"/>
      <c r="E473" s="7"/>
      <c r="F473" s="7"/>
    </row>
    <row r="474" spans="1:6" x14ac:dyDescent="0.25">
      <c r="A474" s="7"/>
      <c r="E474" s="7"/>
      <c r="F474" s="7"/>
    </row>
    <row r="475" spans="1:6" x14ac:dyDescent="0.25">
      <c r="A475" s="7"/>
      <c r="E475" s="7"/>
      <c r="F475" s="7"/>
    </row>
    <row r="476" spans="1:6" x14ac:dyDescent="0.25">
      <c r="A476" s="7"/>
      <c r="E476" s="7"/>
      <c r="F476" s="7"/>
    </row>
    <row r="477" spans="1:6" x14ac:dyDescent="0.25">
      <c r="A477" s="7"/>
      <c r="E477" s="7"/>
      <c r="F477" s="7"/>
    </row>
    <row r="478" spans="1:6" x14ac:dyDescent="0.25">
      <c r="A478" s="7"/>
      <c r="E478" s="7"/>
      <c r="F478" s="7"/>
    </row>
    <row r="479" spans="1:6" x14ac:dyDescent="0.25">
      <c r="A479" s="7"/>
      <c r="E479" s="7"/>
      <c r="F479" s="7"/>
    </row>
    <row r="480" spans="1:6" x14ac:dyDescent="0.25">
      <c r="A480" s="7"/>
      <c r="E480" s="7"/>
      <c r="F480" s="7"/>
    </row>
    <row r="481" spans="1:6" x14ac:dyDescent="0.25">
      <c r="A481" s="7"/>
      <c r="E481" s="7"/>
      <c r="F481" s="7"/>
    </row>
    <row r="482" spans="1:6" x14ac:dyDescent="0.25">
      <c r="A482" s="7"/>
      <c r="E482" s="7"/>
      <c r="F482" s="7"/>
    </row>
    <row r="483" spans="1:6" x14ac:dyDescent="0.25">
      <c r="A483" s="7"/>
      <c r="E483" s="7"/>
      <c r="F483" s="7"/>
    </row>
    <row r="484" spans="1:6" x14ac:dyDescent="0.25">
      <c r="A484" s="7"/>
      <c r="E484" s="7"/>
      <c r="F484" s="7"/>
    </row>
    <row r="485" spans="1:6" x14ac:dyDescent="0.25">
      <c r="A485" s="7"/>
      <c r="E485" s="7"/>
      <c r="F485" s="7"/>
    </row>
    <row r="486" spans="1:6" x14ac:dyDescent="0.25">
      <c r="A486" s="7"/>
      <c r="E486" s="7"/>
      <c r="F486" s="7"/>
    </row>
    <row r="487" spans="1:6" x14ac:dyDescent="0.25">
      <c r="A487" s="7"/>
      <c r="E487" s="7"/>
      <c r="F487" s="7"/>
    </row>
    <row r="488" spans="1:6" x14ac:dyDescent="0.25">
      <c r="A488" s="7"/>
      <c r="E488" s="7"/>
      <c r="F488" s="7"/>
    </row>
    <row r="489" spans="1:6" x14ac:dyDescent="0.25">
      <c r="A489" s="7"/>
      <c r="E489" s="7"/>
      <c r="F489" s="7"/>
    </row>
    <row r="490" spans="1:6" x14ac:dyDescent="0.25">
      <c r="A490" s="7"/>
      <c r="E490" s="7"/>
      <c r="F490" s="7"/>
    </row>
    <row r="491" spans="1:6" x14ac:dyDescent="0.25">
      <c r="A491" s="7"/>
      <c r="E491" s="7"/>
      <c r="F491" s="7"/>
    </row>
    <row r="492" spans="1:6" x14ac:dyDescent="0.25">
      <c r="A492" s="7"/>
      <c r="E492" s="7"/>
      <c r="F492" s="7"/>
    </row>
    <row r="493" spans="1:6" x14ac:dyDescent="0.25">
      <c r="A493" s="7"/>
      <c r="E493" s="7"/>
      <c r="F493" s="7"/>
    </row>
    <row r="494" spans="1:6" x14ac:dyDescent="0.25">
      <c r="A494" s="7"/>
      <c r="E494" s="7"/>
      <c r="F494" s="7"/>
    </row>
    <row r="495" spans="1:6" x14ac:dyDescent="0.25">
      <c r="A495" s="7"/>
      <c r="E495" s="7"/>
      <c r="F495" s="7"/>
    </row>
    <row r="496" spans="1:6" x14ac:dyDescent="0.25">
      <c r="A496" s="7"/>
      <c r="E496" s="7"/>
      <c r="F496" s="7"/>
    </row>
    <row r="497" spans="1:6" x14ac:dyDescent="0.25">
      <c r="A497" s="7"/>
      <c r="E497" s="7"/>
      <c r="F497" s="7"/>
    </row>
    <row r="498" spans="1:6" x14ac:dyDescent="0.25">
      <c r="A498" s="7"/>
      <c r="E498" s="7"/>
      <c r="F498" s="7"/>
    </row>
    <row r="499" spans="1:6" x14ac:dyDescent="0.25">
      <c r="A499" s="7"/>
      <c r="E499" s="7"/>
      <c r="F499" s="7"/>
    </row>
    <row r="500" spans="1:6" x14ac:dyDescent="0.25">
      <c r="A500" s="7"/>
      <c r="E500" s="7"/>
      <c r="F500" s="7"/>
    </row>
    <row r="501" spans="1:6" x14ac:dyDescent="0.25">
      <c r="A501" s="7"/>
      <c r="E501" s="7"/>
      <c r="F501" s="7"/>
    </row>
    <row r="502" spans="1:6" x14ac:dyDescent="0.25">
      <c r="A502" s="7"/>
      <c r="E502" s="7"/>
      <c r="F502" s="7"/>
    </row>
    <row r="503" spans="1:6" x14ac:dyDescent="0.25">
      <c r="A503" s="7"/>
      <c r="E503" s="7"/>
      <c r="F503" s="7"/>
    </row>
    <row r="504" spans="1:6" x14ac:dyDescent="0.25">
      <c r="A504" s="7"/>
      <c r="E504" s="7"/>
      <c r="F504" s="7"/>
    </row>
    <row r="505" spans="1:6" x14ac:dyDescent="0.25">
      <c r="A505" s="7"/>
      <c r="E505" s="7"/>
      <c r="F505" s="7"/>
    </row>
    <row r="506" spans="1:6" x14ac:dyDescent="0.25">
      <c r="A506" s="7"/>
      <c r="E506" s="7"/>
      <c r="F506" s="7"/>
    </row>
    <row r="507" spans="1:6" x14ac:dyDescent="0.25">
      <c r="A507" s="7"/>
      <c r="E507" s="7"/>
      <c r="F507" s="7"/>
    </row>
    <row r="508" spans="1:6" x14ac:dyDescent="0.25">
      <c r="A508" s="7"/>
      <c r="E508" s="7"/>
      <c r="F508" s="7"/>
    </row>
    <row r="509" spans="1:6" x14ac:dyDescent="0.25">
      <c r="A509" s="7"/>
      <c r="E509" s="7"/>
      <c r="F509" s="7"/>
    </row>
    <row r="510" spans="1:6" x14ac:dyDescent="0.25">
      <c r="A510" s="7"/>
      <c r="E510" s="7"/>
      <c r="F510" s="7"/>
    </row>
    <row r="511" spans="1:6" x14ac:dyDescent="0.25">
      <c r="A511" s="7"/>
      <c r="E511" s="7"/>
      <c r="F511" s="7"/>
    </row>
    <row r="512" spans="1:6" x14ac:dyDescent="0.25">
      <c r="A512" s="7"/>
      <c r="E512" s="7"/>
      <c r="F512" s="7"/>
    </row>
    <row r="513" spans="1:6" x14ac:dyDescent="0.25">
      <c r="A513" s="7"/>
      <c r="E513" s="7"/>
      <c r="F513" s="7"/>
    </row>
    <row r="514" spans="1:6" x14ac:dyDescent="0.25">
      <c r="A514" s="7"/>
      <c r="E514" s="7"/>
      <c r="F514" s="7"/>
    </row>
    <row r="515" spans="1:6" x14ac:dyDescent="0.25">
      <c r="A515" s="7"/>
      <c r="E515" s="7"/>
      <c r="F515" s="7"/>
    </row>
    <row r="516" spans="1:6" x14ac:dyDescent="0.25">
      <c r="A516" s="7"/>
      <c r="E516" s="7"/>
      <c r="F516" s="7"/>
    </row>
    <row r="517" spans="1:6" x14ac:dyDescent="0.25">
      <c r="A517" s="7"/>
      <c r="E517" s="7"/>
      <c r="F517" s="7"/>
    </row>
    <row r="518" spans="1:6" x14ac:dyDescent="0.25">
      <c r="A518" s="7"/>
      <c r="E518" s="7"/>
      <c r="F518" s="7"/>
    </row>
    <row r="519" spans="1:6" x14ac:dyDescent="0.25">
      <c r="A519" s="7"/>
      <c r="E519" s="7"/>
      <c r="F519" s="7"/>
    </row>
    <row r="520" spans="1:6" x14ac:dyDescent="0.25">
      <c r="A520" s="7"/>
      <c r="E520" s="7"/>
      <c r="F520" s="7"/>
    </row>
    <row r="521" spans="1:6" x14ac:dyDescent="0.25">
      <c r="A521" s="7"/>
      <c r="E521" s="7"/>
      <c r="F521" s="7"/>
    </row>
    <row r="522" spans="1:6" x14ac:dyDescent="0.25">
      <c r="A522" s="7"/>
      <c r="E522" s="7"/>
      <c r="F522" s="7"/>
    </row>
    <row r="523" spans="1:6" x14ac:dyDescent="0.25">
      <c r="A523" s="7"/>
      <c r="E523" s="7"/>
      <c r="F523" s="7"/>
    </row>
    <row r="524" spans="1:6" x14ac:dyDescent="0.25">
      <c r="A524" s="7"/>
      <c r="E524" s="7"/>
      <c r="F524" s="7"/>
    </row>
    <row r="525" spans="1:6" x14ac:dyDescent="0.25">
      <c r="A525" s="7"/>
      <c r="E525" s="7"/>
      <c r="F525" s="7"/>
    </row>
    <row r="526" spans="1:6" x14ac:dyDescent="0.25">
      <c r="A526" s="7"/>
      <c r="E526" s="7"/>
      <c r="F526" s="7"/>
    </row>
    <row r="527" spans="1:6" x14ac:dyDescent="0.25">
      <c r="A527" s="7"/>
      <c r="E527" s="7"/>
      <c r="F527" s="7"/>
    </row>
    <row r="528" spans="1:6" x14ac:dyDescent="0.25">
      <c r="A528" s="7"/>
      <c r="E528" s="7"/>
      <c r="F528" s="7"/>
    </row>
    <row r="529" spans="1:6" x14ac:dyDescent="0.25">
      <c r="A529" s="7"/>
      <c r="E529" s="7"/>
      <c r="F529" s="7"/>
    </row>
    <row r="530" spans="1:6" x14ac:dyDescent="0.25">
      <c r="A530" s="7"/>
      <c r="E530" s="7"/>
      <c r="F530" s="7"/>
    </row>
    <row r="531" spans="1:6" x14ac:dyDescent="0.25">
      <c r="A531" s="7"/>
      <c r="E531" s="7"/>
      <c r="F531" s="7"/>
    </row>
    <row r="532" spans="1:6" x14ac:dyDescent="0.25">
      <c r="A532" s="7"/>
      <c r="E532" s="7"/>
      <c r="F532" s="7"/>
    </row>
    <row r="533" spans="1:6" x14ac:dyDescent="0.25">
      <c r="A533" s="7"/>
      <c r="E533" s="7"/>
      <c r="F533" s="7"/>
    </row>
    <row r="534" spans="1:6" x14ac:dyDescent="0.25">
      <c r="A534" s="7"/>
      <c r="E534" s="7"/>
      <c r="F534" s="7"/>
    </row>
    <row r="535" spans="1:6" x14ac:dyDescent="0.25">
      <c r="A535" s="7"/>
      <c r="E535" s="7"/>
      <c r="F535" s="7"/>
    </row>
    <row r="536" spans="1:6" x14ac:dyDescent="0.25">
      <c r="A536" s="7"/>
      <c r="E536" s="7"/>
      <c r="F536" s="7"/>
    </row>
    <row r="537" spans="1:6" x14ac:dyDescent="0.25">
      <c r="A537" s="7"/>
      <c r="E537" s="7"/>
      <c r="F537" s="7"/>
    </row>
    <row r="538" spans="1:6" x14ac:dyDescent="0.25">
      <c r="A538" s="7"/>
      <c r="E538" s="7"/>
      <c r="F538" s="7"/>
    </row>
    <row r="539" spans="1:6" x14ac:dyDescent="0.25">
      <c r="A539" s="7"/>
      <c r="E539" s="7"/>
      <c r="F539" s="7"/>
    </row>
    <row r="540" spans="1:6" x14ac:dyDescent="0.25">
      <c r="A540" s="7"/>
      <c r="E540" s="7"/>
      <c r="F540" s="7"/>
    </row>
    <row r="541" spans="1:6" x14ac:dyDescent="0.25">
      <c r="A541" s="7"/>
      <c r="E541" s="7"/>
      <c r="F541" s="7"/>
    </row>
    <row r="542" spans="1:6" x14ac:dyDescent="0.25">
      <c r="A542" s="7"/>
      <c r="E542" s="7"/>
      <c r="F542" s="7"/>
    </row>
    <row r="543" spans="1:6" x14ac:dyDescent="0.25">
      <c r="A543" s="7"/>
      <c r="E543" s="7"/>
      <c r="F543" s="7"/>
    </row>
    <row r="544" spans="1:6" x14ac:dyDescent="0.25">
      <c r="A544" s="7"/>
      <c r="E544" s="7"/>
      <c r="F544" s="7"/>
    </row>
    <row r="545" spans="1:6" x14ac:dyDescent="0.25">
      <c r="A545" s="7"/>
      <c r="E545" s="7"/>
      <c r="F545" s="7"/>
    </row>
    <row r="546" spans="1:6" x14ac:dyDescent="0.25">
      <c r="A546" s="7"/>
      <c r="E546" s="7"/>
      <c r="F546" s="7"/>
    </row>
    <row r="547" spans="1:6" x14ac:dyDescent="0.25">
      <c r="A547" s="7"/>
      <c r="E547" s="7"/>
      <c r="F547" s="7"/>
    </row>
    <row r="548" spans="1:6" x14ac:dyDescent="0.25">
      <c r="A548" s="7"/>
      <c r="E548" s="7"/>
      <c r="F548" s="7"/>
    </row>
    <row r="549" spans="1:6" x14ac:dyDescent="0.25">
      <c r="A549" s="7"/>
      <c r="E549" s="7"/>
      <c r="F549" s="7"/>
    </row>
    <row r="550" spans="1:6" x14ac:dyDescent="0.25">
      <c r="A550" s="7"/>
      <c r="E550" s="7"/>
      <c r="F550" s="7"/>
    </row>
    <row r="551" spans="1:6" x14ac:dyDescent="0.25">
      <c r="A551" s="7"/>
      <c r="E551" s="7"/>
      <c r="F551" s="7"/>
    </row>
    <row r="552" spans="1:6" x14ac:dyDescent="0.25">
      <c r="A552" s="7"/>
      <c r="E552" s="7"/>
      <c r="F552" s="7"/>
    </row>
    <row r="553" spans="1:6" x14ac:dyDescent="0.25">
      <c r="A553" s="7"/>
      <c r="E553" s="7"/>
      <c r="F553" s="7"/>
    </row>
    <row r="554" spans="1:6" x14ac:dyDescent="0.25">
      <c r="A554" s="7"/>
      <c r="E554" s="7"/>
      <c r="F554" s="7"/>
    </row>
    <row r="555" spans="1:6" x14ac:dyDescent="0.25">
      <c r="A555" s="7"/>
      <c r="E555" s="7"/>
      <c r="F555" s="7"/>
    </row>
    <row r="556" spans="1:6" x14ac:dyDescent="0.25">
      <c r="A556" s="7"/>
      <c r="E556" s="7"/>
      <c r="F556" s="7"/>
    </row>
    <row r="557" spans="1:6" x14ac:dyDescent="0.25">
      <c r="A557" s="7"/>
      <c r="E557" s="7"/>
      <c r="F557" s="7"/>
    </row>
    <row r="558" spans="1:6" x14ac:dyDescent="0.25">
      <c r="A558" s="7"/>
      <c r="E558" s="7"/>
      <c r="F558" s="7"/>
    </row>
    <row r="559" spans="1:6" x14ac:dyDescent="0.25">
      <c r="A559" s="7"/>
      <c r="E559" s="7"/>
      <c r="F559" s="7"/>
    </row>
    <row r="560" spans="1:6" x14ac:dyDescent="0.25">
      <c r="A560" s="7"/>
      <c r="E560" s="7"/>
      <c r="F560" s="7"/>
    </row>
    <row r="561" spans="1:6" x14ac:dyDescent="0.25">
      <c r="A561" s="7"/>
      <c r="E561" s="7"/>
      <c r="F561" s="7"/>
    </row>
    <row r="562" spans="1:6" x14ac:dyDescent="0.25">
      <c r="A562" s="7"/>
      <c r="E562" s="7"/>
      <c r="F562" s="7"/>
    </row>
    <row r="563" spans="1:6" x14ac:dyDescent="0.25">
      <c r="A563" s="7"/>
      <c r="E563" s="7"/>
      <c r="F563" s="7"/>
    </row>
    <row r="564" spans="1:6" x14ac:dyDescent="0.25">
      <c r="A564" s="7"/>
      <c r="E564" s="7"/>
      <c r="F564" s="7"/>
    </row>
    <row r="565" spans="1:6" x14ac:dyDescent="0.25">
      <c r="A565" s="7"/>
      <c r="E565" s="7"/>
      <c r="F565" s="7"/>
    </row>
    <row r="566" spans="1:6" x14ac:dyDescent="0.25">
      <c r="A566" s="7"/>
      <c r="E566" s="7"/>
      <c r="F566" s="7"/>
    </row>
    <row r="567" spans="1:6" x14ac:dyDescent="0.25">
      <c r="A567" s="7"/>
      <c r="E567" s="7"/>
      <c r="F567" s="7"/>
    </row>
    <row r="568" spans="1:6" x14ac:dyDescent="0.25">
      <c r="A568" s="7"/>
      <c r="E568" s="7"/>
      <c r="F568" s="7"/>
    </row>
    <row r="569" spans="1:6" x14ac:dyDescent="0.25">
      <c r="A569" s="7"/>
      <c r="E569" s="7"/>
      <c r="F569" s="7"/>
    </row>
    <row r="570" spans="1:6" x14ac:dyDescent="0.25">
      <c r="A570" s="7"/>
      <c r="E570" s="7"/>
      <c r="F570" s="7"/>
    </row>
    <row r="571" spans="1:6" x14ac:dyDescent="0.25">
      <c r="A571" s="7"/>
      <c r="E571" s="7"/>
      <c r="F571" s="7"/>
    </row>
    <row r="572" spans="1:6" x14ac:dyDescent="0.25">
      <c r="A572" s="7"/>
      <c r="E572" s="7"/>
      <c r="F572" s="7"/>
    </row>
    <row r="573" spans="1:6" x14ac:dyDescent="0.25">
      <c r="A573" s="7"/>
      <c r="E573" s="7"/>
      <c r="F573" s="7"/>
    </row>
    <row r="574" spans="1:6" x14ac:dyDescent="0.25">
      <c r="A574" s="7"/>
      <c r="E574" s="7"/>
      <c r="F574" s="7"/>
    </row>
    <row r="575" spans="1:6" x14ac:dyDescent="0.25">
      <c r="A575" s="7"/>
      <c r="E575" s="7"/>
      <c r="F575" s="7"/>
    </row>
    <row r="576" spans="1:6" x14ac:dyDescent="0.25">
      <c r="A576" s="7"/>
      <c r="E576" s="7"/>
      <c r="F576" s="7"/>
    </row>
    <row r="577" spans="1:6" x14ac:dyDescent="0.25">
      <c r="A577" s="7"/>
      <c r="E577" s="7"/>
      <c r="F577" s="7"/>
    </row>
    <row r="578" spans="1:6" x14ac:dyDescent="0.25">
      <c r="A578" s="7"/>
      <c r="E578" s="7"/>
      <c r="F578" s="7"/>
    </row>
    <row r="579" spans="1:6" x14ac:dyDescent="0.25">
      <c r="A579" s="7"/>
      <c r="E579" s="7"/>
      <c r="F579" s="7"/>
    </row>
    <row r="580" spans="1:6" x14ac:dyDescent="0.25">
      <c r="A580" s="7"/>
      <c r="E580" s="7"/>
      <c r="F580" s="7"/>
    </row>
    <row r="581" spans="1:6" x14ac:dyDescent="0.25">
      <c r="A581" s="7"/>
      <c r="E581" s="7"/>
      <c r="F581" s="7"/>
    </row>
    <row r="582" spans="1:6" x14ac:dyDescent="0.25">
      <c r="A582" s="7"/>
      <c r="E582" s="7"/>
      <c r="F582" s="7"/>
    </row>
    <row r="583" spans="1:6" x14ac:dyDescent="0.25">
      <c r="A583" s="7"/>
      <c r="E583" s="7"/>
      <c r="F583" s="7"/>
    </row>
    <row r="584" spans="1:6" x14ac:dyDescent="0.25">
      <c r="A584" s="7"/>
      <c r="E584" s="7"/>
      <c r="F584" s="7"/>
    </row>
    <row r="585" spans="1:6" x14ac:dyDescent="0.25">
      <c r="A585" s="7"/>
      <c r="E585" s="7"/>
      <c r="F585" s="7"/>
    </row>
    <row r="586" spans="1:6" x14ac:dyDescent="0.25">
      <c r="A586" s="7"/>
      <c r="E586" s="7"/>
      <c r="F586" s="7"/>
    </row>
    <row r="587" spans="1:6" x14ac:dyDescent="0.25">
      <c r="A587" s="7"/>
      <c r="E587" s="7"/>
      <c r="F587" s="7"/>
    </row>
    <row r="588" spans="1:6" x14ac:dyDescent="0.25">
      <c r="A588" s="7"/>
      <c r="E588" s="7"/>
      <c r="F588" s="7"/>
    </row>
    <row r="589" spans="1:6" x14ac:dyDescent="0.25">
      <c r="A589" s="7"/>
      <c r="E589" s="7"/>
      <c r="F589" s="7"/>
    </row>
    <row r="590" spans="1:6" x14ac:dyDescent="0.25">
      <c r="A590" s="7"/>
      <c r="E590" s="7"/>
      <c r="F590" s="7"/>
    </row>
    <row r="591" spans="1:6" x14ac:dyDescent="0.25">
      <c r="A591" s="7"/>
      <c r="E591" s="7"/>
      <c r="F591" s="7"/>
    </row>
    <row r="592" spans="1:6" x14ac:dyDescent="0.25">
      <c r="A592" s="7"/>
      <c r="E592" s="7"/>
      <c r="F592" s="7"/>
    </row>
    <row r="593" spans="1:6" x14ac:dyDescent="0.25">
      <c r="A593" s="7"/>
      <c r="E593" s="7"/>
      <c r="F593" s="7"/>
    </row>
    <row r="594" spans="1:6" x14ac:dyDescent="0.25">
      <c r="A594" s="7"/>
      <c r="E594" s="7"/>
      <c r="F594" s="7"/>
    </row>
    <row r="595" spans="1:6" x14ac:dyDescent="0.25">
      <c r="A595" s="7"/>
      <c r="E595" s="7"/>
      <c r="F595" s="7"/>
    </row>
    <row r="596" spans="1:6" x14ac:dyDescent="0.25">
      <c r="A596" s="7"/>
      <c r="E596" s="7"/>
      <c r="F596" s="7"/>
    </row>
    <row r="597" spans="1:6" x14ac:dyDescent="0.25">
      <c r="A597" s="7"/>
      <c r="E597" s="7"/>
      <c r="F597" s="7"/>
    </row>
    <row r="598" spans="1:6" x14ac:dyDescent="0.25">
      <c r="A598" s="7"/>
      <c r="E598" s="7"/>
      <c r="F598" s="7"/>
    </row>
    <row r="599" spans="1:6" x14ac:dyDescent="0.25">
      <c r="A599" s="7"/>
      <c r="E599" s="7"/>
      <c r="F599" s="7"/>
    </row>
    <row r="600" spans="1:6" x14ac:dyDescent="0.25">
      <c r="A600" s="7"/>
      <c r="E600" s="7"/>
      <c r="F600" s="7"/>
    </row>
    <row r="601" spans="1:6" x14ac:dyDescent="0.25">
      <c r="A601" s="7"/>
      <c r="E601" s="7"/>
      <c r="F601" s="7"/>
    </row>
    <row r="602" spans="1:6" x14ac:dyDescent="0.25">
      <c r="A602" s="7"/>
      <c r="E602" s="7"/>
      <c r="F602" s="7"/>
    </row>
    <row r="603" spans="1:6" x14ac:dyDescent="0.25">
      <c r="A603" s="7"/>
      <c r="E603" s="7"/>
      <c r="F603" s="7"/>
    </row>
    <row r="604" spans="1:6" x14ac:dyDescent="0.25">
      <c r="A604" s="7"/>
      <c r="E604" s="7"/>
      <c r="F604" s="7"/>
    </row>
    <row r="605" spans="1:6" x14ac:dyDescent="0.25">
      <c r="A605" s="7"/>
      <c r="E605" s="7"/>
      <c r="F605" s="7"/>
    </row>
    <row r="606" spans="1:6" x14ac:dyDescent="0.25">
      <c r="A606" s="7"/>
      <c r="E606" s="7"/>
      <c r="F606" s="7"/>
    </row>
    <row r="607" spans="1:6" x14ac:dyDescent="0.25">
      <c r="A607" s="7"/>
      <c r="E607" s="7"/>
      <c r="F607" s="7"/>
    </row>
    <row r="608" spans="1:6" x14ac:dyDescent="0.25">
      <c r="A608" s="7"/>
      <c r="E608" s="7"/>
      <c r="F608" s="7"/>
    </row>
    <row r="609" spans="1:6" x14ac:dyDescent="0.25">
      <c r="A609" s="7"/>
      <c r="E609" s="7"/>
      <c r="F609" s="7"/>
    </row>
    <row r="610" spans="1:6" x14ac:dyDescent="0.25">
      <c r="A610" s="7"/>
      <c r="E610" s="7"/>
      <c r="F610" s="7"/>
    </row>
    <row r="611" spans="1:6" x14ac:dyDescent="0.25">
      <c r="A611" s="7"/>
      <c r="E611" s="7"/>
      <c r="F611" s="7"/>
    </row>
    <row r="612" spans="1:6" x14ac:dyDescent="0.25">
      <c r="A612" s="7"/>
      <c r="E612" s="7"/>
      <c r="F612" s="7"/>
    </row>
    <row r="613" spans="1:6" x14ac:dyDescent="0.25">
      <c r="A613" s="7"/>
      <c r="E613" s="7"/>
      <c r="F613" s="7"/>
    </row>
    <row r="614" spans="1:6" x14ac:dyDescent="0.25">
      <c r="A614" s="7"/>
      <c r="E614" s="7"/>
      <c r="F614" s="7"/>
    </row>
    <row r="615" spans="1:6" x14ac:dyDescent="0.25">
      <c r="A615" s="7"/>
      <c r="E615" s="7"/>
      <c r="F615" s="7"/>
    </row>
    <row r="616" spans="1:6" x14ac:dyDescent="0.25">
      <c r="A616" s="7"/>
      <c r="E616" s="7"/>
      <c r="F616" s="7"/>
    </row>
    <row r="617" spans="1:6" x14ac:dyDescent="0.25">
      <c r="A617" s="7"/>
      <c r="E617" s="7"/>
      <c r="F617" s="7"/>
    </row>
    <row r="618" spans="1:6" x14ac:dyDescent="0.25">
      <c r="A618" s="7"/>
      <c r="E618" s="7"/>
      <c r="F618" s="7"/>
    </row>
    <row r="619" spans="1:6" x14ac:dyDescent="0.25">
      <c r="A619" s="7"/>
      <c r="E619" s="7"/>
      <c r="F619" s="7"/>
    </row>
    <row r="620" spans="1:6" x14ac:dyDescent="0.25">
      <c r="A620" s="7"/>
      <c r="E620" s="7"/>
      <c r="F620" s="7"/>
    </row>
    <row r="621" spans="1:6" x14ac:dyDescent="0.25">
      <c r="A621" s="7"/>
      <c r="E621" s="7"/>
      <c r="F621" s="7"/>
    </row>
    <row r="622" spans="1:6" x14ac:dyDescent="0.25">
      <c r="A622" s="7"/>
      <c r="E622" s="7"/>
      <c r="F622" s="7"/>
    </row>
    <row r="623" spans="1:6" x14ac:dyDescent="0.25">
      <c r="A623" s="7"/>
      <c r="E623" s="7"/>
      <c r="F623" s="7"/>
    </row>
    <row r="624" spans="1:6" x14ac:dyDescent="0.25">
      <c r="A624" s="7"/>
      <c r="E624" s="7"/>
      <c r="F624" s="7"/>
    </row>
    <row r="625" spans="1:6" x14ac:dyDescent="0.25">
      <c r="A625" s="7"/>
      <c r="E625" s="7"/>
      <c r="F625" s="7"/>
    </row>
    <row r="626" spans="1:6" x14ac:dyDescent="0.25">
      <c r="A626" s="7"/>
      <c r="E626" s="7"/>
      <c r="F626" s="7"/>
    </row>
    <row r="627" spans="1:6" x14ac:dyDescent="0.25">
      <c r="A627" s="7"/>
      <c r="E627" s="7"/>
      <c r="F627" s="7"/>
    </row>
    <row r="628" spans="1:6" x14ac:dyDescent="0.25">
      <c r="A628" s="7"/>
      <c r="E628" s="7"/>
      <c r="F628" s="7"/>
    </row>
    <row r="629" spans="1:6" x14ac:dyDescent="0.25">
      <c r="A629" s="7"/>
      <c r="E629" s="7"/>
      <c r="F629" s="7"/>
    </row>
    <row r="630" spans="1:6" x14ac:dyDescent="0.25">
      <c r="A630" s="7"/>
      <c r="E630" s="7"/>
      <c r="F630" s="7"/>
    </row>
    <row r="631" spans="1:6" x14ac:dyDescent="0.25">
      <c r="A631" s="7"/>
      <c r="E631" s="7"/>
      <c r="F631" s="7"/>
    </row>
    <row r="632" spans="1:6" x14ac:dyDescent="0.25">
      <c r="A632" s="7"/>
      <c r="E632" s="7"/>
      <c r="F632" s="7"/>
    </row>
    <row r="633" spans="1:6" x14ac:dyDescent="0.25">
      <c r="A633" s="7"/>
      <c r="E633" s="7"/>
      <c r="F633" s="7"/>
    </row>
    <row r="634" spans="1:6" x14ac:dyDescent="0.25">
      <c r="A634" s="7"/>
      <c r="E634" s="7"/>
      <c r="F634" s="7"/>
    </row>
    <row r="635" spans="1:6" x14ac:dyDescent="0.25">
      <c r="A635" s="7"/>
      <c r="E635" s="7"/>
      <c r="F635" s="7"/>
    </row>
    <row r="636" spans="1:6" x14ac:dyDescent="0.25">
      <c r="A636" s="7"/>
      <c r="E636" s="7"/>
      <c r="F636" s="7"/>
    </row>
    <row r="637" spans="1:6" x14ac:dyDescent="0.25">
      <c r="A637" s="7"/>
      <c r="E637" s="7"/>
      <c r="F637" s="7"/>
    </row>
    <row r="638" spans="1:6" x14ac:dyDescent="0.25">
      <c r="A638" s="7"/>
      <c r="E638" s="7"/>
      <c r="F638" s="7"/>
    </row>
    <row r="639" spans="1:6" x14ac:dyDescent="0.25">
      <c r="A639" s="7"/>
      <c r="E639" s="7"/>
      <c r="F639" s="7"/>
    </row>
    <row r="640" spans="1:6" x14ac:dyDescent="0.25">
      <c r="A640" s="7"/>
      <c r="E640" s="7"/>
      <c r="F640" s="7"/>
    </row>
    <row r="641" spans="1:6" x14ac:dyDescent="0.25">
      <c r="A641" s="7"/>
      <c r="E641" s="7"/>
      <c r="F641" s="7"/>
    </row>
    <row r="642" spans="1:6" x14ac:dyDescent="0.25">
      <c r="A642" s="7"/>
      <c r="E642" s="7"/>
      <c r="F642" s="7"/>
    </row>
    <row r="643" spans="1:6" x14ac:dyDescent="0.25">
      <c r="A643" s="7"/>
      <c r="E643" s="7"/>
      <c r="F643" s="7"/>
    </row>
    <row r="644" spans="1:6" x14ac:dyDescent="0.25">
      <c r="A644" s="7"/>
      <c r="E644" s="7"/>
      <c r="F644" s="7"/>
    </row>
    <row r="645" spans="1:6" x14ac:dyDescent="0.25">
      <c r="A645" s="7"/>
      <c r="E645" s="7"/>
      <c r="F645" s="7"/>
    </row>
    <row r="646" spans="1:6" x14ac:dyDescent="0.25">
      <c r="A646" s="7"/>
      <c r="E646" s="7"/>
      <c r="F646" s="7"/>
    </row>
    <row r="647" spans="1:6" x14ac:dyDescent="0.25">
      <c r="A647" s="7"/>
      <c r="E647" s="7"/>
      <c r="F647" s="7"/>
    </row>
    <row r="648" spans="1:6" x14ac:dyDescent="0.25">
      <c r="A648" s="7"/>
      <c r="E648" s="7"/>
      <c r="F648" s="7"/>
    </row>
    <row r="649" spans="1:6" x14ac:dyDescent="0.25">
      <c r="A649" s="7"/>
      <c r="E649" s="7"/>
      <c r="F649" s="7"/>
    </row>
    <row r="650" spans="1:6" x14ac:dyDescent="0.25">
      <c r="A650" s="7"/>
      <c r="E650" s="7"/>
      <c r="F650" s="7"/>
    </row>
    <row r="651" spans="1:6" x14ac:dyDescent="0.25">
      <c r="A651" s="7"/>
      <c r="E651" s="7"/>
      <c r="F651" s="7"/>
    </row>
    <row r="652" spans="1:6" x14ac:dyDescent="0.25">
      <c r="A652" s="7"/>
      <c r="E652" s="7"/>
      <c r="F652" s="7"/>
    </row>
    <row r="653" spans="1:6" x14ac:dyDescent="0.25">
      <c r="A653" s="7"/>
      <c r="E653" s="7"/>
      <c r="F653" s="7"/>
    </row>
    <row r="654" spans="1:6" x14ac:dyDescent="0.25">
      <c r="A654" s="7"/>
      <c r="E654" s="7"/>
      <c r="F654" s="7"/>
    </row>
    <row r="655" spans="1:6" x14ac:dyDescent="0.25">
      <c r="A655" s="7"/>
      <c r="E655" s="7"/>
      <c r="F655" s="7"/>
    </row>
    <row r="656" spans="1:6" x14ac:dyDescent="0.25">
      <c r="A656" s="7"/>
      <c r="E656" s="7"/>
      <c r="F656" s="7"/>
    </row>
    <row r="657" spans="1:6" x14ac:dyDescent="0.25">
      <c r="A657" s="7"/>
      <c r="E657" s="7"/>
      <c r="F657" s="7"/>
    </row>
    <row r="658" spans="1:6" x14ac:dyDescent="0.25">
      <c r="A658" s="7"/>
      <c r="E658" s="7"/>
      <c r="F658" s="7"/>
    </row>
    <row r="659" spans="1:6" x14ac:dyDescent="0.25">
      <c r="A659" s="7"/>
      <c r="E659" s="7"/>
      <c r="F659" s="7"/>
    </row>
    <row r="660" spans="1:6" x14ac:dyDescent="0.25">
      <c r="A660" s="7"/>
      <c r="E660" s="7"/>
      <c r="F660" s="7"/>
    </row>
    <row r="661" spans="1:6" x14ac:dyDescent="0.25">
      <c r="A661" s="7"/>
      <c r="E661" s="7"/>
      <c r="F661" s="7"/>
    </row>
    <row r="662" spans="1:6" x14ac:dyDescent="0.25">
      <c r="A662" s="7"/>
      <c r="E662" s="7"/>
      <c r="F662" s="7"/>
    </row>
    <row r="663" spans="1:6" x14ac:dyDescent="0.25">
      <c r="A663" s="7"/>
      <c r="E663" s="7"/>
      <c r="F663" s="7"/>
    </row>
    <row r="664" spans="1:6" x14ac:dyDescent="0.25">
      <c r="A664" s="7"/>
      <c r="E664" s="7"/>
      <c r="F664" s="7"/>
    </row>
    <row r="665" spans="1:6" x14ac:dyDescent="0.25">
      <c r="A665" s="7"/>
      <c r="E665" s="7"/>
      <c r="F665" s="7"/>
    </row>
    <row r="666" spans="1:6" x14ac:dyDescent="0.25">
      <c r="A666" s="7"/>
      <c r="E666" s="7"/>
      <c r="F666" s="7"/>
    </row>
    <row r="667" spans="1:6" x14ac:dyDescent="0.25">
      <c r="A667" s="7"/>
      <c r="E667" s="7"/>
      <c r="F667" s="7"/>
    </row>
    <row r="668" spans="1:6" x14ac:dyDescent="0.25">
      <c r="A668" s="7"/>
      <c r="E668" s="7"/>
      <c r="F668" s="7"/>
    </row>
    <row r="669" spans="1:6" x14ac:dyDescent="0.25">
      <c r="A669" s="7"/>
      <c r="E669" s="7"/>
      <c r="F669" s="7"/>
    </row>
    <row r="670" spans="1:6" x14ac:dyDescent="0.25">
      <c r="A670" s="7"/>
      <c r="E670" s="7"/>
      <c r="F670" s="7"/>
    </row>
    <row r="671" spans="1:6" x14ac:dyDescent="0.25">
      <c r="A671" s="7"/>
      <c r="E671" s="7"/>
      <c r="F671" s="7"/>
    </row>
    <row r="672" spans="1:6" x14ac:dyDescent="0.25">
      <c r="A672" s="7"/>
      <c r="E672" s="7"/>
      <c r="F672" s="7"/>
    </row>
    <row r="673" spans="1:6" x14ac:dyDescent="0.25">
      <c r="A673" s="7"/>
      <c r="E673" s="7"/>
      <c r="F673" s="7"/>
    </row>
    <row r="674" spans="1:6" x14ac:dyDescent="0.25">
      <c r="A674" s="7"/>
      <c r="E674" s="7"/>
      <c r="F674" s="7"/>
    </row>
    <row r="675" spans="1:6" x14ac:dyDescent="0.25">
      <c r="A675" s="7"/>
      <c r="E675" s="7"/>
      <c r="F675" s="7"/>
    </row>
    <row r="676" spans="1:6" x14ac:dyDescent="0.25">
      <c r="A676" s="7"/>
      <c r="E676" s="7"/>
      <c r="F676" s="7"/>
    </row>
    <row r="677" spans="1:6" x14ac:dyDescent="0.25">
      <c r="A677" s="7"/>
      <c r="E677" s="7"/>
      <c r="F677" s="7"/>
    </row>
    <row r="678" spans="1:6" x14ac:dyDescent="0.25">
      <c r="A678" s="7"/>
      <c r="E678" s="7"/>
      <c r="F678" s="7"/>
    </row>
    <row r="679" spans="1:6" x14ac:dyDescent="0.25">
      <c r="A679" s="7"/>
      <c r="E679" s="7"/>
      <c r="F679" s="7"/>
    </row>
    <row r="680" spans="1:6" x14ac:dyDescent="0.25">
      <c r="A680" s="7"/>
      <c r="E680" s="7"/>
      <c r="F680" s="7"/>
    </row>
    <row r="681" spans="1:6" x14ac:dyDescent="0.25">
      <c r="A681" s="7"/>
      <c r="E681" s="7"/>
      <c r="F681" s="7"/>
    </row>
    <row r="682" spans="1:6" x14ac:dyDescent="0.25">
      <c r="A682" s="7"/>
      <c r="E682" s="7"/>
      <c r="F682" s="7"/>
    </row>
    <row r="683" spans="1:6" x14ac:dyDescent="0.25">
      <c r="A683" s="7"/>
      <c r="E683" s="7"/>
      <c r="F683" s="7"/>
    </row>
    <row r="684" spans="1:6" x14ac:dyDescent="0.25">
      <c r="A684" s="7"/>
      <c r="E684" s="7"/>
      <c r="F684" s="7"/>
    </row>
    <row r="685" spans="1:6" x14ac:dyDescent="0.25">
      <c r="A685" s="7"/>
      <c r="E685" s="7"/>
      <c r="F685" s="7"/>
    </row>
    <row r="686" spans="1:6" x14ac:dyDescent="0.25">
      <c r="A686" s="7"/>
      <c r="E686" s="7"/>
      <c r="F686" s="7"/>
    </row>
    <row r="687" spans="1:6" x14ac:dyDescent="0.25">
      <c r="A687" s="7"/>
      <c r="E687" s="7"/>
      <c r="F687" s="7"/>
    </row>
    <row r="688" spans="1:6" x14ac:dyDescent="0.25">
      <c r="A688" s="7"/>
      <c r="E688" s="7"/>
      <c r="F688" s="7"/>
    </row>
    <row r="689" spans="1:6" x14ac:dyDescent="0.25">
      <c r="A689" s="7"/>
      <c r="E689" s="7"/>
      <c r="F689" s="7"/>
    </row>
    <row r="690" spans="1:6" x14ac:dyDescent="0.25">
      <c r="A690" s="7"/>
      <c r="E690" s="7"/>
      <c r="F690" s="7"/>
    </row>
    <row r="691" spans="1:6" x14ac:dyDescent="0.25">
      <c r="A691" s="7"/>
      <c r="E691" s="7"/>
      <c r="F691" s="7"/>
    </row>
    <row r="692" spans="1:6" x14ac:dyDescent="0.25">
      <c r="A692" s="7"/>
      <c r="E692" s="7"/>
      <c r="F692" s="7"/>
    </row>
    <row r="693" spans="1:6" x14ac:dyDescent="0.25">
      <c r="A693" s="7"/>
      <c r="E693" s="7"/>
      <c r="F693" s="7"/>
    </row>
    <row r="694" spans="1:6" x14ac:dyDescent="0.25">
      <c r="A694" s="7"/>
      <c r="E694" s="7"/>
      <c r="F694" s="7"/>
    </row>
    <row r="695" spans="1:6" x14ac:dyDescent="0.25">
      <c r="A695" s="7"/>
      <c r="E695" s="7"/>
      <c r="F695" s="7"/>
    </row>
    <row r="696" spans="1:6" x14ac:dyDescent="0.25">
      <c r="A696" s="7"/>
      <c r="E696" s="7"/>
      <c r="F696" s="7"/>
    </row>
    <row r="697" spans="1:6" x14ac:dyDescent="0.25">
      <c r="A697" s="7"/>
      <c r="E697" s="7"/>
      <c r="F697" s="7"/>
    </row>
    <row r="698" spans="1:6" x14ac:dyDescent="0.25">
      <c r="A698" s="7"/>
      <c r="E698" s="7"/>
      <c r="F698" s="7"/>
    </row>
    <row r="699" spans="1:6" x14ac:dyDescent="0.25">
      <c r="A699" s="7"/>
      <c r="E699" s="7"/>
      <c r="F699" s="7"/>
    </row>
    <row r="700" spans="1:6" x14ac:dyDescent="0.25">
      <c r="A700" s="7"/>
      <c r="E700" s="7"/>
      <c r="F700" s="7"/>
    </row>
    <row r="701" spans="1:6" x14ac:dyDescent="0.25">
      <c r="A701" s="7"/>
      <c r="E701" s="7"/>
      <c r="F701" s="7"/>
    </row>
    <row r="702" spans="1:6" x14ac:dyDescent="0.25">
      <c r="A702" s="7"/>
      <c r="E702" s="7"/>
      <c r="F702" s="7"/>
    </row>
    <row r="703" spans="1:6" x14ac:dyDescent="0.25">
      <c r="A703" s="7"/>
      <c r="E703" s="7"/>
      <c r="F703" s="7"/>
    </row>
    <row r="704" spans="1:6" x14ac:dyDescent="0.25">
      <c r="A704" s="7"/>
      <c r="E704" s="7"/>
      <c r="F704" s="7"/>
    </row>
    <row r="705" spans="1:6" x14ac:dyDescent="0.25">
      <c r="A705" s="7"/>
      <c r="E705" s="7"/>
      <c r="F705" s="7"/>
    </row>
    <row r="706" spans="1:6" x14ac:dyDescent="0.25">
      <c r="A706" s="7"/>
      <c r="E706" s="7"/>
      <c r="F706" s="7"/>
    </row>
    <row r="707" spans="1:6" x14ac:dyDescent="0.25">
      <c r="A707" s="7"/>
      <c r="E707" s="7"/>
      <c r="F707" s="7"/>
    </row>
    <row r="708" spans="1:6" x14ac:dyDescent="0.25">
      <c r="A708" s="7"/>
      <c r="E708" s="7"/>
      <c r="F708" s="7"/>
    </row>
    <row r="709" spans="1:6" x14ac:dyDescent="0.25">
      <c r="A709" s="7"/>
      <c r="E709" s="7"/>
      <c r="F709" s="7"/>
    </row>
    <row r="710" spans="1:6" x14ac:dyDescent="0.25">
      <c r="A710" s="7"/>
      <c r="E710" s="7"/>
      <c r="F710" s="7"/>
    </row>
    <row r="711" spans="1:6" x14ac:dyDescent="0.25">
      <c r="A711" s="7"/>
      <c r="E711" s="7"/>
      <c r="F711" s="7"/>
    </row>
    <row r="712" spans="1:6" x14ac:dyDescent="0.25">
      <c r="A712" s="7"/>
      <c r="E712" s="7"/>
      <c r="F712" s="7"/>
    </row>
    <row r="713" spans="1:6" x14ac:dyDescent="0.25">
      <c r="A713" s="7"/>
      <c r="E713" s="7"/>
      <c r="F713" s="7"/>
    </row>
    <row r="714" spans="1:6" x14ac:dyDescent="0.25">
      <c r="A714" s="7"/>
      <c r="E714" s="7"/>
      <c r="F714" s="7"/>
    </row>
    <row r="715" spans="1:6" x14ac:dyDescent="0.25">
      <c r="A715" s="7"/>
      <c r="E715" s="7"/>
      <c r="F715" s="7"/>
    </row>
    <row r="716" spans="1:6" x14ac:dyDescent="0.25">
      <c r="A716" s="7"/>
      <c r="E716" s="7"/>
      <c r="F716" s="7"/>
    </row>
    <row r="717" spans="1:6" x14ac:dyDescent="0.25">
      <c r="A717" s="7"/>
      <c r="E717" s="7"/>
      <c r="F717" s="7"/>
    </row>
    <row r="718" spans="1:6" x14ac:dyDescent="0.25">
      <c r="A718" s="7"/>
      <c r="E718" s="7"/>
      <c r="F718" s="7"/>
    </row>
    <row r="719" spans="1:6" x14ac:dyDescent="0.25">
      <c r="A719" s="7"/>
      <c r="E719" s="7"/>
      <c r="F719" s="7"/>
    </row>
    <row r="720" spans="1:6" x14ac:dyDescent="0.25">
      <c r="A720" s="7"/>
      <c r="E720" s="7"/>
      <c r="F720" s="7"/>
    </row>
    <row r="721" spans="1:6" x14ac:dyDescent="0.25">
      <c r="A721" s="7"/>
      <c r="E721" s="7"/>
      <c r="F721" s="7"/>
    </row>
    <row r="722" spans="1:6" x14ac:dyDescent="0.25">
      <c r="A722" s="7"/>
      <c r="E722" s="7"/>
      <c r="F722" s="7"/>
    </row>
    <row r="723" spans="1:6" x14ac:dyDescent="0.25">
      <c r="A723" s="7"/>
      <c r="E723" s="7"/>
      <c r="F723" s="7"/>
    </row>
    <row r="724" spans="1:6" x14ac:dyDescent="0.25">
      <c r="A724" s="7"/>
      <c r="E724" s="7"/>
      <c r="F724" s="7"/>
    </row>
    <row r="725" spans="1:6" x14ac:dyDescent="0.25">
      <c r="A725" s="7"/>
      <c r="E725" s="7"/>
      <c r="F725" s="7"/>
    </row>
    <row r="726" spans="1:6" x14ac:dyDescent="0.25">
      <c r="A726" s="7"/>
      <c r="E726" s="7"/>
      <c r="F726" s="7"/>
    </row>
    <row r="727" spans="1:6" x14ac:dyDescent="0.25">
      <c r="A727" s="7"/>
      <c r="E727" s="7"/>
      <c r="F727" s="7"/>
    </row>
    <row r="728" spans="1:6" x14ac:dyDescent="0.25">
      <c r="A728" s="7"/>
      <c r="E728" s="7"/>
      <c r="F728" s="7"/>
    </row>
    <row r="729" spans="1:6" x14ac:dyDescent="0.25">
      <c r="A729" s="7"/>
      <c r="E729" s="7"/>
      <c r="F729" s="7"/>
    </row>
    <row r="730" spans="1:6" x14ac:dyDescent="0.25">
      <c r="A730" s="7"/>
      <c r="E730" s="7"/>
      <c r="F730" s="7"/>
    </row>
    <row r="731" spans="1:6" x14ac:dyDescent="0.25">
      <c r="A731" s="7"/>
      <c r="E731" s="7"/>
      <c r="F731" s="7"/>
    </row>
    <row r="732" spans="1:6" x14ac:dyDescent="0.25">
      <c r="A732" s="7"/>
      <c r="E732" s="7"/>
      <c r="F732" s="7"/>
    </row>
    <row r="733" spans="1:6" x14ac:dyDescent="0.25">
      <c r="A733" s="7"/>
      <c r="E733" s="7"/>
      <c r="F733" s="7"/>
    </row>
    <row r="734" spans="1:6" x14ac:dyDescent="0.25">
      <c r="A734" s="7"/>
      <c r="E734" s="7"/>
      <c r="F734" s="7"/>
    </row>
    <row r="735" spans="1:6" x14ac:dyDescent="0.25">
      <c r="A735" s="7"/>
      <c r="E735" s="7"/>
      <c r="F735" s="7"/>
    </row>
    <row r="736" spans="1:6" x14ac:dyDescent="0.25">
      <c r="A736" s="7"/>
      <c r="E736" s="7"/>
      <c r="F736" s="7"/>
    </row>
    <row r="737" spans="1:6" x14ac:dyDescent="0.25">
      <c r="A737" s="7"/>
      <c r="E737" s="7"/>
      <c r="F737" s="7"/>
    </row>
    <row r="738" spans="1:6" x14ac:dyDescent="0.25">
      <c r="A738" s="7"/>
      <c r="E738" s="7"/>
      <c r="F738" s="7"/>
    </row>
    <row r="739" spans="1:6" x14ac:dyDescent="0.25">
      <c r="A739" s="7"/>
      <c r="E739" s="7"/>
      <c r="F739" s="7"/>
    </row>
    <row r="740" spans="1:6" x14ac:dyDescent="0.25">
      <c r="A740" s="7"/>
      <c r="E740" s="7"/>
      <c r="F740" s="7"/>
    </row>
    <row r="741" spans="1:6" x14ac:dyDescent="0.25">
      <c r="A741" s="7"/>
      <c r="E741" s="7"/>
      <c r="F741" s="7"/>
    </row>
    <row r="742" spans="1:6" x14ac:dyDescent="0.25">
      <c r="A742" s="7"/>
      <c r="E742" s="7"/>
      <c r="F742" s="7"/>
    </row>
    <row r="743" spans="1:6" x14ac:dyDescent="0.25">
      <c r="A743" s="7"/>
      <c r="E743" s="7"/>
      <c r="F743" s="7"/>
    </row>
    <row r="744" spans="1:6" x14ac:dyDescent="0.25">
      <c r="A744" s="7"/>
      <c r="E744" s="7"/>
      <c r="F744" s="7"/>
    </row>
    <row r="745" spans="1:6" x14ac:dyDescent="0.25">
      <c r="A745" s="7"/>
      <c r="E745" s="7"/>
      <c r="F745" s="7"/>
    </row>
    <row r="746" spans="1:6" x14ac:dyDescent="0.25">
      <c r="A746" s="7"/>
      <c r="E746" s="7"/>
      <c r="F746" s="7"/>
    </row>
    <row r="747" spans="1:6" x14ac:dyDescent="0.25">
      <c r="A747" s="7"/>
      <c r="E747" s="7"/>
      <c r="F747" s="7"/>
    </row>
    <row r="748" spans="1:6" x14ac:dyDescent="0.25">
      <c r="A748" s="7"/>
      <c r="E748" s="7"/>
      <c r="F748" s="7"/>
    </row>
    <row r="749" spans="1:6" x14ac:dyDescent="0.25">
      <c r="A749" s="7"/>
      <c r="E749" s="7"/>
      <c r="F749" s="7"/>
    </row>
    <row r="750" spans="1:6" x14ac:dyDescent="0.25">
      <c r="A750" s="7"/>
      <c r="E750" s="7"/>
      <c r="F750" s="7"/>
    </row>
    <row r="751" spans="1:6" x14ac:dyDescent="0.25">
      <c r="A751" s="7"/>
      <c r="E751" s="7"/>
      <c r="F751" s="7"/>
    </row>
    <row r="752" spans="1:6" x14ac:dyDescent="0.25">
      <c r="A752" s="7"/>
      <c r="E752" s="7"/>
      <c r="F752" s="7"/>
    </row>
    <row r="753" spans="1:6" x14ac:dyDescent="0.25">
      <c r="A753" s="7"/>
      <c r="E753" s="7"/>
      <c r="F753" s="7"/>
    </row>
    <row r="754" spans="1:6" x14ac:dyDescent="0.25">
      <c r="A754" s="7"/>
      <c r="E754" s="7"/>
      <c r="F754" s="7"/>
    </row>
    <row r="755" spans="1:6" x14ac:dyDescent="0.25">
      <c r="A755" s="7"/>
      <c r="E755" s="7"/>
      <c r="F755" s="7"/>
    </row>
    <row r="756" spans="1:6" x14ac:dyDescent="0.25">
      <c r="A756" s="7"/>
      <c r="E756" s="7"/>
      <c r="F756" s="7"/>
    </row>
    <row r="757" spans="1:6" x14ac:dyDescent="0.25">
      <c r="A757" s="7"/>
      <c r="E757" s="7"/>
      <c r="F757" s="7"/>
    </row>
    <row r="758" spans="1:6" x14ac:dyDescent="0.25">
      <c r="A758" s="7"/>
      <c r="E758" s="7"/>
      <c r="F758" s="7"/>
    </row>
    <row r="759" spans="1:6" x14ac:dyDescent="0.25">
      <c r="A759" s="7"/>
      <c r="E759" s="7"/>
      <c r="F759" s="7"/>
    </row>
    <row r="760" spans="1:6" x14ac:dyDescent="0.25">
      <c r="A760" s="7"/>
      <c r="E760" s="7"/>
      <c r="F760" s="7"/>
    </row>
    <row r="761" spans="1:6" x14ac:dyDescent="0.25">
      <c r="A761" s="7"/>
      <c r="E761" s="7"/>
      <c r="F761" s="7"/>
    </row>
    <row r="762" spans="1:6" x14ac:dyDescent="0.25">
      <c r="A762" s="7"/>
      <c r="E762" s="7"/>
      <c r="F762" s="7"/>
    </row>
    <row r="763" spans="1:6" x14ac:dyDescent="0.25">
      <c r="A763" s="7"/>
      <c r="E763" s="7"/>
      <c r="F763" s="7"/>
    </row>
    <row r="764" spans="1:6" x14ac:dyDescent="0.25">
      <c r="A764" s="7"/>
      <c r="E764" s="7"/>
      <c r="F764" s="7"/>
    </row>
    <row r="765" spans="1:6" x14ac:dyDescent="0.25">
      <c r="A765" s="7"/>
      <c r="E765" s="7"/>
      <c r="F765" s="7"/>
    </row>
    <row r="766" spans="1:6" x14ac:dyDescent="0.25">
      <c r="A766" s="7"/>
      <c r="E766" s="7"/>
      <c r="F766" s="7"/>
    </row>
    <row r="767" spans="1:6" x14ac:dyDescent="0.25">
      <c r="A767" s="7"/>
      <c r="E767" s="7"/>
      <c r="F767" s="7"/>
    </row>
    <row r="768" spans="1:6" x14ac:dyDescent="0.25">
      <c r="A768" s="7"/>
      <c r="E768" s="7"/>
      <c r="F768" s="7"/>
    </row>
    <row r="769" spans="1:6" x14ac:dyDescent="0.25">
      <c r="A769" s="7"/>
      <c r="E769" s="7"/>
      <c r="F769" s="7"/>
    </row>
    <row r="770" spans="1:6" x14ac:dyDescent="0.25">
      <c r="A770" s="7"/>
      <c r="E770" s="7"/>
      <c r="F770" s="7"/>
    </row>
    <row r="771" spans="1:6" x14ac:dyDescent="0.25">
      <c r="A771" s="7"/>
      <c r="E771" s="7"/>
      <c r="F771" s="7"/>
    </row>
    <row r="772" spans="1:6" x14ac:dyDescent="0.25">
      <c r="A772" s="7"/>
      <c r="E772" s="7"/>
      <c r="F772" s="7"/>
    </row>
    <row r="773" spans="1:6" x14ac:dyDescent="0.25">
      <c r="A773" s="7"/>
      <c r="E773" s="7"/>
      <c r="F773" s="7"/>
    </row>
    <row r="774" spans="1:6" x14ac:dyDescent="0.25">
      <c r="A774" s="7"/>
      <c r="E774" s="7"/>
      <c r="F774" s="7"/>
    </row>
    <row r="775" spans="1:6" x14ac:dyDescent="0.25">
      <c r="A775" s="7"/>
      <c r="E775" s="7"/>
      <c r="F775" s="7"/>
    </row>
    <row r="776" spans="1:6" x14ac:dyDescent="0.25">
      <c r="A776" s="7"/>
      <c r="E776" s="7"/>
      <c r="F776" s="7"/>
    </row>
    <row r="777" spans="1:6" x14ac:dyDescent="0.25">
      <c r="A777" s="7"/>
      <c r="E777" s="7"/>
      <c r="F777" s="7"/>
    </row>
    <row r="778" spans="1:6" x14ac:dyDescent="0.25">
      <c r="A778" s="7"/>
      <c r="E778" s="7"/>
      <c r="F778" s="7"/>
    </row>
    <row r="779" spans="1:6" x14ac:dyDescent="0.25">
      <c r="A779" s="7"/>
      <c r="E779" s="7"/>
      <c r="F779" s="7"/>
    </row>
    <row r="780" spans="1:6" x14ac:dyDescent="0.25">
      <c r="A780" s="7"/>
      <c r="E780" s="7"/>
      <c r="F780" s="7"/>
    </row>
    <row r="781" spans="1:6" x14ac:dyDescent="0.25">
      <c r="A781" s="7"/>
      <c r="E781" s="7"/>
      <c r="F781" s="7"/>
    </row>
    <row r="782" spans="1:6" x14ac:dyDescent="0.25">
      <c r="A782" s="7"/>
      <c r="E782" s="7"/>
      <c r="F782" s="7"/>
    </row>
    <row r="783" spans="1:6" x14ac:dyDescent="0.25">
      <c r="A783" s="7"/>
      <c r="E783" s="7"/>
      <c r="F783" s="7"/>
    </row>
    <row r="784" spans="1:6" x14ac:dyDescent="0.25">
      <c r="A784" s="7"/>
      <c r="E784" s="7"/>
      <c r="F784" s="7"/>
    </row>
    <row r="785" spans="1:6" x14ac:dyDescent="0.25">
      <c r="A785" s="7"/>
      <c r="E785" s="7"/>
      <c r="F785" s="7"/>
    </row>
    <row r="786" spans="1:6" x14ac:dyDescent="0.25">
      <c r="A786" s="7"/>
      <c r="E786" s="7"/>
      <c r="F786" s="7"/>
    </row>
    <row r="787" spans="1:6" x14ac:dyDescent="0.25">
      <c r="A787" s="7"/>
      <c r="E787" s="7"/>
      <c r="F787" s="7"/>
    </row>
    <row r="788" spans="1:6" x14ac:dyDescent="0.25">
      <c r="A788" s="7"/>
      <c r="E788" s="7"/>
      <c r="F788" s="7"/>
    </row>
    <row r="789" spans="1:6" x14ac:dyDescent="0.25">
      <c r="A789" s="7"/>
      <c r="E789" s="7"/>
      <c r="F789" s="7"/>
    </row>
    <row r="790" spans="1:6" x14ac:dyDescent="0.25">
      <c r="A790" s="7"/>
      <c r="E790" s="7"/>
      <c r="F790" s="7"/>
    </row>
    <row r="791" spans="1:6" x14ac:dyDescent="0.25">
      <c r="A791" s="7"/>
      <c r="E791" s="7"/>
      <c r="F791" s="7"/>
    </row>
    <row r="792" spans="1:6" x14ac:dyDescent="0.25">
      <c r="A792" s="7"/>
      <c r="E792" s="7"/>
      <c r="F792" s="7"/>
    </row>
    <row r="793" spans="1:6" x14ac:dyDescent="0.25">
      <c r="A793" s="7"/>
      <c r="E793" s="7"/>
      <c r="F793" s="7"/>
    </row>
    <row r="794" spans="1:6" x14ac:dyDescent="0.25">
      <c r="A794" s="7"/>
      <c r="E794" s="7"/>
      <c r="F794" s="7"/>
    </row>
    <row r="795" spans="1:6" x14ac:dyDescent="0.25">
      <c r="A795" s="7"/>
      <c r="E795" s="7"/>
      <c r="F795" s="7"/>
    </row>
    <row r="796" spans="1:6" x14ac:dyDescent="0.25">
      <c r="A796" s="7"/>
      <c r="E796" s="7"/>
      <c r="F796" s="7"/>
    </row>
    <row r="797" spans="1:6" x14ac:dyDescent="0.25">
      <c r="A797" s="7"/>
      <c r="E797" s="7"/>
      <c r="F797" s="7"/>
    </row>
    <row r="798" spans="1:6" x14ac:dyDescent="0.25">
      <c r="A798" s="7"/>
      <c r="E798" s="7"/>
      <c r="F798" s="7"/>
    </row>
    <row r="799" spans="1:6" x14ac:dyDescent="0.25">
      <c r="A799" s="7"/>
      <c r="E799" s="7"/>
      <c r="F799" s="7"/>
    </row>
    <row r="800" spans="1:6" x14ac:dyDescent="0.25">
      <c r="A800" s="7"/>
      <c r="E800" s="7"/>
      <c r="F800" s="7"/>
    </row>
    <row r="801" spans="1:6" x14ac:dyDescent="0.25">
      <c r="A801" s="7"/>
      <c r="E801" s="7"/>
      <c r="F801" s="7"/>
    </row>
    <row r="802" spans="1:6" x14ac:dyDescent="0.25">
      <c r="A802" s="7"/>
      <c r="E802" s="7"/>
      <c r="F802" s="7"/>
    </row>
    <row r="803" spans="1:6" x14ac:dyDescent="0.25">
      <c r="A803" s="7"/>
      <c r="E803" s="7"/>
      <c r="F803" s="7"/>
    </row>
    <row r="804" spans="1:6" x14ac:dyDescent="0.25">
      <c r="A804" s="7"/>
      <c r="E804" s="7"/>
      <c r="F804" s="7"/>
    </row>
    <row r="805" spans="1:6" x14ac:dyDescent="0.25">
      <c r="A805" s="7"/>
      <c r="E805" s="7"/>
      <c r="F805" s="7"/>
    </row>
    <row r="806" spans="1:6" x14ac:dyDescent="0.25">
      <c r="A806" s="7"/>
      <c r="E806" s="7"/>
      <c r="F806" s="7"/>
    </row>
    <row r="807" spans="1:6" x14ac:dyDescent="0.25">
      <c r="A807" s="7"/>
      <c r="E807" s="7"/>
      <c r="F807" s="7"/>
    </row>
    <row r="808" spans="1:6" x14ac:dyDescent="0.25">
      <c r="A808" s="7"/>
      <c r="E808" s="7"/>
      <c r="F808" s="7"/>
    </row>
    <row r="809" spans="1:6" x14ac:dyDescent="0.25">
      <c r="A809" s="7"/>
      <c r="E809" s="7"/>
      <c r="F809" s="7"/>
    </row>
    <row r="810" spans="1:6" x14ac:dyDescent="0.25">
      <c r="A810" s="7"/>
      <c r="E810" s="7"/>
      <c r="F810" s="7"/>
    </row>
    <row r="811" spans="1:6" x14ac:dyDescent="0.25">
      <c r="A811" s="7"/>
      <c r="E811" s="7"/>
      <c r="F811" s="7"/>
    </row>
    <row r="812" spans="1:6" x14ac:dyDescent="0.25">
      <c r="A812" s="7"/>
      <c r="E812" s="7"/>
      <c r="F812" s="7"/>
    </row>
    <row r="813" spans="1:6" x14ac:dyDescent="0.25">
      <c r="A813" s="7"/>
      <c r="E813" s="7"/>
      <c r="F813" s="7"/>
    </row>
    <row r="814" spans="1:6" x14ac:dyDescent="0.25">
      <c r="A814" s="7"/>
      <c r="E814" s="7"/>
      <c r="F814" s="7"/>
    </row>
    <row r="815" spans="1:6" x14ac:dyDescent="0.25">
      <c r="A815" s="7"/>
      <c r="E815" s="7"/>
      <c r="F815" s="7"/>
    </row>
    <row r="816" spans="1:6" x14ac:dyDescent="0.25">
      <c r="A816" s="7"/>
      <c r="E816" s="7"/>
      <c r="F816" s="7"/>
    </row>
    <row r="817" spans="1:6" x14ac:dyDescent="0.25">
      <c r="A817" s="7"/>
      <c r="E817" s="7"/>
      <c r="F817" s="7"/>
    </row>
    <row r="818" spans="1:6" x14ac:dyDescent="0.25">
      <c r="A818" s="7"/>
      <c r="E818" s="7"/>
      <c r="F818" s="7"/>
    </row>
    <row r="819" spans="1:6" x14ac:dyDescent="0.25">
      <c r="A819" s="7"/>
      <c r="E819" s="7"/>
      <c r="F819" s="7"/>
    </row>
    <row r="820" spans="1:6" x14ac:dyDescent="0.25">
      <c r="A820" s="7"/>
      <c r="E820" s="7"/>
      <c r="F820" s="7"/>
    </row>
    <row r="821" spans="1:6" x14ac:dyDescent="0.25">
      <c r="A821" s="7"/>
      <c r="E821" s="7"/>
      <c r="F821" s="7"/>
    </row>
    <row r="822" spans="1:6" x14ac:dyDescent="0.25">
      <c r="A822" s="7"/>
      <c r="E822" s="7"/>
      <c r="F822" s="7"/>
    </row>
    <row r="823" spans="1:6" x14ac:dyDescent="0.25">
      <c r="A823" s="7"/>
      <c r="E823" s="7"/>
      <c r="F823" s="7"/>
    </row>
    <row r="824" spans="1:6" x14ac:dyDescent="0.25">
      <c r="A824" s="7"/>
      <c r="E824" s="7"/>
      <c r="F824" s="7"/>
    </row>
    <row r="825" spans="1:6" x14ac:dyDescent="0.25">
      <c r="A825" s="7"/>
      <c r="E825" s="7"/>
      <c r="F825" s="7"/>
    </row>
    <row r="826" spans="1:6" x14ac:dyDescent="0.25">
      <c r="A826" s="7"/>
      <c r="E826" s="7"/>
      <c r="F826" s="7"/>
    </row>
    <row r="827" spans="1:6" x14ac:dyDescent="0.25">
      <c r="A827" s="7"/>
      <c r="E827" s="7"/>
      <c r="F827" s="7"/>
    </row>
    <row r="828" spans="1:6" x14ac:dyDescent="0.25">
      <c r="A828" s="7"/>
      <c r="E828" s="7"/>
      <c r="F828" s="7"/>
    </row>
    <row r="829" spans="1:6" x14ac:dyDescent="0.25">
      <c r="A829" s="7"/>
      <c r="E829" s="7"/>
      <c r="F829" s="7"/>
    </row>
    <row r="830" spans="1:6" x14ac:dyDescent="0.25">
      <c r="A830" s="7"/>
      <c r="E830" s="7"/>
      <c r="F830" s="7"/>
    </row>
    <row r="831" spans="1:6" x14ac:dyDescent="0.25">
      <c r="A831" s="7"/>
      <c r="E831" s="7"/>
      <c r="F831" s="7"/>
    </row>
    <row r="832" spans="1:6" x14ac:dyDescent="0.25">
      <c r="A832" s="7"/>
      <c r="E832" s="7"/>
      <c r="F832" s="7"/>
    </row>
    <row r="833" spans="1:6" x14ac:dyDescent="0.25">
      <c r="A833" s="7"/>
      <c r="E833" s="7"/>
      <c r="F833" s="7"/>
    </row>
    <row r="834" spans="1:6" x14ac:dyDescent="0.25">
      <c r="A834" s="7"/>
      <c r="E834" s="7"/>
      <c r="F834" s="7"/>
    </row>
    <row r="835" spans="1:6" x14ac:dyDescent="0.25">
      <c r="A835" s="7"/>
      <c r="E835" s="7"/>
      <c r="F835" s="7"/>
    </row>
    <row r="836" spans="1:6" x14ac:dyDescent="0.25">
      <c r="A836" s="7"/>
      <c r="E836" s="7"/>
      <c r="F836" s="7"/>
    </row>
    <row r="837" spans="1:6" x14ac:dyDescent="0.25">
      <c r="A837" s="7"/>
      <c r="E837" s="7"/>
      <c r="F837" s="7"/>
    </row>
    <row r="838" spans="1:6" x14ac:dyDescent="0.25">
      <c r="A838" s="7"/>
      <c r="E838" s="7"/>
      <c r="F838" s="7"/>
    </row>
    <row r="839" spans="1:6" x14ac:dyDescent="0.25">
      <c r="A839" s="7"/>
      <c r="E839" s="7"/>
      <c r="F839" s="7"/>
    </row>
    <row r="840" spans="1:6" x14ac:dyDescent="0.25">
      <c r="A840" s="7"/>
      <c r="E840" s="7"/>
      <c r="F840" s="7"/>
    </row>
    <row r="841" spans="1:6" x14ac:dyDescent="0.25">
      <c r="A841" s="7"/>
      <c r="E841" s="7"/>
      <c r="F841" s="7"/>
    </row>
    <row r="842" spans="1:6" x14ac:dyDescent="0.25">
      <c r="A842" s="7"/>
      <c r="E842" s="7"/>
      <c r="F842" s="7"/>
    </row>
    <row r="843" spans="1:6" x14ac:dyDescent="0.25">
      <c r="A843" s="7"/>
      <c r="E843" s="7"/>
      <c r="F843" s="7"/>
    </row>
    <row r="844" spans="1:6" x14ac:dyDescent="0.25">
      <c r="A844" s="7"/>
      <c r="E844" s="7"/>
      <c r="F844" s="7"/>
    </row>
    <row r="845" spans="1:6" x14ac:dyDescent="0.25">
      <c r="A845" s="7"/>
      <c r="E845" s="7"/>
      <c r="F845" s="7"/>
    </row>
    <row r="846" spans="1:6" x14ac:dyDescent="0.25">
      <c r="A846" s="7"/>
      <c r="E846" s="7"/>
      <c r="F846" s="7"/>
    </row>
    <row r="847" spans="1:6" x14ac:dyDescent="0.25">
      <c r="A847" s="7"/>
      <c r="E847" s="7"/>
      <c r="F847" s="7"/>
    </row>
    <row r="848" spans="1:6" x14ac:dyDescent="0.25">
      <c r="A848" s="7"/>
      <c r="E848" s="7"/>
      <c r="F848" s="7"/>
    </row>
    <row r="849" spans="1:6" x14ac:dyDescent="0.25">
      <c r="A849" s="7"/>
      <c r="E849" s="7"/>
      <c r="F849" s="7"/>
    </row>
    <row r="850" spans="1:6" x14ac:dyDescent="0.25">
      <c r="A850" s="7"/>
      <c r="E850" s="7"/>
      <c r="F850" s="7"/>
    </row>
    <row r="851" spans="1:6" x14ac:dyDescent="0.25">
      <c r="A851" s="7"/>
      <c r="E851" s="7"/>
      <c r="F851" s="7"/>
    </row>
    <row r="852" spans="1:6" x14ac:dyDescent="0.25">
      <c r="A852" s="7"/>
      <c r="E852" s="7"/>
      <c r="F852" s="7"/>
    </row>
    <row r="853" spans="1:6" x14ac:dyDescent="0.25">
      <c r="A853" s="7"/>
      <c r="E853" s="7"/>
      <c r="F853" s="7"/>
    </row>
    <row r="854" spans="1:6" x14ac:dyDescent="0.25">
      <c r="A854" s="7"/>
      <c r="E854" s="7"/>
      <c r="F854" s="7"/>
    </row>
    <row r="855" spans="1:6" x14ac:dyDescent="0.25">
      <c r="A855" s="7"/>
      <c r="E855" s="7"/>
      <c r="F855" s="7"/>
    </row>
    <row r="856" spans="1:6" x14ac:dyDescent="0.25">
      <c r="A856" s="7"/>
      <c r="E856" s="7"/>
      <c r="F856" s="7"/>
    </row>
    <row r="857" spans="1:6" x14ac:dyDescent="0.25">
      <c r="A857" s="7"/>
      <c r="E857" s="7"/>
      <c r="F857" s="7"/>
    </row>
    <row r="858" spans="1:6" x14ac:dyDescent="0.25">
      <c r="A858" s="7"/>
      <c r="E858" s="7"/>
      <c r="F858" s="7"/>
    </row>
    <row r="859" spans="1:6" x14ac:dyDescent="0.25">
      <c r="A859" s="7"/>
      <c r="E859" s="7"/>
      <c r="F859" s="7"/>
    </row>
    <row r="860" spans="1:6" x14ac:dyDescent="0.25">
      <c r="A860" s="7"/>
      <c r="E860" s="7"/>
      <c r="F860" s="7"/>
    </row>
    <row r="861" spans="1:6" x14ac:dyDescent="0.25">
      <c r="A861" s="7"/>
      <c r="E861" s="7"/>
      <c r="F861" s="7"/>
    </row>
    <row r="862" spans="1:6" x14ac:dyDescent="0.25">
      <c r="A862" s="7"/>
      <c r="E862" s="7"/>
      <c r="F862" s="7"/>
    </row>
    <row r="863" spans="1:6" x14ac:dyDescent="0.25">
      <c r="A863" s="7"/>
      <c r="E863" s="7"/>
      <c r="F863" s="7"/>
    </row>
    <row r="864" spans="1:6" x14ac:dyDescent="0.25">
      <c r="A864" s="7"/>
      <c r="E864" s="7"/>
      <c r="F864" s="7"/>
    </row>
    <row r="865" spans="1:6" x14ac:dyDescent="0.25">
      <c r="A865" s="7"/>
      <c r="E865" s="7"/>
      <c r="F865" s="7"/>
    </row>
    <row r="866" spans="1:6" x14ac:dyDescent="0.25">
      <c r="A866" s="7"/>
      <c r="E866" s="7"/>
      <c r="F866" s="7"/>
    </row>
    <row r="867" spans="1:6" x14ac:dyDescent="0.25">
      <c r="A867" s="7"/>
      <c r="E867" s="7"/>
      <c r="F867" s="7"/>
    </row>
    <row r="868" spans="1:6" x14ac:dyDescent="0.25">
      <c r="A868" s="7"/>
      <c r="E868" s="7"/>
      <c r="F868" s="7"/>
    </row>
    <row r="869" spans="1:6" x14ac:dyDescent="0.25">
      <c r="A869" s="7"/>
      <c r="E869" s="7"/>
      <c r="F869" s="7"/>
    </row>
    <row r="870" spans="1:6" x14ac:dyDescent="0.25">
      <c r="A870" s="7"/>
      <c r="E870" s="7"/>
      <c r="F870" s="7"/>
    </row>
    <row r="871" spans="1:6" x14ac:dyDescent="0.25">
      <c r="A871" s="7"/>
      <c r="E871" s="7"/>
      <c r="F871" s="7"/>
    </row>
    <row r="872" spans="1:6" x14ac:dyDescent="0.25">
      <c r="A872" s="7"/>
      <c r="E872" s="7"/>
      <c r="F872" s="7"/>
    </row>
    <row r="873" spans="1:6" x14ac:dyDescent="0.25">
      <c r="A873" s="7"/>
      <c r="E873" s="7"/>
      <c r="F873" s="7"/>
    </row>
    <row r="874" spans="1:6" x14ac:dyDescent="0.25">
      <c r="A874" s="7"/>
      <c r="E874" s="7"/>
      <c r="F874" s="7"/>
    </row>
    <row r="875" spans="1:6" x14ac:dyDescent="0.25">
      <c r="A875" s="7"/>
      <c r="E875" s="7"/>
      <c r="F875" s="7"/>
    </row>
    <row r="876" spans="1:6" x14ac:dyDescent="0.25">
      <c r="A876" s="7"/>
      <c r="E876" s="7"/>
      <c r="F876" s="7"/>
    </row>
    <row r="877" spans="1:6" x14ac:dyDescent="0.25">
      <c r="A877" s="7"/>
      <c r="E877" s="7"/>
      <c r="F877" s="7"/>
    </row>
    <row r="878" spans="1:6" x14ac:dyDescent="0.25">
      <c r="A878" s="7"/>
      <c r="E878" s="7"/>
      <c r="F878" s="7"/>
    </row>
    <row r="879" spans="1:6" x14ac:dyDescent="0.25">
      <c r="A879" s="7"/>
      <c r="E879" s="7"/>
      <c r="F879" s="7"/>
    </row>
    <row r="880" spans="1:6" x14ac:dyDescent="0.25">
      <c r="A880" s="7"/>
      <c r="E880" s="7"/>
      <c r="F880" s="7"/>
    </row>
    <row r="881" spans="1:6" x14ac:dyDescent="0.25">
      <c r="A881" s="7"/>
      <c r="E881" s="7"/>
      <c r="F881" s="7"/>
    </row>
    <row r="882" spans="1:6" x14ac:dyDescent="0.25">
      <c r="A882" s="7"/>
      <c r="E882" s="7"/>
      <c r="F882" s="7"/>
    </row>
    <row r="883" spans="1:6" x14ac:dyDescent="0.25">
      <c r="A883" s="7"/>
      <c r="E883" s="7"/>
      <c r="F883" s="7"/>
    </row>
    <row r="884" spans="1:6" x14ac:dyDescent="0.25">
      <c r="A884" s="7"/>
      <c r="E884" s="7"/>
      <c r="F884" s="7"/>
    </row>
    <row r="885" spans="1:6" x14ac:dyDescent="0.25">
      <c r="A885" s="7"/>
      <c r="E885" s="7"/>
      <c r="F885" s="7"/>
    </row>
    <row r="886" spans="1:6" x14ac:dyDescent="0.25">
      <c r="A886" s="7"/>
      <c r="E886" s="7"/>
      <c r="F886" s="7"/>
    </row>
    <row r="887" spans="1:6" x14ac:dyDescent="0.25">
      <c r="A887" s="7"/>
      <c r="E887" s="7"/>
      <c r="F887" s="7"/>
    </row>
    <row r="888" spans="1:6" x14ac:dyDescent="0.25">
      <c r="A888" s="7"/>
      <c r="E888" s="7"/>
      <c r="F888" s="7"/>
    </row>
    <row r="889" spans="1:6" x14ac:dyDescent="0.25">
      <c r="A889" s="7"/>
      <c r="E889" s="7"/>
      <c r="F889" s="7"/>
    </row>
    <row r="890" spans="1:6" x14ac:dyDescent="0.25">
      <c r="A890" s="7"/>
      <c r="E890" s="7"/>
      <c r="F890" s="7"/>
    </row>
    <row r="891" spans="1:6" x14ac:dyDescent="0.25">
      <c r="A891" s="7"/>
      <c r="E891" s="7"/>
      <c r="F891" s="7"/>
    </row>
    <row r="892" spans="1:6" x14ac:dyDescent="0.25">
      <c r="A892" s="7"/>
      <c r="E892" s="7"/>
      <c r="F892" s="7"/>
    </row>
    <row r="893" spans="1:6" x14ac:dyDescent="0.25">
      <c r="A893" s="7"/>
      <c r="E893" s="7"/>
      <c r="F893" s="7"/>
    </row>
    <row r="894" spans="1:6" x14ac:dyDescent="0.25">
      <c r="A894" s="7"/>
      <c r="E894" s="7"/>
      <c r="F894" s="7"/>
    </row>
    <row r="895" spans="1:6" x14ac:dyDescent="0.25">
      <c r="A895" s="7"/>
      <c r="E895" s="7"/>
      <c r="F895" s="7"/>
    </row>
    <row r="896" spans="1:6" x14ac:dyDescent="0.25">
      <c r="A896" s="7"/>
      <c r="E896" s="7"/>
      <c r="F896" s="7"/>
    </row>
    <row r="897" spans="1:6" x14ac:dyDescent="0.25">
      <c r="A897" s="7"/>
      <c r="E897" s="7"/>
      <c r="F897" s="7"/>
    </row>
    <row r="898" spans="1:6" x14ac:dyDescent="0.25">
      <c r="A898" s="7"/>
      <c r="E898" s="7"/>
      <c r="F898" s="7"/>
    </row>
    <row r="899" spans="1:6" x14ac:dyDescent="0.25">
      <c r="A899" s="7"/>
      <c r="E899" s="7"/>
      <c r="F899" s="7"/>
    </row>
    <row r="900" spans="1:6" x14ac:dyDescent="0.25">
      <c r="A900" s="7"/>
      <c r="E900" s="7"/>
      <c r="F900" s="7"/>
    </row>
    <row r="901" spans="1:6" x14ac:dyDescent="0.25">
      <c r="A901" s="7"/>
      <c r="E901" s="7"/>
      <c r="F901" s="7"/>
    </row>
    <row r="902" spans="1:6" x14ac:dyDescent="0.25">
      <c r="A902" s="7"/>
      <c r="E902" s="7"/>
      <c r="F902" s="7"/>
    </row>
    <row r="903" spans="1:6" x14ac:dyDescent="0.25">
      <c r="A903" s="7"/>
      <c r="E903" s="7"/>
      <c r="F903" s="7"/>
    </row>
    <row r="904" spans="1:6" x14ac:dyDescent="0.25">
      <c r="A904" s="7"/>
      <c r="E904" s="7"/>
      <c r="F904" s="7"/>
    </row>
    <row r="905" spans="1:6" x14ac:dyDescent="0.25">
      <c r="A905" s="7"/>
      <c r="E905" s="7"/>
      <c r="F905" s="7"/>
    </row>
    <row r="906" spans="1:6" x14ac:dyDescent="0.25">
      <c r="A906" s="7"/>
      <c r="E906" s="7"/>
      <c r="F906" s="7"/>
    </row>
    <row r="907" spans="1:6" x14ac:dyDescent="0.25">
      <c r="A907" s="7"/>
      <c r="E907" s="7"/>
      <c r="F907" s="7"/>
    </row>
    <row r="908" spans="1:6" x14ac:dyDescent="0.25">
      <c r="A908" s="7"/>
      <c r="E908" s="7"/>
      <c r="F908" s="7"/>
    </row>
    <row r="909" spans="1:6" x14ac:dyDescent="0.25">
      <c r="A909" s="7"/>
      <c r="E909" s="7"/>
      <c r="F909" s="7"/>
    </row>
    <row r="910" spans="1:6" x14ac:dyDescent="0.25">
      <c r="A910" s="7"/>
      <c r="E910" s="7"/>
      <c r="F910" s="7"/>
    </row>
    <row r="911" spans="1:6" x14ac:dyDescent="0.25">
      <c r="A911" s="7"/>
      <c r="E911" s="7"/>
      <c r="F911" s="7"/>
    </row>
    <row r="912" spans="1:6" x14ac:dyDescent="0.25">
      <c r="A912" s="7"/>
      <c r="E912" s="7"/>
      <c r="F912" s="7"/>
    </row>
    <row r="913" spans="1:6" x14ac:dyDescent="0.25">
      <c r="A913" s="7"/>
      <c r="E913" s="7"/>
      <c r="F913" s="7"/>
    </row>
    <row r="914" spans="1:6" x14ac:dyDescent="0.25">
      <c r="A914" s="7"/>
      <c r="E914" s="7"/>
      <c r="F914" s="7"/>
    </row>
    <row r="915" spans="1:6" x14ac:dyDescent="0.25">
      <c r="A915" s="7"/>
      <c r="E915" s="7"/>
      <c r="F915" s="7"/>
    </row>
    <row r="916" spans="1:6" x14ac:dyDescent="0.25">
      <c r="A916" s="7"/>
      <c r="E916" s="7"/>
      <c r="F916" s="7"/>
    </row>
    <row r="917" spans="1:6" x14ac:dyDescent="0.25">
      <c r="A917" s="7"/>
      <c r="E917" s="7"/>
      <c r="F917" s="7"/>
    </row>
    <row r="918" spans="1:6" x14ac:dyDescent="0.25">
      <c r="A918" s="7"/>
      <c r="E918" s="7"/>
      <c r="F918" s="7"/>
    </row>
    <row r="919" spans="1:6" x14ac:dyDescent="0.25">
      <c r="A919" s="7"/>
      <c r="E919" s="7"/>
      <c r="F919" s="7"/>
    </row>
    <row r="920" spans="1:6" x14ac:dyDescent="0.25">
      <c r="A920" s="7"/>
      <c r="E920" s="7"/>
      <c r="F920" s="7"/>
    </row>
    <row r="921" spans="1:6" x14ac:dyDescent="0.25">
      <c r="A921" s="7"/>
      <c r="E921" s="7"/>
      <c r="F921" s="7"/>
    </row>
    <row r="922" spans="1:6" x14ac:dyDescent="0.25">
      <c r="A922" s="7"/>
      <c r="E922" s="7"/>
      <c r="F922" s="7"/>
    </row>
    <row r="923" spans="1:6" x14ac:dyDescent="0.25">
      <c r="A923" s="7"/>
      <c r="E923" s="7"/>
      <c r="F923" s="7"/>
    </row>
    <row r="924" spans="1:6" x14ac:dyDescent="0.25">
      <c r="A924" s="7"/>
      <c r="E924" s="7"/>
      <c r="F924" s="7"/>
    </row>
    <row r="925" spans="1:6" x14ac:dyDescent="0.25">
      <c r="A925" s="7"/>
      <c r="E925" s="7"/>
      <c r="F925" s="7"/>
    </row>
    <row r="926" spans="1:6" x14ac:dyDescent="0.25">
      <c r="A926" s="7"/>
      <c r="E926" s="7"/>
      <c r="F926" s="7"/>
    </row>
    <row r="927" spans="1:6" x14ac:dyDescent="0.25">
      <c r="A927" s="7"/>
      <c r="E927" s="7"/>
      <c r="F927" s="7"/>
    </row>
    <row r="928" spans="1:6" x14ac:dyDescent="0.25">
      <c r="A928" s="7"/>
      <c r="E928" s="7"/>
      <c r="F928" s="7"/>
    </row>
    <row r="929" spans="1:6" x14ac:dyDescent="0.25">
      <c r="A929" s="7"/>
      <c r="E929" s="7"/>
      <c r="F929" s="7"/>
    </row>
    <row r="930" spans="1:6" x14ac:dyDescent="0.25">
      <c r="A930" s="7"/>
      <c r="E930" s="7"/>
      <c r="F930" s="7"/>
    </row>
    <row r="931" spans="1:6" x14ac:dyDescent="0.25">
      <c r="A931" s="7"/>
      <c r="E931" s="7"/>
      <c r="F931" s="7"/>
    </row>
    <row r="932" spans="1:6" x14ac:dyDescent="0.25">
      <c r="A932" s="7"/>
      <c r="E932" s="7"/>
      <c r="F932" s="7"/>
    </row>
    <row r="933" spans="1:6" x14ac:dyDescent="0.25">
      <c r="A933" s="7"/>
      <c r="E933" s="7"/>
      <c r="F933" s="7"/>
    </row>
    <row r="934" spans="1:6" x14ac:dyDescent="0.25">
      <c r="A934" s="7"/>
      <c r="E934" s="7"/>
      <c r="F934" s="7"/>
    </row>
    <row r="935" spans="1:6" x14ac:dyDescent="0.25">
      <c r="A935" s="7"/>
      <c r="E935" s="7"/>
      <c r="F935" s="7"/>
    </row>
    <row r="936" spans="1:6" x14ac:dyDescent="0.25">
      <c r="A936" s="7"/>
      <c r="E936" s="7"/>
      <c r="F936" s="7"/>
    </row>
    <row r="937" spans="1:6" x14ac:dyDescent="0.25">
      <c r="A937" s="7"/>
      <c r="E937" s="7"/>
      <c r="F937" s="7"/>
    </row>
    <row r="938" spans="1:6" x14ac:dyDescent="0.25">
      <c r="A938" s="7"/>
      <c r="E938" s="7"/>
      <c r="F938" s="7"/>
    </row>
    <row r="939" spans="1:6" x14ac:dyDescent="0.25">
      <c r="A939" s="7"/>
      <c r="E939" s="7"/>
      <c r="F939" s="7"/>
    </row>
    <row r="940" spans="1:6" x14ac:dyDescent="0.25">
      <c r="A940" s="7"/>
      <c r="E940" s="7"/>
      <c r="F940" s="7"/>
    </row>
    <row r="941" spans="1:6" x14ac:dyDescent="0.25">
      <c r="A941" s="7"/>
      <c r="E941" s="7"/>
      <c r="F941" s="7"/>
    </row>
    <row r="942" spans="1:6" x14ac:dyDescent="0.25">
      <c r="A942" s="7"/>
      <c r="E942" s="7"/>
      <c r="F942" s="7"/>
    </row>
    <row r="943" spans="1:6" x14ac:dyDescent="0.25">
      <c r="A943" s="7"/>
      <c r="E943" s="7"/>
      <c r="F943" s="7"/>
    </row>
    <row r="944" spans="1:6" x14ac:dyDescent="0.25">
      <c r="A944" s="7"/>
      <c r="E944" s="7"/>
      <c r="F944" s="7"/>
    </row>
    <row r="945" spans="1:6" x14ac:dyDescent="0.25">
      <c r="A945" s="7"/>
      <c r="E945" s="7"/>
      <c r="F945" s="7"/>
    </row>
    <row r="946" spans="1:6" x14ac:dyDescent="0.25">
      <c r="A946" s="7"/>
      <c r="E946" s="7"/>
      <c r="F946" s="7"/>
    </row>
    <row r="947" spans="1:6" x14ac:dyDescent="0.25">
      <c r="A947" s="7"/>
      <c r="E947" s="7"/>
      <c r="F947" s="7"/>
    </row>
    <row r="948" spans="1:6" x14ac:dyDescent="0.25">
      <c r="A948" s="7"/>
      <c r="E948" s="7"/>
      <c r="F948" s="7"/>
    </row>
    <row r="949" spans="1:6" x14ac:dyDescent="0.25">
      <c r="A949" s="7"/>
      <c r="E949" s="7"/>
      <c r="F949" s="7"/>
    </row>
    <row r="950" spans="1:6" x14ac:dyDescent="0.25">
      <c r="A950" s="7"/>
      <c r="E950" s="7"/>
      <c r="F950" s="7"/>
    </row>
    <row r="951" spans="1:6" x14ac:dyDescent="0.25">
      <c r="A951" s="7"/>
      <c r="E951" s="7"/>
      <c r="F951" s="7"/>
    </row>
    <row r="952" spans="1:6" x14ac:dyDescent="0.25">
      <c r="A952" s="7"/>
      <c r="E952" s="7"/>
      <c r="F952" s="7"/>
    </row>
    <row r="953" spans="1:6" x14ac:dyDescent="0.25">
      <c r="A953" s="7"/>
      <c r="E953" s="7"/>
      <c r="F953" s="7"/>
    </row>
    <row r="954" spans="1:6" x14ac:dyDescent="0.25">
      <c r="A954" s="7"/>
      <c r="E954" s="7"/>
      <c r="F954" s="7"/>
    </row>
    <row r="955" spans="1:6" x14ac:dyDescent="0.25">
      <c r="A955" s="7"/>
      <c r="E955" s="7"/>
      <c r="F955" s="7"/>
    </row>
    <row r="956" spans="1:6" x14ac:dyDescent="0.25">
      <c r="A956" s="7"/>
      <c r="E956" s="7"/>
      <c r="F956" s="7"/>
    </row>
    <row r="957" spans="1:6" x14ac:dyDescent="0.25">
      <c r="A957" s="7"/>
      <c r="E957" s="7"/>
      <c r="F957" s="7"/>
    </row>
    <row r="958" spans="1:6" x14ac:dyDescent="0.25">
      <c r="A958" s="7"/>
      <c r="E958" s="7"/>
      <c r="F958" s="7"/>
    </row>
    <row r="959" spans="1:6" x14ac:dyDescent="0.25">
      <c r="A959" s="7"/>
      <c r="E959" s="7"/>
      <c r="F959" s="7"/>
    </row>
    <row r="960" spans="1:6" x14ac:dyDescent="0.25">
      <c r="A960" s="7"/>
      <c r="E960" s="7"/>
      <c r="F960" s="7"/>
    </row>
    <row r="961" spans="1:6" x14ac:dyDescent="0.25">
      <c r="A961" s="7"/>
      <c r="E961" s="7"/>
      <c r="F961" s="7"/>
    </row>
    <row r="962" spans="1:6" x14ac:dyDescent="0.25">
      <c r="A962" s="7"/>
      <c r="E962" s="7"/>
      <c r="F962" s="7"/>
    </row>
    <row r="963" spans="1:6" x14ac:dyDescent="0.25">
      <c r="A963" s="7"/>
      <c r="E963" s="7"/>
      <c r="F963" s="7"/>
    </row>
    <row r="964" spans="1:6" x14ac:dyDescent="0.25">
      <c r="A964" s="7"/>
      <c r="E964" s="7"/>
      <c r="F964" s="7"/>
    </row>
    <row r="965" spans="1:6" x14ac:dyDescent="0.25">
      <c r="A965" s="7"/>
      <c r="E965" s="7"/>
      <c r="F965" s="7"/>
    </row>
    <row r="966" spans="1:6" x14ac:dyDescent="0.25">
      <c r="A966" s="7"/>
      <c r="E966" s="7"/>
      <c r="F966" s="7"/>
    </row>
    <row r="967" spans="1:6" x14ac:dyDescent="0.25">
      <c r="A967" s="7"/>
      <c r="E967" s="7"/>
      <c r="F967" s="7"/>
    </row>
    <row r="968" spans="1:6" x14ac:dyDescent="0.25">
      <c r="A968" s="7"/>
      <c r="E968" s="7"/>
      <c r="F968" s="7"/>
    </row>
    <row r="969" spans="1:6" x14ac:dyDescent="0.25">
      <c r="A969" s="7"/>
      <c r="E969" s="7"/>
      <c r="F969" s="7"/>
    </row>
    <row r="970" spans="1:6" x14ac:dyDescent="0.25">
      <c r="A970" s="7"/>
      <c r="E970" s="7"/>
      <c r="F970" s="7"/>
    </row>
    <row r="971" spans="1:6" x14ac:dyDescent="0.25">
      <c r="A971" s="7"/>
      <c r="E971" s="7"/>
      <c r="F971" s="7"/>
    </row>
    <row r="972" spans="1:6" x14ac:dyDescent="0.25">
      <c r="A972" s="7"/>
      <c r="E972" s="7"/>
      <c r="F972" s="7"/>
    </row>
    <row r="973" spans="1:6" x14ac:dyDescent="0.25">
      <c r="A973" s="7"/>
      <c r="E973" s="7"/>
      <c r="F973" s="7"/>
    </row>
    <row r="974" spans="1:6" x14ac:dyDescent="0.25">
      <c r="A974" s="7"/>
      <c r="E974" s="7"/>
      <c r="F974" s="7"/>
    </row>
    <row r="975" spans="1:6" x14ac:dyDescent="0.25">
      <c r="A975" s="7"/>
      <c r="E975" s="7"/>
      <c r="F975" s="7"/>
    </row>
    <row r="976" spans="1:6" x14ac:dyDescent="0.25">
      <c r="A976" s="7"/>
      <c r="E976" s="7"/>
      <c r="F976" s="7"/>
    </row>
    <row r="977" spans="1:6" x14ac:dyDescent="0.25">
      <c r="A977" s="7"/>
      <c r="E977" s="7"/>
      <c r="F977" s="7"/>
    </row>
    <row r="978" spans="1:6" x14ac:dyDescent="0.25">
      <c r="A978" s="7"/>
      <c r="E978" s="7"/>
      <c r="F978" s="7"/>
    </row>
    <row r="979" spans="1:6" x14ac:dyDescent="0.25">
      <c r="A979" s="7"/>
      <c r="E979" s="7"/>
      <c r="F979" s="7"/>
    </row>
    <row r="980" spans="1:6" x14ac:dyDescent="0.25">
      <c r="A980" s="7"/>
      <c r="E980" s="7"/>
      <c r="F980" s="7"/>
    </row>
    <row r="981" spans="1:6" x14ac:dyDescent="0.25">
      <c r="A981" s="7"/>
      <c r="E981" s="7"/>
      <c r="F981" s="7"/>
    </row>
    <row r="982" spans="1:6" x14ac:dyDescent="0.25">
      <c r="A982" s="7"/>
      <c r="E982" s="7"/>
      <c r="F982" s="7"/>
    </row>
    <row r="983" spans="1:6" x14ac:dyDescent="0.25">
      <c r="A983" s="7"/>
      <c r="E983" s="7"/>
      <c r="F983" s="7"/>
    </row>
    <row r="984" spans="1:6" x14ac:dyDescent="0.25">
      <c r="A984" s="7"/>
      <c r="E984" s="7"/>
      <c r="F984" s="7"/>
    </row>
    <row r="985" spans="1:6" x14ac:dyDescent="0.25">
      <c r="A985" s="7"/>
      <c r="E985" s="7"/>
      <c r="F985" s="7"/>
    </row>
    <row r="986" spans="1:6" x14ac:dyDescent="0.25">
      <c r="A986" s="7"/>
      <c r="E986" s="7"/>
      <c r="F986" s="7"/>
    </row>
    <row r="987" spans="1:6" x14ac:dyDescent="0.25">
      <c r="A987" s="7"/>
      <c r="E987" s="7"/>
      <c r="F987" s="7"/>
    </row>
    <row r="988" spans="1:6" x14ac:dyDescent="0.25">
      <c r="A988" s="7"/>
      <c r="E988" s="7"/>
      <c r="F988" s="7"/>
    </row>
    <row r="989" spans="1:6" x14ac:dyDescent="0.25">
      <c r="A989" s="7"/>
      <c r="E989" s="7"/>
      <c r="F989" s="7"/>
    </row>
    <row r="990" spans="1:6" x14ac:dyDescent="0.25">
      <c r="A990" s="7"/>
      <c r="E990" s="7"/>
      <c r="F990" s="7"/>
    </row>
    <row r="991" spans="1:6" x14ac:dyDescent="0.25">
      <c r="A991" s="7"/>
      <c r="E991" s="7"/>
      <c r="F991" s="7"/>
    </row>
    <row r="992" spans="1:6" x14ac:dyDescent="0.25">
      <c r="A992" s="7"/>
      <c r="E992" s="7"/>
      <c r="F992" s="7"/>
    </row>
    <row r="993" spans="1:6" x14ac:dyDescent="0.25">
      <c r="A993" s="7"/>
      <c r="E993" s="7"/>
      <c r="F993" s="7"/>
    </row>
    <row r="994" spans="1:6" x14ac:dyDescent="0.25">
      <c r="A994" s="7"/>
      <c r="E994" s="7"/>
      <c r="F994" s="7"/>
    </row>
    <row r="995" spans="1:6" x14ac:dyDescent="0.25">
      <c r="A995" s="7"/>
      <c r="E995" s="7"/>
      <c r="F995" s="7"/>
    </row>
    <row r="996" spans="1:6" x14ac:dyDescent="0.25">
      <c r="A996" s="7"/>
      <c r="E996" s="7"/>
      <c r="F996" s="7"/>
    </row>
    <row r="997" spans="1:6" x14ac:dyDescent="0.25">
      <c r="A997" s="7"/>
      <c r="E997" s="7"/>
      <c r="F997" s="7"/>
    </row>
    <row r="998" spans="1:6" x14ac:dyDescent="0.25">
      <c r="A998" s="7"/>
      <c r="E998" s="7"/>
      <c r="F998" s="7"/>
    </row>
    <row r="999" spans="1:6" x14ac:dyDescent="0.25">
      <c r="A999" s="7"/>
      <c r="E999" s="7"/>
      <c r="F999" s="7"/>
    </row>
    <row r="1000" spans="1:6" x14ac:dyDescent="0.25">
      <c r="A1000" s="7"/>
      <c r="E1000" s="7"/>
      <c r="F1000" s="7"/>
    </row>
    <row r="1001" spans="1:6" x14ac:dyDescent="0.25">
      <c r="A1001" s="7"/>
      <c r="E1001" s="7"/>
      <c r="F1001" s="7"/>
    </row>
    <row r="1002" spans="1:6" x14ac:dyDescent="0.25">
      <c r="A1002" s="7"/>
      <c r="E1002" s="7"/>
      <c r="F1002" s="7"/>
    </row>
    <row r="1003" spans="1:6" x14ac:dyDescent="0.25">
      <c r="A1003" s="7"/>
      <c r="E1003" s="7"/>
      <c r="F1003" s="7"/>
    </row>
    <row r="1004" spans="1:6" x14ac:dyDescent="0.25">
      <c r="A1004" s="7"/>
      <c r="E1004" s="7"/>
      <c r="F1004" s="7"/>
    </row>
    <row r="1005" spans="1:6" x14ac:dyDescent="0.25">
      <c r="A1005" s="7"/>
      <c r="E1005" s="7"/>
      <c r="F1005" s="7"/>
    </row>
    <row r="1006" spans="1:6" x14ac:dyDescent="0.25">
      <c r="A1006" s="7"/>
      <c r="E1006" s="7"/>
      <c r="F1006" s="7"/>
    </row>
    <row r="1007" spans="1:6" x14ac:dyDescent="0.25">
      <c r="A1007" s="7"/>
      <c r="E1007" s="7"/>
      <c r="F1007" s="7"/>
    </row>
    <row r="1008" spans="1:6" x14ac:dyDescent="0.25">
      <c r="A1008" s="7"/>
      <c r="E1008" s="7"/>
      <c r="F1008" s="7"/>
    </row>
    <row r="1009" spans="1:6" x14ac:dyDescent="0.25">
      <c r="A1009" s="7"/>
      <c r="E1009" s="7"/>
      <c r="F1009" s="7"/>
    </row>
    <row r="1010" spans="1:6" x14ac:dyDescent="0.25">
      <c r="A1010" s="7"/>
      <c r="E1010" s="7"/>
      <c r="F1010" s="7"/>
    </row>
    <row r="1011" spans="1:6" x14ac:dyDescent="0.25">
      <c r="A1011" s="7"/>
      <c r="E1011" s="7"/>
      <c r="F1011" s="7"/>
    </row>
    <row r="1012" spans="1:6" x14ac:dyDescent="0.25">
      <c r="A1012" s="7"/>
      <c r="E1012" s="7"/>
      <c r="F1012" s="7"/>
    </row>
    <row r="1013" spans="1:6" x14ac:dyDescent="0.25">
      <c r="A1013" s="7"/>
      <c r="E1013" s="7"/>
      <c r="F1013" s="7"/>
    </row>
    <row r="1014" spans="1:6" x14ac:dyDescent="0.25">
      <c r="A1014" s="7"/>
      <c r="E1014" s="7"/>
      <c r="F1014" s="7"/>
    </row>
    <row r="1015" spans="1:6" x14ac:dyDescent="0.25">
      <c r="A1015" s="7"/>
      <c r="E1015" s="7"/>
      <c r="F1015" s="7"/>
    </row>
  </sheetData>
  <mergeCells count="8">
    <mergeCell ref="A29:I29"/>
    <mergeCell ref="A1:I1"/>
    <mergeCell ref="A2:I2"/>
    <mergeCell ref="B3:C3"/>
    <mergeCell ref="A21:A24"/>
    <mergeCell ref="B21:B24"/>
    <mergeCell ref="C21:C24"/>
    <mergeCell ref="D21:D24"/>
  </mergeCells>
  <printOptions horizontalCentered="1" verticalCentered="1" gridLines="1"/>
  <pageMargins left="0.25" right="0.25" top="0.75" bottom="0.75" header="0" footer="0"/>
  <pageSetup fitToHeight="0" pageOrder="overThenDown" orientation="landscape" cellComments="atEnd"/>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outlinePr summaryBelow="0" summaryRight="0"/>
    <pageSetUpPr fitToPage="1"/>
  </sheetPr>
  <dimension ref="A1:W1001"/>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46.33203125" customWidth="1"/>
    <col min="2" max="2" width="7.33203125" customWidth="1"/>
    <col min="3" max="4" width="7.88671875" customWidth="1"/>
    <col min="5" max="5" width="22.21875" customWidth="1"/>
    <col min="6" max="6" width="14.6640625" customWidth="1"/>
  </cols>
  <sheetData>
    <row r="1" spans="1:23" ht="13.2" x14ac:dyDescent="0.25">
      <c r="A1" s="141" t="s">
        <v>878</v>
      </c>
      <c r="B1" s="142"/>
      <c r="C1" s="142"/>
      <c r="D1" s="142"/>
      <c r="E1" s="142"/>
      <c r="F1" s="142"/>
      <c r="G1" s="142"/>
      <c r="H1" s="142"/>
      <c r="I1" s="143"/>
    </row>
    <row r="2" spans="1:23" ht="13.2" x14ac:dyDescent="0.25">
      <c r="A2" s="144" t="s">
        <v>879</v>
      </c>
      <c r="B2" s="142"/>
      <c r="C2" s="142"/>
      <c r="D2" s="142"/>
      <c r="E2" s="142"/>
      <c r="F2" s="142"/>
      <c r="G2" s="142"/>
      <c r="H2" s="142"/>
      <c r="I2" s="143"/>
    </row>
    <row r="3" spans="1:23" ht="13.2" x14ac:dyDescent="0.25">
      <c r="A3" s="43" t="s">
        <v>374</v>
      </c>
      <c r="B3" s="145" t="s">
        <v>408</v>
      </c>
      <c r="C3" s="143"/>
      <c r="D3" s="49" t="s">
        <v>370</v>
      </c>
      <c r="E3" s="50" t="s">
        <v>371</v>
      </c>
      <c r="F3" s="51" t="s">
        <v>372</v>
      </c>
      <c r="G3" s="52" t="s">
        <v>373</v>
      </c>
      <c r="H3" s="53" t="s">
        <v>409</v>
      </c>
      <c r="I3" s="53" t="s">
        <v>410</v>
      </c>
      <c r="J3" s="7"/>
      <c r="K3" s="7"/>
      <c r="L3" s="7"/>
      <c r="M3" s="7"/>
      <c r="N3" s="7"/>
      <c r="O3" s="7"/>
      <c r="P3" s="7"/>
      <c r="Q3" s="7"/>
      <c r="R3" s="7"/>
      <c r="S3" s="7"/>
      <c r="T3" s="7"/>
      <c r="U3" s="7"/>
      <c r="V3" s="7"/>
      <c r="W3" s="7"/>
    </row>
    <row r="4" spans="1:23" ht="13.2" x14ac:dyDescent="0.25">
      <c r="A4" s="41" t="s">
        <v>411</v>
      </c>
      <c r="B4" s="54">
        <f>SUM(B5:B7)/2</f>
        <v>1</v>
      </c>
      <c r="C4" s="55">
        <f>D4*B4</f>
        <v>0.7</v>
      </c>
      <c r="D4" s="56">
        <v>0.7</v>
      </c>
      <c r="E4" s="57"/>
      <c r="F4" s="57"/>
      <c r="G4" s="58"/>
      <c r="H4" s="58"/>
      <c r="I4" s="58"/>
    </row>
    <row r="5" spans="1:23" ht="13.2" x14ac:dyDescent="0.25">
      <c r="A5" s="42" t="s">
        <v>880</v>
      </c>
      <c r="B5" s="59">
        <v>1</v>
      </c>
      <c r="C5" s="60"/>
      <c r="D5" s="60"/>
      <c r="E5" s="42"/>
      <c r="F5" s="61"/>
      <c r="G5" s="59">
        <v>0.8</v>
      </c>
      <c r="H5" s="59">
        <v>0.8</v>
      </c>
      <c r="I5" s="59">
        <v>1</v>
      </c>
    </row>
    <row r="6" spans="1:23" ht="26.4" x14ac:dyDescent="0.25">
      <c r="A6" s="42" t="s">
        <v>881</v>
      </c>
      <c r="B6" s="59">
        <v>1</v>
      </c>
      <c r="C6" s="60"/>
      <c r="D6" s="60"/>
      <c r="E6" s="42"/>
      <c r="F6" s="61"/>
      <c r="G6" s="59">
        <v>0.8</v>
      </c>
      <c r="H6" s="59">
        <v>0.8</v>
      </c>
      <c r="I6" s="59">
        <v>1</v>
      </c>
    </row>
    <row r="7" spans="1:23" ht="13.2" x14ac:dyDescent="0.25">
      <c r="A7" s="42"/>
      <c r="B7" s="62"/>
      <c r="C7" s="60"/>
      <c r="D7" s="60"/>
      <c r="E7" s="42"/>
      <c r="F7" s="42"/>
      <c r="G7" s="60"/>
      <c r="H7" s="60"/>
      <c r="I7" s="60"/>
    </row>
    <row r="8" spans="1:23" ht="13.2" x14ac:dyDescent="0.25">
      <c r="A8" s="41" t="s">
        <v>415</v>
      </c>
      <c r="B8" s="54">
        <f>SUM(B9:B10)/1</f>
        <v>1</v>
      </c>
      <c r="C8" s="55">
        <f>D8*B8</f>
        <v>0.2</v>
      </c>
      <c r="D8" s="56">
        <v>0.2</v>
      </c>
      <c r="E8" s="57"/>
      <c r="F8" s="57"/>
      <c r="G8" s="58"/>
      <c r="H8" s="58"/>
      <c r="I8" s="58"/>
    </row>
    <row r="9" spans="1:23" ht="26.4" x14ac:dyDescent="0.25">
      <c r="A9" s="43" t="s">
        <v>882</v>
      </c>
      <c r="B9" s="59">
        <v>1</v>
      </c>
      <c r="C9" s="60"/>
      <c r="D9" s="60"/>
      <c r="E9" s="42" t="s">
        <v>883</v>
      </c>
      <c r="F9" s="42" t="s">
        <v>425</v>
      </c>
      <c r="G9" s="59">
        <v>1</v>
      </c>
      <c r="H9" s="59"/>
      <c r="I9" s="59"/>
    </row>
    <row r="10" spans="1:23" ht="13.2" x14ac:dyDescent="0.25">
      <c r="A10" s="42"/>
      <c r="B10" s="59"/>
      <c r="C10" s="60"/>
      <c r="D10" s="60"/>
      <c r="E10" s="42"/>
      <c r="F10" s="42"/>
      <c r="G10" s="59"/>
      <c r="H10" s="59"/>
      <c r="I10" s="59"/>
    </row>
    <row r="11" spans="1:23" ht="13.2" x14ac:dyDescent="0.25">
      <c r="A11" s="41" t="s">
        <v>385</v>
      </c>
      <c r="B11" s="54">
        <f>SUM(B12:B13)/2</f>
        <v>1</v>
      </c>
      <c r="C11" s="55">
        <f>D11*B11</f>
        <v>0.1</v>
      </c>
      <c r="D11" s="56">
        <v>0.1</v>
      </c>
      <c r="E11" s="57"/>
      <c r="F11" s="57"/>
      <c r="G11" s="58"/>
      <c r="H11" s="58"/>
      <c r="I11" s="58"/>
    </row>
    <row r="12" spans="1:23" ht="13.2" x14ac:dyDescent="0.25">
      <c r="A12" s="42" t="s">
        <v>386</v>
      </c>
      <c r="B12" s="59">
        <v>1</v>
      </c>
      <c r="C12" s="60"/>
      <c r="D12" s="53"/>
      <c r="E12" s="42"/>
      <c r="F12" s="42" t="s">
        <v>425</v>
      </c>
      <c r="G12" s="59">
        <v>0.8</v>
      </c>
      <c r="H12" s="59">
        <v>0.8</v>
      </c>
      <c r="I12" s="59">
        <v>1</v>
      </c>
    </row>
    <row r="13" spans="1:23" ht="52.8" x14ac:dyDescent="0.25">
      <c r="A13" s="42" t="s">
        <v>387</v>
      </c>
      <c r="B13" s="59">
        <v>1</v>
      </c>
      <c r="C13" s="60"/>
      <c r="D13" s="60"/>
      <c r="E13" s="42"/>
      <c r="F13" s="42" t="s">
        <v>419</v>
      </c>
      <c r="G13" s="59">
        <v>0.8</v>
      </c>
      <c r="H13" s="59">
        <v>0.8</v>
      </c>
      <c r="I13" s="59">
        <v>1</v>
      </c>
    </row>
    <row r="14" spans="1:23" ht="13.2" x14ac:dyDescent="0.25">
      <c r="A14" s="42"/>
      <c r="B14" s="60"/>
      <c r="C14" s="64">
        <f t="shared" ref="C14:D14" si="0">SUM(C4+C8+C11)</f>
        <v>0.99999999999999989</v>
      </c>
      <c r="D14" s="64">
        <f t="shared" si="0"/>
        <v>0.99999999999999989</v>
      </c>
      <c r="E14" s="42"/>
      <c r="F14" s="42"/>
      <c r="G14" s="60"/>
      <c r="H14" s="60"/>
      <c r="I14" s="60"/>
    </row>
    <row r="15" spans="1:23" ht="13.2" x14ac:dyDescent="0.25">
      <c r="A15" s="152" t="s">
        <v>884</v>
      </c>
      <c r="B15" s="142"/>
      <c r="C15" s="142"/>
      <c r="D15" s="142"/>
      <c r="E15" s="142"/>
      <c r="F15" s="142"/>
      <c r="G15" s="142"/>
      <c r="H15" s="142"/>
      <c r="I15" s="143"/>
    </row>
    <row r="16" spans="1:23" ht="132" x14ac:dyDescent="0.25">
      <c r="A16" s="66" t="s">
        <v>885</v>
      </c>
      <c r="B16" s="67" t="s">
        <v>427</v>
      </c>
      <c r="C16" s="64"/>
      <c r="D16" s="64"/>
      <c r="E16" s="68" t="s">
        <v>886</v>
      </c>
      <c r="F16" s="42" t="s">
        <v>425</v>
      </c>
      <c r="G16" s="42"/>
      <c r="H16" s="60"/>
      <c r="I16" s="60"/>
    </row>
    <row r="17" spans="1:9" ht="212.25" customHeight="1" x14ac:dyDescent="0.25">
      <c r="A17" s="66" t="s">
        <v>887</v>
      </c>
      <c r="B17" s="67" t="s">
        <v>423</v>
      </c>
      <c r="C17" s="64"/>
      <c r="D17" s="64"/>
      <c r="E17" s="68" t="s">
        <v>888</v>
      </c>
      <c r="F17" s="42" t="s">
        <v>425</v>
      </c>
      <c r="G17" s="42"/>
      <c r="H17" s="60"/>
      <c r="I17" s="60"/>
    </row>
    <row r="18" spans="1:9" ht="211.2" x14ac:dyDescent="0.25">
      <c r="A18" s="66" t="s">
        <v>889</v>
      </c>
      <c r="B18" s="67" t="s">
        <v>427</v>
      </c>
      <c r="C18" s="64"/>
      <c r="D18" s="64"/>
      <c r="E18" s="68" t="s">
        <v>890</v>
      </c>
      <c r="F18" s="42" t="s">
        <v>425</v>
      </c>
      <c r="G18" s="42"/>
      <c r="H18" s="60"/>
      <c r="I18" s="60"/>
    </row>
    <row r="19" spans="1:9" ht="13.2" x14ac:dyDescent="0.25">
      <c r="A19" s="66"/>
      <c r="B19" s="67"/>
      <c r="C19" s="64"/>
      <c r="D19" s="64"/>
      <c r="E19" s="68"/>
      <c r="F19" s="42"/>
      <c r="G19" s="42"/>
      <c r="H19" s="60"/>
      <c r="I19" s="60"/>
    </row>
    <row r="20" spans="1:9" ht="13.2" x14ac:dyDescent="0.25">
      <c r="A20" s="66"/>
      <c r="B20" s="67"/>
      <c r="C20" s="64"/>
      <c r="D20" s="64"/>
      <c r="E20" s="68"/>
      <c r="F20" s="42"/>
      <c r="G20" s="42"/>
      <c r="H20" s="60"/>
      <c r="I20" s="60"/>
    </row>
    <row r="21" spans="1:9" ht="13.2" x14ac:dyDescent="0.25">
      <c r="A21" s="66"/>
      <c r="B21" s="67"/>
      <c r="C21" s="64"/>
      <c r="D21" s="64"/>
      <c r="E21" s="68"/>
      <c r="F21" s="42"/>
      <c r="G21" s="42"/>
      <c r="H21" s="60"/>
      <c r="I21" s="60"/>
    </row>
    <row r="22" spans="1:9" ht="13.2" x14ac:dyDescent="0.25">
      <c r="A22" s="66"/>
      <c r="B22" s="67"/>
      <c r="C22" s="64"/>
      <c r="D22" s="64"/>
      <c r="E22" s="68"/>
      <c r="F22" s="42"/>
      <c r="G22" s="42"/>
      <c r="H22" s="60"/>
      <c r="I22" s="60"/>
    </row>
    <row r="23" spans="1:9" ht="13.2" x14ac:dyDescent="0.25">
      <c r="A23" s="66"/>
      <c r="B23" s="67"/>
      <c r="C23" s="64"/>
      <c r="D23" s="64"/>
      <c r="E23" s="68"/>
      <c r="F23" s="42"/>
      <c r="G23" s="42"/>
      <c r="H23" s="60"/>
      <c r="I23" s="60"/>
    </row>
    <row r="24" spans="1:9" ht="13.2" x14ac:dyDescent="0.25">
      <c r="A24" s="66"/>
      <c r="B24" s="67"/>
      <c r="C24" s="64"/>
      <c r="D24" s="64"/>
      <c r="E24" s="68"/>
      <c r="F24" s="42"/>
      <c r="G24" s="42"/>
      <c r="H24" s="60"/>
      <c r="I24" s="60"/>
    </row>
    <row r="25" spans="1:9" ht="13.2" x14ac:dyDescent="0.25">
      <c r="A25" s="66"/>
      <c r="B25" s="67"/>
      <c r="C25" s="64"/>
      <c r="D25" s="64"/>
      <c r="E25" s="68"/>
      <c r="F25" s="42"/>
      <c r="G25" s="42"/>
      <c r="H25" s="60"/>
      <c r="I25" s="60"/>
    </row>
    <row r="26" spans="1:9" ht="13.2" x14ac:dyDescent="0.25">
      <c r="A26" s="66"/>
      <c r="B26" s="67"/>
      <c r="C26" s="64"/>
      <c r="D26" s="64"/>
      <c r="E26" s="68"/>
      <c r="F26" s="42"/>
      <c r="G26" s="42"/>
      <c r="H26" s="60"/>
      <c r="I26" s="60"/>
    </row>
    <row r="27" spans="1:9" ht="13.2" x14ac:dyDescent="0.25">
      <c r="A27" s="66"/>
      <c r="B27" s="67"/>
      <c r="C27" s="64"/>
      <c r="D27" s="64"/>
      <c r="E27" s="68"/>
      <c r="F27" s="42"/>
      <c r="G27" s="42"/>
      <c r="H27" s="60"/>
      <c r="I27" s="60"/>
    </row>
    <row r="28" spans="1:9" ht="13.2" x14ac:dyDescent="0.25">
      <c r="A28" s="66"/>
      <c r="B28" s="67"/>
      <c r="C28" s="64"/>
      <c r="D28" s="64"/>
      <c r="E28" s="68"/>
      <c r="F28" s="42"/>
      <c r="G28" s="42"/>
      <c r="H28" s="60"/>
      <c r="I28" s="60"/>
    </row>
    <row r="29" spans="1:9" ht="13.2" x14ac:dyDescent="0.25">
      <c r="A29" s="66"/>
      <c r="B29" s="67"/>
      <c r="C29" s="64"/>
      <c r="D29" s="64"/>
      <c r="E29" s="68"/>
      <c r="F29" s="42"/>
      <c r="G29" s="42"/>
      <c r="H29" s="60"/>
      <c r="I29" s="60"/>
    </row>
    <row r="30" spans="1:9" ht="13.2" x14ac:dyDescent="0.25">
      <c r="A30" s="66"/>
      <c r="B30" s="67"/>
      <c r="C30" s="64"/>
      <c r="D30" s="64"/>
      <c r="E30" s="68"/>
      <c r="F30" s="42"/>
      <c r="G30" s="42"/>
      <c r="H30" s="60"/>
      <c r="I30" s="60"/>
    </row>
    <row r="31" spans="1:9" ht="13.2" x14ac:dyDescent="0.25">
      <c r="A31" s="66"/>
      <c r="B31" s="67"/>
      <c r="C31" s="64"/>
      <c r="D31" s="64"/>
      <c r="E31" s="68"/>
      <c r="F31" s="42"/>
      <c r="G31" s="42"/>
      <c r="H31" s="60"/>
      <c r="I31" s="60"/>
    </row>
    <row r="32" spans="1:9" ht="13.2" x14ac:dyDescent="0.25">
      <c r="A32" s="66"/>
      <c r="B32" s="67"/>
      <c r="C32" s="64"/>
      <c r="D32" s="64"/>
      <c r="E32" s="68"/>
      <c r="F32" s="42"/>
      <c r="G32" s="42"/>
      <c r="H32" s="60"/>
      <c r="I32" s="60"/>
    </row>
    <row r="33" spans="1:9" ht="13.2" x14ac:dyDescent="0.25">
      <c r="A33" s="66"/>
      <c r="B33" s="67"/>
      <c r="C33" s="64"/>
      <c r="D33" s="64"/>
      <c r="E33" s="68"/>
      <c r="F33" s="42"/>
      <c r="G33" s="42"/>
      <c r="H33" s="60"/>
      <c r="I33" s="60"/>
    </row>
    <row r="34" spans="1:9" ht="13.2" x14ac:dyDescent="0.25">
      <c r="A34" s="66"/>
      <c r="B34" s="67"/>
      <c r="C34" s="64"/>
      <c r="D34" s="64"/>
      <c r="E34" s="68"/>
      <c r="F34" s="42"/>
      <c r="G34" s="42"/>
      <c r="H34" s="60"/>
      <c r="I34" s="60"/>
    </row>
    <row r="35" spans="1:9" ht="13.2" x14ac:dyDescent="0.25">
      <c r="A35" s="66"/>
      <c r="B35" s="67"/>
      <c r="C35" s="64"/>
      <c r="D35" s="64"/>
      <c r="E35" s="68"/>
      <c r="F35" s="42"/>
      <c r="G35" s="42"/>
      <c r="H35" s="60"/>
      <c r="I35" s="60"/>
    </row>
    <row r="36" spans="1:9" ht="13.2" x14ac:dyDescent="0.25">
      <c r="A36" s="66"/>
      <c r="B36" s="67"/>
      <c r="C36" s="64"/>
      <c r="D36" s="64"/>
      <c r="E36" s="68"/>
      <c r="F36" s="42"/>
      <c r="G36" s="42"/>
      <c r="H36" s="60"/>
      <c r="I36" s="60"/>
    </row>
    <row r="37" spans="1:9" ht="13.2" x14ac:dyDescent="0.25">
      <c r="A37" s="66"/>
      <c r="B37" s="67"/>
      <c r="C37" s="64"/>
      <c r="D37" s="64"/>
      <c r="E37" s="68"/>
      <c r="F37" s="42"/>
      <c r="G37" s="42"/>
      <c r="H37" s="60"/>
      <c r="I37" s="60"/>
    </row>
    <row r="38" spans="1:9" ht="13.2" x14ac:dyDescent="0.25">
      <c r="A38" s="7"/>
      <c r="E38" s="7"/>
      <c r="F38" s="7"/>
    </row>
    <row r="39" spans="1:9" ht="13.2" x14ac:dyDescent="0.25">
      <c r="A39" s="7"/>
      <c r="E39" s="7"/>
      <c r="F39" s="7"/>
    </row>
    <row r="40" spans="1:9" ht="13.2" x14ac:dyDescent="0.25">
      <c r="A40" s="7"/>
      <c r="E40" s="7"/>
      <c r="F40" s="7"/>
    </row>
    <row r="41" spans="1:9" ht="13.2" x14ac:dyDescent="0.25">
      <c r="A41" s="7"/>
      <c r="E41" s="7"/>
      <c r="F41" s="7"/>
    </row>
    <row r="42" spans="1:9" ht="13.2" x14ac:dyDescent="0.25">
      <c r="A42" s="7"/>
      <c r="E42" s="7"/>
      <c r="F42" s="7"/>
    </row>
    <row r="43" spans="1:9" ht="13.2" x14ac:dyDescent="0.25">
      <c r="A43" s="7"/>
      <c r="E43" s="7"/>
      <c r="F43" s="7"/>
    </row>
    <row r="44" spans="1:9" ht="13.2" x14ac:dyDescent="0.25">
      <c r="A44" s="7"/>
      <c r="E44" s="7"/>
      <c r="F44" s="7"/>
    </row>
    <row r="45" spans="1:9" ht="13.2" x14ac:dyDescent="0.25">
      <c r="A45" s="7"/>
      <c r="E45" s="7"/>
      <c r="F45" s="7"/>
    </row>
    <row r="46" spans="1:9" ht="13.2" x14ac:dyDescent="0.25">
      <c r="A46" s="7"/>
      <c r="E46" s="7"/>
      <c r="F46" s="7"/>
    </row>
    <row r="47" spans="1:9" ht="13.2" x14ac:dyDescent="0.25">
      <c r="A47" s="7"/>
      <c r="E47" s="7"/>
      <c r="F47" s="7"/>
    </row>
    <row r="48" spans="1:9" ht="13.2" x14ac:dyDescent="0.25">
      <c r="A48" s="7"/>
      <c r="E48" s="7"/>
      <c r="F48" s="7"/>
    </row>
    <row r="49" spans="1:6" ht="13.2" x14ac:dyDescent="0.25">
      <c r="A49" s="7"/>
      <c r="E49" s="7"/>
      <c r="F49" s="7"/>
    </row>
    <row r="50" spans="1:6" ht="13.2" x14ac:dyDescent="0.25">
      <c r="A50" s="7"/>
      <c r="E50" s="7"/>
      <c r="F50" s="7"/>
    </row>
    <row r="51" spans="1:6" ht="13.2" x14ac:dyDescent="0.25">
      <c r="A51" s="7"/>
      <c r="E51" s="7"/>
      <c r="F51" s="7"/>
    </row>
    <row r="52" spans="1:6" ht="13.2" x14ac:dyDescent="0.25">
      <c r="A52" s="7"/>
      <c r="E52" s="7"/>
      <c r="F52" s="7"/>
    </row>
    <row r="53" spans="1:6" ht="13.2" x14ac:dyDescent="0.25">
      <c r="A53" s="7"/>
      <c r="E53" s="7"/>
      <c r="F53" s="7"/>
    </row>
    <row r="54" spans="1:6" ht="13.2" x14ac:dyDescent="0.25">
      <c r="A54" s="7"/>
      <c r="E54" s="7"/>
      <c r="F54" s="7"/>
    </row>
    <row r="55" spans="1:6" ht="13.2" x14ac:dyDescent="0.25">
      <c r="A55" s="7"/>
      <c r="E55" s="7"/>
      <c r="F55" s="7"/>
    </row>
    <row r="56" spans="1:6" ht="13.2" x14ac:dyDescent="0.25">
      <c r="A56" s="7"/>
      <c r="E56" s="7"/>
      <c r="F56" s="7"/>
    </row>
    <row r="57" spans="1:6" ht="13.2" x14ac:dyDescent="0.25">
      <c r="A57" s="7"/>
      <c r="E57" s="7"/>
      <c r="F57" s="7"/>
    </row>
    <row r="58" spans="1:6" ht="13.2" x14ac:dyDescent="0.25">
      <c r="A58" s="7"/>
      <c r="E58" s="7"/>
      <c r="F58" s="7"/>
    </row>
    <row r="59" spans="1:6" ht="13.2" x14ac:dyDescent="0.25">
      <c r="A59" s="7"/>
      <c r="E59" s="7"/>
      <c r="F59" s="7"/>
    </row>
    <row r="60" spans="1:6" ht="13.2" x14ac:dyDescent="0.25">
      <c r="A60" s="7"/>
      <c r="E60" s="7"/>
      <c r="F60" s="7"/>
    </row>
    <row r="61" spans="1:6" ht="13.2" x14ac:dyDescent="0.25">
      <c r="A61" s="7"/>
      <c r="E61" s="7"/>
      <c r="F61" s="7"/>
    </row>
    <row r="62" spans="1:6" ht="13.2" x14ac:dyDescent="0.25">
      <c r="A62" s="7"/>
      <c r="E62" s="7"/>
      <c r="F62" s="7"/>
    </row>
    <row r="63" spans="1:6" ht="13.2" x14ac:dyDescent="0.25">
      <c r="A63" s="7"/>
      <c r="E63" s="7"/>
      <c r="F63" s="7"/>
    </row>
    <row r="64" spans="1:6" ht="13.2" x14ac:dyDescent="0.25">
      <c r="A64" s="7"/>
      <c r="E64" s="7"/>
      <c r="F64" s="7"/>
    </row>
    <row r="65" spans="1:6" ht="13.2" x14ac:dyDescent="0.25">
      <c r="A65" s="7"/>
      <c r="E65" s="7"/>
      <c r="F65" s="7"/>
    </row>
    <row r="66" spans="1:6" ht="13.2" x14ac:dyDescent="0.25">
      <c r="A66" s="7"/>
      <c r="E66" s="7"/>
      <c r="F66" s="7"/>
    </row>
    <row r="67" spans="1:6" ht="13.2" x14ac:dyDescent="0.25">
      <c r="A67" s="7"/>
      <c r="E67" s="7"/>
      <c r="F67" s="7"/>
    </row>
    <row r="68" spans="1:6" ht="13.2" x14ac:dyDescent="0.25">
      <c r="A68" s="7"/>
      <c r="E68" s="7"/>
      <c r="F68" s="7"/>
    </row>
    <row r="69" spans="1:6" ht="13.2" x14ac:dyDescent="0.25">
      <c r="A69" s="7"/>
      <c r="E69" s="7"/>
      <c r="F69" s="7"/>
    </row>
    <row r="70" spans="1:6" ht="13.2" x14ac:dyDescent="0.25">
      <c r="A70" s="7"/>
      <c r="E70" s="7"/>
      <c r="F70" s="7"/>
    </row>
    <row r="71" spans="1:6" ht="13.2" x14ac:dyDescent="0.25">
      <c r="A71" s="7"/>
      <c r="E71" s="7"/>
      <c r="F71" s="7"/>
    </row>
    <row r="72" spans="1:6" ht="13.2" x14ac:dyDescent="0.25">
      <c r="A72" s="7"/>
      <c r="E72" s="7"/>
      <c r="F72" s="7"/>
    </row>
    <row r="73" spans="1:6" ht="13.2" x14ac:dyDescent="0.25">
      <c r="A73" s="7"/>
      <c r="E73" s="7"/>
      <c r="F73" s="7"/>
    </row>
    <row r="74" spans="1:6" ht="13.2" x14ac:dyDescent="0.25">
      <c r="A74" s="7"/>
      <c r="E74" s="7"/>
      <c r="F74" s="7"/>
    </row>
    <row r="75" spans="1:6" ht="13.2" x14ac:dyDescent="0.25">
      <c r="A75" s="7"/>
      <c r="E75" s="7"/>
      <c r="F75" s="7"/>
    </row>
    <row r="76" spans="1:6" ht="13.2" x14ac:dyDescent="0.25">
      <c r="A76" s="7"/>
      <c r="E76" s="7"/>
      <c r="F76" s="7"/>
    </row>
    <row r="77" spans="1:6" ht="13.2" x14ac:dyDescent="0.25">
      <c r="A77" s="7"/>
      <c r="E77" s="7"/>
      <c r="F77" s="7"/>
    </row>
    <row r="78" spans="1:6" ht="13.2" x14ac:dyDescent="0.25">
      <c r="A78" s="7"/>
      <c r="E78" s="7"/>
      <c r="F78" s="7"/>
    </row>
    <row r="79" spans="1:6" ht="13.2" x14ac:dyDescent="0.25">
      <c r="A79" s="7"/>
      <c r="E79" s="7"/>
      <c r="F79" s="7"/>
    </row>
    <row r="80" spans="1:6" ht="13.2" x14ac:dyDescent="0.25">
      <c r="A80" s="7"/>
      <c r="E80" s="7"/>
      <c r="F80" s="7"/>
    </row>
    <row r="81" spans="1:6" ht="13.2" x14ac:dyDescent="0.25">
      <c r="A81" s="7"/>
      <c r="E81" s="7"/>
      <c r="F81" s="7"/>
    </row>
    <row r="82" spans="1:6" ht="13.2" x14ac:dyDescent="0.25">
      <c r="A82" s="7"/>
      <c r="E82" s="7"/>
      <c r="F82" s="7"/>
    </row>
    <row r="83" spans="1:6" ht="13.2" x14ac:dyDescent="0.25">
      <c r="A83" s="7"/>
      <c r="E83" s="7"/>
      <c r="F83" s="7"/>
    </row>
    <row r="84" spans="1:6" ht="13.2" x14ac:dyDescent="0.25">
      <c r="A84" s="7"/>
      <c r="E84" s="7"/>
      <c r="F84" s="7"/>
    </row>
    <row r="85" spans="1:6" ht="13.2" x14ac:dyDescent="0.25">
      <c r="A85" s="7"/>
      <c r="E85" s="7"/>
      <c r="F85" s="7"/>
    </row>
    <row r="86" spans="1:6" ht="13.2" x14ac:dyDescent="0.25">
      <c r="A86" s="7"/>
      <c r="E86" s="7"/>
      <c r="F86" s="7"/>
    </row>
    <row r="87" spans="1:6" ht="13.2" x14ac:dyDescent="0.25">
      <c r="A87" s="7"/>
      <c r="E87" s="7"/>
      <c r="F87" s="7"/>
    </row>
    <row r="88" spans="1:6" ht="13.2" x14ac:dyDescent="0.25">
      <c r="A88" s="7"/>
      <c r="E88" s="7"/>
      <c r="F88" s="7"/>
    </row>
    <row r="89" spans="1:6" ht="13.2" x14ac:dyDescent="0.25">
      <c r="A89" s="7"/>
      <c r="E89" s="7"/>
      <c r="F89" s="7"/>
    </row>
    <row r="90" spans="1:6" ht="13.2" x14ac:dyDescent="0.25">
      <c r="A90" s="7"/>
      <c r="E90" s="7"/>
      <c r="F90" s="7"/>
    </row>
    <row r="91" spans="1:6" ht="13.2" x14ac:dyDescent="0.25">
      <c r="A91" s="7"/>
      <c r="E91" s="7"/>
      <c r="F91" s="7"/>
    </row>
    <row r="92" spans="1:6" ht="13.2" x14ac:dyDescent="0.25">
      <c r="A92" s="7"/>
      <c r="E92" s="7"/>
      <c r="F92" s="7"/>
    </row>
    <row r="93" spans="1:6" ht="13.2" x14ac:dyDescent="0.25">
      <c r="A93" s="7"/>
      <c r="E93" s="7"/>
      <c r="F93" s="7"/>
    </row>
    <row r="94" spans="1:6" ht="13.2" x14ac:dyDescent="0.25">
      <c r="A94" s="7"/>
      <c r="E94" s="7"/>
      <c r="F94" s="7"/>
    </row>
    <row r="95" spans="1:6" ht="13.2" x14ac:dyDescent="0.25">
      <c r="A95" s="7"/>
      <c r="E95" s="7"/>
      <c r="F95" s="7"/>
    </row>
    <row r="96" spans="1:6" ht="13.2" x14ac:dyDescent="0.25">
      <c r="A96" s="7"/>
      <c r="E96" s="7"/>
      <c r="F96" s="7"/>
    </row>
    <row r="97" spans="1:6" ht="13.2" x14ac:dyDescent="0.25">
      <c r="A97" s="7"/>
      <c r="E97" s="7"/>
      <c r="F97" s="7"/>
    </row>
    <row r="98" spans="1:6" ht="13.2" x14ac:dyDescent="0.25">
      <c r="A98" s="7"/>
      <c r="E98" s="7"/>
      <c r="F98" s="7"/>
    </row>
    <row r="99" spans="1:6" ht="13.2" x14ac:dyDescent="0.25">
      <c r="A99" s="7"/>
      <c r="E99" s="7"/>
      <c r="F99" s="7"/>
    </row>
    <row r="100" spans="1:6" ht="13.2" x14ac:dyDescent="0.25">
      <c r="A100" s="7"/>
      <c r="E100" s="7"/>
      <c r="F100" s="7"/>
    </row>
    <row r="101" spans="1:6" ht="13.2" x14ac:dyDescent="0.25">
      <c r="A101" s="7"/>
      <c r="E101" s="7"/>
      <c r="F101" s="7"/>
    </row>
    <row r="102" spans="1:6" ht="13.2" x14ac:dyDescent="0.25">
      <c r="A102" s="7"/>
      <c r="E102" s="7"/>
      <c r="F102" s="7"/>
    </row>
    <row r="103" spans="1:6" ht="13.2" x14ac:dyDescent="0.25">
      <c r="A103" s="7"/>
      <c r="E103" s="7"/>
      <c r="F103" s="7"/>
    </row>
    <row r="104" spans="1:6" ht="13.2" x14ac:dyDescent="0.25">
      <c r="A104" s="7"/>
      <c r="E104" s="7"/>
      <c r="F104" s="7"/>
    </row>
    <row r="105" spans="1:6" ht="13.2" x14ac:dyDescent="0.25">
      <c r="A105" s="7"/>
      <c r="E105" s="7"/>
      <c r="F105" s="7"/>
    </row>
    <row r="106" spans="1:6" ht="13.2" x14ac:dyDescent="0.25">
      <c r="A106" s="7"/>
      <c r="E106" s="7"/>
      <c r="F106" s="7"/>
    </row>
    <row r="107" spans="1:6" ht="13.2" x14ac:dyDescent="0.25">
      <c r="A107" s="7"/>
      <c r="E107" s="7"/>
      <c r="F107" s="7"/>
    </row>
    <row r="108" spans="1:6" ht="13.2" x14ac:dyDescent="0.25">
      <c r="A108" s="7"/>
      <c r="E108" s="7"/>
      <c r="F108" s="7"/>
    </row>
    <row r="109" spans="1:6" ht="13.2" x14ac:dyDescent="0.25">
      <c r="A109" s="7"/>
      <c r="E109" s="7"/>
      <c r="F109" s="7"/>
    </row>
    <row r="110" spans="1:6" ht="13.2" x14ac:dyDescent="0.25">
      <c r="A110" s="7"/>
      <c r="E110" s="7"/>
      <c r="F110" s="7"/>
    </row>
    <row r="111" spans="1:6" ht="13.2" x14ac:dyDescent="0.25">
      <c r="A111" s="7"/>
      <c r="E111" s="7"/>
      <c r="F111" s="7"/>
    </row>
    <row r="112" spans="1:6" ht="13.2" x14ac:dyDescent="0.25">
      <c r="A112" s="7"/>
      <c r="E112" s="7"/>
      <c r="F112" s="7"/>
    </row>
    <row r="113" spans="1:6" ht="13.2" x14ac:dyDescent="0.25">
      <c r="A113" s="7"/>
      <c r="E113" s="7"/>
      <c r="F113" s="7"/>
    </row>
    <row r="114" spans="1:6" ht="13.2" x14ac:dyDescent="0.25">
      <c r="A114" s="7"/>
      <c r="E114" s="7"/>
      <c r="F114" s="7"/>
    </row>
    <row r="115" spans="1:6" ht="13.2" x14ac:dyDescent="0.25">
      <c r="A115" s="7"/>
      <c r="E115" s="7"/>
      <c r="F115" s="7"/>
    </row>
    <row r="116" spans="1:6" ht="13.2" x14ac:dyDescent="0.25">
      <c r="A116" s="7"/>
      <c r="E116" s="7"/>
      <c r="F116" s="7"/>
    </row>
    <row r="117" spans="1:6" ht="13.2" x14ac:dyDescent="0.25">
      <c r="A117" s="7"/>
      <c r="E117" s="7"/>
      <c r="F117" s="7"/>
    </row>
    <row r="118" spans="1:6" ht="13.2" x14ac:dyDescent="0.25">
      <c r="A118" s="7"/>
      <c r="E118" s="7"/>
      <c r="F118" s="7"/>
    </row>
    <row r="119" spans="1:6" ht="13.2" x14ac:dyDescent="0.25">
      <c r="A119" s="7"/>
      <c r="E119" s="7"/>
      <c r="F119" s="7"/>
    </row>
    <row r="120" spans="1:6" ht="13.2" x14ac:dyDescent="0.25">
      <c r="A120" s="7"/>
      <c r="E120" s="7"/>
      <c r="F120" s="7"/>
    </row>
    <row r="121" spans="1:6" ht="13.2" x14ac:dyDescent="0.25">
      <c r="A121" s="7"/>
      <c r="E121" s="7"/>
      <c r="F121" s="7"/>
    </row>
    <row r="122" spans="1:6" ht="13.2" x14ac:dyDescent="0.25">
      <c r="A122" s="7"/>
      <c r="E122" s="7"/>
      <c r="F122" s="7"/>
    </row>
    <row r="123" spans="1:6" ht="13.2" x14ac:dyDescent="0.25">
      <c r="A123" s="7"/>
      <c r="E123" s="7"/>
      <c r="F123" s="7"/>
    </row>
    <row r="124" spans="1:6" ht="13.2" x14ac:dyDescent="0.25">
      <c r="A124" s="7"/>
      <c r="E124" s="7"/>
      <c r="F124" s="7"/>
    </row>
    <row r="125" spans="1:6" ht="13.2" x14ac:dyDescent="0.25">
      <c r="A125" s="7"/>
      <c r="E125" s="7"/>
      <c r="F125" s="7"/>
    </row>
    <row r="126" spans="1:6" ht="13.2" x14ac:dyDescent="0.25">
      <c r="A126" s="7"/>
      <c r="E126" s="7"/>
      <c r="F126" s="7"/>
    </row>
    <row r="127" spans="1:6" ht="13.2" x14ac:dyDescent="0.25">
      <c r="A127" s="7"/>
      <c r="E127" s="7"/>
      <c r="F127" s="7"/>
    </row>
    <row r="128" spans="1:6" ht="13.2" x14ac:dyDescent="0.25">
      <c r="A128" s="7"/>
      <c r="E128" s="7"/>
      <c r="F128" s="7"/>
    </row>
    <row r="129" spans="1:6" ht="13.2" x14ac:dyDescent="0.25">
      <c r="A129" s="7"/>
      <c r="E129" s="7"/>
      <c r="F129" s="7"/>
    </row>
    <row r="130" spans="1:6" ht="13.2" x14ac:dyDescent="0.25">
      <c r="A130" s="7"/>
      <c r="E130" s="7"/>
      <c r="F130" s="7"/>
    </row>
    <row r="131" spans="1:6" ht="13.2" x14ac:dyDescent="0.25">
      <c r="A131" s="7"/>
      <c r="E131" s="7"/>
      <c r="F131" s="7"/>
    </row>
    <row r="132" spans="1:6" ht="13.2" x14ac:dyDescent="0.25">
      <c r="A132" s="7"/>
      <c r="E132" s="7"/>
      <c r="F132" s="7"/>
    </row>
    <row r="133" spans="1:6" ht="13.2" x14ac:dyDescent="0.25">
      <c r="A133" s="7"/>
      <c r="E133" s="7"/>
      <c r="F133" s="7"/>
    </row>
    <row r="134" spans="1:6" ht="13.2" x14ac:dyDescent="0.25">
      <c r="A134" s="7"/>
      <c r="E134" s="7"/>
      <c r="F134" s="7"/>
    </row>
    <row r="135" spans="1:6" ht="13.2" x14ac:dyDescent="0.25">
      <c r="A135" s="7"/>
      <c r="E135" s="7"/>
      <c r="F135" s="7"/>
    </row>
    <row r="136" spans="1:6" ht="13.2" x14ac:dyDescent="0.25">
      <c r="A136" s="7"/>
      <c r="E136" s="7"/>
      <c r="F136" s="7"/>
    </row>
    <row r="137" spans="1:6" ht="13.2" x14ac:dyDescent="0.25">
      <c r="A137" s="7"/>
      <c r="E137" s="7"/>
      <c r="F137" s="7"/>
    </row>
    <row r="138" spans="1:6" ht="13.2" x14ac:dyDescent="0.25">
      <c r="A138" s="7"/>
      <c r="E138" s="7"/>
      <c r="F138" s="7"/>
    </row>
    <row r="139" spans="1:6" ht="13.2" x14ac:dyDescent="0.25">
      <c r="A139" s="7"/>
      <c r="E139" s="7"/>
      <c r="F139" s="7"/>
    </row>
    <row r="140" spans="1:6" ht="13.2" x14ac:dyDescent="0.25">
      <c r="A140" s="7"/>
      <c r="E140" s="7"/>
      <c r="F140" s="7"/>
    </row>
    <row r="141" spans="1:6" ht="13.2" x14ac:dyDescent="0.25">
      <c r="A141" s="7"/>
      <c r="E141" s="7"/>
      <c r="F141" s="7"/>
    </row>
    <row r="142" spans="1:6" ht="13.2" x14ac:dyDescent="0.25">
      <c r="A142" s="7"/>
      <c r="E142" s="7"/>
      <c r="F142" s="7"/>
    </row>
    <row r="143" spans="1:6" ht="13.2" x14ac:dyDescent="0.25">
      <c r="A143" s="7"/>
      <c r="E143" s="7"/>
      <c r="F143" s="7"/>
    </row>
    <row r="144" spans="1:6" ht="13.2" x14ac:dyDescent="0.25">
      <c r="A144" s="7"/>
      <c r="E144" s="7"/>
      <c r="F144" s="7"/>
    </row>
    <row r="145" spans="1:6" ht="13.2" x14ac:dyDescent="0.25">
      <c r="A145" s="7"/>
      <c r="E145" s="7"/>
      <c r="F145" s="7"/>
    </row>
    <row r="146" spans="1:6" ht="13.2" x14ac:dyDescent="0.25">
      <c r="A146" s="7"/>
      <c r="E146" s="7"/>
      <c r="F146" s="7"/>
    </row>
    <row r="147" spans="1:6" ht="13.2" x14ac:dyDescent="0.25">
      <c r="A147" s="7"/>
      <c r="E147" s="7"/>
      <c r="F147" s="7"/>
    </row>
    <row r="148" spans="1:6" ht="13.2" x14ac:dyDescent="0.25">
      <c r="A148" s="7"/>
      <c r="E148" s="7"/>
      <c r="F148" s="7"/>
    </row>
    <row r="149" spans="1:6" ht="13.2" x14ac:dyDescent="0.25">
      <c r="A149" s="7"/>
      <c r="E149" s="7"/>
      <c r="F149" s="7"/>
    </row>
    <row r="150" spans="1:6" ht="13.2" x14ac:dyDescent="0.25">
      <c r="A150" s="7"/>
      <c r="E150" s="7"/>
      <c r="F150" s="7"/>
    </row>
    <row r="151" spans="1:6" ht="13.2" x14ac:dyDescent="0.25">
      <c r="A151" s="7"/>
      <c r="E151" s="7"/>
      <c r="F151" s="7"/>
    </row>
    <row r="152" spans="1:6" ht="13.2" x14ac:dyDescent="0.25">
      <c r="A152" s="7"/>
      <c r="E152" s="7"/>
      <c r="F152" s="7"/>
    </row>
    <row r="153" spans="1:6" ht="13.2" x14ac:dyDescent="0.25">
      <c r="A153" s="7"/>
      <c r="E153" s="7"/>
      <c r="F153" s="7"/>
    </row>
    <row r="154" spans="1:6" ht="13.2" x14ac:dyDescent="0.25">
      <c r="A154" s="7"/>
      <c r="E154" s="7"/>
      <c r="F154" s="7"/>
    </row>
    <row r="155" spans="1:6" ht="13.2" x14ac:dyDescent="0.25">
      <c r="A155" s="7"/>
      <c r="E155" s="7"/>
      <c r="F155" s="7"/>
    </row>
    <row r="156" spans="1:6" ht="13.2" x14ac:dyDescent="0.25">
      <c r="A156" s="7"/>
      <c r="E156" s="7"/>
      <c r="F156" s="7"/>
    </row>
    <row r="157" spans="1:6" ht="13.2" x14ac:dyDescent="0.25">
      <c r="A157" s="7"/>
      <c r="E157" s="7"/>
      <c r="F157" s="7"/>
    </row>
    <row r="158" spans="1:6" ht="13.2" x14ac:dyDescent="0.25">
      <c r="A158" s="7"/>
      <c r="E158" s="7"/>
      <c r="F158" s="7"/>
    </row>
    <row r="159" spans="1:6" ht="13.2" x14ac:dyDescent="0.25">
      <c r="A159" s="7"/>
      <c r="E159" s="7"/>
      <c r="F159" s="7"/>
    </row>
    <row r="160" spans="1:6" ht="13.2" x14ac:dyDescent="0.25">
      <c r="A160" s="7"/>
      <c r="E160" s="7"/>
      <c r="F160" s="7"/>
    </row>
    <row r="161" spans="1:6" ht="13.2" x14ac:dyDescent="0.25">
      <c r="A161" s="7"/>
      <c r="E161" s="7"/>
      <c r="F161" s="7"/>
    </row>
    <row r="162" spans="1:6" ht="13.2" x14ac:dyDescent="0.25">
      <c r="A162" s="7"/>
      <c r="E162" s="7"/>
      <c r="F162" s="7"/>
    </row>
    <row r="163" spans="1:6" ht="13.2" x14ac:dyDescent="0.25">
      <c r="A163" s="7"/>
      <c r="E163" s="7"/>
      <c r="F163" s="7"/>
    </row>
    <row r="164" spans="1:6" ht="13.2" x14ac:dyDescent="0.25">
      <c r="A164" s="7"/>
      <c r="E164" s="7"/>
      <c r="F164" s="7"/>
    </row>
    <row r="165" spans="1:6" ht="13.2" x14ac:dyDescent="0.25">
      <c r="A165" s="7"/>
      <c r="E165" s="7"/>
      <c r="F165" s="7"/>
    </row>
    <row r="166" spans="1:6" ht="13.2" x14ac:dyDescent="0.25">
      <c r="A166" s="7"/>
      <c r="E166" s="7"/>
      <c r="F166" s="7"/>
    </row>
    <row r="167" spans="1:6" ht="13.2" x14ac:dyDescent="0.25">
      <c r="A167" s="7"/>
      <c r="E167" s="7"/>
      <c r="F167" s="7"/>
    </row>
    <row r="168" spans="1:6" ht="13.2" x14ac:dyDescent="0.25">
      <c r="A168" s="7"/>
      <c r="E168" s="7"/>
      <c r="F168" s="7"/>
    </row>
    <row r="169" spans="1:6" ht="13.2" x14ac:dyDescent="0.25">
      <c r="A169" s="7"/>
      <c r="E169" s="7"/>
      <c r="F169" s="7"/>
    </row>
    <row r="170" spans="1:6" ht="13.2" x14ac:dyDescent="0.25">
      <c r="A170" s="7"/>
      <c r="E170" s="7"/>
      <c r="F170" s="7"/>
    </row>
    <row r="171" spans="1:6" ht="13.2" x14ac:dyDescent="0.25">
      <c r="A171" s="7"/>
      <c r="E171" s="7"/>
      <c r="F171" s="7"/>
    </row>
    <row r="172" spans="1:6" ht="13.2" x14ac:dyDescent="0.25">
      <c r="A172" s="7"/>
      <c r="E172" s="7"/>
      <c r="F172" s="7"/>
    </row>
    <row r="173" spans="1:6" ht="13.2" x14ac:dyDescent="0.25">
      <c r="A173" s="7"/>
      <c r="E173" s="7"/>
      <c r="F173" s="7"/>
    </row>
    <row r="174" spans="1:6" ht="13.2" x14ac:dyDescent="0.25">
      <c r="A174" s="7"/>
      <c r="E174" s="7"/>
      <c r="F174" s="7"/>
    </row>
    <row r="175" spans="1:6" ht="13.2" x14ac:dyDescent="0.25">
      <c r="A175" s="7"/>
      <c r="E175" s="7"/>
      <c r="F175" s="7"/>
    </row>
    <row r="176" spans="1:6" ht="13.2" x14ac:dyDescent="0.25">
      <c r="A176" s="7"/>
      <c r="E176" s="7"/>
      <c r="F176" s="7"/>
    </row>
    <row r="177" spans="1:6" ht="13.2" x14ac:dyDescent="0.25">
      <c r="A177" s="7"/>
      <c r="E177" s="7"/>
      <c r="F177" s="7"/>
    </row>
    <row r="178" spans="1:6" ht="13.2" x14ac:dyDescent="0.25">
      <c r="A178" s="7"/>
      <c r="E178" s="7"/>
      <c r="F178" s="7"/>
    </row>
    <row r="179" spans="1:6" ht="13.2" x14ac:dyDescent="0.25">
      <c r="A179" s="7"/>
      <c r="E179" s="7"/>
      <c r="F179" s="7"/>
    </row>
    <row r="180" spans="1:6" ht="13.2" x14ac:dyDescent="0.25">
      <c r="A180" s="7"/>
      <c r="E180" s="7"/>
      <c r="F180" s="7"/>
    </row>
    <row r="181" spans="1:6" ht="13.2" x14ac:dyDescent="0.25">
      <c r="A181" s="7"/>
      <c r="E181" s="7"/>
      <c r="F181" s="7"/>
    </row>
    <row r="182" spans="1:6" ht="13.2" x14ac:dyDescent="0.25">
      <c r="A182" s="7"/>
      <c r="E182" s="7"/>
      <c r="F182" s="7"/>
    </row>
    <row r="183" spans="1:6" ht="13.2" x14ac:dyDescent="0.25">
      <c r="A183" s="7"/>
      <c r="E183" s="7"/>
      <c r="F183" s="7"/>
    </row>
    <row r="184" spans="1:6" ht="13.2" x14ac:dyDescent="0.25">
      <c r="A184" s="7"/>
      <c r="E184" s="7"/>
      <c r="F184" s="7"/>
    </row>
    <row r="185" spans="1:6" ht="13.2" x14ac:dyDescent="0.25">
      <c r="A185" s="7"/>
      <c r="E185" s="7"/>
      <c r="F185" s="7"/>
    </row>
    <row r="186" spans="1:6" ht="13.2" x14ac:dyDescent="0.25">
      <c r="A186" s="7"/>
      <c r="E186" s="7"/>
      <c r="F186" s="7"/>
    </row>
    <row r="187" spans="1:6" ht="13.2" x14ac:dyDescent="0.25">
      <c r="A187" s="7"/>
      <c r="E187" s="7"/>
      <c r="F187" s="7"/>
    </row>
    <row r="188" spans="1:6" ht="13.2" x14ac:dyDescent="0.25">
      <c r="A188" s="7"/>
      <c r="E188" s="7"/>
      <c r="F188" s="7"/>
    </row>
    <row r="189" spans="1:6" ht="13.2" x14ac:dyDescent="0.25">
      <c r="A189" s="7"/>
      <c r="E189" s="7"/>
      <c r="F189" s="7"/>
    </row>
    <row r="190" spans="1:6" ht="13.2" x14ac:dyDescent="0.25">
      <c r="A190" s="7"/>
      <c r="E190" s="7"/>
      <c r="F190" s="7"/>
    </row>
    <row r="191" spans="1:6" ht="13.2" x14ac:dyDescent="0.25">
      <c r="A191" s="7"/>
      <c r="E191" s="7"/>
      <c r="F191" s="7"/>
    </row>
    <row r="192" spans="1:6" ht="13.2" x14ac:dyDescent="0.25">
      <c r="A192" s="7"/>
      <c r="E192" s="7"/>
      <c r="F192" s="7"/>
    </row>
    <row r="193" spans="1:6" ht="13.2" x14ac:dyDescent="0.25">
      <c r="A193" s="7"/>
      <c r="E193" s="7"/>
      <c r="F193" s="7"/>
    </row>
    <row r="194" spans="1:6" ht="13.2" x14ac:dyDescent="0.25">
      <c r="A194" s="7"/>
      <c r="E194" s="7"/>
      <c r="F194" s="7"/>
    </row>
    <row r="195" spans="1:6" ht="13.2" x14ac:dyDescent="0.25">
      <c r="A195" s="7"/>
      <c r="E195" s="7"/>
      <c r="F195" s="7"/>
    </row>
    <row r="196" spans="1:6" ht="13.2" x14ac:dyDescent="0.25">
      <c r="A196" s="7"/>
      <c r="E196" s="7"/>
      <c r="F196" s="7"/>
    </row>
    <row r="197" spans="1:6" ht="13.2" x14ac:dyDescent="0.25">
      <c r="A197" s="7"/>
      <c r="E197" s="7"/>
      <c r="F197" s="7"/>
    </row>
    <row r="198" spans="1:6" ht="13.2" x14ac:dyDescent="0.25">
      <c r="A198" s="7"/>
      <c r="E198" s="7"/>
      <c r="F198" s="7"/>
    </row>
    <row r="199" spans="1:6" ht="13.2" x14ac:dyDescent="0.25">
      <c r="A199" s="7"/>
      <c r="E199" s="7"/>
      <c r="F199" s="7"/>
    </row>
    <row r="200" spans="1:6" ht="13.2" x14ac:dyDescent="0.25">
      <c r="A200" s="7"/>
      <c r="E200" s="7"/>
      <c r="F200" s="7"/>
    </row>
    <row r="201" spans="1:6" ht="13.2" x14ac:dyDescent="0.25">
      <c r="A201" s="7"/>
      <c r="E201" s="7"/>
      <c r="F201" s="7"/>
    </row>
    <row r="202" spans="1:6" ht="13.2" x14ac:dyDescent="0.25">
      <c r="A202" s="7"/>
      <c r="E202" s="7"/>
      <c r="F202" s="7"/>
    </row>
    <row r="203" spans="1:6" ht="13.2" x14ac:dyDescent="0.25">
      <c r="A203" s="7"/>
      <c r="E203" s="7"/>
      <c r="F203" s="7"/>
    </row>
    <row r="204" spans="1:6" ht="13.2" x14ac:dyDescent="0.25">
      <c r="A204" s="7"/>
      <c r="E204" s="7"/>
      <c r="F204" s="7"/>
    </row>
    <row r="205" spans="1:6" ht="13.2" x14ac:dyDescent="0.25">
      <c r="A205" s="7"/>
      <c r="E205" s="7"/>
      <c r="F205" s="7"/>
    </row>
    <row r="206" spans="1:6" ht="13.2" x14ac:dyDescent="0.25">
      <c r="A206" s="7"/>
      <c r="E206" s="7"/>
      <c r="F206" s="7"/>
    </row>
    <row r="207" spans="1:6" ht="13.2" x14ac:dyDescent="0.25">
      <c r="A207" s="7"/>
      <c r="E207" s="7"/>
      <c r="F207" s="7"/>
    </row>
    <row r="208" spans="1:6" ht="13.2" x14ac:dyDescent="0.25">
      <c r="A208" s="7"/>
      <c r="E208" s="7"/>
      <c r="F208" s="7"/>
    </row>
    <row r="209" spans="1:6" ht="13.2" x14ac:dyDescent="0.25">
      <c r="A209" s="7"/>
      <c r="E209" s="7"/>
      <c r="F209" s="7"/>
    </row>
    <row r="210" spans="1:6" ht="13.2" x14ac:dyDescent="0.25">
      <c r="A210" s="7"/>
      <c r="E210" s="7"/>
      <c r="F210" s="7"/>
    </row>
    <row r="211" spans="1:6" ht="13.2" x14ac:dyDescent="0.25">
      <c r="A211" s="7"/>
      <c r="E211" s="7"/>
      <c r="F211" s="7"/>
    </row>
    <row r="212" spans="1:6" ht="13.2" x14ac:dyDescent="0.25">
      <c r="A212" s="7"/>
      <c r="E212" s="7"/>
      <c r="F212" s="7"/>
    </row>
    <row r="213" spans="1:6" ht="13.2" x14ac:dyDescent="0.25">
      <c r="A213" s="7"/>
      <c r="E213" s="7"/>
      <c r="F213" s="7"/>
    </row>
    <row r="214" spans="1:6" ht="13.2" x14ac:dyDescent="0.25">
      <c r="A214" s="7"/>
      <c r="E214" s="7"/>
      <c r="F214" s="7"/>
    </row>
    <row r="215" spans="1:6" ht="13.2" x14ac:dyDescent="0.25">
      <c r="A215" s="7"/>
      <c r="E215" s="7"/>
      <c r="F215" s="7"/>
    </row>
    <row r="216" spans="1:6" ht="13.2" x14ac:dyDescent="0.25">
      <c r="A216" s="7"/>
      <c r="E216" s="7"/>
      <c r="F216" s="7"/>
    </row>
    <row r="217" spans="1:6" ht="13.2" x14ac:dyDescent="0.25">
      <c r="A217" s="7"/>
      <c r="E217" s="7"/>
      <c r="F217" s="7"/>
    </row>
    <row r="218" spans="1:6" ht="13.2" x14ac:dyDescent="0.25">
      <c r="A218" s="7"/>
      <c r="E218" s="7"/>
      <c r="F218" s="7"/>
    </row>
    <row r="219" spans="1:6" ht="13.2" x14ac:dyDescent="0.25">
      <c r="A219" s="7"/>
      <c r="E219" s="7"/>
      <c r="F219" s="7"/>
    </row>
    <row r="220" spans="1:6" ht="13.2" x14ac:dyDescent="0.25">
      <c r="A220" s="7"/>
      <c r="E220" s="7"/>
      <c r="F220" s="7"/>
    </row>
    <row r="221" spans="1:6" ht="13.2" x14ac:dyDescent="0.25">
      <c r="A221" s="7"/>
      <c r="E221" s="7"/>
      <c r="F221" s="7"/>
    </row>
    <row r="222" spans="1:6" ht="13.2" x14ac:dyDescent="0.25">
      <c r="A222" s="7"/>
      <c r="E222" s="7"/>
      <c r="F222" s="7"/>
    </row>
    <row r="223" spans="1:6" ht="13.2" x14ac:dyDescent="0.25">
      <c r="A223" s="7"/>
      <c r="E223" s="7"/>
      <c r="F223" s="7"/>
    </row>
    <row r="224" spans="1:6" ht="13.2" x14ac:dyDescent="0.25">
      <c r="A224" s="7"/>
      <c r="E224" s="7"/>
      <c r="F224" s="7"/>
    </row>
    <row r="225" spans="1:6" ht="13.2" x14ac:dyDescent="0.25">
      <c r="A225" s="7"/>
      <c r="E225" s="7"/>
      <c r="F225" s="7"/>
    </row>
    <row r="226" spans="1:6" ht="13.2" x14ac:dyDescent="0.25">
      <c r="A226" s="7"/>
      <c r="E226" s="7"/>
      <c r="F226" s="7"/>
    </row>
    <row r="227" spans="1:6" ht="13.2" x14ac:dyDescent="0.25">
      <c r="A227" s="7"/>
      <c r="E227" s="7"/>
      <c r="F227" s="7"/>
    </row>
    <row r="228" spans="1:6" ht="13.2" x14ac:dyDescent="0.25">
      <c r="A228" s="7"/>
      <c r="E228" s="7"/>
      <c r="F228" s="7"/>
    </row>
    <row r="229" spans="1:6" ht="13.2" x14ac:dyDescent="0.25">
      <c r="A229" s="7"/>
      <c r="E229" s="7"/>
      <c r="F229" s="7"/>
    </row>
    <row r="230" spans="1:6" ht="13.2" x14ac:dyDescent="0.25">
      <c r="A230" s="7"/>
      <c r="E230" s="7"/>
      <c r="F230" s="7"/>
    </row>
    <row r="231" spans="1:6" ht="13.2" x14ac:dyDescent="0.25">
      <c r="A231" s="7"/>
      <c r="E231" s="7"/>
      <c r="F231" s="7"/>
    </row>
    <row r="232" spans="1:6" ht="13.2" x14ac:dyDescent="0.25">
      <c r="A232" s="7"/>
      <c r="E232" s="7"/>
      <c r="F232" s="7"/>
    </row>
    <row r="233" spans="1:6" ht="13.2" x14ac:dyDescent="0.25">
      <c r="A233" s="7"/>
      <c r="E233" s="7"/>
      <c r="F233" s="7"/>
    </row>
    <row r="234" spans="1:6" ht="13.2" x14ac:dyDescent="0.25">
      <c r="A234" s="7"/>
      <c r="E234" s="7"/>
      <c r="F234" s="7"/>
    </row>
    <row r="235" spans="1:6" ht="13.2" x14ac:dyDescent="0.25">
      <c r="A235" s="7"/>
      <c r="E235" s="7"/>
      <c r="F235" s="7"/>
    </row>
    <row r="236" spans="1:6" ht="13.2" x14ac:dyDescent="0.25">
      <c r="A236" s="7"/>
      <c r="E236" s="7"/>
      <c r="F236" s="7"/>
    </row>
    <row r="237" spans="1:6" ht="13.2" x14ac:dyDescent="0.25">
      <c r="A237" s="7"/>
      <c r="E237" s="7"/>
      <c r="F237" s="7"/>
    </row>
    <row r="238" spans="1:6" ht="13.2" x14ac:dyDescent="0.25">
      <c r="A238" s="7"/>
      <c r="E238" s="7"/>
      <c r="F238" s="7"/>
    </row>
    <row r="239" spans="1:6" ht="13.2" x14ac:dyDescent="0.25">
      <c r="A239" s="7"/>
      <c r="E239" s="7"/>
      <c r="F239" s="7"/>
    </row>
    <row r="240" spans="1:6" ht="13.2" x14ac:dyDescent="0.25">
      <c r="A240" s="7"/>
      <c r="E240" s="7"/>
      <c r="F240" s="7"/>
    </row>
    <row r="241" spans="1:6" ht="13.2" x14ac:dyDescent="0.25">
      <c r="A241" s="7"/>
      <c r="E241" s="7"/>
      <c r="F241" s="7"/>
    </row>
    <row r="242" spans="1:6" ht="13.2" x14ac:dyDescent="0.25">
      <c r="A242" s="7"/>
      <c r="E242" s="7"/>
      <c r="F242" s="7"/>
    </row>
    <row r="243" spans="1:6" ht="13.2" x14ac:dyDescent="0.25">
      <c r="A243" s="7"/>
      <c r="E243" s="7"/>
      <c r="F243" s="7"/>
    </row>
    <row r="244" spans="1:6" ht="13.2" x14ac:dyDescent="0.25">
      <c r="A244" s="7"/>
      <c r="E244" s="7"/>
      <c r="F244" s="7"/>
    </row>
    <row r="245" spans="1:6" ht="13.2" x14ac:dyDescent="0.25">
      <c r="A245" s="7"/>
      <c r="E245" s="7"/>
      <c r="F245" s="7"/>
    </row>
    <row r="246" spans="1:6" ht="13.2" x14ac:dyDescent="0.25">
      <c r="A246" s="7"/>
      <c r="E246" s="7"/>
      <c r="F246" s="7"/>
    </row>
    <row r="247" spans="1:6" ht="13.2" x14ac:dyDescent="0.25">
      <c r="A247" s="7"/>
      <c r="E247" s="7"/>
      <c r="F247" s="7"/>
    </row>
    <row r="248" spans="1:6" ht="13.2" x14ac:dyDescent="0.25">
      <c r="A248" s="7"/>
      <c r="E248" s="7"/>
      <c r="F248" s="7"/>
    </row>
    <row r="249" spans="1:6" ht="13.2" x14ac:dyDescent="0.25">
      <c r="A249" s="7"/>
      <c r="E249" s="7"/>
      <c r="F249" s="7"/>
    </row>
    <row r="250" spans="1:6" ht="13.2" x14ac:dyDescent="0.25">
      <c r="A250" s="7"/>
      <c r="E250" s="7"/>
      <c r="F250" s="7"/>
    </row>
    <row r="251" spans="1:6" ht="13.2" x14ac:dyDescent="0.25">
      <c r="A251" s="7"/>
      <c r="E251" s="7"/>
      <c r="F251" s="7"/>
    </row>
    <row r="252" spans="1:6" ht="13.2" x14ac:dyDescent="0.25">
      <c r="A252" s="7"/>
      <c r="E252" s="7"/>
      <c r="F252" s="7"/>
    </row>
    <row r="253" spans="1:6" ht="13.2" x14ac:dyDescent="0.25">
      <c r="A253" s="7"/>
      <c r="E253" s="7"/>
      <c r="F253" s="7"/>
    </row>
    <row r="254" spans="1:6" ht="13.2" x14ac:dyDescent="0.25">
      <c r="A254" s="7"/>
      <c r="E254" s="7"/>
      <c r="F254" s="7"/>
    </row>
    <row r="255" spans="1:6" ht="13.2" x14ac:dyDescent="0.25">
      <c r="A255" s="7"/>
      <c r="E255" s="7"/>
      <c r="F255" s="7"/>
    </row>
    <row r="256" spans="1:6" ht="13.2" x14ac:dyDescent="0.25">
      <c r="A256" s="7"/>
      <c r="E256" s="7"/>
      <c r="F256" s="7"/>
    </row>
    <row r="257" spans="1:6" ht="13.2" x14ac:dyDescent="0.25">
      <c r="A257" s="7"/>
      <c r="E257" s="7"/>
      <c r="F257" s="7"/>
    </row>
    <row r="258" spans="1:6" ht="13.2" x14ac:dyDescent="0.25">
      <c r="A258" s="7"/>
      <c r="E258" s="7"/>
      <c r="F258" s="7"/>
    </row>
    <row r="259" spans="1:6" ht="13.2" x14ac:dyDescent="0.25">
      <c r="A259" s="7"/>
      <c r="E259" s="7"/>
      <c r="F259" s="7"/>
    </row>
    <row r="260" spans="1:6" ht="13.2" x14ac:dyDescent="0.25">
      <c r="A260" s="7"/>
      <c r="E260" s="7"/>
      <c r="F260" s="7"/>
    </row>
    <row r="261" spans="1:6" ht="13.2" x14ac:dyDescent="0.25">
      <c r="A261" s="7"/>
      <c r="E261" s="7"/>
      <c r="F261" s="7"/>
    </row>
    <row r="262" spans="1:6" ht="13.2" x14ac:dyDescent="0.25">
      <c r="A262" s="7"/>
      <c r="E262" s="7"/>
      <c r="F262" s="7"/>
    </row>
    <row r="263" spans="1:6" ht="13.2" x14ac:dyDescent="0.25">
      <c r="A263" s="7"/>
      <c r="E263" s="7"/>
      <c r="F263" s="7"/>
    </row>
    <row r="264" spans="1:6" ht="13.2" x14ac:dyDescent="0.25">
      <c r="A264" s="7"/>
      <c r="E264" s="7"/>
      <c r="F264" s="7"/>
    </row>
    <row r="265" spans="1:6" ht="13.2" x14ac:dyDescent="0.25">
      <c r="A265" s="7"/>
      <c r="E265" s="7"/>
      <c r="F265" s="7"/>
    </row>
    <row r="266" spans="1:6" ht="13.2" x14ac:dyDescent="0.25">
      <c r="A266" s="7"/>
      <c r="E266" s="7"/>
      <c r="F266" s="7"/>
    </row>
    <row r="267" spans="1:6" ht="13.2" x14ac:dyDescent="0.25">
      <c r="A267" s="7"/>
      <c r="E267" s="7"/>
      <c r="F267" s="7"/>
    </row>
    <row r="268" spans="1:6" ht="13.2" x14ac:dyDescent="0.25">
      <c r="A268" s="7"/>
      <c r="E268" s="7"/>
      <c r="F268" s="7"/>
    </row>
    <row r="269" spans="1:6" ht="13.2" x14ac:dyDescent="0.25">
      <c r="A269" s="7"/>
      <c r="E269" s="7"/>
      <c r="F269" s="7"/>
    </row>
    <row r="270" spans="1:6" ht="13.2" x14ac:dyDescent="0.25">
      <c r="A270" s="7"/>
      <c r="E270" s="7"/>
      <c r="F270" s="7"/>
    </row>
    <row r="271" spans="1:6" ht="13.2" x14ac:dyDescent="0.25">
      <c r="A271" s="7"/>
      <c r="E271" s="7"/>
      <c r="F271" s="7"/>
    </row>
    <row r="272" spans="1:6" ht="13.2" x14ac:dyDescent="0.25">
      <c r="A272" s="7"/>
      <c r="E272" s="7"/>
      <c r="F272" s="7"/>
    </row>
    <row r="273" spans="1:6" ht="13.2" x14ac:dyDescent="0.25">
      <c r="A273" s="7"/>
      <c r="E273" s="7"/>
      <c r="F273" s="7"/>
    </row>
    <row r="274" spans="1:6" ht="13.2" x14ac:dyDescent="0.25">
      <c r="A274" s="7"/>
      <c r="E274" s="7"/>
      <c r="F274" s="7"/>
    </row>
    <row r="275" spans="1:6" ht="13.2" x14ac:dyDescent="0.25">
      <c r="A275" s="7"/>
      <c r="E275" s="7"/>
      <c r="F275" s="7"/>
    </row>
    <row r="276" spans="1:6" ht="13.2" x14ac:dyDescent="0.25">
      <c r="A276" s="7"/>
      <c r="E276" s="7"/>
      <c r="F276" s="7"/>
    </row>
    <row r="277" spans="1:6" ht="13.2" x14ac:dyDescent="0.25">
      <c r="A277" s="7"/>
      <c r="E277" s="7"/>
      <c r="F277" s="7"/>
    </row>
    <row r="278" spans="1:6" ht="13.2" x14ac:dyDescent="0.25">
      <c r="A278" s="7"/>
      <c r="E278" s="7"/>
      <c r="F278" s="7"/>
    </row>
    <row r="279" spans="1:6" ht="13.2" x14ac:dyDescent="0.25">
      <c r="A279" s="7"/>
      <c r="E279" s="7"/>
      <c r="F279" s="7"/>
    </row>
    <row r="280" spans="1:6" ht="13.2" x14ac:dyDescent="0.25">
      <c r="A280" s="7"/>
      <c r="E280" s="7"/>
      <c r="F280" s="7"/>
    </row>
    <row r="281" spans="1:6" ht="13.2" x14ac:dyDescent="0.25">
      <c r="A281" s="7"/>
      <c r="E281" s="7"/>
      <c r="F281" s="7"/>
    </row>
    <row r="282" spans="1:6" ht="13.2" x14ac:dyDescent="0.25">
      <c r="A282" s="7"/>
      <c r="E282" s="7"/>
      <c r="F282" s="7"/>
    </row>
    <row r="283" spans="1:6" ht="13.2" x14ac:dyDescent="0.25">
      <c r="A283" s="7"/>
      <c r="E283" s="7"/>
      <c r="F283" s="7"/>
    </row>
    <row r="284" spans="1:6" ht="13.2" x14ac:dyDescent="0.25">
      <c r="A284" s="7"/>
      <c r="E284" s="7"/>
      <c r="F284" s="7"/>
    </row>
    <row r="285" spans="1:6" ht="13.2" x14ac:dyDescent="0.25">
      <c r="A285" s="7"/>
      <c r="E285" s="7"/>
      <c r="F285" s="7"/>
    </row>
    <row r="286" spans="1:6" ht="13.2" x14ac:dyDescent="0.25">
      <c r="A286" s="7"/>
      <c r="E286" s="7"/>
      <c r="F286" s="7"/>
    </row>
    <row r="287" spans="1:6" ht="13.2" x14ac:dyDescent="0.25">
      <c r="A287" s="7"/>
      <c r="E287" s="7"/>
      <c r="F287" s="7"/>
    </row>
    <row r="288" spans="1:6" ht="13.2" x14ac:dyDescent="0.25">
      <c r="A288" s="7"/>
      <c r="E288" s="7"/>
      <c r="F288" s="7"/>
    </row>
    <row r="289" spans="1:6" ht="13.2" x14ac:dyDescent="0.25">
      <c r="A289" s="7"/>
      <c r="E289" s="7"/>
      <c r="F289" s="7"/>
    </row>
    <row r="290" spans="1:6" ht="13.2" x14ac:dyDescent="0.25">
      <c r="A290" s="7"/>
      <c r="E290" s="7"/>
      <c r="F290" s="7"/>
    </row>
    <row r="291" spans="1:6" ht="13.2" x14ac:dyDescent="0.25">
      <c r="A291" s="7"/>
      <c r="E291" s="7"/>
      <c r="F291" s="7"/>
    </row>
    <row r="292" spans="1:6" ht="13.2" x14ac:dyDescent="0.25">
      <c r="A292" s="7"/>
      <c r="E292" s="7"/>
      <c r="F292" s="7"/>
    </row>
    <row r="293" spans="1:6" ht="13.2" x14ac:dyDescent="0.25">
      <c r="A293" s="7"/>
      <c r="E293" s="7"/>
      <c r="F293" s="7"/>
    </row>
    <row r="294" spans="1:6" ht="13.2" x14ac:dyDescent="0.25">
      <c r="A294" s="7"/>
      <c r="E294" s="7"/>
      <c r="F294" s="7"/>
    </row>
    <row r="295" spans="1:6" ht="13.2" x14ac:dyDescent="0.25">
      <c r="A295" s="7"/>
      <c r="E295" s="7"/>
      <c r="F295" s="7"/>
    </row>
    <row r="296" spans="1:6" ht="13.2" x14ac:dyDescent="0.25">
      <c r="A296" s="7"/>
      <c r="E296" s="7"/>
      <c r="F296" s="7"/>
    </row>
    <row r="297" spans="1:6" ht="13.2" x14ac:dyDescent="0.25">
      <c r="A297" s="7"/>
      <c r="E297" s="7"/>
      <c r="F297" s="7"/>
    </row>
    <row r="298" spans="1:6" ht="13.2" x14ac:dyDescent="0.25">
      <c r="A298" s="7"/>
      <c r="E298" s="7"/>
      <c r="F298" s="7"/>
    </row>
    <row r="299" spans="1:6" ht="13.2" x14ac:dyDescent="0.25">
      <c r="A299" s="7"/>
      <c r="E299" s="7"/>
      <c r="F299" s="7"/>
    </row>
    <row r="300" spans="1:6" ht="13.2" x14ac:dyDescent="0.25">
      <c r="A300" s="7"/>
      <c r="E300" s="7"/>
      <c r="F300" s="7"/>
    </row>
    <row r="301" spans="1:6" ht="13.2" x14ac:dyDescent="0.25">
      <c r="A301" s="7"/>
      <c r="E301" s="7"/>
      <c r="F301" s="7"/>
    </row>
    <row r="302" spans="1:6" ht="13.2" x14ac:dyDescent="0.25">
      <c r="A302" s="7"/>
      <c r="E302" s="7"/>
      <c r="F302" s="7"/>
    </row>
    <row r="303" spans="1:6" ht="13.2" x14ac:dyDescent="0.25">
      <c r="A303" s="7"/>
      <c r="E303" s="7"/>
      <c r="F303" s="7"/>
    </row>
    <row r="304" spans="1:6" ht="13.2" x14ac:dyDescent="0.25">
      <c r="A304" s="7"/>
      <c r="E304" s="7"/>
      <c r="F304" s="7"/>
    </row>
    <row r="305" spans="1:6" ht="13.2" x14ac:dyDescent="0.25">
      <c r="A305" s="7"/>
      <c r="E305" s="7"/>
      <c r="F305" s="7"/>
    </row>
    <row r="306" spans="1:6" ht="13.2" x14ac:dyDescent="0.25">
      <c r="A306" s="7"/>
      <c r="E306" s="7"/>
      <c r="F306" s="7"/>
    </row>
    <row r="307" spans="1:6" ht="13.2" x14ac:dyDescent="0.25">
      <c r="A307" s="7"/>
      <c r="E307" s="7"/>
      <c r="F307" s="7"/>
    </row>
    <row r="308" spans="1:6" ht="13.2" x14ac:dyDescent="0.25">
      <c r="A308" s="7"/>
      <c r="E308" s="7"/>
      <c r="F308" s="7"/>
    </row>
    <row r="309" spans="1:6" ht="13.2" x14ac:dyDescent="0.25">
      <c r="A309" s="7"/>
      <c r="E309" s="7"/>
      <c r="F309" s="7"/>
    </row>
    <row r="310" spans="1:6" ht="13.2" x14ac:dyDescent="0.25">
      <c r="A310" s="7"/>
      <c r="E310" s="7"/>
      <c r="F310" s="7"/>
    </row>
    <row r="311" spans="1:6" ht="13.2" x14ac:dyDescent="0.25">
      <c r="A311" s="7"/>
      <c r="E311" s="7"/>
      <c r="F311" s="7"/>
    </row>
    <row r="312" spans="1:6" ht="13.2" x14ac:dyDescent="0.25">
      <c r="A312" s="7"/>
      <c r="E312" s="7"/>
      <c r="F312" s="7"/>
    </row>
    <row r="313" spans="1:6" ht="13.2" x14ac:dyDescent="0.25">
      <c r="A313" s="7"/>
      <c r="E313" s="7"/>
      <c r="F313" s="7"/>
    </row>
    <row r="314" spans="1:6" ht="13.2" x14ac:dyDescent="0.25">
      <c r="A314" s="7"/>
      <c r="E314" s="7"/>
      <c r="F314" s="7"/>
    </row>
    <row r="315" spans="1:6" ht="13.2" x14ac:dyDescent="0.25">
      <c r="A315" s="7"/>
      <c r="E315" s="7"/>
      <c r="F315" s="7"/>
    </row>
    <row r="316" spans="1:6" ht="13.2" x14ac:dyDescent="0.25">
      <c r="A316" s="7"/>
      <c r="E316" s="7"/>
      <c r="F316" s="7"/>
    </row>
    <row r="317" spans="1:6" ht="13.2" x14ac:dyDescent="0.25">
      <c r="A317" s="7"/>
      <c r="E317" s="7"/>
      <c r="F317" s="7"/>
    </row>
    <row r="318" spans="1:6" ht="13.2" x14ac:dyDescent="0.25">
      <c r="A318" s="7"/>
      <c r="E318" s="7"/>
      <c r="F318" s="7"/>
    </row>
    <row r="319" spans="1:6" ht="13.2" x14ac:dyDescent="0.25">
      <c r="A319" s="7"/>
      <c r="E319" s="7"/>
      <c r="F319" s="7"/>
    </row>
    <row r="320" spans="1:6" ht="13.2" x14ac:dyDescent="0.25">
      <c r="A320" s="7"/>
      <c r="E320" s="7"/>
      <c r="F320" s="7"/>
    </row>
    <row r="321" spans="1:6" ht="13.2" x14ac:dyDescent="0.25">
      <c r="A321" s="7"/>
      <c r="E321" s="7"/>
      <c r="F321" s="7"/>
    </row>
    <row r="322" spans="1:6" ht="13.2" x14ac:dyDescent="0.25">
      <c r="A322" s="7"/>
      <c r="E322" s="7"/>
      <c r="F322" s="7"/>
    </row>
    <row r="323" spans="1:6" ht="13.2" x14ac:dyDescent="0.25">
      <c r="A323" s="7"/>
      <c r="E323" s="7"/>
      <c r="F323" s="7"/>
    </row>
    <row r="324" spans="1:6" ht="13.2" x14ac:dyDescent="0.25">
      <c r="A324" s="7"/>
      <c r="E324" s="7"/>
      <c r="F324" s="7"/>
    </row>
    <row r="325" spans="1:6" ht="13.2" x14ac:dyDescent="0.25">
      <c r="A325" s="7"/>
      <c r="E325" s="7"/>
      <c r="F325" s="7"/>
    </row>
    <row r="326" spans="1:6" ht="13.2" x14ac:dyDescent="0.25">
      <c r="A326" s="7"/>
      <c r="E326" s="7"/>
      <c r="F326" s="7"/>
    </row>
    <row r="327" spans="1:6" ht="13.2" x14ac:dyDescent="0.25">
      <c r="A327" s="7"/>
      <c r="E327" s="7"/>
      <c r="F327" s="7"/>
    </row>
    <row r="328" spans="1:6" ht="13.2" x14ac:dyDescent="0.25">
      <c r="A328" s="7"/>
      <c r="E328" s="7"/>
      <c r="F328" s="7"/>
    </row>
    <row r="329" spans="1:6" ht="13.2" x14ac:dyDescent="0.25">
      <c r="A329" s="7"/>
      <c r="E329" s="7"/>
      <c r="F329" s="7"/>
    </row>
    <row r="330" spans="1:6" ht="13.2" x14ac:dyDescent="0.25">
      <c r="A330" s="7"/>
      <c r="E330" s="7"/>
      <c r="F330" s="7"/>
    </row>
    <row r="331" spans="1:6" ht="13.2" x14ac:dyDescent="0.25">
      <c r="A331" s="7"/>
      <c r="E331" s="7"/>
      <c r="F331" s="7"/>
    </row>
    <row r="332" spans="1:6" ht="13.2" x14ac:dyDescent="0.25">
      <c r="A332" s="7"/>
      <c r="E332" s="7"/>
      <c r="F332" s="7"/>
    </row>
    <row r="333" spans="1:6" ht="13.2" x14ac:dyDescent="0.25">
      <c r="A333" s="7"/>
      <c r="E333" s="7"/>
      <c r="F333" s="7"/>
    </row>
    <row r="334" spans="1:6" ht="13.2" x14ac:dyDescent="0.25">
      <c r="A334" s="7"/>
      <c r="E334" s="7"/>
      <c r="F334" s="7"/>
    </row>
    <row r="335" spans="1:6" ht="13.2" x14ac:dyDescent="0.25">
      <c r="A335" s="7"/>
      <c r="E335" s="7"/>
      <c r="F335" s="7"/>
    </row>
    <row r="336" spans="1:6" ht="13.2" x14ac:dyDescent="0.25">
      <c r="A336" s="7"/>
      <c r="E336" s="7"/>
      <c r="F336" s="7"/>
    </row>
    <row r="337" spans="1:6" ht="13.2" x14ac:dyDescent="0.25">
      <c r="A337" s="7"/>
      <c r="E337" s="7"/>
      <c r="F337" s="7"/>
    </row>
    <row r="338" spans="1:6" ht="13.2" x14ac:dyDescent="0.25">
      <c r="A338" s="7"/>
      <c r="E338" s="7"/>
      <c r="F338" s="7"/>
    </row>
    <row r="339" spans="1:6" ht="13.2" x14ac:dyDescent="0.25">
      <c r="A339" s="7"/>
      <c r="E339" s="7"/>
      <c r="F339" s="7"/>
    </row>
    <row r="340" spans="1:6" ht="13.2" x14ac:dyDescent="0.25">
      <c r="A340" s="7"/>
      <c r="E340" s="7"/>
      <c r="F340" s="7"/>
    </row>
    <row r="341" spans="1:6" ht="13.2" x14ac:dyDescent="0.25">
      <c r="A341" s="7"/>
      <c r="E341" s="7"/>
      <c r="F341" s="7"/>
    </row>
    <row r="342" spans="1:6" ht="13.2" x14ac:dyDescent="0.25">
      <c r="A342" s="7"/>
      <c r="E342" s="7"/>
      <c r="F342" s="7"/>
    </row>
    <row r="343" spans="1:6" ht="13.2" x14ac:dyDescent="0.25">
      <c r="A343" s="7"/>
      <c r="E343" s="7"/>
      <c r="F343" s="7"/>
    </row>
    <row r="344" spans="1:6" ht="13.2" x14ac:dyDescent="0.25">
      <c r="A344" s="7"/>
      <c r="E344" s="7"/>
      <c r="F344" s="7"/>
    </row>
    <row r="345" spans="1:6" ht="13.2" x14ac:dyDescent="0.25">
      <c r="A345" s="7"/>
      <c r="E345" s="7"/>
      <c r="F345" s="7"/>
    </row>
    <row r="346" spans="1:6" ht="13.2" x14ac:dyDescent="0.25">
      <c r="A346" s="7"/>
      <c r="E346" s="7"/>
      <c r="F346" s="7"/>
    </row>
    <row r="347" spans="1:6" ht="13.2" x14ac:dyDescent="0.25">
      <c r="A347" s="7"/>
      <c r="E347" s="7"/>
      <c r="F347" s="7"/>
    </row>
    <row r="348" spans="1:6" ht="13.2" x14ac:dyDescent="0.25">
      <c r="A348" s="7"/>
      <c r="E348" s="7"/>
      <c r="F348" s="7"/>
    </row>
    <row r="349" spans="1:6" ht="13.2" x14ac:dyDescent="0.25">
      <c r="A349" s="7"/>
      <c r="E349" s="7"/>
      <c r="F349" s="7"/>
    </row>
    <row r="350" spans="1:6" ht="13.2" x14ac:dyDescent="0.25">
      <c r="A350" s="7"/>
      <c r="E350" s="7"/>
      <c r="F350" s="7"/>
    </row>
    <row r="351" spans="1:6" ht="13.2" x14ac:dyDescent="0.25">
      <c r="A351" s="7"/>
      <c r="E351" s="7"/>
      <c r="F351" s="7"/>
    </row>
    <row r="352" spans="1:6" ht="13.2" x14ac:dyDescent="0.25">
      <c r="A352" s="7"/>
      <c r="E352" s="7"/>
      <c r="F352" s="7"/>
    </row>
    <row r="353" spans="1:6" ht="13.2" x14ac:dyDescent="0.25">
      <c r="A353" s="7"/>
      <c r="E353" s="7"/>
      <c r="F353" s="7"/>
    </row>
    <row r="354" spans="1:6" ht="13.2" x14ac:dyDescent="0.25">
      <c r="A354" s="7"/>
      <c r="E354" s="7"/>
      <c r="F354" s="7"/>
    </row>
    <row r="355" spans="1:6" ht="13.2" x14ac:dyDescent="0.25">
      <c r="A355" s="7"/>
      <c r="E355" s="7"/>
      <c r="F355" s="7"/>
    </row>
    <row r="356" spans="1:6" ht="13.2" x14ac:dyDescent="0.25">
      <c r="A356" s="7"/>
      <c r="E356" s="7"/>
      <c r="F356" s="7"/>
    </row>
    <row r="357" spans="1:6" ht="13.2" x14ac:dyDescent="0.25">
      <c r="A357" s="7"/>
      <c r="E357" s="7"/>
      <c r="F357" s="7"/>
    </row>
    <row r="358" spans="1:6" ht="13.2" x14ac:dyDescent="0.25">
      <c r="A358" s="7"/>
      <c r="E358" s="7"/>
      <c r="F358" s="7"/>
    </row>
    <row r="359" spans="1:6" ht="13.2" x14ac:dyDescent="0.25">
      <c r="A359" s="7"/>
      <c r="E359" s="7"/>
      <c r="F359" s="7"/>
    </row>
    <row r="360" spans="1:6" ht="13.2" x14ac:dyDescent="0.25">
      <c r="A360" s="7"/>
      <c r="E360" s="7"/>
      <c r="F360" s="7"/>
    </row>
    <row r="361" spans="1:6" ht="13.2" x14ac:dyDescent="0.25">
      <c r="A361" s="7"/>
      <c r="E361" s="7"/>
      <c r="F361" s="7"/>
    </row>
    <row r="362" spans="1:6" ht="13.2" x14ac:dyDescent="0.25">
      <c r="A362" s="7"/>
      <c r="E362" s="7"/>
      <c r="F362" s="7"/>
    </row>
    <row r="363" spans="1:6" ht="13.2" x14ac:dyDescent="0.25">
      <c r="A363" s="7"/>
      <c r="E363" s="7"/>
      <c r="F363" s="7"/>
    </row>
    <row r="364" spans="1:6" ht="13.2" x14ac:dyDescent="0.25">
      <c r="A364" s="7"/>
      <c r="E364" s="7"/>
      <c r="F364" s="7"/>
    </row>
    <row r="365" spans="1:6" ht="13.2" x14ac:dyDescent="0.25">
      <c r="A365" s="7"/>
      <c r="E365" s="7"/>
      <c r="F365" s="7"/>
    </row>
    <row r="366" spans="1:6" ht="13.2" x14ac:dyDescent="0.25">
      <c r="A366" s="7"/>
      <c r="E366" s="7"/>
      <c r="F366" s="7"/>
    </row>
    <row r="367" spans="1:6" ht="13.2" x14ac:dyDescent="0.25">
      <c r="A367" s="7"/>
      <c r="E367" s="7"/>
      <c r="F367" s="7"/>
    </row>
    <row r="368" spans="1:6" ht="13.2" x14ac:dyDescent="0.25">
      <c r="A368" s="7"/>
      <c r="E368" s="7"/>
      <c r="F368" s="7"/>
    </row>
    <row r="369" spans="1:6" ht="13.2" x14ac:dyDescent="0.25">
      <c r="A369" s="7"/>
      <c r="E369" s="7"/>
      <c r="F369" s="7"/>
    </row>
    <row r="370" spans="1:6" ht="13.2" x14ac:dyDescent="0.25">
      <c r="A370" s="7"/>
      <c r="E370" s="7"/>
      <c r="F370" s="7"/>
    </row>
    <row r="371" spans="1:6" ht="13.2" x14ac:dyDescent="0.25">
      <c r="A371" s="7"/>
      <c r="E371" s="7"/>
      <c r="F371" s="7"/>
    </row>
    <row r="372" spans="1:6" ht="13.2" x14ac:dyDescent="0.25">
      <c r="A372" s="7"/>
      <c r="E372" s="7"/>
      <c r="F372" s="7"/>
    </row>
    <row r="373" spans="1:6" ht="13.2" x14ac:dyDescent="0.25">
      <c r="A373" s="7"/>
      <c r="E373" s="7"/>
      <c r="F373" s="7"/>
    </row>
    <row r="374" spans="1:6" ht="13.2" x14ac:dyDescent="0.25">
      <c r="A374" s="7"/>
      <c r="E374" s="7"/>
      <c r="F374" s="7"/>
    </row>
    <row r="375" spans="1:6" ht="13.2" x14ac:dyDescent="0.25">
      <c r="A375" s="7"/>
      <c r="E375" s="7"/>
      <c r="F375" s="7"/>
    </row>
    <row r="376" spans="1:6" ht="13.2" x14ac:dyDescent="0.25">
      <c r="A376" s="7"/>
      <c r="E376" s="7"/>
      <c r="F376" s="7"/>
    </row>
    <row r="377" spans="1:6" ht="13.2" x14ac:dyDescent="0.25">
      <c r="A377" s="7"/>
      <c r="E377" s="7"/>
      <c r="F377" s="7"/>
    </row>
    <row r="378" spans="1:6" ht="13.2" x14ac:dyDescent="0.25">
      <c r="A378" s="7"/>
      <c r="E378" s="7"/>
      <c r="F378" s="7"/>
    </row>
    <row r="379" spans="1:6" ht="13.2" x14ac:dyDescent="0.25">
      <c r="A379" s="7"/>
      <c r="E379" s="7"/>
      <c r="F379" s="7"/>
    </row>
    <row r="380" spans="1:6" ht="13.2" x14ac:dyDescent="0.25">
      <c r="A380" s="7"/>
      <c r="E380" s="7"/>
      <c r="F380" s="7"/>
    </row>
    <row r="381" spans="1:6" ht="13.2" x14ac:dyDescent="0.25">
      <c r="A381" s="7"/>
      <c r="E381" s="7"/>
      <c r="F381" s="7"/>
    </row>
    <row r="382" spans="1:6" ht="13.2" x14ac:dyDescent="0.25">
      <c r="A382" s="7"/>
      <c r="E382" s="7"/>
      <c r="F382" s="7"/>
    </row>
    <row r="383" spans="1:6" ht="13.2" x14ac:dyDescent="0.25">
      <c r="A383" s="7"/>
      <c r="E383" s="7"/>
      <c r="F383" s="7"/>
    </row>
    <row r="384" spans="1:6" ht="13.2" x14ac:dyDescent="0.25">
      <c r="A384" s="7"/>
      <c r="E384" s="7"/>
      <c r="F384" s="7"/>
    </row>
    <row r="385" spans="1:6" ht="13.2" x14ac:dyDescent="0.25">
      <c r="A385" s="7"/>
      <c r="E385" s="7"/>
      <c r="F385" s="7"/>
    </row>
    <row r="386" spans="1:6" ht="13.2" x14ac:dyDescent="0.25">
      <c r="A386" s="7"/>
      <c r="E386" s="7"/>
      <c r="F386" s="7"/>
    </row>
    <row r="387" spans="1:6" ht="13.2" x14ac:dyDescent="0.25">
      <c r="A387" s="7"/>
      <c r="E387" s="7"/>
      <c r="F387" s="7"/>
    </row>
    <row r="388" spans="1:6" ht="13.2" x14ac:dyDescent="0.25">
      <c r="A388" s="7"/>
      <c r="E388" s="7"/>
      <c r="F388" s="7"/>
    </row>
    <row r="389" spans="1:6" ht="13.2" x14ac:dyDescent="0.25">
      <c r="A389" s="7"/>
      <c r="E389" s="7"/>
      <c r="F389" s="7"/>
    </row>
    <row r="390" spans="1:6" ht="13.2" x14ac:dyDescent="0.25">
      <c r="A390" s="7"/>
      <c r="E390" s="7"/>
      <c r="F390" s="7"/>
    </row>
    <row r="391" spans="1:6" ht="13.2" x14ac:dyDescent="0.25">
      <c r="A391" s="7"/>
      <c r="E391" s="7"/>
      <c r="F391" s="7"/>
    </row>
    <row r="392" spans="1:6" ht="13.2" x14ac:dyDescent="0.25">
      <c r="A392" s="7"/>
      <c r="E392" s="7"/>
      <c r="F392" s="7"/>
    </row>
    <row r="393" spans="1:6" ht="13.2" x14ac:dyDescent="0.25">
      <c r="A393" s="7"/>
      <c r="E393" s="7"/>
      <c r="F393" s="7"/>
    </row>
    <row r="394" spans="1:6" ht="13.2" x14ac:dyDescent="0.25">
      <c r="A394" s="7"/>
      <c r="E394" s="7"/>
      <c r="F394" s="7"/>
    </row>
    <row r="395" spans="1:6" ht="13.2" x14ac:dyDescent="0.25">
      <c r="A395" s="7"/>
      <c r="E395" s="7"/>
      <c r="F395" s="7"/>
    </row>
    <row r="396" spans="1:6" ht="13.2" x14ac:dyDescent="0.25">
      <c r="A396" s="7"/>
      <c r="E396" s="7"/>
      <c r="F396" s="7"/>
    </row>
    <row r="397" spans="1:6" ht="13.2" x14ac:dyDescent="0.25">
      <c r="A397" s="7"/>
      <c r="E397" s="7"/>
      <c r="F397" s="7"/>
    </row>
    <row r="398" spans="1:6" ht="13.2" x14ac:dyDescent="0.25">
      <c r="A398" s="7"/>
      <c r="E398" s="7"/>
      <c r="F398" s="7"/>
    </row>
    <row r="399" spans="1:6" ht="13.2" x14ac:dyDescent="0.25">
      <c r="A399" s="7"/>
      <c r="E399" s="7"/>
      <c r="F399" s="7"/>
    </row>
    <row r="400" spans="1:6" ht="13.2" x14ac:dyDescent="0.25">
      <c r="A400" s="7"/>
      <c r="E400" s="7"/>
      <c r="F400" s="7"/>
    </row>
    <row r="401" spans="1:6" ht="13.2" x14ac:dyDescent="0.25">
      <c r="A401" s="7"/>
      <c r="E401" s="7"/>
      <c r="F401" s="7"/>
    </row>
    <row r="402" spans="1:6" ht="13.2" x14ac:dyDescent="0.25">
      <c r="A402" s="7"/>
      <c r="E402" s="7"/>
      <c r="F402" s="7"/>
    </row>
    <row r="403" spans="1:6" ht="13.2" x14ac:dyDescent="0.25">
      <c r="A403" s="7"/>
      <c r="E403" s="7"/>
      <c r="F403" s="7"/>
    </row>
    <row r="404" spans="1:6" ht="13.2" x14ac:dyDescent="0.25">
      <c r="A404" s="7"/>
      <c r="E404" s="7"/>
      <c r="F404" s="7"/>
    </row>
    <row r="405" spans="1:6" ht="13.2" x14ac:dyDescent="0.25">
      <c r="A405" s="7"/>
      <c r="E405" s="7"/>
      <c r="F405" s="7"/>
    </row>
    <row r="406" spans="1:6" ht="13.2" x14ac:dyDescent="0.25">
      <c r="A406" s="7"/>
      <c r="E406" s="7"/>
      <c r="F406" s="7"/>
    </row>
    <row r="407" spans="1:6" ht="13.2" x14ac:dyDescent="0.25">
      <c r="A407" s="7"/>
      <c r="E407" s="7"/>
      <c r="F407" s="7"/>
    </row>
    <row r="408" spans="1:6" ht="13.2" x14ac:dyDescent="0.25">
      <c r="A408" s="7"/>
      <c r="E408" s="7"/>
      <c r="F408" s="7"/>
    </row>
    <row r="409" spans="1:6" ht="13.2" x14ac:dyDescent="0.25">
      <c r="A409" s="7"/>
      <c r="E409" s="7"/>
      <c r="F409" s="7"/>
    </row>
    <row r="410" spans="1:6" ht="13.2" x14ac:dyDescent="0.25">
      <c r="A410" s="7"/>
      <c r="E410" s="7"/>
      <c r="F410" s="7"/>
    </row>
    <row r="411" spans="1:6" ht="13.2" x14ac:dyDescent="0.25">
      <c r="A411" s="7"/>
      <c r="E411" s="7"/>
      <c r="F411" s="7"/>
    </row>
    <row r="412" spans="1:6" ht="13.2" x14ac:dyDescent="0.25">
      <c r="A412" s="7"/>
      <c r="E412" s="7"/>
      <c r="F412" s="7"/>
    </row>
    <row r="413" spans="1:6" ht="13.2" x14ac:dyDescent="0.25">
      <c r="A413" s="7"/>
      <c r="E413" s="7"/>
      <c r="F413" s="7"/>
    </row>
    <row r="414" spans="1:6" ht="13.2" x14ac:dyDescent="0.25">
      <c r="A414" s="7"/>
      <c r="E414" s="7"/>
      <c r="F414" s="7"/>
    </row>
    <row r="415" spans="1:6" ht="13.2" x14ac:dyDescent="0.25">
      <c r="A415" s="7"/>
      <c r="E415" s="7"/>
      <c r="F415" s="7"/>
    </row>
    <row r="416" spans="1:6" ht="13.2" x14ac:dyDescent="0.25">
      <c r="A416" s="7"/>
      <c r="E416" s="7"/>
      <c r="F416" s="7"/>
    </row>
    <row r="417" spans="1:6" ht="13.2" x14ac:dyDescent="0.25">
      <c r="A417" s="7"/>
      <c r="E417" s="7"/>
      <c r="F417" s="7"/>
    </row>
    <row r="418" spans="1:6" ht="13.2" x14ac:dyDescent="0.25">
      <c r="A418" s="7"/>
      <c r="E418" s="7"/>
      <c r="F418" s="7"/>
    </row>
    <row r="419" spans="1:6" ht="13.2" x14ac:dyDescent="0.25">
      <c r="A419" s="7"/>
      <c r="E419" s="7"/>
      <c r="F419" s="7"/>
    </row>
    <row r="420" spans="1:6" ht="13.2" x14ac:dyDescent="0.25">
      <c r="A420" s="7"/>
      <c r="E420" s="7"/>
      <c r="F420" s="7"/>
    </row>
    <row r="421" spans="1:6" ht="13.2" x14ac:dyDescent="0.25">
      <c r="A421" s="7"/>
      <c r="E421" s="7"/>
      <c r="F421" s="7"/>
    </row>
    <row r="422" spans="1:6" ht="13.2" x14ac:dyDescent="0.25">
      <c r="A422" s="7"/>
      <c r="E422" s="7"/>
      <c r="F422" s="7"/>
    </row>
    <row r="423" spans="1:6" ht="13.2" x14ac:dyDescent="0.25">
      <c r="A423" s="7"/>
      <c r="E423" s="7"/>
      <c r="F423" s="7"/>
    </row>
    <row r="424" spans="1:6" ht="13.2" x14ac:dyDescent="0.25">
      <c r="A424" s="7"/>
      <c r="E424" s="7"/>
      <c r="F424" s="7"/>
    </row>
    <row r="425" spans="1:6" ht="13.2" x14ac:dyDescent="0.25">
      <c r="A425" s="7"/>
      <c r="E425" s="7"/>
      <c r="F425" s="7"/>
    </row>
    <row r="426" spans="1:6" ht="13.2" x14ac:dyDescent="0.25">
      <c r="A426" s="7"/>
      <c r="E426" s="7"/>
      <c r="F426" s="7"/>
    </row>
    <row r="427" spans="1:6" ht="13.2" x14ac:dyDescent="0.25">
      <c r="A427" s="7"/>
      <c r="E427" s="7"/>
      <c r="F427" s="7"/>
    </row>
    <row r="428" spans="1:6" ht="13.2" x14ac:dyDescent="0.25">
      <c r="A428" s="7"/>
      <c r="E428" s="7"/>
      <c r="F428" s="7"/>
    </row>
    <row r="429" spans="1:6" ht="13.2" x14ac:dyDescent="0.25">
      <c r="A429" s="7"/>
      <c r="E429" s="7"/>
      <c r="F429" s="7"/>
    </row>
    <row r="430" spans="1:6" ht="13.2" x14ac:dyDescent="0.25">
      <c r="A430" s="7"/>
      <c r="E430" s="7"/>
      <c r="F430" s="7"/>
    </row>
    <row r="431" spans="1:6" ht="13.2" x14ac:dyDescent="0.25">
      <c r="A431" s="7"/>
      <c r="E431" s="7"/>
      <c r="F431" s="7"/>
    </row>
    <row r="432" spans="1:6" ht="13.2" x14ac:dyDescent="0.25">
      <c r="A432" s="7"/>
      <c r="E432" s="7"/>
      <c r="F432" s="7"/>
    </row>
    <row r="433" spans="1:6" ht="13.2" x14ac:dyDescent="0.25">
      <c r="A433" s="7"/>
      <c r="E433" s="7"/>
      <c r="F433" s="7"/>
    </row>
    <row r="434" spans="1:6" ht="13.2" x14ac:dyDescent="0.25">
      <c r="A434" s="7"/>
      <c r="E434" s="7"/>
      <c r="F434" s="7"/>
    </row>
    <row r="435" spans="1:6" ht="13.2" x14ac:dyDescent="0.25">
      <c r="A435" s="7"/>
      <c r="E435" s="7"/>
      <c r="F435" s="7"/>
    </row>
    <row r="436" spans="1:6" ht="13.2" x14ac:dyDescent="0.25">
      <c r="A436" s="7"/>
      <c r="E436" s="7"/>
      <c r="F436" s="7"/>
    </row>
    <row r="437" spans="1:6" ht="13.2" x14ac:dyDescent="0.25">
      <c r="A437" s="7"/>
      <c r="E437" s="7"/>
      <c r="F437" s="7"/>
    </row>
    <row r="438" spans="1:6" ht="13.2" x14ac:dyDescent="0.25">
      <c r="A438" s="7"/>
      <c r="E438" s="7"/>
      <c r="F438" s="7"/>
    </row>
    <row r="439" spans="1:6" ht="13.2" x14ac:dyDescent="0.25">
      <c r="A439" s="7"/>
      <c r="E439" s="7"/>
      <c r="F439" s="7"/>
    </row>
    <row r="440" spans="1:6" ht="13.2" x14ac:dyDescent="0.25">
      <c r="A440" s="7"/>
      <c r="E440" s="7"/>
      <c r="F440" s="7"/>
    </row>
    <row r="441" spans="1:6" ht="13.2" x14ac:dyDescent="0.25">
      <c r="A441" s="7"/>
      <c r="E441" s="7"/>
      <c r="F441" s="7"/>
    </row>
    <row r="442" spans="1:6" ht="13.2" x14ac:dyDescent="0.25">
      <c r="A442" s="7"/>
      <c r="E442" s="7"/>
      <c r="F442" s="7"/>
    </row>
    <row r="443" spans="1:6" ht="13.2" x14ac:dyDescent="0.25">
      <c r="A443" s="7"/>
      <c r="E443" s="7"/>
      <c r="F443" s="7"/>
    </row>
    <row r="444" spans="1:6" ht="13.2" x14ac:dyDescent="0.25">
      <c r="A444" s="7"/>
      <c r="E444" s="7"/>
      <c r="F444" s="7"/>
    </row>
    <row r="445" spans="1:6" ht="13.2" x14ac:dyDescent="0.25">
      <c r="A445" s="7"/>
      <c r="E445" s="7"/>
      <c r="F445" s="7"/>
    </row>
    <row r="446" spans="1:6" ht="13.2" x14ac:dyDescent="0.25">
      <c r="A446" s="7"/>
      <c r="E446" s="7"/>
      <c r="F446" s="7"/>
    </row>
    <row r="447" spans="1:6" ht="13.2" x14ac:dyDescent="0.25">
      <c r="A447" s="7"/>
      <c r="E447" s="7"/>
      <c r="F447" s="7"/>
    </row>
    <row r="448" spans="1:6" ht="13.2" x14ac:dyDescent="0.25">
      <c r="A448" s="7"/>
      <c r="E448" s="7"/>
      <c r="F448" s="7"/>
    </row>
    <row r="449" spans="1:6" ht="13.2" x14ac:dyDescent="0.25">
      <c r="A449" s="7"/>
      <c r="E449" s="7"/>
      <c r="F449" s="7"/>
    </row>
    <row r="450" spans="1:6" ht="13.2" x14ac:dyDescent="0.25">
      <c r="A450" s="7"/>
      <c r="E450" s="7"/>
      <c r="F450" s="7"/>
    </row>
    <row r="451" spans="1:6" ht="13.2" x14ac:dyDescent="0.25">
      <c r="A451" s="7"/>
      <c r="E451" s="7"/>
      <c r="F451" s="7"/>
    </row>
    <row r="452" spans="1:6" ht="13.2" x14ac:dyDescent="0.25">
      <c r="A452" s="7"/>
      <c r="E452" s="7"/>
      <c r="F452" s="7"/>
    </row>
    <row r="453" spans="1:6" ht="13.2" x14ac:dyDescent="0.25">
      <c r="A453" s="7"/>
      <c r="E453" s="7"/>
      <c r="F453" s="7"/>
    </row>
    <row r="454" spans="1:6" ht="13.2" x14ac:dyDescent="0.25">
      <c r="A454" s="7"/>
      <c r="E454" s="7"/>
      <c r="F454" s="7"/>
    </row>
    <row r="455" spans="1:6" ht="13.2" x14ac:dyDescent="0.25">
      <c r="A455" s="7"/>
      <c r="E455" s="7"/>
      <c r="F455" s="7"/>
    </row>
    <row r="456" spans="1:6" ht="13.2" x14ac:dyDescent="0.25">
      <c r="A456" s="7"/>
      <c r="E456" s="7"/>
      <c r="F456" s="7"/>
    </row>
    <row r="457" spans="1:6" ht="13.2" x14ac:dyDescent="0.25">
      <c r="A457" s="7"/>
      <c r="E457" s="7"/>
      <c r="F457" s="7"/>
    </row>
    <row r="458" spans="1:6" ht="13.2" x14ac:dyDescent="0.25">
      <c r="A458" s="7"/>
      <c r="E458" s="7"/>
      <c r="F458" s="7"/>
    </row>
    <row r="459" spans="1:6" ht="13.2" x14ac:dyDescent="0.25">
      <c r="A459" s="7"/>
      <c r="E459" s="7"/>
      <c r="F459" s="7"/>
    </row>
    <row r="460" spans="1:6" ht="13.2" x14ac:dyDescent="0.25">
      <c r="A460" s="7"/>
      <c r="E460" s="7"/>
      <c r="F460" s="7"/>
    </row>
    <row r="461" spans="1:6" ht="13.2" x14ac:dyDescent="0.25">
      <c r="A461" s="7"/>
      <c r="E461" s="7"/>
      <c r="F461" s="7"/>
    </row>
    <row r="462" spans="1:6" ht="13.2" x14ac:dyDescent="0.25">
      <c r="A462" s="7"/>
      <c r="E462" s="7"/>
      <c r="F462" s="7"/>
    </row>
    <row r="463" spans="1:6" ht="13.2" x14ac:dyDescent="0.25">
      <c r="A463" s="7"/>
      <c r="E463" s="7"/>
      <c r="F463" s="7"/>
    </row>
    <row r="464" spans="1:6" ht="13.2" x14ac:dyDescent="0.25">
      <c r="A464" s="7"/>
      <c r="E464" s="7"/>
      <c r="F464" s="7"/>
    </row>
    <row r="465" spans="1:6" ht="13.2" x14ac:dyDescent="0.25">
      <c r="A465" s="7"/>
      <c r="E465" s="7"/>
      <c r="F465" s="7"/>
    </row>
    <row r="466" spans="1:6" ht="13.2" x14ac:dyDescent="0.25">
      <c r="A466" s="7"/>
      <c r="E466" s="7"/>
      <c r="F466" s="7"/>
    </row>
    <row r="467" spans="1:6" ht="13.2" x14ac:dyDescent="0.25">
      <c r="A467" s="7"/>
      <c r="E467" s="7"/>
      <c r="F467" s="7"/>
    </row>
    <row r="468" spans="1:6" ht="13.2" x14ac:dyDescent="0.25">
      <c r="A468" s="7"/>
      <c r="E468" s="7"/>
      <c r="F468" s="7"/>
    </row>
    <row r="469" spans="1:6" ht="13.2" x14ac:dyDescent="0.25">
      <c r="A469" s="7"/>
      <c r="E469" s="7"/>
      <c r="F469" s="7"/>
    </row>
    <row r="470" spans="1:6" ht="13.2" x14ac:dyDescent="0.25">
      <c r="A470" s="7"/>
      <c r="E470" s="7"/>
      <c r="F470" s="7"/>
    </row>
    <row r="471" spans="1:6" ht="13.2" x14ac:dyDescent="0.25">
      <c r="A471" s="7"/>
      <c r="E471" s="7"/>
      <c r="F471" s="7"/>
    </row>
    <row r="472" spans="1:6" ht="13.2" x14ac:dyDescent="0.25">
      <c r="A472" s="7"/>
      <c r="E472" s="7"/>
      <c r="F472" s="7"/>
    </row>
    <row r="473" spans="1:6" ht="13.2" x14ac:dyDescent="0.25">
      <c r="A473" s="7"/>
      <c r="E473" s="7"/>
      <c r="F473" s="7"/>
    </row>
    <row r="474" spans="1:6" ht="13.2" x14ac:dyDescent="0.25">
      <c r="A474" s="7"/>
      <c r="E474" s="7"/>
      <c r="F474" s="7"/>
    </row>
    <row r="475" spans="1:6" ht="13.2" x14ac:dyDescent="0.25">
      <c r="A475" s="7"/>
      <c r="E475" s="7"/>
      <c r="F475" s="7"/>
    </row>
    <row r="476" spans="1:6" ht="13.2" x14ac:dyDescent="0.25">
      <c r="A476" s="7"/>
      <c r="E476" s="7"/>
      <c r="F476" s="7"/>
    </row>
    <row r="477" spans="1:6" ht="13.2" x14ac:dyDescent="0.25">
      <c r="A477" s="7"/>
      <c r="E477" s="7"/>
      <c r="F477" s="7"/>
    </row>
    <row r="478" spans="1:6" ht="13.2" x14ac:dyDescent="0.25">
      <c r="A478" s="7"/>
      <c r="E478" s="7"/>
      <c r="F478" s="7"/>
    </row>
    <row r="479" spans="1:6" ht="13.2" x14ac:dyDescent="0.25">
      <c r="A479" s="7"/>
      <c r="E479" s="7"/>
      <c r="F479" s="7"/>
    </row>
    <row r="480" spans="1:6" ht="13.2" x14ac:dyDescent="0.25">
      <c r="A480" s="7"/>
      <c r="E480" s="7"/>
      <c r="F480" s="7"/>
    </row>
    <row r="481" spans="1:6" ht="13.2" x14ac:dyDescent="0.25">
      <c r="A481" s="7"/>
      <c r="E481" s="7"/>
      <c r="F481" s="7"/>
    </row>
    <row r="482" spans="1:6" ht="13.2" x14ac:dyDescent="0.25">
      <c r="A482" s="7"/>
      <c r="E482" s="7"/>
      <c r="F482" s="7"/>
    </row>
    <row r="483" spans="1:6" ht="13.2" x14ac:dyDescent="0.25">
      <c r="A483" s="7"/>
      <c r="E483" s="7"/>
      <c r="F483" s="7"/>
    </row>
    <row r="484" spans="1:6" ht="13.2" x14ac:dyDescent="0.25">
      <c r="A484" s="7"/>
      <c r="E484" s="7"/>
      <c r="F484" s="7"/>
    </row>
    <row r="485" spans="1:6" ht="13.2" x14ac:dyDescent="0.25">
      <c r="A485" s="7"/>
      <c r="E485" s="7"/>
      <c r="F485" s="7"/>
    </row>
    <row r="486" spans="1:6" ht="13.2" x14ac:dyDescent="0.25">
      <c r="A486" s="7"/>
      <c r="E486" s="7"/>
      <c r="F486" s="7"/>
    </row>
    <row r="487" spans="1:6" ht="13.2" x14ac:dyDescent="0.25">
      <c r="A487" s="7"/>
      <c r="E487" s="7"/>
      <c r="F487" s="7"/>
    </row>
    <row r="488" spans="1:6" ht="13.2" x14ac:dyDescent="0.25">
      <c r="A488" s="7"/>
      <c r="E488" s="7"/>
      <c r="F488" s="7"/>
    </row>
    <row r="489" spans="1:6" ht="13.2" x14ac:dyDescent="0.25">
      <c r="A489" s="7"/>
      <c r="E489" s="7"/>
      <c r="F489" s="7"/>
    </row>
    <row r="490" spans="1:6" ht="13.2" x14ac:dyDescent="0.25">
      <c r="A490" s="7"/>
      <c r="E490" s="7"/>
      <c r="F490" s="7"/>
    </row>
    <row r="491" spans="1:6" ht="13.2" x14ac:dyDescent="0.25">
      <c r="A491" s="7"/>
      <c r="E491" s="7"/>
      <c r="F491" s="7"/>
    </row>
    <row r="492" spans="1:6" ht="13.2" x14ac:dyDescent="0.25">
      <c r="A492" s="7"/>
      <c r="E492" s="7"/>
      <c r="F492" s="7"/>
    </row>
    <row r="493" spans="1:6" ht="13.2" x14ac:dyDescent="0.25">
      <c r="A493" s="7"/>
      <c r="E493" s="7"/>
      <c r="F493" s="7"/>
    </row>
    <row r="494" spans="1:6" ht="13.2" x14ac:dyDescent="0.25">
      <c r="A494" s="7"/>
      <c r="E494" s="7"/>
      <c r="F494" s="7"/>
    </row>
    <row r="495" spans="1:6" ht="13.2" x14ac:dyDescent="0.25">
      <c r="A495" s="7"/>
      <c r="E495" s="7"/>
      <c r="F495" s="7"/>
    </row>
    <row r="496" spans="1:6" ht="13.2" x14ac:dyDescent="0.25">
      <c r="A496" s="7"/>
      <c r="E496" s="7"/>
      <c r="F496" s="7"/>
    </row>
    <row r="497" spans="1:6" ht="13.2" x14ac:dyDescent="0.25">
      <c r="A497" s="7"/>
      <c r="E497" s="7"/>
      <c r="F497" s="7"/>
    </row>
    <row r="498" spans="1:6" ht="13.2" x14ac:dyDescent="0.25">
      <c r="A498" s="7"/>
      <c r="E498" s="7"/>
      <c r="F498" s="7"/>
    </row>
    <row r="499" spans="1:6" ht="13.2" x14ac:dyDescent="0.25">
      <c r="A499" s="7"/>
      <c r="E499" s="7"/>
      <c r="F499" s="7"/>
    </row>
    <row r="500" spans="1:6" ht="13.2" x14ac:dyDescent="0.25">
      <c r="A500" s="7"/>
      <c r="E500" s="7"/>
      <c r="F500" s="7"/>
    </row>
    <row r="501" spans="1:6" ht="13.2" x14ac:dyDescent="0.25">
      <c r="A501" s="7"/>
      <c r="E501" s="7"/>
      <c r="F501" s="7"/>
    </row>
    <row r="502" spans="1:6" ht="13.2" x14ac:dyDescent="0.25">
      <c r="A502" s="7"/>
      <c r="E502" s="7"/>
      <c r="F502" s="7"/>
    </row>
    <row r="503" spans="1:6" ht="13.2" x14ac:dyDescent="0.25">
      <c r="A503" s="7"/>
      <c r="E503" s="7"/>
      <c r="F503" s="7"/>
    </row>
    <row r="504" spans="1:6" ht="13.2" x14ac:dyDescent="0.25">
      <c r="A504" s="7"/>
      <c r="E504" s="7"/>
      <c r="F504" s="7"/>
    </row>
    <row r="505" spans="1:6" ht="13.2" x14ac:dyDescent="0.25">
      <c r="A505" s="7"/>
      <c r="E505" s="7"/>
      <c r="F505" s="7"/>
    </row>
    <row r="506" spans="1:6" ht="13.2" x14ac:dyDescent="0.25">
      <c r="A506" s="7"/>
      <c r="E506" s="7"/>
      <c r="F506" s="7"/>
    </row>
    <row r="507" spans="1:6" ht="13.2" x14ac:dyDescent="0.25">
      <c r="A507" s="7"/>
      <c r="E507" s="7"/>
      <c r="F507" s="7"/>
    </row>
    <row r="508" spans="1:6" ht="13.2" x14ac:dyDescent="0.25">
      <c r="A508" s="7"/>
      <c r="E508" s="7"/>
      <c r="F508" s="7"/>
    </row>
    <row r="509" spans="1:6" ht="13.2" x14ac:dyDescent="0.25">
      <c r="A509" s="7"/>
      <c r="E509" s="7"/>
      <c r="F509" s="7"/>
    </row>
    <row r="510" spans="1:6" ht="13.2" x14ac:dyDescent="0.25">
      <c r="A510" s="7"/>
      <c r="E510" s="7"/>
      <c r="F510" s="7"/>
    </row>
    <row r="511" spans="1:6" ht="13.2" x14ac:dyDescent="0.25">
      <c r="A511" s="7"/>
      <c r="E511" s="7"/>
      <c r="F511" s="7"/>
    </row>
    <row r="512" spans="1:6" ht="13.2" x14ac:dyDescent="0.25">
      <c r="A512" s="7"/>
      <c r="E512" s="7"/>
      <c r="F512" s="7"/>
    </row>
    <row r="513" spans="1:6" ht="13.2" x14ac:dyDescent="0.25">
      <c r="A513" s="7"/>
      <c r="E513" s="7"/>
      <c r="F513" s="7"/>
    </row>
    <row r="514" spans="1:6" ht="13.2" x14ac:dyDescent="0.25">
      <c r="A514" s="7"/>
      <c r="E514" s="7"/>
      <c r="F514" s="7"/>
    </row>
    <row r="515" spans="1:6" ht="13.2" x14ac:dyDescent="0.25">
      <c r="A515" s="7"/>
      <c r="E515" s="7"/>
      <c r="F515" s="7"/>
    </row>
    <row r="516" spans="1:6" ht="13.2" x14ac:dyDescent="0.25">
      <c r="A516" s="7"/>
      <c r="E516" s="7"/>
      <c r="F516" s="7"/>
    </row>
    <row r="517" spans="1:6" ht="13.2" x14ac:dyDescent="0.25">
      <c r="A517" s="7"/>
      <c r="E517" s="7"/>
      <c r="F517" s="7"/>
    </row>
    <row r="518" spans="1:6" ht="13.2" x14ac:dyDescent="0.25">
      <c r="A518" s="7"/>
      <c r="E518" s="7"/>
      <c r="F518" s="7"/>
    </row>
    <row r="519" spans="1:6" ht="13.2" x14ac:dyDescent="0.25">
      <c r="A519" s="7"/>
      <c r="E519" s="7"/>
      <c r="F519" s="7"/>
    </row>
    <row r="520" spans="1:6" ht="13.2" x14ac:dyDescent="0.25">
      <c r="A520" s="7"/>
      <c r="E520" s="7"/>
      <c r="F520" s="7"/>
    </row>
    <row r="521" spans="1:6" ht="13.2" x14ac:dyDescent="0.25">
      <c r="A521" s="7"/>
      <c r="E521" s="7"/>
      <c r="F521" s="7"/>
    </row>
    <row r="522" spans="1:6" ht="13.2" x14ac:dyDescent="0.25">
      <c r="A522" s="7"/>
      <c r="E522" s="7"/>
      <c r="F522" s="7"/>
    </row>
    <row r="523" spans="1:6" ht="13.2" x14ac:dyDescent="0.25">
      <c r="A523" s="7"/>
      <c r="E523" s="7"/>
      <c r="F523" s="7"/>
    </row>
    <row r="524" spans="1:6" ht="13.2" x14ac:dyDescent="0.25">
      <c r="A524" s="7"/>
      <c r="E524" s="7"/>
      <c r="F524" s="7"/>
    </row>
    <row r="525" spans="1:6" ht="13.2" x14ac:dyDescent="0.25">
      <c r="A525" s="7"/>
      <c r="E525" s="7"/>
      <c r="F525" s="7"/>
    </row>
    <row r="526" spans="1:6" ht="13.2" x14ac:dyDescent="0.25">
      <c r="A526" s="7"/>
      <c r="E526" s="7"/>
      <c r="F526" s="7"/>
    </row>
    <row r="527" spans="1:6" ht="13.2" x14ac:dyDescent="0.25">
      <c r="A527" s="7"/>
      <c r="E527" s="7"/>
      <c r="F527" s="7"/>
    </row>
    <row r="528" spans="1:6" ht="13.2" x14ac:dyDescent="0.25">
      <c r="A528" s="7"/>
      <c r="E528" s="7"/>
      <c r="F528" s="7"/>
    </row>
    <row r="529" spans="1:6" ht="13.2" x14ac:dyDescent="0.25">
      <c r="A529" s="7"/>
      <c r="E529" s="7"/>
      <c r="F529" s="7"/>
    </row>
    <row r="530" spans="1:6" ht="13.2" x14ac:dyDescent="0.25">
      <c r="A530" s="7"/>
      <c r="E530" s="7"/>
      <c r="F530" s="7"/>
    </row>
    <row r="531" spans="1:6" ht="13.2" x14ac:dyDescent="0.25">
      <c r="A531" s="7"/>
      <c r="E531" s="7"/>
      <c r="F531" s="7"/>
    </row>
    <row r="532" spans="1:6" ht="13.2" x14ac:dyDescent="0.25">
      <c r="A532" s="7"/>
      <c r="E532" s="7"/>
      <c r="F532" s="7"/>
    </row>
    <row r="533" spans="1:6" ht="13.2" x14ac:dyDescent="0.25">
      <c r="A533" s="7"/>
      <c r="E533" s="7"/>
      <c r="F533" s="7"/>
    </row>
    <row r="534" spans="1:6" ht="13.2" x14ac:dyDescent="0.25">
      <c r="A534" s="7"/>
      <c r="E534" s="7"/>
      <c r="F534" s="7"/>
    </row>
    <row r="535" spans="1:6" ht="13.2" x14ac:dyDescent="0.25">
      <c r="A535" s="7"/>
      <c r="E535" s="7"/>
      <c r="F535" s="7"/>
    </row>
    <row r="536" spans="1:6" ht="13.2" x14ac:dyDescent="0.25">
      <c r="A536" s="7"/>
      <c r="E536" s="7"/>
      <c r="F536" s="7"/>
    </row>
    <row r="537" spans="1:6" ht="13.2" x14ac:dyDescent="0.25">
      <c r="A537" s="7"/>
      <c r="E537" s="7"/>
      <c r="F537" s="7"/>
    </row>
    <row r="538" spans="1:6" ht="13.2" x14ac:dyDescent="0.25">
      <c r="A538" s="7"/>
      <c r="E538" s="7"/>
      <c r="F538" s="7"/>
    </row>
    <row r="539" spans="1:6" ht="13.2" x14ac:dyDescent="0.25">
      <c r="A539" s="7"/>
      <c r="E539" s="7"/>
      <c r="F539" s="7"/>
    </row>
    <row r="540" spans="1:6" ht="13.2" x14ac:dyDescent="0.25">
      <c r="A540" s="7"/>
      <c r="E540" s="7"/>
      <c r="F540" s="7"/>
    </row>
    <row r="541" spans="1:6" ht="13.2" x14ac:dyDescent="0.25">
      <c r="A541" s="7"/>
      <c r="E541" s="7"/>
      <c r="F541" s="7"/>
    </row>
    <row r="542" spans="1:6" ht="13.2" x14ac:dyDescent="0.25">
      <c r="A542" s="7"/>
      <c r="E542" s="7"/>
      <c r="F542" s="7"/>
    </row>
    <row r="543" spans="1:6" ht="13.2" x14ac:dyDescent="0.25">
      <c r="A543" s="7"/>
      <c r="E543" s="7"/>
      <c r="F543" s="7"/>
    </row>
    <row r="544" spans="1:6" ht="13.2" x14ac:dyDescent="0.25">
      <c r="A544" s="7"/>
      <c r="E544" s="7"/>
      <c r="F544" s="7"/>
    </row>
    <row r="545" spans="1:6" ht="13.2" x14ac:dyDescent="0.25">
      <c r="A545" s="7"/>
      <c r="E545" s="7"/>
      <c r="F545" s="7"/>
    </row>
    <row r="546" spans="1:6" ht="13.2" x14ac:dyDescent="0.25">
      <c r="A546" s="7"/>
      <c r="E546" s="7"/>
      <c r="F546" s="7"/>
    </row>
    <row r="547" spans="1:6" ht="13.2" x14ac:dyDescent="0.25">
      <c r="A547" s="7"/>
      <c r="E547" s="7"/>
      <c r="F547" s="7"/>
    </row>
    <row r="548" spans="1:6" ht="13.2" x14ac:dyDescent="0.25">
      <c r="A548" s="7"/>
      <c r="E548" s="7"/>
      <c r="F548" s="7"/>
    </row>
    <row r="549" spans="1:6" ht="13.2" x14ac:dyDescent="0.25">
      <c r="A549" s="7"/>
      <c r="E549" s="7"/>
      <c r="F549" s="7"/>
    </row>
    <row r="550" spans="1:6" ht="13.2" x14ac:dyDescent="0.25">
      <c r="A550" s="7"/>
      <c r="E550" s="7"/>
      <c r="F550" s="7"/>
    </row>
    <row r="551" spans="1:6" ht="13.2" x14ac:dyDescent="0.25">
      <c r="A551" s="7"/>
      <c r="E551" s="7"/>
      <c r="F551" s="7"/>
    </row>
    <row r="552" spans="1:6" ht="13.2" x14ac:dyDescent="0.25">
      <c r="A552" s="7"/>
      <c r="E552" s="7"/>
      <c r="F552" s="7"/>
    </row>
    <row r="553" spans="1:6" ht="13.2" x14ac:dyDescent="0.25">
      <c r="A553" s="7"/>
      <c r="E553" s="7"/>
      <c r="F553" s="7"/>
    </row>
    <row r="554" spans="1:6" ht="13.2" x14ac:dyDescent="0.25">
      <c r="A554" s="7"/>
      <c r="E554" s="7"/>
      <c r="F554" s="7"/>
    </row>
    <row r="555" spans="1:6" ht="13.2" x14ac:dyDescent="0.25">
      <c r="A555" s="7"/>
      <c r="E555" s="7"/>
      <c r="F555" s="7"/>
    </row>
    <row r="556" spans="1:6" ht="13.2" x14ac:dyDescent="0.25">
      <c r="A556" s="7"/>
      <c r="E556" s="7"/>
      <c r="F556" s="7"/>
    </row>
    <row r="557" spans="1:6" ht="13.2" x14ac:dyDescent="0.25">
      <c r="A557" s="7"/>
      <c r="E557" s="7"/>
      <c r="F557" s="7"/>
    </row>
    <row r="558" spans="1:6" ht="13.2" x14ac:dyDescent="0.25">
      <c r="A558" s="7"/>
      <c r="E558" s="7"/>
      <c r="F558" s="7"/>
    </row>
    <row r="559" spans="1:6" ht="13.2" x14ac:dyDescent="0.25">
      <c r="A559" s="7"/>
      <c r="E559" s="7"/>
      <c r="F559" s="7"/>
    </row>
    <row r="560" spans="1:6" ht="13.2" x14ac:dyDescent="0.25">
      <c r="A560" s="7"/>
      <c r="E560" s="7"/>
      <c r="F560" s="7"/>
    </row>
    <row r="561" spans="1:6" ht="13.2" x14ac:dyDescent="0.25">
      <c r="A561" s="7"/>
      <c r="E561" s="7"/>
      <c r="F561" s="7"/>
    </row>
    <row r="562" spans="1:6" ht="13.2" x14ac:dyDescent="0.25">
      <c r="A562" s="7"/>
      <c r="E562" s="7"/>
      <c r="F562" s="7"/>
    </row>
    <row r="563" spans="1:6" ht="13.2" x14ac:dyDescent="0.25">
      <c r="A563" s="7"/>
      <c r="E563" s="7"/>
      <c r="F563" s="7"/>
    </row>
    <row r="564" spans="1:6" ht="13.2" x14ac:dyDescent="0.25">
      <c r="A564" s="7"/>
      <c r="E564" s="7"/>
      <c r="F564" s="7"/>
    </row>
    <row r="565" spans="1:6" ht="13.2" x14ac:dyDescent="0.25">
      <c r="A565" s="7"/>
      <c r="E565" s="7"/>
      <c r="F565" s="7"/>
    </row>
    <row r="566" spans="1:6" ht="13.2" x14ac:dyDescent="0.25">
      <c r="A566" s="7"/>
      <c r="E566" s="7"/>
      <c r="F566" s="7"/>
    </row>
    <row r="567" spans="1:6" ht="13.2" x14ac:dyDescent="0.25">
      <c r="A567" s="7"/>
      <c r="E567" s="7"/>
      <c r="F567" s="7"/>
    </row>
    <row r="568" spans="1:6" ht="13.2" x14ac:dyDescent="0.25">
      <c r="A568" s="7"/>
      <c r="E568" s="7"/>
      <c r="F568" s="7"/>
    </row>
    <row r="569" spans="1:6" ht="13.2" x14ac:dyDescent="0.25">
      <c r="A569" s="7"/>
      <c r="E569" s="7"/>
      <c r="F569" s="7"/>
    </row>
    <row r="570" spans="1:6" ht="13.2" x14ac:dyDescent="0.25">
      <c r="A570" s="7"/>
      <c r="E570" s="7"/>
      <c r="F570" s="7"/>
    </row>
    <row r="571" spans="1:6" ht="13.2" x14ac:dyDescent="0.25">
      <c r="A571" s="7"/>
      <c r="E571" s="7"/>
      <c r="F571" s="7"/>
    </row>
    <row r="572" spans="1:6" ht="13.2" x14ac:dyDescent="0.25">
      <c r="A572" s="7"/>
      <c r="E572" s="7"/>
      <c r="F572" s="7"/>
    </row>
    <row r="573" spans="1:6" ht="13.2" x14ac:dyDescent="0.25">
      <c r="A573" s="7"/>
      <c r="E573" s="7"/>
      <c r="F573" s="7"/>
    </row>
    <row r="574" spans="1:6" ht="13.2" x14ac:dyDescent="0.25">
      <c r="A574" s="7"/>
      <c r="E574" s="7"/>
      <c r="F574" s="7"/>
    </row>
    <row r="575" spans="1:6" ht="13.2" x14ac:dyDescent="0.25">
      <c r="A575" s="7"/>
      <c r="E575" s="7"/>
      <c r="F575" s="7"/>
    </row>
    <row r="576" spans="1:6" ht="13.2" x14ac:dyDescent="0.25">
      <c r="A576" s="7"/>
      <c r="E576" s="7"/>
      <c r="F576" s="7"/>
    </row>
    <row r="577" spans="1:6" ht="13.2" x14ac:dyDescent="0.25">
      <c r="A577" s="7"/>
      <c r="E577" s="7"/>
      <c r="F577" s="7"/>
    </row>
    <row r="578" spans="1:6" ht="13.2" x14ac:dyDescent="0.25">
      <c r="A578" s="7"/>
      <c r="E578" s="7"/>
      <c r="F578" s="7"/>
    </row>
    <row r="579" spans="1:6" ht="13.2" x14ac:dyDescent="0.25">
      <c r="A579" s="7"/>
      <c r="E579" s="7"/>
      <c r="F579" s="7"/>
    </row>
    <row r="580" spans="1:6" ht="13.2" x14ac:dyDescent="0.25">
      <c r="A580" s="7"/>
      <c r="E580" s="7"/>
      <c r="F580" s="7"/>
    </row>
    <row r="581" spans="1:6" ht="13.2" x14ac:dyDescent="0.25">
      <c r="A581" s="7"/>
      <c r="E581" s="7"/>
      <c r="F581" s="7"/>
    </row>
    <row r="582" spans="1:6" ht="13.2" x14ac:dyDescent="0.25">
      <c r="A582" s="7"/>
      <c r="E582" s="7"/>
      <c r="F582" s="7"/>
    </row>
    <row r="583" spans="1:6" ht="13.2" x14ac:dyDescent="0.25">
      <c r="A583" s="7"/>
      <c r="E583" s="7"/>
      <c r="F583" s="7"/>
    </row>
    <row r="584" spans="1:6" ht="13.2" x14ac:dyDescent="0.25">
      <c r="A584" s="7"/>
      <c r="E584" s="7"/>
      <c r="F584" s="7"/>
    </row>
    <row r="585" spans="1:6" ht="13.2" x14ac:dyDescent="0.25">
      <c r="A585" s="7"/>
      <c r="E585" s="7"/>
      <c r="F585" s="7"/>
    </row>
    <row r="586" spans="1:6" ht="13.2" x14ac:dyDescent="0.25">
      <c r="A586" s="7"/>
      <c r="E586" s="7"/>
      <c r="F586" s="7"/>
    </row>
    <row r="587" spans="1:6" ht="13.2" x14ac:dyDescent="0.25">
      <c r="A587" s="7"/>
      <c r="E587" s="7"/>
      <c r="F587" s="7"/>
    </row>
    <row r="588" spans="1:6" ht="13.2" x14ac:dyDescent="0.25">
      <c r="A588" s="7"/>
      <c r="E588" s="7"/>
      <c r="F588" s="7"/>
    </row>
    <row r="589" spans="1:6" ht="13.2" x14ac:dyDescent="0.25">
      <c r="A589" s="7"/>
      <c r="E589" s="7"/>
      <c r="F589" s="7"/>
    </row>
    <row r="590" spans="1:6" ht="13.2" x14ac:dyDescent="0.25">
      <c r="A590" s="7"/>
      <c r="E590" s="7"/>
      <c r="F590" s="7"/>
    </row>
    <row r="591" spans="1:6" ht="13.2" x14ac:dyDescent="0.25">
      <c r="A591" s="7"/>
      <c r="E591" s="7"/>
      <c r="F591" s="7"/>
    </row>
    <row r="592" spans="1:6" ht="13.2" x14ac:dyDescent="0.25">
      <c r="A592" s="7"/>
      <c r="E592" s="7"/>
      <c r="F592" s="7"/>
    </row>
    <row r="593" spans="1:6" ht="13.2" x14ac:dyDescent="0.25">
      <c r="A593" s="7"/>
      <c r="E593" s="7"/>
      <c r="F593" s="7"/>
    </row>
    <row r="594" spans="1:6" ht="13.2" x14ac:dyDescent="0.25">
      <c r="A594" s="7"/>
      <c r="E594" s="7"/>
      <c r="F594" s="7"/>
    </row>
    <row r="595" spans="1:6" ht="13.2" x14ac:dyDescent="0.25">
      <c r="A595" s="7"/>
      <c r="E595" s="7"/>
      <c r="F595" s="7"/>
    </row>
    <row r="596" spans="1:6" ht="13.2" x14ac:dyDescent="0.25">
      <c r="A596" s="7"/>
      <c r="E596" s="7"/>
      <c r="F596" s="7"/>
    </row>
    <row r="597" spans="1:6" ht="13.2" x14ac:dyDescent="0.25">
      <c r="A597" s="7"/>
      <c r="E597" s="7"/>
      <c r="F597" s="7"/>
    </row>
    <row r="598" spans="1:6" ht="13.2" x14ac:dyDescent="0.25">
      <c r="A598" s="7"/>
      <c r="E598" s="7"/>
      <c r="F598" s="7"/>
    </row>
    <row r="599" spans="1:6" ht="13.2" x14ac:dyDescent="0.25">
      <c r="A599" s="7"/>
      <c r="E599" s="7"/>
      <c r="F599" s="7"/>
    </row>
    <row r="600" spans="1:6" ht="13.2" x14ac:dyDescent="0.25">
      <c r="A600" s="7"/>
      <c r="E600" s="7"/>
      <c r="F600" s="7"/>
    </row>
    <row r="601" spans="1:6" ht="13.2" x14ac:dyDescent="0.25">
      <c r="A601" s="7"/>
      <c r="E601" s="7"/>
      <c r="F601" s="7"/>
    </row>
    <row r="602" spans="1:6" ht="13.2" x14ac:dyDescent="0.25">
      <c r="A602" s="7"/>
      <c r="E602" s="7"/>
      <c r="F602" s="7"/>
    </row>
    <row r="603" spans="1:6" ht="13.2" x14ac:dyDescent="0.25">
      <c r="A603" s="7"/>
      <c r="E603" s="7"/>
      <c r="F603" s="7"/>
    </row>
    <row r="604" spans="1:6" ht="13.2" x14ac:dyDescent="0.25">
      <c r="A604" s="7"/>
      <c r="E604" s="7"/>
      <c r="F604" s="7"/>
    </row>
    <row r="605" spans="1:6" ht="13.2" x14ac:dyDescent="0.25">
      <c r="A605" s="7"/>
      <c r="E605" s="7"/>
      <c r="F605" s="7"/>
    </row>
    <row r="606" spans="1:6" ht="13.2" x14ac:dyDescent="0.25">
      <c r="A606" s="7"/>
      <c r="E606" s="7"/>
      <c r="F606" s="7"/>
    </row>
    <row r="607" spans="1:6" ht="13.2" x14ac:dyDescent="0.25">
      <c r="A607" s="7"/>
      <c r="E607" s="7"/>
      <c r="F607" s="7"/>
    </row>
    <row r="608" spans="1:6" ht="13.2" x14ac:dyDescent="0.25">
      <c r="A608" s="7"/>
      <c r="E608" s="7"/>
      <c r="F608" s="7"/>
    </row>
    <row r="609" spans="1:6" ht="13.2" x14ac:dyDescent="0.25">
      <c r="A609" s="7"/>
      <c r="E609" s="7"/>
      <c r="F609" s="7"/>
    </row>
    <row r="610" spans="1:6" ht="13.2" x14ac:dyDescent="0.25">
      <c r="A610" s="7"/>
      <c r="E610" s="7"/>
      <c r="F610" s="7"/>
    </row>
    <row r="611" spans="1:6" ht="13.2" x14ac:dyDescent="0.25">
      <c r="A611" s="7"/>
      <c r="E611" s="7"/>
      <c r="F611" s="7"/>
    </row>
    <row r="612" spans="1:6" ht="13.2" x14ac:dyDescent="0.25">
      <c r="A612" s="7"/>
      <c r="E612" s="7"/>
      <c r="F612" s="7"/>
    </row>
    <row r="613" spans="1:6" ht="13.2" x14ac:dyDescent="0.25">
      <c r="A613" s="7"/>
      <c r="E613" s="7"/>
      <c r="F613" s="7"/>
    </row>
    <row r="614" spans="1:6" ht="13.2" x14ac:dyDescent="0.25">
      <c r="A614" s="7"/>
      <c r="E614" s="7"/>
      <c r="F614" s="7"/>
    </row>
    <row r="615" spans="1:6" ht="13.2" x14ac:dyDescent="0.25">
      <c r="A615" s="7"/>
      <c r="E615" s="7"/>
      <c r="F615" s="7"/>
    </row>
    <row r="616" spans="1:6" ht="13.2" x14ac:dyDescent="0.25">
      <c r="A616" s="7"/>
      <c r="E616" s="7"/>
      <c r="F616" s="7"/>
    </row>
    <row r="617" spans="1:6" ht="13.2" x14ac:dyDescent="0.25">
      <c r="A617" s="7"/>
      <c r="E617" s="7"/>
      <c r="F617" s="7"/>
    </row>
    <row r="618" spans="1:6" ht="13.2" x14ac:dyDescent="0.25">
      <c r="A618" s="7"/>
      <c r="E618" s="7"/>
      <c r="F618" s="7"/>
    </row>
    <row r="619" spans="1:6" ht="13.2" x14ac:dyDescent="0.25">
      <c r="A619" s="7"/>
      <c r="E619" s="7"/>
      <c r="F619" s="7"/>
    </row>
    <row r="620" spans="1:6" ht="13.2" x14ac:dyDescent="0.25">
      <c r="A620" s="7"/>
      <c r="E620" s="7"/>
      <c r="F620" s="7"/>
    </row>
    <row r="621" spans="1:6" ht="13.2" x14ac:dyDescent="0.25">
      <c r="A621" s="7"/>
      <c r="E621" s="7"/>
      <c r="F621" s="7"/>
    </row>
    <row r="622" spans="1:6" ht="13.2" x14ac:dyDescent="0.25">
      <c r="A622" s="7"/>
      <c r="E622" s="7"/>
      <c r="F622" s="7"/>
    </row>
    <row r="623" spans="1:6" ht="13.2" x14ac:dyDescent="0.25">
      <c r="A623" s="7"/>
      <c r="E623" s="7"/>
      <c r="F623" s="7"/>
    </row>
    <row r="624" spans="1:6" ht="13.2" x14ac:dyDescent="0.25">
      <c r="A624" s="7"/>
      <c r="E624" s="7"/>
      <c r="F624" s="7"/>
    </row>
    <row r="625" spans="1:6" ht="13.2" x14ac:dyDescent="0.25">
      <c r="A625" s="7"/>
      <c r="E625" s="7"/>
      <c r="F625" s="7"/>
    </row>
    <row r="626" spans="1:6" ht="13.2" x14ac:dyDescent="0.25">
      <c r="A626" s="7"/>
      <c r="E626" s="7"/>
      <c r="F626" s="7"/>
    </row>
    <row r="627" spans="1:6" ht="13.2" x14ac:dyDescent="0.25">
      <c r="A627" s="7"/>
      <c r="E627" s="7"/>
      <c r="F627" s="7"/>
    </row>
    <row r="628" spans="1:6" ht="13.2" x14ac:dyDescent="0.25">
      <c r="A628" s="7"/>
      <c r="E628" s="7"/>
      <c r="F628" s="7"/>
    </row>
    <row r="629" spans="1:6" ht="13.2" x14ac:dyDescent="0.25">
      <c r="A629" s="7"/>
      <c r="E629" s="7"/>
      <c r="F629" s="7"/>
    </row>
    <row r="630" spans="1:6" ht="13.2" x14ac:dyDescent="0.25">
      <c r="A630" s="7"/>
      <c r="E630" s="7"/>
      <c r="F630" s="7"/>
    </row>
    <row r="631" spans="1:6" ht="13.2" x14ac:dyDescent="0.25">
      <c r="A631" s="7"/>
      <c r="E631" s="7"/>
      <c r="F631" s="7"/>
    </row>
    <row r="632" spans="1:6" ht="13.2" x14ac:dyDescent="0.25">
      <c r="A632" s="7"/>
      <c r="E632" s="7"/>
      <c r="F632" s="7"/>
    </row>
    <row r="633" spans="1:6" ht="13.2" x14ac:dyDescent="0.25">
      <c r="A633" s="7"/>
      <c r="E633" s="7"/>
      <c r="F633" s="7"/>
    </row>
    <row r="634" spans="1:6" ht="13.2" x14ac:dyDescent="0.25">
      <c r="A634" s="7"/>
      <c r="E634" s="7"/>
      <c r="F634" s="7"/>
    </row>
    <row r="635" spans="1:6" ht="13.2" x14ac:dyDescent="0.25">
      <c r="A635" s="7"/>
      <c r="E635" s="7"/>
      <c r="F635" s="7"/>
    </row>
    <row r="636" spans="1:6" ht="13.2" x14ac:dyDescent="0.25">
      <c r="A636" s="7"/>
      <c r="E636" s="7"/>
      <c r="F636" s="7"/>
    </row>
    <row r="637" spans="1:6" ht="13.2" x14ac:dyDescent="0.25">
      <c r="A637" s="7"/>
      <c r="E637" s="7"/>
      <c r="F637" s="7"/>
    </row>
    <row r="638" spans="1:6" ht="13.2" x14ac:dyDescent="0.25">
      <c r="A638" s="7"/>
      <c r="E638" s="7"/>
      <c r="F638" s="7"/>
    </row>
    <row r="639" spans="1:6" ht="13.2" x14ac:dyDescent="0.25">
      <c r="A639" s="7"/>
      <c r="E639" s="7"/>
      <c r="F639" s="7"/>
    </row>
    <row r="640" spans="1:6" ht="13.2" x14ac:dyDescent="0.25">
      <c r="A640" s="7"/>
      <c r="E640" s="7"/>
      <c r="F640" s="7"/>
    </row>
    <row r="641" spans="1:6" ht="13.2" x14ac:dyDescent="0.25">
      <c r="A641" s="7"/>
      <c r="E641" s="7"/>
      <c r="F641" s="7"/>
    </row>
    <row r="642" spans="1:6" ht="13.2" x14ac:dyDescent="0.25">
      <c r="A642" s="7"/>
      <c r="E642" s="7"/>
      <c r="F642" s="7"/>
    </row>
    <row r="643" spans="1:6" ht="13.2" x14ac:dyDescent="0.25">
      <c r="A643" s="7"/>
      <c r="E643" s="7"/>
      <c r="F643" s="7"/>
    </row>
    <row r="644" spans="1:6" ht="13.2" x14ac:dyDescent="0.25">
      <c r="A644" s="7"/>
      <c r="E644" s="7"/>
      <c r="F644" s="7"/>
    </row>
    <row r="645" spans="1:6" ht="13.2" x14ac:dyDescent="0.25">
      <c r="A645" s="7"/>
      <c r="E645" s="7"/>
      <c r="F645" s="7"/>
    </row>
    <row r="646" spans="1:6" ht="13.2" x14ac:dyDescent="0.25">
      <c r="A646" s="7"/>
      <c r="E646" s="7"/>
      <c r="F646" s="7"/>
    </row>
    <row r="647" spans="1:6" ht="13.2" x14ac:dyDescent="0.25">
      <c r="A647" s="7"/>
      <c r="E647" s="7"/>
      <c r="F647" s="7"/>
    </row>
    <row r="648" spans="1:6" ht="13.2" x14ac:dyDescent="0.25">
      <c r="A648" s="7"/>
      <c r="E648" s="7"/>
      <c r="F648" s="7"/>
    </row>
    <row r="649" spans="1:6" ht="13.2" x14ac:dyDescent="0.25">
      <c r="A649" s="7"/>
      <c r="E649" s="7"/>
      <c r="F649" s="7"/>
    </row>
    <row r="650" spans="1:6" ht="13.2" x14ac:dyDescent="0.25">
      <c r="A650" s="7"/>
      <c r="E650" s="7"/>
      <c r="F650" s="7"/>
    </row>
    <row r="651" spans="1:6" ht="13.2" x14ac:dyDescent="0.25">
      <c r="A651" s="7"/>
      <c r="E651" s="7"/>
      <c r="F651" s="7"/>
    </row>
    <row r="652" spans="1:6" ht="13.2" x14ac:dyDescent="0.25">
      <c r="A652" s="7"/>
      <c r="E652" s="7"/>
      <c r="F652" s="7"/>
    </row>
    <row r="653" spans="1:6" ht="13.2" x14ac:dyDescent="0.25">
      <c r="A653" s="7"/>
      <c r="E653" s="7"/>
      <c r="F653" s="7"/>
    </row>
    <row r="654" spans="1:6" ht="13.2" x14ac:dyDescent="0.25">
      <c r="A654" s="7"/>
      <c r="E654" s="7"/>
      <c r="F654" s="7"/>
    </row>
    <row r="655" spans="1:6" ht="13.2" x14ac:dyDescent="0.25">
      <c r="A655" s="7"/>
      <c r="E655" s="7"/>
      <c r="F655" s="7"/>
    </row>
    <row r="656" spans="1:6" ht="13.2" x14ac:dyDescent="0.25">
      <c r="A656" s="7"/>
      <c r="E656" s="7"/>
      <c r="F656" s="7"/>
    </row>
    <row r="657" spans="1:6" ht="13.2" x14ac:dyDescent="0.25">
      <c r="A657" s="7"/>
      <c r="E657" s="7"/>
      <c r="F657" s="7"/>
    </row>
    <row r="658" spans="1:6" ht="13.2" x14ac:dyDescent="0.25">
      <c r="A658" s="7"/>
      <c r="E658" s="7"/>
      <c r="F658" s="7"/>
    </row>
    <row r="659" spans="1:6" ht="13.2" x14ac:dyDescent="0.25">
      <c r="A659" s="7"/>
      <c r="E659" s="7"/>
      <c r="F659" s="7"/>
    </row>
    <row r="660" spans="1:6" ht="13.2" x14ac:dyDescent="0.25">
      <c r="A660" s="7"/>
      <c r="E660" s="7"/>
      <c r="F660" s="7"/>
    </row>
    <row r="661" spans="1:6" ht="13.2" x14ac:dyDescent="0.25">
      <c r="A661" s="7"/>
      <c r="E661" s="7"/>
      <c r="F661" s="7"/>
    </row>
    <row r="662" spans="1:6" ht="13.2" x14ac:dyDescent="0.25">
      <c r="A662" s="7"/>
      <c r="E662" s="7"/>
      <c r="F662" s="7"/>
    </row>
    <row r="663" spans="1:6" ht="13.2" x14ac:dyDescent="0.25">
      <c r="A663" s="7"/>
      <c r="E663" s="7"/>
      <c r="F663" s="7"/>
    </row>
    <row r="664" spans="1:6" ht="13.2" x14ac:dyDescent="0.25">
      <c r="A664" s="7"/>
      <c r="E664" s="7"/>
      <c r="F664" s="7"/>
    </row>
    <row r="665" spans="1:6" ht="13.2" x14ac:dyDescent="0.25">
      <c r="A665" s="7"/>
      <c r="E665" s="7"/>
      <c r="F665" s="7"/>
    </row>
    <row r="666" spans="1:6" ht="13.2" x14ac:dyDescent="0.25">
      <c r="A666" s="7"/>
      <c r="E666" s="7"/>
      <c r="F666" s="7"/>
    </row>
    <row r="667" spans="1:6" ht="13.2" x14ac:dyDescent="0.25">
      <c r="A667" s="7"/>
      <c r="E667" s="7"/>
      <c r="F667" s="7"/>
    </row>
    <row r="668" spans="1:6" ht="13.2" x14ac:dyDescent="0.25">
      <c r="A668" s="7"/>
      <c r="E668" s="7"/>
      <c r="F668" s="7"/>
    </row>
    <row r="669" spans="1:6" ht="13.2" x14ac:dyDescent="0.25">
      <c r="A669" s="7"/>
      <c r="E669" s="7"/>
      <c r="F669" s="7"/>
    </row>
    <row r="670" spans="1:6" ht="13.2" x14ac:dyDescent="0.25">
      <c r="A670" s="7"/>
      <c r="E670" s="7"/>
      <c r="F670" s="7"/>
    </row>
    <row r="671" spans="1:6" ht="13.2" x14ac:dyDescent="0.25">
      <c r="A671" s="7"/>
      <c r="E671" s="7"/>
      <c r="F671" s="7"/>
    </row>
    <row r="672" spans="1:6" ht="13.2" x14ac:dyDescent="0.25">
      <c r="A672" s="7"/>
      <c r="E672" s="7"/>
      <c r="F672" s="7"/>
    </row>
    <row r="673" spans="1:6" ht="13.2" x14ac:dyDescent="0.25">
      <c r="A673" s="7"/>
      <c r="E673" s="7"/>
      <c r="F673" s="7"/>
    </row>
    <row r="674" spans="1:6" ht="13.2" x14ac:dyDescent="0.25">
      <c r="A674" s="7"/>
      <c r="E674" s="7"/>
      <c r="F674" s="7"/>
    </row>
    <row r="675" spans="1:6" ht="13.2" x14ac:dyDescent="0.25">
      <c r="A675" s="7"/>
      <c r="E675" s="7"/>
      <c r="F675" s="7"/>
    </row>
    <row r="676" spans="1:6" ht="13.2" x14ac:dyDescent="0.25">
      <c r="A676" s="7"/>
      <c r="E676" s="7"/>
      <c r="F676" s="7"/>
    </row>
    <row r="677" spans="1:6" ht="13.2" x14ac:dyDescent="0.25">
      <c r="A677" s="7"/>
      <c r="E677" s="7"/>
      <c r="F677" s="7"/>
    </row>
    <row r="678" spans="1:6" ht="13.2" x14ac:dyDescent="0.25">
      <c r="A678" s="7"/>
      <c r="E678" s="7"/>
      <c r="F678" s="7"/>
    </row>
    <row r="679" spans="1:6" ht="13.2" x14ac:dyDescent="0.25">
      <c r="A679" s="7"/>
      <c r="E679" s="7"/>
      <c r="F679" s="7"/>
    </row>
    <row r="680" spans="1:6" ht="13.2" x14ac:dyDescent="0.25">
      <c r="A680" s="7"/>
      <c r="E680" s="7"/>
      <c r="F680" s="7"/>
    </row>
    <row r="681" spans="1:6" ht="13.2" x14ac:dyDescent="0.25">
      <c r="A681" s="7"/>
      <c r="E681" s="7"/>
      <c r="F681" s="7"/>
    </row>
    <row r="682" spans="1:6" ht="13.2" x14ac:dyDescent="0.25">
      <c r="A682" s="7"/>
      <c r="E682" s="7"/>
      <c r="F682" s="7"/>
    </row>
    <row r="683" spans="1:6" ht="13.2" x14ac:dyDescent="0.25">
      <c r="A683" s="7"/>
      <c r="E683" s="7"/>
      <c r="F683" s="7"/>
    </row>
    <row r="684" spans="1:6" ht="13.2" x14ac:dyDescent="0.25">
      <c r="A684" s="7"/>
      <c r="E684" s="7"/>
      <c r="F684" s="7"/>
    </row>
    <row r="685" spans="1:6" ht="13.2" x14ac:dyDescent="0.25">
      <c r="A685" s="7"/>
      <c r="E685" s="7"/>
      <c r="F685" s="7"/>
    </row>
    <row r="686" spans="1:6" ht="13.2" x14ac:dyDescent="0.25">
      <c r="A686" s="7"/>
      <c r="E686" s="7"/>
      <c r="F686" s="7"/>
    </row>
    <row r="687" spans="1:6" ht="13.2" x14ac:dyDescent="0.25">
      <c r="A687" s="7"/>
      <c r="E687" s="7"/>
      <c r="F687" s="7"/>
    </row>
    <row r="688" spans="1:6" ht="13.2" x14ac:dyDescent="0.25">
      <c r="A688" s="7"/>
      <c r="E688" s="7"/>
      <c r="F688" s="7"/>
    </row>
    <row r="689" spans="1:6" ht="13.2" x14ac:dyDescent="0.25">
      <c r="A689" s="7"/>
      <c r="E689" s="7"/>
      <c r="F689" s="7"/>
    </row>
    <row r="690" spans="1:6" ht="13.2" x14ac:dyDescent="0.25">
      <c r="A690" s="7"/>
      <c r="E690" s="7"/>
      <c r="F690" s="7"/>
    </row>
    <row r="691" spans="1:6" ht="13.2" x14ac:dyDescent="0.25">
      <c r="A691" s="7"/>
      <c r="E691" s="7"/>
      <c r="F691" s="7"/>
    </row>
    <row r="692" spans="1:6" ht="13.2" x14ac:dyDescent="0.25">
      <c r="A692" s="7"/>
      <c r="E692" s="7"/>
      <c r="F692" s="7"/>
    </row>
    <row r="693" spans="1:6" ht="13.2" x14ac:dyDescent="0.25">
      <c r="A693" s="7"/>
      <c r="E693" s="7"/>
      <c r="F693" s="7"/>
    </row>
    <row r="694" spans="1:6" ht="13.2" x14ac:dyDescent="0.25">
      <c r="A694" s="7"/>
      <c r="E694" s="7"/>
      <c r="F694" s="7"/>
    </row>
    <row r="695" spans="1:6" ht="13.2" x14ac:dyDescent="0.25">
      <c r="A695" s="7"/>
      <c r="E695" s="7"/>
      <c r="F695" s="7"/>
    </row>
    <row r="696" spans="1:6" ht="13.2" x14ac:dyDescent="0.25">
      <c r="A696" s="7"/>
      <c r="E696" s="7"/>
      <c r="F696" s="7"/>
    </row>
    <row r="697" spans="1:6" ht="13.2" x14ac:dyDescent="0.25">
      <c r="A697" s="7"/>
      <c r="E697" s="7"/>
      <c r="F697" s="7"/>
    </row>
    <row r="698" spans="1:6" ht="13.2" x14ac:dyDescent="0.25">
      <c r="A698" s="7"/>
      <c r="E698" s="7"/>
      <c r="F698" s="7"/>
    </row>
    <row r="699" spans="1:6" ht="13.2" x14ac:dyDescent="0.25">
      <c r="A699" s="7"/>
      <c r="E699" s="7"/>
      <c r="F699" s="7"/>
    </row>
    <row r="700" spans="1:6" ht="13.2" x14ac:dyDescent="0.25">
      <c r="A700" s="7"/>
      <c r="E700" s="7"/>
      <c r="F700" s="7"/>
    </row>
    <row r="701" spans="1:6" ht="13.2" x14ac:dyDescent="0.25">
      <c r="A701" s="7"/>
      <c r="E701" s="7"/>
      <c r="F701" s="7"/>
    </row>
    <row r="702" spans="1:6" ht="13.2" x14ac:dyDescent="0.25">
      <c r="A702" s="7"/>
      <c r="E702" s="7"/>
      <c r="F702" s="7"/>
    </row>
    <row r="703" spans="1:6" ht="13.2" x14ac:dyDescent="0.25">
      <c r="A703" s="7"/>
      <c r="E703" s="7"/>
      <c r="F703" s="7"/>
    </row>
    <row r="704" spans="1:6" ht="13.2" x14ac:dyDescent="0.25">
      <c r="A704" s="7"/>
      <c r="E704" s="7"/>
      <c r="F704" s="7"/>
    </row>
    <row r="705" spans="1:6" ht="13.2" x14ac:dyDescent="0.25">
      <c r="A705" s="7"/>
      <c r="E705" s="7"/>
      <c r="F705" s="7"/>
    </row>
    <row r="706" spans="1:6" ht="13.2" x14ac:dyDescent="0.25">
      <c r="A706" s="7"/>
      <c r="E706" s="7"/>
      <c r="F706" s="7"/>
    </row>
    <row r="707" spans="1:6" ht="13.2" x14ac:dyDescent="0.25">
      <c r="A707" s="7"/>
      <c r="E707" s="7"/>
      <c r="F707" s="7"/>
    </row>
    <row r="708" spans="1:6" ht="13.2" x14ac:dyDescent="0.25">
      <c r="A708" s="7"/>
      <c r="E708" s="7"/>
      <c r="F708" s="7"/>
    </row>
    <row r="709" spans="1:6" ht="13.2" x14ac:dyDescent="0.25">
      <c r="A709" s="7"/>
      <c r="E709" s="7"/>
      <c r="F709" s="7"/>
    </row>
    <row r="710" spans="1:6" ht="13.2" x14ac:dyDescent="0.25">
      <c r="A710" s="7"/>
      <c r="E710" s="7"/>
      <c r="F710" s="7"/>
    </row>
    <row r="711" spans="1:6" ht="13.2" x14ac:dyDescent="0.25">
      <c r="A711" s="7"/>
      <c r="E711" s="7"/>
      <c r="F711" s="7"/>
    </row>
    <row r="712" spans="1:6" ht="13.2" x14ac:dyDescent="0.25">
      <c r="A712" s="7"/>
      <c r="E712" s="7"/>
      <c r="F712" s="7"/>
    </row>
    <row r="713" spans="1:6" ht="13.2" x14ac:dyDescent="0.25">
      <c r="A713" s="7"/>
      <c r="E713" s="7"/>
      <c r="F713" s="7"/>
    </row>
    <row r="714" spans="1:6" ht="13.2" x14ac:dyDescent="0.25">
      <c r="A714" s="7"/>
      <c r="E714" s="7"/>
      <c r="F714" s="7"/>
    </row>
    <row r="715" spans="1:6" ht="13.2" x14ac:dyDescent="0.25">
      <c r="A715" s="7"/>
      <c r="E715" s="7"/>
      <c r="F715" s="7"/>
    </row>
    <row r="716" spans="1:6" ht="13.2" x14ac:dyDescent="0.25">
      <c r="A716" s="7"/>
      <c r="E716" s="7"/>
      <c r="F716" s="7"/>
    </row>
    <row r="717" spans="1:6" ht="13.2" x14ac:dyDescent="0.25">
      <c r="A717" s="7"/>
      <c r="E717" s="7"/>
      <c r="F717" s="7"/>
    </row>
    <row r="718" spans="1:6" ht="13.2" x14ac:dyDescent="0.25">
      <c r="A718" s="7"/>
      <c r="E718" s="7"/>
      <c r="F718" s="7"/>
    </row>
    <row r="719" spans="1:6" ht="13.2" x14ac:dyDescent="0.25">
      <c r="A719" s="7"/>
      <c r="E719" s="7"/>
      <c r="F719" s="7"/>
    </row>
    <row r="720" spans="1:6" ht="13.2" x14ac:dyDescent="0.25">
      <c r="A720" s="7"/>
      <c r="E720" s="7"/>
      <c r="F720" s="7"/>
    </row>
    <row r="721" spans="1:6" ht="13.2" x14ac:dyDescent="0.25">
      <c r="A721" s="7"/>
      <c r="E721" s="7"/>
      <c r="F721" s="7"/>
    </row>
    <row r="722" spans="1:6" ht="13.2" x14ac:dyDescent="0.25">
      <c r="A722" s="7"/>
      <c r="E722" s="7"/>
      <c r="F722" s="7"/>
    </row>
    <row r="723" spans="1:6" ht="13.2" x14ac:dyDescent="0.25">
      <c r="A723" s="7"/>
      <c r="E723" s="7"/>
      <c r="F723" s="7"/>
    </row>
    <row r="724" spans="1:6" ht="13.2" x14ac:dyDescent="0.25">
      <c r="A724" s="7"/>
      <c r="E724" s="7"/>
      <c r="F724" s="7"/>
    </row>
    <row r="725" spans="1:6" ht="13.2" x14ac:dyDescent="0.25">
      <c r="A725" s="7"/>
      <c r="E725" s="7"/>
      <c r="F725" s="7"/>
    </row>
    <row r="726" spans="1:6" ht="13.2" x14ac:dyDescent="0.25">
      <c r="A726" s="7"/>
      <c r="E726" s="7"/>
      <c r="F726" s="7"/>
    </row>
    <row r="727" spans="1:6" ht="13.2" x14ac:dyDescent="0.25">
      <c r="A727" s="7"/>
      <c r="E727" s="7"/>
      <c r="F727" s="7"/>
    </row>
    <row r="728" spans="1:6" ht="13.2" x14ac:dyDescent="0.25">
      <c r="A728" s="7"/>
      <c r="E728" s="7"/>
      <c r="F728" s="7"/>
    </row>
    <row r="729" spans="1:6" ht="13.2" x14ac:dyDescent="0.25">
      <c r="A729" s="7"/>
      <c r="E729" s="7"/>
      <c r="F729" s="7"/>
    </row>
    <row r="730" spans="1:6" ht="13.2" x14ac:dyDescent="0.25">
      <c r="A730" s="7"/>
      <c r="E730" s="7"/>
      <c r="F730" s="7"/>
    </row>
    <row r="731" spans="1:6" ht="13.2" x14ac:dyDescent="0.25">
      <c r="A731" s="7"/>
      <c r="E731" s="7"/>
      <c r="F731" s="7"/>
    </row>
    <row r="732" spans="1:6" ht="13.2" x14ac:dyDescent="0.25">
      <c r="A732" s="7"/>
      <c r="E732" s="7"/>
      <c r="F732" s="7"/>
    </row>
    <row r="733" spans="1:6" ht="13.2" x14ac:dyDescent="0.25">
      <c r="A733" s="7"/>
      <c r="E733" s="7"/>
      <c r="F733" s="7"/>
    </row>
    <row r="734" spans="1:6" ht="13.2" x14ac:dyDescent="0.25">
      <c r="A734" s="7"/>
      <c r="E734" s="7"/>
      <c r="F734" s="7"/>
    </row>
    <row r="735" spans="1:6" ht="13.2" x14ac:dyDescent="0.25">
      <c r="A735" s="7"/>
      <c r="E735" s="7"/>
      <c r="F735" s="7"/>
    </row>
    <row r="736" spans="1:6" ht="13.2" x14ac:dyDescent="0.25">
      <c r="A736" s="7"/>
      <c r="E736" s="7"/>
      <c r="F736" s="7"/>
    </row>
    <row r="737" spans="1:6" ht="13.2" x14ac:dyDescent="0.25">
      <c r="A737" s="7"/>
      <c r="E737" s="7"/>
      <c r="F737" s="7"/>
    </row>
    <row r="738" spans="1:6" ht="13.2" x14ac:dyDescent="0.25">
      <c r="A738" s="7"/>
      <c r="E738" s="7"/>
      <c r="F738" s="7"/>
    </row>
    <row r="739" spans="1:6" ht="13.2" x14ac:dyDescent="0.25">
      <c r="A739" s="7"/>
      <c r="E739" s="7"/>
      <c r="F739" s="7"/>
    </row>
    <row r="740" spans="1:6" ht="13.2" x14ac:dyDescent="0.25">
      <c r="A740" s="7"/>
      <c r="E740" s="7"/>
      <c r="F740" s="7"/>
    </row>
    <row r="741" spans="1:6" ht="13.2" x14ac:dyDescent="0.25">
      <c r="A741" s="7"/>
      <c r="E741" s="7"/>
      <c r="F741" s="7"/>
    </row>
    <row r="742" spans="1:6" ht="13.2" x14ac:dyDescent="0.25">
      <c r="A742" s="7"/>
      <c r="E742" s="7"/>
      <c r="F742" s="7"/>
    </row>
    <row r="743" spans="1:6" ht="13.2" x14ac:dyDescent="0.25">
      <c r="A743" s="7"/>
      <c r="E743" s="7"/>
      <c r="F743" s="7"/>
    </row>
    <row r="744" spans="1:6" ht="13.2" x14ac:dyDescent="0.25">
      <c r="A744" s="7"/>
      <c r="E744" s="7"/>
      <c r="F744" s="7"/>
    </row>
    <row r="745" spans="1:6" ht="13.2" x14ac:dyDescent="0.25">
      <c r="A745" s="7"/>
      <c r="E745" s="7"/>
      <c r="F745" s="7"/>
    </row>
    <row r="746" spans="1:6" ht="13.2" x14ac:dyDescent="0.25">
      <c r="A746" s="7"/>
      <c r="E746" s="7"/>
      <c r="F746" s="7"/>
    </row>
    <row r="747" spans="1:6" ht="13.2" x14ac:dyDescent="0.25">
      <c r="A747" s="7"/>
      <c r="E747" s="7"/>
      <c r="F747" s="7"/>
    </row>
    <row r="748" spans="1:6" ht="13.2" x14ac:dyDescent="0.25">
      <c r="A748" s="7"/>
      <c r="E748" s="7"/>
      <c r="F748" s="7"/>
    </row>
    <row r="749" spans="1:6" ht="13.2" x14ac:dyDescent="0.25">
      <c r="A749" s="7"/>
      <c r="E749" s="7"/>
      <c r="F749" s="7"/>
    </row>
    <row r="750" spans="1:6" ht="13.2" x14ac:dyDescent="0.25">
      <c r="A750" s="7"/>
      <c r="E750" s="7"/>
      <c r="F750" s="7"/>
    </row>
    <row r="751" spans="1:6" ht="13.2" x14ac:dyDescent="0.25">
      <c r="A751" s="7"/>
      <c r="E751" s="7"/>
      <c r="F751" s="7"/>
    </row>
    <row r="752" spans="1:6" ht="13.2" x14ac:dyDescent="0.25">
      <c r="A752" s="7"/>
      <c r="E752" s="7"/>
      <c r="F752" s="7"/>
    </row>
    <row r="753" spans="1:6" ht="13.2" x14ac:dyDescent="0.25">
      <c r="A753" s="7"/>
      <c r="E753" s="7"/>
      <c r="F753" s="7"/>
    </row>
    <row r="754" spans="1:6" ht="13.2" x14ac:dyDescent="0.25">
      <c r="A754" s="7"/>
      <c r="E754" s="7"/>
      <c r="F754" s="7"/>
    </row>
    <row r="755" spans="1:6" ht="13.2" x14ac:dyDescent="0.25">
      <c r="A755" s="7"/>
      <c r="E755" s="7"/>
      <c r="F755" s="7"/>
    </row>
    <row r="756" spans="1:6" ht="13.2" x14ac:dyDescent="0.25">
      <c r="A756" s="7"/>
      <c r="E756" s="7"/>
      <c r="F756" s="7"/>
    </row>
    <row r="757" spans="1:6" ht="13.2" x14ac:dyDescent="0.25">
      <c r="A757" s="7"/>
      <c r="E757" s="7"/>
      <c r="F757" s="7"/>
    </row>
    <row r="758" spans="1:6" ht="13.2" x14ac:dyDescent="0.25">
      <c r="A758" s="7"/>
      <c r="E758" s="7"/>
      <c r="F758" s="7"/>
    </row>
    <row r="759" spans="1:6" ht="13.2" x14ac:dyDescent="0.25">
      <c r="A759" s="7"/>
      <c r="E759" s="7"/>
      <c r="F759" s="7"/>
    </row>
    <row r="760" spans="1:6" ht="13.2" x14ac:dyDescent="0.25">
      <c r="A760" s="7"/>
      <c r="E760" s="7"/>
      <c r="F760" s="7"/>
    </row>
    <row r="761" spans="1:6" ht="13.2" x14ac:dyDescent="0.25">
      <c r="A761" s="7"/>
      <c r="E761" s="7"/>
      <c r="F761" s="7"/>
    </row>
    <row r="762" spans="1:6" ht="13.2" x14ac:dyDescent="0.25">
      <c r="A762" s="7"/>
      <c r="E762" s="7"/>
      <c r="F762" s="7"/>
    </row>
    <row r="763" spans="1:6" ht="13.2" x14ac:dyDescent="0.25">
      <c r="A763" s="7"/>
      <c r="E763" s="7"/>
      <c r="F763" s="7"/>
    </row>
    <row r="764" spans="1:6" ht="13.2" x14ac:dyDescent="0.25">
      <c r="A764" s="7"/>
      <c r="E764" s="7"/>
      <c r="F764" s="7"/>
    </row>
    <row r="765" spans="1:6" ht="13.2" x14ac:dyDescent="0.25">
      <c r="A765" s="7"/>
      <c r="E765" s="7"/>
      <c r="F765" s="7"/>
    </row>
    <row r="766" spans="1:6" ht="13.2" x14ac:dyDescent="0.25">
      <c r="A766" s="7"/>
      <c r="E766" s="7"/>
      <c r="F766" s="7"/>
    </row>
    <row r="767" spans="1:6" ht="13.2" x14ac:dyDescent="0.25">
      <c r="A767" s="7"/>
      <c r="E767" s="7"/>
      <c r="F767" s="7"/>
    </row>
    <row r="768" spans="1:6" ht="13.2" x14ac:dyDescent="0.25">
      <c r="A768" s="7"/>
      <c r="E768" s="7"/>
      <c r="F768" s="7"/>
    </row>
    <row r="769" spans="1:6" ht="13.2" x14ac:dyDescent="0.25">
      <c r="A769" s="7"/>
      <c r="E769" s="7"/>
      <c r="F769" s="7"/>
    </row>
    <row r="770" spans="1:6" ht="13.2" x14ac:dyDescent="0.25">
      <c r="A770" s="7"/>
      <c r="E770" s="7"/>
      <c r="F770" s="7"/>
    </row>
    <row r="771" spans="1:6" ht="13.2" x14ac:dyDescent="0.25">
      <c r="A771" s="7"/>
      <c r="E771" s="7"/>
      <c r="F771" s="7"/>
    </row>
    <row r="772" spans="1:6" ht="13.2" x14ac:dyDescent="0.25">
      <c r="A772" s="7"/>
      <c r="E772" s="7"/>
      <c r="F772" s="7"/>
    </row>
    <row r="773" spans="1:6" ht="13.2" x14ac:dyDescent="0.25">
      <c r="A773" s="7"/>
      <c r="E773" s="7"/>
      <c r="F773" s="7"/>
    </row>
    <row r="774" spans="1:6" ht="13.2" x14ac:dyDescent="0.25">
      <c r="A774" s="7"/>
      <c r="E774" s="7"/>
      <c r="F774" s="7"/>
    </row>
    <row r="775" spans="1:6" ht="13.2" x14ac:dyDescent="0.25">
      <c r="A775" s="7"/>
      <c r="E775" s="7"/>
      <c r="F775" s="7"/>
    </row>
    <row r="776" spans="1:6" ht="13.2" x14ac:dyDescent="0.25">
      <c r="A776" s="7"/>
      <c r="E776" s="7"/>
      <c r="F776" s="7"/>
    </row>
    <row r="777" spans="1:6" ht="13.2" x14ac:dyDescent="0.25">
      <c r="A777" s="7"/>
      <c r="E777" s="7"/>
      <c r="F777" s="7"/>
    </row>
    <row r="778" spans="1:6" ht="13.2" x14ac:dyDescent="0.25">
      <c r="A778" s="7"/>
      <c r="E778" s="7"/>
      <c r="F778" s="7"/>
    </row>
    <row r="779" spans="1:6" ht="13.2" x14ac:dyDescent="0.25">
      <c r="A779" s="7"/>
      <c r="E779" s="7"/>
      <c r="F779" s="7"/>
    </row>
    <row r="780" spans="1:6" ht="13.2" x14ac:dyDescent="0.25">
      <c r="A780" s="7"/>
      <c r="E780" s="7"/>
      <c r="F780" s="7"/>
    </row>
    <row r="781" spans="1:6" ht="13.2" x14ac:dyDescent="0.25">
      <c r="A781" s="7"/>
      <c r="E781" s="7"/>
      <c r="F781" s="7"/>
    </row>
    <row r="782" spans="1:6" ht="13.2" x14ac:dyDescent="0.25">
      <c r="A782" s="7"/>
      <c r="E782" s="7"/>
      <c r="F782" s="7"/>
    </row>
    <row r="783" spans="1:6" ht="13.2" x14ac:dyDescent="0.25">
      <c r="A783" s="7"/>
      <c r="E783" s="7"/>
      <c r="F783" s="7"/>
    </row>
    <row r="784" spans="1:6" ht="13.2" x14ac:dyDescent="0.25">
      <c r="A784" s="7"/>
      <c r="E784" s="7"/>
      <c r="F784" s="7"/>
    </row>
    <row r="785" spans="1:6" ht="13.2" x14ac:dyDescent="0.25">
      <c r="A785" s="7"/>
      <c r="E785" s="7"/>
      <c r="F785" s="7"/>
    </row>
    <row r="786" spans="1:6" ht="13.2" x14ac:dyDescent="0.25">
      <c r="A786" s="7"/>
      <c r="E786" s="7"/>
      <c r="F786" s="7"/>
    </row>
    <row r="787" spans="1:6" ht="13.2" x14ac:dyDescent="0.25">
      <c r="A787" s="7"/>
      <c r="E787" s="7"/>
      <c r="F787" s="7"/>
    </row>
    <row r="788" spans="1:6" ht="13.2" x14ac:dyDescent="0.25">
      <c r="A788" s="7"/>
      <c r="E788" s="7"/>
      <c r="F788" s="7"/>
    </row>
    <row r="789" spans="1:6" ht="13.2" x14ac:dyDescent="0.25">
      <c r="A789" s="7"/>
      <c r="E789" s="7"/>
      <c r="F789" s="7"/>
    </row>
    <row r="790" spans="1:6" ht="13.2" x14ac:dyDescent="0.25">
      <c r="A790" s="7"/>
      <c r="E790" s="7"/>
      <c r="F790" s="7"/>
    </row>
    <row r="791" spans="1:6" ht="13.2" x14ac:dyDescent="0.25">
      <c r="A791" s="7"/>
      <c r="E791" s="7"/>
      <c r="F791" s="7"/>
    </row>
    <row r="792" spans="1:6" ht="13.2" x14ac:dyDescent="0.25">
      <c r="A792" s="7"/>
      <c r="E792" s="7"/>
      <c r="F792" s="7"/>
    </row>
    <row r="793" spans="1:6" ht="13.2" x14ac:dyDescent="0.25">
      <c r="A793" s="7"/>
      <c r="E793" s="7"/>
      <c r="F793" s="7"/>
    </row>
    <row r="794" spans="1:6" ht="13.2" x14ac:dyDescent="0.25">
      <c r="A794" s="7"/>
      <c r="E794" s="7"/>
      <c r="F794" s="7"/>
    </row>
    <row r="795" spans="1:6" ht="13.2" x14ac:dyDescent="0.25">
      <c r="A795" s="7"/>
      <c r="E795" s="7"/>
      <c r="F795" s="7"/>
    </row>
    <row r="796" spans="1:6" ht="13.2" x14ac:dyDescent="0.25">
      <c r="A796" s="7"/>
      <c r="E796" s="7"/>
      <c r="F796" s="7"/>
    </row>
    <row r="797" spans="1:6" ht="13.2" x14ac:dyDescent="0.25">
      <c r="A797" s="7"/>
      <c r="E797" s="7"/>
      <c r="F797" s="7"/>
    </row>
    <row r="798" spans="1:6" ht="13.2" x14ac:dyDescent="0.25">
      <c r="A798" s="7"/>
      <c r="E798" s="7"/>
      <c r="F798" s="7"/>
    </row>
    <row r="799" spans="1:6" ht="13.2" x14ac:dyDescent="0.25">
      <c r="A799" s="7"/>
      <c r="E799" s="7"/>
      <c r="F799" s="7"/>
    </row>
    <row r="800" spans="1:6" ht="13.2" x14ac:dyDescent="0.25">
      <c r="A800" s="7"/>
      <c r="E800" s="7"/>
      <c r="F800" s="7"/>
    </row>
    <row r="801" spans="1:6" ht="13.2" x14ac:dyDescent="0.25">
      <c r="A801" s="7"/>
      <c r="E801" s="7"/>
      <c r="F801" s="7"/>
    </row>
    <row r="802" spans="1:6" ht="13.2" x14ac:dyDescent="0.25">
      <c r="A802" s="7"/>
      <c r="E802" s="7"/>
      <c r="F802" s="7"/>
    </row>
    <row r="803" spans="1:6" ht="13.2" x14ac:dyDescent="0.25">
      <c r="A803" s="7"/>
      <c r="E803" s="7"/>
      <c r="F803" s="7"/>
    </row>
    <row r="804" spans="1:6" ht="13.2" x14ac:dyDescent="0.25">
      <c r="A804" s="7"/>
      <c r="E804" s="7"/>
      <c r="F804" s="7"/>
    </row>
    <row r="805" spans="1:6" ht="13.2" x14ac:dyDescent="0.25">
      <c r="A805" s="7"/>
      <c r="E805" s="7"/>
      <c r="F805" s="7"/>
    </row>
    <row r="806" spans="1:6" ht="13.2" x14ac:dyDescent="0.25">
      <c r="A806" s="7"/>
      <c r="E806" s="7"/>
      <c r="F806" s="7"/>
    </row>
    <row r="807" spans="1:6" ht="13.2" x14ac:dyDescent="0.25">
      <c r="A807" s="7"/>
      <c r="E807" s="7"/>
      <c r="F807" s="7"/>
    </row>
    <row r="808" spans="1:6" ht="13.2" x14ac:dyDescent="0.25">
      <c r="A808" s="7"/>
      <c r="E808" s="7"/>
      <c r="F808" s="7"/>
    </row>
    <row r="809" spans="1:6" ht="13.2" x14ac:dyDescent="0.25">
      <c r="A809" s="7"/>
      <c r="E809" s="7"/>
      <c r="F809" s="7"/>
    </row>
    <row r="810" spans="1:6" ht="13.2" x14ac:dyDescent="0.25">
      <c r="A810" s="7"/>
      <c r="E810" s="7"/>
      <c r="F810" s="7"/>
    </row>
    <row r="811" spans="1:6" ht="13.2" x14ac:dyDescent="0.25">
      <c r="A811" s="7"/>
      <c r="E811" s="7"/>
      <c r="F811" s="7"/>
    </row>
    <row r="812" spans="1:6" ht="13.2" x14ac:dyDescent="0.25">
      <c r="A812" s="7"/>
      <c r="E812" s="7"/>
      <c r="F812" s="7"/>
    </row>
    <row r="813" spans="1:6" ht="13.2" x14ac:dyDescent="0.25">
      <c r="A813" s="7"/>
      <c r="E813" s="7"/>
      <c r="F813" s="7"/>
    </row>
    <row r="814" spans="1:6" ht="13.2" x14ac:dyDescent="0.25">
      <c r="A814" s="7"/>
      <c r="E814" s="7"/>
      <c r="F814" s="7"/>
    </row>
    <row r="815" spans="1:6" ht="13.2" x14ac:dyDescent="0.25">
      <c r="A815" s="7"/>
      <c r="E815" s="7"/>
      <c r="F815" s="7"/>
    </row>
    <row r="816" spans="1:6" ht="13.2" x14ac:dyDescent="0.25">
      <c r="A816" s="7"/>
      <c r="E816" s="7"/>
      <c r="F816" s="7"/>
    </row>
    <row r="817" spans="1:6" ht="13.2" x14ac:dyDescent="0.25">
      <c r="A817" s="7"/>
      <c r="E817" s="7"/>
      <c r="F817" s="7"/>
    </row>
    <row r="818" spans="1:6" ht="13.2" x14ac:dyDescent="0.25">
      <c r="A818" s="7"/>
      <c r="E818" s="7"/>
      <c r="F818" s="7"/>
    </row>
    <row r="819" spans="1:6" ht="13.2" x14ac:dyDescent="0.25">
      <c r="A819" s="7"/>
      <c r="E819" s="7"/>
      <c r="F819" s="7"/>
    </row>
    <row r="820" spans="1:6" ht="13.2" x14ac:dyDescent="0.25">
      <c r="A820" s="7"/>
      <c r="E820" s="7"/>
      <c r="F820" s="7"/>
    </row>
    <row r="821" spans="1:6" ht="13.2" x14ac:dyDescent="0.25">
      <c r="A821" s="7"/>
      <c r="E821" s="7"/>
      <c r="F821" s="7"/>
    </row>
    <row r="822" spans="1:6" ht="13.2" x14ac:dyDescent="0.25">
      <c r="A822" s="7"/>
      <c r="E822" s="7"/>
      <c r="F822" s="7"/>
    </row>
    <row r="823" spans="1:6" ht="13.2" x14ac:dyDescent="0.25">
      <c r="A823" s="7"/>
      <c r="E823" s="7"/>
      <c r="F823" s="7"/>
    </row>
    <row r="824" spans="1:6" ht="13.2" x14ac:dyDescent="0.25">
      <c r="A824" s="7"/>
      <c r="E824" s="7"/>
      <c r="F824" s="7"/>
    </row>
    <row r="825" spans="1:6" ht="13.2" x14ac:dyDescent="0.25">
      <c r="A825" s="7"/>
      <c r="E825" s="7"/>
      <c r="F825" s="7"/>
    </row>
    <row r="826" spans="1:6" ht="13.2" x14ac:dyDescent="0.25">
      <c r="A826" s="7"/>
      <c r="E826" s="7"/>
      <c r="F826" s="7"/>
    </row>
    <row r="827" spans="1:6" ht="13.2" x14ac:dyDescent="0.25">
      <c r="A827" s="7"/>
      <c r="E827" s="7"/>
      <c r="F827" s="7"/>
    </row>
    <row r="828" spans="1:6" ht="13.2" x14ac:dyDescent="0.25">
      <c r="A828" s="7"/>
      <c r="E828" s="7"/>
      <c r="F828" s="7"/>
    </row>
    <row r="829" spans="1:6" ht="13.2" x14ac:dyDescent="0.25">
      <c r="A829" s="7"/>
      <c r="E829" s="7"/>
      <c r="F829" s="7"/>
    </row>
    <row r="830" spans="1:6" ht="13.2" x14ac:dyDescent="0.25">
      <c r="A830" s="7"/>
      <c r="E830" s="7"/>
      <c r="F830" s="7"/>
    </row>
    <row r="831" spans="1:6" ht="13.2" x14ac:dyDescent="0.25">
      <c r="A831" s="7"/>
      <c r="E831" s="7"/>
      <c r="F831" s="7"/>
    </row>
    <row r="832" spans="1:6" ht="13.2" x14ac:dyDescent="0.25">
      <c r="A832" s="7"/>
      <c r="E832" s="7"/>
      <c r="F832" s="7"/>
    </row>
    <row r="833" spans="1:6" ht="13.2" x14ac:dyDescent="0.25">
      <c r="A833" s="7"/>
      <c r="E833" s="7"/>
      <c r="F833" s="7"/>
    </row>
    <row r="834" spans="1:6" ht="13.2" x14ac:dyDescent="0.25">
      <c r="A834" s="7"/>
      <c r="E834" s="7"/>
      <c r="F834" s="7"/>
    </row>
    <row r="835" spans="1:6" ht="13.2" x14ac:dyDescent="0.25">
      <c r="A835" s="7"/>
      <c r="E835" s="7"/>
      <c r="F835" s="7"/>
    </row>
    <row r="836" spans="1:6" ht="13.2" x14ac:dyDescent="0.25">
      <c r="A836" s="7"/>
      <c r="E836" s="7"/>
      <c r="F836" s="7"/>
    </row>
    <row r="837" spans="1:6" ht="13.2" x14ac:dyDescent="0.25">
      <c r="A837" s="7"/>
      <c r="E837" s="7"/>
      <c r="F837" s="7"/>
    </row>
    <row r="838" spans="1:6" ht="13.2" x14ac:dyDescent="0.25">
      <c r="A838" s="7"/>
      <c r="E838" s="7"/>
      <c r="F838" s="7"/>
    </row>
    <row r="839" spans="1:6" ht="13.2" x14ac:dyDescent="0.25">
      <c r="A839" s="7"/>
      <c r="E839" s="7"/>
      <c r="F839" s="7"/>
    </row>
    <row r="840" spans="1:6" ht="13.2" x14ac:dyDescent="0.25">
      <c r="A840" s="7"/>
      <c r="E840" s="7"/>
      <c r="F840" s="7"/>
    </row>
    <row r="841" spans="1:6" ht="13.2" x14ac:dyDescent="0.25">
      <c r="A841" s="7"/>
      <c r="E841" s="7"/>
      <c r="F841" s="7"/>
    </row>
    <row r="842" spans="1:6" ht="13.2" x14ac:dyDescent="0.25">
      <c r="A842" s="7"/>
      <c r="E842" s="7"/>
      <c r="F842" s="7"/>
    </row>
    <row r="843" spans="1:6" ht="13.2" x14ac:dyDescent="0.25">
      <c r="A843" s="7"/>
      <c r="E843" s="7"/>
      <c r="F843" s="7"/>
    </row>
    <row r="844" spans="1:6" ht="13.2" x14ac:dyDescent="0.25">
      <c r="A844" s="7"/>
      <c r="E844" s="7"/>
      <c r="F844" s="7"/>
    </row>
    <row r="845" spans="1:6" ht="13.2" x14ac:dyDescent="0.25">
      <c r="A845" s="7"/>
      <c r="E845" s="7"/>
      <c r="F845" s="7"/>
    </row>
    <row r="846" spans="1:6" ht="13.2" x14ac:dyDescent="0.25">
      <c r="A846" s="7"/>
      <c r="E846" s="7"/>
      <c r="F846" s="7"/>
    </row>
    <row r="847" spans="1:6" ht="13.2" x14ac:dyDescent="0.25">
      <c r="A847" s="7"/>
      <c r="E847" s="7"/>
      <c r="F847" s="7"/>
    </row>
    <row r="848" spans="1:6" ht="13.2" x14ac:dyDescent="0.25">
      <c r="A848" s="7"/>
      <c r="E848" s="7"/>
      <c r="F848" s="7"/>
    </row>
    <row r="849" spans="1:6" ht="13.2" x14ac:dyDescent="0.25">
      <c r="A849" s="7"/>
      <c r="E849" s="7"/>
      <c r="F849" s="7"/>
    </row>
    <row r="850" spans="1:6" ht="13.2" x14ac:dyDescent="0.25">
      <c r="A850" s="7"/>
      <c r="E850" s="7"/>
      <c r="F850" s="7"/>
    </row>
    <row r="851" spans="1:6" ht="13.2" x14ac:dyDescent="0.25">
      <c r="A851" s="7"/>
      <c r="E851" s="7"/>
      <c r="F851" s="7"/>
    </row>
    <row r="852" spans="1:6" ht="13.2" x14ac:dyDescent="0.25">
      <c r="A852" s="7"/>
      <c r="E852" s="7"/>
      <c r="F852" s="7"/>
    </row>
    <row r="853" spans="1:6" ht="13.2" x14ac:dyDescent="0.25">
      <c r="A853" s="7"/>
      <c r="E853" s="7"/>
      <c r="F853" s="7"/>
    </row>
    <row r="854" spans="1:6" ht="13.2" x14ac:dyDescent="0.25">
      <c r="A854" s="7"/>
      <c r="E854" s="7"/>
      <c r="F854" s="7"/>
    </row>
    <row r="855" spans="1:6" ht="13.2" x14ac:dyDescent="0.25">
      <c r="A855" s="7"/>
      <c r="E855" s="7"/>
      <c r="F855" s="7"/>
    </row>
    <row r="856" spans="1:6" ht="13.2" x14ac:dyDescent="0.25">
      <c r="A856" s="7"/>
      <c r="E856" s="7"/>
      <c r="F856" s="7"/>
    </row>
    <row r="857" spans="1:6" ht="13.2" x14ac:dyDescent="0.25">
      <c r="A857" s="7"/>
      <c r="E857" s="7"/>
      <c r="F857" s="7"/>
    </row>
    <row r="858" spans="1:6" ht="13.2" x14ac:dyDescent="0.25">
      <c r="A858" s="7"/>
      <c r="E858" s="7"/>
      <c r="F858" s="7"/>
    </row>
    <row r="859" spans="1:6" ht="13.2" x14ac:dyDescent="0.25">
      <c r="A859" s="7"/>
      <c r="E859" s="7"/>
      <c r="F859" s="7"/>
    </row>
    <row r="860" spans="1:6" ht="13.2" x14ac:dyDescent="0.25">
      <c r="A860" s="7"/>
      <c r="E860" s="7"/>
      <c r="F860" s="7"/>
    </row>
    <row r="861" spans="1:6" ht="13.2" x14ac:dyDescent="0.25">
      <c r="A861" s="7"/>
      <c r="E861" s="7"/>
      <c r="F861" s="7"/>
    </row>
    <row r="862" spans="1:6" ht="13.2" x14ac:dyDescent="0.25">
      <c r="A862" s="7"/>
      <c r="E862" s="7"/>
      <c r="F862" s="7"/>
    </row>
    <row r="863" spans="1:6" ht="13.2" x14ac:dyDescent="0.25">
      <c r="A863" s="7"/>
      <c r="E863" s="7"/>
      <c r="F863" s="7"/>
    </row>
    <row r="864" spans="1:6" ht="13.2" x14ac:dyDescent="0.25">
      <c r="A864" s="7"/>
      <c r="E864" s="7"/>
      <c r="F864" s="7"/>
    </row>
    <row r="865" spans="1:6" ht="13.2" x14ac:dyDescent="0.25">
      <c r="A865" s="7"/>
      <c r="E865" s="7"/>
      <c r="F865" s="7"/>
    </row>
    <row r="866" spans="1:6" ht="13.2" x14ac:dyDescent="0.25">
      <c r="A866" s="7"/>
      <c r="E866" s="7"/>
      <c r="F866" s="7"/>
    </row>
    <row r="867" spans="1:6" ht="13.2" x14ac:dyDescent="0.25">
      <c r="A867" s="7"/>
      <c r="E867" s="7"/>
      <c r="F867" s="7"/>
    </row>
    <row r="868" spans="1:6" ht="13.2" x14ac:dyDescent="0.25">
      <c r="A868" s="7"/>
      <c r="E868" s="7"/>
      <c r="F868" s="7"/>
    </row>
    <row r="869" spans="1:6" ht="13.2" x14ac:dyDescent="0.25">
      <c r="A869" s="7"/>
      <c r="E869" s="7"/>
      <c r="F869" s="7"/>
    </row>
    <row r="870" spans="1:6" ht="13.2" x14ac:dyDescent="0.25">
      <c r="A870" s="7"/>
      <c r="E870" s="7"/>
      <c r="F870" s="7"/>
    </row>
    <row r="871" spans="1:6" ht="13.2" x14ac:dyDescent="0.25">
      <c r="A871" s="7"/>
      <c r="E871" s="7"/>
      <c r="F871" s="7"/>
    </row>
    <row r="872" spans="1:6" ht="13.2" x14ac:dyDescent="0.25">
      <c r="A872" s="7"/>
      <c r="E872" s="7"/>
      <c r="F872" s="7"/>
    </row>
    <row r="873" spans="1:6" ht="13.2" x14ac:dyDescent="0.25">
      <c r="A873" s="7"/>
      <c r="E873" s="7"/>
      <c r="F873" s="7"/>
    </row>
    <row r="874" spans="1:6" ht="13.2" x14ac:dyDescent="0.25">
      <c r="A874" s="7"/>
      <c r="E874" s="7"/>
      <c r="F874" s="7"/>
    </row>
    <row r="875" spans="1:6" ht="13.2" x14ac:dyDescent="0.25">
      <c r="A875" s="7"/>
      <c r="E875" s="7"/>
      <c r="F875" s="7"/>
    </row>
    <row r="876" spans="1:6" ht="13.2" x14ac:dyDescent="0.25">
      <c r="A876" s="7"/>
      <c r="E876" s="7"/>
      <c r="F876" s="7"/>
    </row>
    <row r="877" spans="1:6" ht="13.2" x14ac:dyDescent="0.25">
      <c r="A877" s="7"/>
      <c r="E877" s="7"/>
      <c r="F877" s="7"/>
    </row>
    <row r="878" spans="1:6" ht="13.2" x14ac:dyDescent="0.25">
      <c r="A878" s="7"/>
      <c r="E878" s="7"/>
      <c r="F878" s="7"/>
    </row>
    <row r="879" spans="1:6" ht="13.2" x14ac:dyDescent="0.25">
      <c r="A879" s="7"/>
      <c r="E879" s="7"/>
      <c r="F879" s="7"/>
    </row>
    <row r="880" spans="1:6" ht="13.2" x14ac:dyDescent="0.25">
      <c r="A880" s="7"/>
      <c r="E880" s="7"/>
      <c r="F880" s="7"/>
    </row>
    <row r="881" spans="1:6" ht="13.2" x14ac:dyDescent="0.25">
      <c r="A881" s="7"/>
      <c r="E881" s="7"/>
      <c r="F881" s="7"/>
    </row>
    <row r="882" spans="1:6" ht="13.2" x14ac:dyDescent="0.25">
      <c r="A882" s="7"/>
      <c r="E882" s="7"/>
      <c r="F882" s="7"/>
    </row>
    <row r="883" spans="1:6" ht="13.2" x14ac:dyDescent="0.25">
      <c r="A883" s="7"/>
      <c r="E883" s="7"/>
      <c r="F883" s="7"/>
    </row>
    <row r="884" spans="1:6" ht="13.2" x14ac:dyDescent="0.25">
      <c r="A884" s="7"/>
      <c r="E884" s="7"/>
      <c r="F884" s="7"/>
    </row>
    <row r="885" spans="1:6" ht="13.2" x14ac:dyDescent="0.25">
      <c r="A885" s="7"/>
      <c r="E885" s="7"/>
      <c r="F885" s="7"/>
    </row>
    <row r="886" spans="1:6" ht="13.2" x14ac:dyDescent="0.25">
      <c r="A886" s="7"/>
      <c r="E886" s="7"/>
      <c r="F886" s="7"/>
    </row>
    <row r="887" spans="1:6" ht="13.2" x14ac:dyDescent="0.25">
      <c r="A887" s="7"/>
      <c r="E887" s="7"/>
      <c r="F887" s="7"/>
    </row>
    <row r="888" spans="1:6" ht="13.2" x14ac:dyDescent="0.25">
      <c r="A888" s="7"/>
      <c r="E888" s="7"/>
      <c r="F888" s="7"/>
    </row>
    <row r="889" spans="1:6" ht="13.2" x14ac:dyDescent="0.25">
      <c r="A889" s="7"/>
      <c r="E889" s="7"/>
      <c r="F889" s="7"/>
    </row>
    <row r="890" spans="1:6" ht="13.2" x14ac:dyDescent="0.25">
      <c r="A890" s="7"/>
      <c r="E890" s="7"/>
      <c r="F890" s="7"/>
    </row>
    <row r="891" spans="1:6" ht="13.2" x14ac:dyDescent="0.25">
      <c r="A891" s="7"/>
      <c r="E891" s="7"/>
      <c r="F891" s="7"/>
    </row>
    <row r="892" spans="1:6" ht="13.2" x14ac:dyDescent="0.25">
      <c r="A892" s="7"/>
      <c r="E892" s="7"/>
      <c r="F892" s="7"/>
    </row>
    <row r="893" spans="1:6" ht="13.2" x14ac:dyDescent="0.25">
      <c r="A893" s="7"/>
      <c r="E893" s="7"/>
      <c r="F893" s="7"/>
    </row>
    <row r="894" spans="1:6" ht="13.2" x14ac:dyDescent="0.25">
      <c r="A894" s="7"/>
      <c r="E894" s="7"/>
      <c r="F894" s="7"/>
    </row>
    <row r="895" spans="1:6" ht="13.2" x14ac:dyDescent="0.25">
      <c r="A895" s="7"/>
      <c r="E895" s="7"/>
      <c r="F895" s="7"/>
    </row>
    <row r="896" spans="1:6" ht="13.2" x14ac:dyDescent="0.25">
      <c r="A896" s="7"/>
      <c r="E896" s="7"/>
      <c r="F896" s="7"/>
    </row>
    <row r="897" spans="1:6" ht="13.2" x14ac:dyDescent="0.25">
      <c r="A897" s="7"/>
      <c r="E897" s="7"/>
      <c r="F897" s="7"/>
    </row>
    <row r="898" spans="1:6" ht="13.2" x14ac:dyDescent="0.25">
      <c r="A898" s="7"/>
      <c r="E898" s="7"/>
      <c r="F898" s="7"/>
    </row>
    <row r="899" spans="1:6" ht="13.2" x14ac:dyDescent="0.25">
      <c r="A899" s="7"/>
      <c r="E899" s="7"/>
      <c r="F899" s="7"/>
    </row>
    <row r="900" spans="1:6" ht="13.2" x14ac:dyDescent="0.25">
      <c r="A900" s="7"/>
      <c r="E900" s="7"/>
      <c r="F900" s="7"/>
    </row>
    <row r="901" spans="1:6" ht="13.2" x14ac:dyDescent="0.25">
      <c r="A901" s="7"/>
      <c r="E901" s="7"/>
      <c r="F901" s="7"/>
    </row>
    <row r="902" spans="1:6" ht="13.2" x14ac:dyDescent="0.25">
      <c r="A902" s="7"/>
      <c r="E902" s="7"/>
      <c r="F902" s="7"/>
    </row>
    <row r="903" spans="1:6" ht="13.2" x14ac:dyDescent="0.25">
      <c r="A903" s="7"/>
      <c r="E903" s="7"/>
      <c r="F903" s="7"/>
    </row>
    <row r="904" spans="1:6" ht="13.2" x14ac:dyDescent="0.25">
      <c r="A904" s="7"/>
      <c r="E904" s="7"/>
      <c r="F904" s="7"/>
    </row>
    <row r="905" spans="1:6" ht="13.2" x14ac:dyDescent="0.25">
      <c r="A905" s="7"/>
      <c r="E905" s="7"/>
      <c r="F905" s="7"/>
    </row>
    <row r="906" spans="1:6" ht="13.2" x14ac:dyDescent="0.25">
      <c r="A906" s="7"/>
      <c r="E906" s="7"/>
      <c r="F906" s="7"/>
    </row>
    <row r="907" spans="1:6" ht="13.2" x14ac:dyDescent="0.25">
      <c r="A907" s="7"/>
      <c r="E907" s="7"/>
      <c r="F907" s="7"/>
    </row>
    <row r="908" spans="1:6" ht="13.2" x14ac:dyDescent="0.25">
      <c r="A908" s="7"/>
      <c r="E908" s="7"/>
      <c r="F908" s="7"/>
    </row>
    <row r="909" spans="1:6" ht="13.2" x14ac:dyDescent="0.25">
      <c r="A909" s="7"/>
      <c r="E909" s="7"/>
      <c r="F909" s="7"/>
    </row>
    <row r="910" spans="1:6" ht="13.2" x14ac:dyDescent="0.25">
      <c r="A910" s="7"/>
      <c r="E910" s="7"/>
      <c r="F910" s="7"/>
    </row>
    <row r="911" spans="1:6" ht="13.2" x14ac:dyDescent="0.25">
      <c r="A911" s="7"/>
      <c r="E911" s="7"/>
      <c r="F911" s="7"/>
    </row>
    <row r="912" spans="1:6" ht="13.2" x14ac:dyDescent="0.25">
      <c r="A912" s="7"/>
      <c r="E912" s="7"/>
      <c r="F912" s="7"/>
    </row>
    <row r="913" spans="1:6" ht="13.2" x14ac:dyDescent="0.25">
      <c r="A913" s="7"/>
      <c r="E913" s="7"/>
      <c r="F913" s="7"/>
    </row>
    <row r="914" spans="1:6" ht="13.2" x14ac:dyDescent="0.25">
      <c r="A914" s="7"/>
      <c r="E914" s="7"/>
      <c r="F914" s="7"/>
    </row>
    <row r="915" spans="1:6" ht="13.2" x14ac:dyDescent="0.25">
      <c r="A915" s="7"/>
      <c r="E915" s="7"/>
      <c r="F915" s="7"/>
    </row>
    <row r="916" spans="1:6" ht="13.2" x14ac:dyDescent="0.25">
      <c r="A916" s="7"/>
      <c r="E916" s="7"/>
      <c r="F916" s="7"/>
    </row>
    <row r="917" spans="1:6" ht="13.2" x14ac:dyDescent="0.25">
      <c r="A917" s="7"/>
      <c r="E917" s="7"/>
      <c r="F917" s="7"/>
    </row>
    <row r="918" spans="1:6" ht="13.2" x14ac:dyDescent="0.25">
      <c r="A918" s="7"/>
      <c r="E918" s="7"/>
      <c r="F918" s="7"/>
    </row>
    <row r="919" spans="1:6" ht="13.2" x14ac:dyDescent="0.25">
      <c r="A919" s="7"/>
      <c r="E919" s="7"/>
      <c r="F919" s="7"/>
    </row>
    <row r="920" spans="1:6" ht="13.2" x14ac:dyDescent="0.25">
      <c r="A920" s="7"/>
      <c r="E920" s="7"/>
      <c r="F920" s="7"/>
    </row>
    <row r="921" spans="1:6" ht="13.2" x14ac:dyDescent="0.25">
      <c r="A921" s="7"/>
      <c r="E921" s="7"/>
      <c r="F921" s="7"/>
    </row>
    <row r="922" spans="1:6" ht="13.2" x14ac:dyDescent="0.25">
      <c r="A922" s="7"/>
      <c r="E922" s="7"/>
      <c r="F922" s="7"/>
    </row>
    <row r="923" spans="1:6" ht="13.2" x14ac:dyDescent="0.25">
      <c r="A923" s="7"/>
      <c r="E923" s="7"/>
      <c r="F923" s="7"/>
    </row>
    <row r="924" spans="1:6" ht="13.2" x14ac:dyDescent="0.25">
      <c r="A924" s="7"/>
      <c r="E924" s="7"/>
      <c r="F924" s="7"/>
    </row>
    <row r="925" spans="1:6" ht="13.2" x14ac:dyDescent="0.25">
      <c r="A925" s="7"/>
      <c r="E925" s="7"/>
      <c r="F925" s="7"/>
    </row>
    <row r="926" spans="1:6" ht="13.2" x14ac:dyDescent="0.25">
      <c r="A926" s="7"/>
      <c r="E926" s="7"/>
      <c r="F926" s="7"/>
    </row>
    <row r="927" spans="1:6" ht="13.2" x14ac:dyDescent="0.25">
      <c r="A927" s="7"/>
      <c r="E927" s="7"/>
      <c r="F927" s="7"/>
    </row>
    <row r="928" spans="1:6" ht="13.2" x14ac:dyDescent="0.25">
      <c r="A928" s="7"/>
      <c r="E928" s="7"/>
      <c r="F928" s="7"/>
    </row>
    <row r="929" spans="1:6" ht="13.2" x14ac:dyDescent="0.25">
      <c r="A929" s="7"/>
      <c r="E929" s="7"/>
      <c r="F929" s="7"/>
    </row>
    <row r="930" spans="1:6" ht="13.2" x14ac:dyDescent="0.25">
      <c r="A930" s="7"/>
      <c r="E930" s="7"/>
      <c r="F930" s="7"/>
    </row>
    <row r="931" spans="1:6" ht="13.2" x14ac:dyDescent="0.25">
      <c r="A931" s="7"/>
      <c r="E931" s="7"/>
      <c r="F931" s="7"/>
    </row>
    <row r="932" spans="1:6" ht="13.2" x14ac:dyDescent="0.25">
      <c r="A932" s="7"/>
      <c r="E932" s="7"/>
      <c r="F932" s="7"/>
    </row>
    <row r="933" spans="1:6" ht="13.2" x14ac:dyDescent="0.25">
      <c r="A933" s="7"/>
      <c r="E933" s="7"/>
      <c r="F933" s="7"/>
    </row>
    <row r="934" spans="1:6" ht="13.2" x14ac:dyDescent="0.25">
      <c r="A934" s="7"/>
      <c r="E934" s="7"/>
      <c r="F934" s="7"/>
    </row>
    <row r="935" spans="1:6" ht="13.2" x14ac:dyDescent="0.25">
      <c r="A935" s="7"/>
      <c r="E935" s="7"/>
      <c r="F935" s="7"/>
    </row>
    <row r="936" spans="1:6" ht="13.2" x14ac:dyDescent="0.25">
      <c r="A936" s="7"/>
      <c r="E936" s="7"/>
      <c r="F936" s="7"/>
    </row>
    <row r="937" spans="1:6" ht="13.2" x14ac:dyDescent="0.25">
      <c r="A937" s="7"/>
      <c r="E937" s="7"/>
      <c r="F937" s="7"/>
    </row>
    <row r="938" spans="1:6" ht="13.2" x14ac:dyDescent="0.25">
      <c r="A938" s="7"/>
      <c r="E938" s="7"/>
      <c r="F938" s="7"/>
    </row>
    <row r="939" spans="1:6" ht="13.2" x14ac:dyDescent="0.25">
      <c r="A939" s="7"/>
      <c r="E939" s="7"/>
      <c r="F939" s="7"/>
    </row>
    <row r="940" spans="1:6" ht="13.2" x14ac:dyDescent="0.25">
      <c r="A940" s="7"/>
      <c r="E940" s="7"/>
      <c r="F940" s="7"/>
    </row>
    <row r="941" spans="1:6" ht="13.2" x14ac:dyDescent="0.25">
      <c r="A941" s="7"/>
      <c r="E941" s="7"/>
      <c r="F941" s="7"/>
    </row>
    <row r="942" spans="1:6" ht="13.2" x14ac:dyDescent="0.25">
      <c r="A942" s="7"/>
      <c r="E942" s="7"/>
      <c r="F942" s="7"/>
    </row>
    <row r="943" spans="1:6" ht="13.2" x14ac:dyDescent="0.25">
      <c r="A943" s="7"/>
      <c r="E943" s="7"/>
      <c r="F943" s="7"/>
    </row>
    <row r="944" spans="1:6" ht="13.2" x14ac:dyDescent="0.25">
      <c r="A944" s="7"/>
      <c r="E944" s="7"/>
      <c r="F944" s="7"/>
    </row>
    <row r="945" spans="1:6" ht="13.2" x14ac:dyDescent="0.25">
      <c r="A945" s="7"/>
      <c r="E945" s="7"/>
      <c r="F945" s="7"/>
    </row>
    <row r="946" spans="1:6" ht="13.2" x14ac:dyDescent="0.25">
      <c r="A946" s="7"/>
      <c r="E946" s="7"/>
      <c r="F946" s="7"/>
    </row>
    <row r="947" spans="1:6" ht="13.2" x14ac:dyDescent="0.25">
      <c r="A947" s="7"/>
      <c r="E947" s="7"/>
      <c r="F947" s="7"/>
    </row>
    <row r="948" spans="1:6" ht="13.2" x14ac:dyDescent="0.25">
      <c r="A948" s="7"/>
      <c r="E948" s="7"/>
      <c r="F948" s="7"/>
    </row>
    <row r="949" spans="1:6" ht="13.2" x14ac:dyDescent="0.25">
      <c r="A949" s="7"/>
      <c r="E949" s="7"/>
      <c r="F949" s="7"/>
    </row>
    <row r="950" spans="1:6" ht="13.2" x14ac:dyDescent="0.25">
      <c r="A950" s="7"/>
      <c r="E950" s="7"/>
      <c r="F950" s="7"/>
    </row>
    <row r="951" spans="1:6" ht="13.2" x14ac:dyDescent="0.25">
      <c r="A951" s="7"/>
      <c r="E951" s="7"/>
      <c r="F951" s="7"/>
    </row>
    <row r="952" spans="1:6" ht="13.2" x14ac:dyDescent="0.25">
      <c r="A952" s="7"/>
      <c r="E952" s="7"/>
      <c r="F952" s="7"/>
    </row>
    <row r="953" spans="1:6" ht="13.2" x14ac:dyDescent="0.25">
      <c r="A953" s="7"/>
      <c r="E953" s="7"/>
      <c r="F953" s="7"/>
    </row>
    <row r="954" spans="1:6" ht="13.2" x14ac:dyDescent="0.25">
      <c r="A954" s="7"/>
      <c r="E954" s="7"/>
      <c r="F954" s="7"/>
    </row>
    <row r="955" spans="1:6" ht="13.2" x14ac:dyDescent="0.25">
      <c r="A955" s="7"/>
      <c r="E955" s="7"/>
      <c r="F955" s="7"/>
    </row>
    <row r="956" spans="1:6" ht="13.2" x14ac:dyDescent="0.25">
      <c r="A956" s="7"/>
      <c r="E956" s="7"/>
      <c r="F956" s="7"/>
    </row>
    <row r="957" spans="1:6" ht="13.2" x14ac:dyDescent="0.25">
      <c r="A957" s="7"/>
      <c r="E957" s="7"/>
      <c r="F957" s="7"/>
    </row>
    <row r="958" spans="1:6" ht="13.2" x14ac:dyDescent="0.25">
      <c r="A958" s="7"/>
      <c r="E958" s="7"/>
      <c r="F958" s="7"/>
    </row>
    <row r="959" spans="1:6" ht="13.2" x14ac:dyDescent="0.25">
      <c r="A959" s="7"/>
      <c r="E959" s="7"/>
      <c r="F959" s="7"/>
    </row>
    <row r="960" spans="1:6" ht="13.2" x14ac:dyDescent="0.25">
      <c r="A960" s="7"/>
      <c r="E960" s="7"/>
      <c r="F960" s="7"/>
    </row>
    <row r="961" spans="1:6" ht="13.2" x14ac:dyDescent="0.25">
      <c r="A961" s="7"/>
      <c r="E961" s="7"/>
      <c r="F961" s="7"/>
    </row>
    <row r="962" spans="1:6" ht="13.2" x14ac:dyDescent="0.25">
      <c r="A962" s="7"/>
      <c r="E962" s="7"/>
      <c r="F962" s="7"/>
    </row>
    <row r="963" spans="1:6" ht="13.2" x14ac:dyDescent="0.25">
      <c r="A963" s="7"/>
      <c r="E963" s="7"/>
      <c r="F963" s="7"/>
    </row>
    <row r="964" spans="1:6" ht="13.2" x14ac:dyDescent="0.25">
      <c r="A964" s="7"/>
      <c r="E964" s="7"/>
      <c r="F964" s="7"/>
    </row>
    <row r="965" spans="1:6" ht="13.2" x14ac:dyDescent="0.25">
      <c r="A965" s="7"/>
      <c r="E965" s="7"/>
      <c r="F965" s="7"/>
    </row>
    <row r="966" spans="1:6" ht="13.2" x14ac:dyDescent="0.25">
      <c r="A966" s="7"/>
      <c r="E966" s="7"/>
      <c r="F966" s="7"/>
    </row>
    <row r="967" spans="1:6" ht="13.2" x14ac:dyDescent="0.25">
      <c r="A967" s="7"/>
      <c r="E967" s="7"/>
      <c r="F967" s="7"/>
    </row>
    <row r="968" spans="1:6" ht="13.2" x14ac:dyDescent="0.25">
      <c r="A968" s="7"/>
      <c r="E968" s="7"/>
      <c r="F968" s="7"/>
    </row>
    <row r="969" spans="1:6" ht="13.2" x14ac:dyDescent="0.25">
      <c r="A969" s="7"/>
      <c r="E969" s="7"/>
      <c r="F969" s="7"/>
    </row>
    <row r="970" spans="1:6" ht="13.2" x14ac:dyDescent="0.25">
      <c r="A970" s="7"/>
      <c r="E970" s="7"/>
      <c r="F970" s="7"/>
    </row>
    <row r="971" spans="1:6" ht="13.2" x14ac:dyDescent="0.25">
      <c r="A971" s="7"/>
      <c r="E971" s="7"/>
      <c r="F971" s="7"/>
    </row>
    <row r="972" spans="1:6" ht="13.2" x14ac:dyDescent="0.25">
      <c r="A972" s="7"/>
      <c r="E972" s="7"/>
      <c r="F972" s="7"/>
    </row>
    <row r="973" spans="1:6" ht="13.2" x14ac:dyDescent="0.25">
      <c r="A973" s="7"/>
      <c r="E973" s="7"/>
      <c r="F973" s="7"/>
    </row>
    <row r="974" spans="1:6" ht="13.2" x14ac:dyDescent="0.25">
      <c r="A974" s="7"/>
      <c r="E974" s="7"/>
      <c r="F974" s="7"/>
    </row>
    <row r="975" spans="1:6" ht="13.2" x14ac:dyDescent="0.25">
      <c r="A975" s="7"/>
      <c r="E975" s="7"/>
      <c r="F975" s="7"/>
    </row>
    <row r="976" spans="1:6" ht="13.2" x14ac:dyDescent="0.25">
      <c r="A976" s="7"/>
      <c r="E976" s="7"/>
      <c r="F976" s="7"/>
    </row>
    <row r="977" spans="1:6" ht="13.2" x14ac:dyDescent="0.25">
      <c r="A977" s="7"/>
      <c r="E977" s="7"/>
      <c r="F977" s="7"/>
    </row>
    <row r="978" spans="1:6" ht="13.2" x14ac:dyDescent="0.25">
      <c r="A978" s="7"/>
      <c r="E978" s="7"/>
      <c r="F978" s="7"/>
    </row>
    <row r="979" spans="1:6" ht="13.2" x14ac:dyDescent="0.25">
      <c r="A979" s="7"/>
      <c r="E979" s="7"/>
      <c r="F979" s="7"/>
    </row>
    <row r="980" spans="1:6" ht="13.2" x14ac:dyDescent="0.25">
      <c r="A980" s="7"/>
      <c r="E980" s="7"/>
      <c r="F980" s="7"/>
    </row>
    <row r="981" spans="1:6" ht="13.2" x14ac:dyDescent="0.25">
      <c r="A981" s="7"/>
      <c r="E981" s="7"/>
      <c r="F981" s="7"/>
    </row>
    <row r="982" spans="1:6" ht="13.2" x14ac:dyDescent="0.25">
      <c r="A982" s="7"/>
      <c r="E982" s="7"/>
      <c r="F982" s="7"/>
    </row>
    <row r="983" spans="1:6" ht="13.2" x14ac:dyDescent="0.25">
      <c r="A983" s="7"/>
      <c r="E983" s="7"/>
      <c r="F983" s="7"/>
    </row>
    <row r="984" spans="1:6" ht="13.2" x14ac:dyDescent="0.25">
      <c r="A984" s="7"/>
      <c r="E984" s="7"/>
      <c r="F984" s="7"/>
    </row>
    <row r="985" spans="1:6" ht="13.2" x14ac:dyDescent="0.25">
      <c r="A985" s="7"/>
      <c r="E985" s="7"/>
      <c r="F985" s="7"/>
    </row>
    <row r="986" spans="1:6" ht="13.2" x14ac:dyDescent="0.25">
      <c r="A986" s="7"/>
      <c r="E986" s="7"/>
      <c r="F986" s="7"/>
    </row>
    <row r="987" spans="1:6" ht="13.2" x14ac:dyDescent="0.25">
      <c r="A987" s="7"/>
      <c r="E987" s="7"/>
      <c r="F987" s="7"/>
    </row>
    <row r="988" spans="1:6" ht="13.2" x14ac:dyDescent="0.25">
      <c r="A988" s="7"/>
      <c r="E988" s="7"/>
      <c r="F988" s="7"/>
    </row>
    <row r="989" spans="1:6" ht="13.2" x14ac:dyDescent="0.25">
      <c r="A989" s="7"/>
      <c r="E989" s="7"/>
      <c r="F989" s="7"/>
    </row>
    <row r="990" spans="1:6" ht="13.2" x14ac:dyDescent="0.25">
      <c r="A990" s="7"/>
      <c r="E990" s="7"/>
      <c r="F990" s="7"/>
    </row>
    <row r="991" spans="1:6" ht="13.2" x14ac:dyDescent="0.25">
      <c r="A991" s="7"/>
      <c r="E991" s="7"/>
      <c r="F991" s="7"/>
    </row>
    <row r="992" spans="1:6" ht="13.2" x14ac:dyDescent="0.25">
      <c r="A992" s="7"/>
      <c r="E992" s="7"/>
      <c r="F992" s="7"/>
    </row>
    <row r="993" spans="1:6" ht="13.2" x14ac:dyDescent="0.25">
      <c r="A993" s="7"/>
      <c r="E993" s="7"/>
      <c r="F993" s="7"/>
    </row>
    <row r="994" spans="1:6" ht="13.2" x14ac:dyDescent="0.25">
      <c r="A994" s="7"/>
      <c r="E994" s="7"/>
      <c r="F994" s="7"/>
    </row>
    <row r="995" spans="1:6" ht="13.2" x14ac:dyDescent="0.25">
      <c r="A995" s="7"/>
      <c r="E995" s="7"/>
      <c r="F995" s="7"/>
    </row>
    <row r="996" spans="1:6" ht="13.2" x14ac:dyDescent="0.25">
      <c r="A996" s="7"/>
      <c r="E996" s="7"/>
      <c r="F996" s="7"/>
    </row>
    <row r="997" spans="1:6" ht="13.2" x14ac:dyDescent="0.25">
      <c r="A997" s="7"/>
      <c r="E997" s="7"/>
      <c r="F997" s="7"/>
    </row>
    <row r="998" spans="1:6" ht="13.2" x14ac:dyDescent="0.25">
      <c r="A998" s="7"/>
      <c r="E998" s="7"/>
      <c r="F998" s="7"/>
    </row>
    <row r="999" spans="1:6" ht="13.2" x14ac:dyDescent="0.25">
      <c r="A999" s="7"/>
      <c r="E999" s="7"/>
      <c r="F999" s="7"/>
    </row>
    <row r="1000" spans="1:6" ht="13.2" x14ac:dyDescent="0.25">
      <c r="A1000" s="7"/>
      <c r="E1000" s="7"/>
      <c r="F1000" s="7"/>
    </row>
    <row r="1001" spans="1:6" ht="13.2" x14ac:dyDescent="0.25">
      <c r="A1001" s="7"/>
      <c r="E1001" s="7"/>
      <c r="F1001" s="7"/>
    </row>
  </sheetData>
  <mergeCells count="4">
    <mergeCell ref="A1:I1"/>
    <mergeCell ref="A2:I2"/>
    <mergeCell ref="B3:C3"/>
    <mergeCell ref="A15:I15"/>
  </mergeCells>
  <printOptions horizontalCentered="1" verticalCentered="1" gridLines="1"/>
  <pageMargins left="0.25" right="0.25" top="0.75" bottom="0.75" header="0" footer="0"/>
  <pageSetup fitToHeight="0" pageOrder="overThenDown" orientation="landscape" cellComments="atEnd"/>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outlinePr summaryBelow="0" summaryRight="0"/>
    <pageSetUpPr fitToPage="1"/>
  </sheetPr>
  <dimension ref="A1:W1001"/>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46.33203125" customWidth="1"/>
    <col min="2" max="2" width="7.33203125" customWidth="1"/>
    <col min="3" max="4" width="7.88671875" customWidth="1"/>
    <col min="5" max="5" width="22.21875" customWidth="1"/>
    <col min="6" max="6" width="14.6640625" customWidth="1"/>
  </cols>
  <sheetData>
    <row r="1" spans="1:23" x14ac:dyDescent="0.25">
      <c r="A1" s="141" t="s">
        <v>891</v>
      </c>
      <c r="B1" s="142"/>
      <c r="C1" s="142"/>
      <c r="D1" s="142"/>
      <c r="E1" s="142"/>
      <c r="F1" s="142"/>
      <c r="G1" s="142"/>
      <c r="H1" s="142"/>
      <c r="I1" s="143"/>
    </row>
    <row r="2" spans="1:23" x14ac:dyDescent="0.25">
      <c r="A2" s="144" t="s">
        <v>892</v>
      </c>
      <c r="B2" s="142"/>
      <c r="C2" s="142"/>
      <c r="D2" s="142"/>
      <c r="E2" s="142"/>
      <c r="F2" s="142"/>
      <c r="G2" s="142"/>
      <c r="H2" s="142"/>
      <c r="I2" s="143"/>
    </row>
    <row r="3" spans="1:23" x14ac:dyDescent="0.25">
      <c r="A3" s="43" t="s">
        <v>374</v>
      </c>
      <c r="B3" s="145" t="s">
        <v>408</v>
      </c>
      <c r="C3" s="143"/>
      <c r="D3" s="49" t="s">
        <v>370</v>
      </c>
      <c r="E3" s="50" t="s">
        <v>371</v>
      </c>
      <c r="F3" s="51" t="s">
        <v>372</v>
      </c>
      <c r="G3" s="52" t="s">
        <v>373</v>
      </c>
      <c r="H3" s="53" t="s">
        <v>409</v>
      </c>
      <c r="I3" s="53" t="s">
        <v>410</v>
      </c>
      <c r="J3" s="7"/>
      <c r="K3" s="7"/>
      <c r="L3" s="7"/>
      <c r="M3" s="7"/>
      <c r="N3" s="7"/>
      <c r="O3" s="7"/>
      <c r="P3" s="7"/>
      <c r="Q3" s="7"/>
      <c r="R3" s="7"/>
      <c r="S3" s="7"/>
      <c r="T3" s="7"/>
      <c r="U3" s="7"/>
      <c r="V3" s="7"/>
      <c r="W3" s="7"/>
    </row>
    <row r="4" spans="1:23" x14ac:dyDescent="0.25">
      <c r="A4" s="41" t="s">
        <v>411</v>
      </c>
      <c r="B4" s="54">
        <f>SUM(B5:B8)/3</f>
        <v>1</v>
      </c>
      <c r="C4" s="55">
        <f>D4*B4</f>
        <v>0.7</v>
      </c>
      <c r="D4" s="56">
        <v>0.7</v>
      </c>
      <c r="E4" s="57"/>
      <c r="F4" s="57"/>
      <c r="G4" s="58"/>
      <c r="H4" s="58"/>
      <c r="I4" s="58"/>
    </row>
    <row r="5" spans="1:23" x14ac:dyDescent="0.25">
      <c r="A5" s="42" t="s">
        <v>893</v>
      </c>
      <c r="B5" s="59">
        <v>1</v>
      </c>
      <c r="C5" s="60"/>
      <c r="D5" s="60"/>
      <c r="E5" s="42"/>
      <c r="F5" s="61"/>
      <c r="G5" s="59">
        <v>0.8</v>
      </c>
      <c r="H5" s="59">
        <v>0.8</v>
      </c>
      <c r="I5" s="59">
        <v>1</v>
      </c>
    </row>
    <row r="6" spans="1:23" x14ac:dyDescent="0.25">
      <c r="A6" s="42" t="s">
        <v>894</v>
      </c>
      <c r="B6" s="59">
        <v>1</v>
      </c>
      <c r="C6" s="60"/>
      <c r="D6" s="60"/>
      <c r="E6" s="42"/>
      <c r="F6" s="61"/>
      <c r="G6" s="59">
        <v>0.8</v>
      </c>
      <c r="H6" s="59">
        <v>0.8</v>
      </c>
      <c r="I6" s="59">
        <v>1</v>
      </c>
    </row>
    <row r="7" spans="1:23" x14ac:dyDescent="0.25">
      <c r="A7" s="42" t="s">
        <v>895</v>
      </c>
      <c r="B7" s="59">
        <v>1</v>
      </c>
      <c r="C7" s="60"/>
      <c r="D7" s="60"/>
      <c r="E7" s="42"/>
      <c r="F7" s="61"/>
      <c r="G7" s="59">
        <v>0.8</v>
      </c>
      <c r="H7" s="59">
        <v>0.8</v>
      </c>
      <c r="I7" s="59">
        <v>1</v>
      </c>
    </row>
    <row r="8" spans="1:23" x14ac:dyDescent="0.25">
      <c r="A8" s="42"/>
      <c r="B8" s="62"/>
      <c r="C8" s="60"/>
      <c r="D8" s="60"/>
      <c r="E8" s="42"/>
      <c r="F8" s="42"/>
      <c r="G8" s="60"/>
      <c r="H8" s="60"/>
      <c r="I8" s="60"/>
    </row>
    <row r="9" spans="1:23" x14ac:dyDescent="0.25">
      <c r="A9" s="41" t="s">
        <v>415</v>
      </c>
      <c r="B9" s="54">
        <f>SUM(B10:B11)/1</f>
        <v>1</v>
      </c>
      <c r="C9" s="55">
        <f>D9*B9</f>
        <v>0.2</v>
      </c>
      <c r="D9" s="56">
        <v>0.2</v>
      </c>
      <c r="E9" s="57"/>
      <c r="F9" s="57"/>
      <c r="G9" s="58"/>
      <c r="H9" s="58"/>
      <c r="I9" s="58"/>
    </row>
    <row r="10" spans="1:23" x14ac:dyDescent="0.25">
      <c r="A10" s="42" t="s">
        <v>896</v>
      </c>
      <c r="B10" s="59">
        <v>1</v>
      </c>
      <c r="C10" s="60"/>
      <c r="D10" s="60"/>
      <c r="E10" s="42" t="s">
        <v>897</v>
      </c>
      <c r="F10" s="42" t="s">
        <v>425</v>
      </c>
      <c r="G10" s="59">
        <v>1</v>
      </c>
      <c r="H10" s="59"/>
      <c r="I10" s="59"/>
    </row>
    <row r="11" spans="1:23" x14ac:dyDescent="0.25">
      <c r="A11" s="43"/>
      <c r="B11" s="62"/>
      <c r="C11" s="60"/>
      <c r="D11" s="60"/>
      <c r="E11" s="42"/>
      <c r="F11" s="61"/>
      <c r="G11" s="59"/>
      <c r="H11" s="59"/>
      <c r="I11" s="59"/>
    </row>
    <row r="12" spans="1:23" x14ac:dyDescent="0.25">
      <c r="A12" s="41" t="s">
        <v>385</v>
      </c>
      <c r="B12" s="54">
        <f>SUM(B13:B14)/2</f>
        <v>1</v>
      </c>
      <c r="C12" s="55">
        <f>D12*B12</f>
        <v>0.1</v>
      </c>
      <c r="D12" s="56">
        <v>0.1</v>
      </c>
      <c r="E12" s="57"/>
      <c r="F12" s="57"/>
      <c r="G12" s="58"/>
      <c r="H12" s="58"/>
      <c r="I12" s="58"/>
    </row>
    <row r="13" spans="1:23" x14ac:dyDescent="0.25">
      <c r="A13" s="42" t="s">
        <v>386</v>
      </c>
      <c r="B13" s="59">
        <v>1</v>
      </c>
      <c r="C13" s="60"/>
      <c r="D13" s="53"/>
      <c r="E13" s="42"/>
      <c r="F13" s="42" t="s">
        <v>425</v>
      </c>
      <c r="G13" s="59">
        <v>0.8</v>
      </c>
      <c r="H13" s="59">
        <v>0.8</v>
      </c>
      <c r="I13" s="59">
        <v>1</v>
      </c>
    </row>
    <row r="14" spans="1:23" x14ac:dyDescent="0.25">
      <c r="A14" s="42" t="s">
        <v>387</v>
      </c>
      <c r="B14" s="59">
        <v>1</v>
      </c>
      <c r="C14" s="60"/>
      <c r="D14" s="53"/>
      <c r="E14" s="42"/>
      <c r="F14" s="42" t="s">
        <v>419</v>
      </c>
      <c r="G14" s="59">
        <v>0.8</v>
      </c>
      <c r="H14" s="59">
        <v>0.8</v>
      </c>
      <c r="I14" s="59">
        <v>1</v>
      </c>
    </row>
    <row r="15" spans="1:23" x14ac:dyDescent="0.25">
      <c r="A15" s="42"/>
      <c r="B15" s="60"/>
      <c r="C15" s="64">
        <f t="shared" ref="C15:D15" si="0">SUM(C4+C9+C12)</f>
        <v>0.99999999999999989</v>
      </c>
      <c r="D15" s="64">
        <f t="shared" si="0"/>
        <v>0.99999999999999989</v>
      </c>
      <c r="E15" s="42"/>
      <c r="F15" s="42"/>
      <c r="G15" s="60"/>
      <c r="H15" s="60"/>
      <c r="I15" s="60"/>
    </row>
    <row r="16" spans="1:23" x14ac:dyDescent="0.25">
      <c r="A16" s="152" t="s">
        <v>898</v>
      </c>
      <c r="B16" s="142"/>
      <c r="C16" s="142"/>
      <c r="D16" s="142"/>
      <c r="E16" s="142"/>
      <c r="F16" s="142"/>
      <c r="G16" s="142"/>
      <c r="H16" s="142"/>
      <c r="I16" s="143"/>
    </row>
    <row r="17" spans="1:9" x14ac:dyDescent="0.25">
      <c r="A17" s="66" t="s">
        <v>899</v>
      </c>
      <c r="B17" s="67" t="s">
        <v>423</v>
      </c>
      <c r="C17" s="64"/>
      <c r="D17" s="64"/>
      <c r="E17" s="68" t="s">
        <v>160</v>
      </c>
      <c r="F17" s="42" t="s">
        <v>425</v>
      </c>
      <c r="G17" s="42"/>
      <c r="H17" s="60"/>
      <c r="I17" s="60"/>
    </row>
    <row r="18" spans="1:9" x14ac:dyDescent="0.25">
      <c r="A18" s="66" t="s">
        <v>900</v>
      </c>
      <c r="B18" s="67" t="s">
        <v>423</v>
      </c>
      <c r="C18" s="64"/>
      <c r="D18" s="64"/>
      <c r="E18" s="68" t="s">
        <v>174</v>
      </c>
      <c r="F18" s="42" t="s">
        <v>425</v>
      </c>
      <c r="G18" s="42"/>
      <c r="H18" s="60"/>
      <c r="I18" s="60"/>
    </row>
    <row r="19" spans="1:9" x14ac:dyDescent="0.25">
      <c r="A19" s="66" t="s">
        <v>901</v>
      </c>
      <c r="B19" s="67" t="s">
        <v>423</v>
      </c>
      <c r="C19" s="64"/>
      <c r="D19" s="64"/>
      <c r="E19" s="68" t="s">
        <v>184</v>
      </c>
      <c r="F19" s="42" t="s">
        <v>425</v>
      </c>
      <c r="G19" s="42"/>
      <c r="H19" s="60"/>
      <c r="I19" s="60"/>
    </row>
    <row r="20" spans="1:9" x14ac:dyDescent="0.25">
      <c r="A20" s="66" t="s">
        <v>902</v>
      </c>
      <c r="B20" s="67" t="s">
        <v>423</v>
      </c>
      <c r="C20" s="64"/>
      <c r="D20" s="64"/>
      <c r="E20" s="68" t="s">
        <v>193</v>
      </c>
      <c r="F20" s="42" t="s">
        <v>425</v>
      </c>
      <c r="G20" s="42"/>
      <c r="H20" s="60"/>
      <c r="I20" s="60"/>
    </row>
    <row r="21" spans="1:9" x14ac:dyDescent="0.25">
      <c r="A21" s="66" t="s">
        <v>903</v>
      </c>
      <c r="B21" s="67" t="s">
        <v>423</v>
      </c>
      <c r="C21" s="64"/>
      <c r="D21" s="64"/>
      <c r="E21" s="68" t="s">
        <v>199</v>
      </c>
      <c r="F21" s="42" t="s">
        <v>425</v>
      </c>
      <c r="G21" s="42"/>
      <c r="H21" s="60"/>
      <c r="I21" s="60"/>
    </row>
    <row r="22" spans="1:9" x14ac:dyDescent="0.25">
      <c r="A22" s="66" t="s">
        <v>904</v>
      </c>
      <c r="B22" s="67" t="s">
        <v>423</v>
      </c>
      <c r="C22" s="64"/>
      <c r="D22" s="64"/>
      <c r="E22" s="68" t="s">
        <v>203</v>
      </c>
      <c r="F22" s="42" t="s">
        <v>425</v>
      </c>
      <c r="G22" s="42"/>
      <c r="H22" s="60"/>
      <c r="I22" s="60"/>
    </row>
    <row r="23" spans="1:9" x14ac:dyDescent="0.25">
      <c r="A23" s="66" t="s">
        <v>905</v>
      </c>
      <c r="B23" s="67" t="s">
        <v>423</v>
      </c>
      <c r="C23" s="64"/>
      <c r="D23" s="64"/>
      <c r="E23" s="68" t="s">
        <v>207</v>
      </c>
      <c r="F23" s="42" t="s">
        <v>425</v>
      </c>
      <c r="G23" s="42"/>
      <c r="H23" s="60"/>
      <c r="I23" s="60"/>
    </row>
    <row r="24" spans="1:9" x14ac:dyDescent="0.25">
      <c r="A24" s="66" t="s">
        <v>906</v>
      </c>
      <c r="B24" s="67" t="s">
        <v>423</v>
      </c>
      <c r="C24" s="64"/>
      <c r="D24" s="64"/>
      <c r="E24" s="68" t="s">
        <v>219</v>
      </c>
      <c r="F24" s="42" t="s">
        <v>425</v>
      </c>
      <c r="G24" s="42"/>
      <c r="H24" s="60"/>
      <c r="I24" s="60"/>
    </row>
    <row r="25" spans="1:9" x14ac:dyDescent="0.25">
      <c r="A25" s="66" t="s">
        <v>907</v>
      </c>
      <c r="B25" s="67" t="s">
        <v>427</v>
      </c>
      <c r="C25" s="64"/>
      <c r="D25" s="64"/>
      <c r="E25" s="68" t="s">
        <v>165</v>
      </c>
      <c r="F25" s="42" t="s">
        <v>425</v>
      </c>
      <c r="G25" s="42"/>
      <c r="H25" s="60"/>
      <c r="I25" s="60"/>
    </row>
    <row r="26" spans="1:9" x14ac:dyDescent="0.25">
      <c r="A26" s="66" t="s">
        <v>908</v>
      </c>
      <c r="B26" s="67" t="s">
        <v>427</v>
      </c>
      <c r="C26" s="64"/>
      <c r="D26" s="64"/>
      <c r="E26" s="68" t="s">
        <v>178</v>
      </c>
      <c r="F26" s="42" t="s">
        <v>425</v>
      </c>
      <c r="G26" s="42"/>
      <c r="H26" s="60"/>
      <c r="I26" s="60"/>
    </row>
    <row r="27" spans="1:9" x14ac:dyDescent="0.25">
      <c r="A27" s="66" t="s">
        <v>909</v>
      </c>
      <c r="B27" s="67" t="s">
        <v>427</v>
      </c>
      <c r="C27" s="64"/>
      <c r="D27" s="64"/>
      <c r="E27" s="68" t="s">
        <v>223</v>
      </c>
      <c r="F27" s="42" t="s">
        <v>425</v>
      </c>
      <c r="G27" s="42"/>
      <c r="H27" s="60"/>
      <c r="I27" s="60"/>
    </row>
    <row r="28" spans="1:9" x14ac:dyDescent="0.25">
      <c r="A28" s="7"/>
      <c r="E28" s="7"/>
      <c r="F28" s="7"/>
    </row>
    <row r="29" spans="1:9" x14ac:dyDescent="0.25">
      <c r="A29" s="7"/>
      <c r="E29" s="7"/>
      <c r="F29" s="7"/>
    </row>
    <row r="30" spans="1:9" x14ac:dyDescent="0.25">
      <c r="A30" s="7"/>
      <c r="E30" s="7"/>
      <c r="F30" s="7"/>
    </row>
    <row r="31" spans="1:9" x14ac:dyDescent="0.25">
      <c r="A31" s="7"/>
      <c r="E31" s="7"/>
      <c r="F31" s="7"/>
    </row>
    <row r="32" spans="1:9" x14ac:dyDescent="0.25">
      <c r="A32" s="7"/>
      <c r="E32" s="7"/>
      <c r="F32" s="7"/>
    </row>
    <row r="33" spans="1:6" x14ac:dyDescent="0.25">
      <c r="A33" s="7"/>
      <c r="E33" s="7"/>
      <c r="F33" s="7"/>
    </row>
    <row r="34" spans="1:6" x14ac:dyDescent="0.25">
      <c r="A34" s="7"/>
      <c r="E34" s="7"/>
      <c r="F34" s="7"/>
    </row>
    <row r="35" spans="1:6" x14ac:dyDescent="0.25">
      <c r="A35" s="7"/>
      <c r="E35" s="7"/>
      <c r="F35" s="7"/>
    </row>
    <row r="36" spans="1:6" x14ac:dyDescent="0.25">
      <c r="A36" s="7"/>
      <c r="E36" s="7"/>
      <c r="F36" s="7"/>
    </row>
    <row r="37" spans="1:6" x14ac:dyDescent="0.25">
      <c r="A37" s="7"/>
      <c r="E37" s="7"/>
      <c r="F37" s="7"/>
    </row>
    <row r="38" spans="1:6" x14ac:dyDescent="0.25">
      <c r="A38" s="7"/>
      <c r="E38" s="7"/>
      <c r="F38" s="7"/>
    </row>
    <row r="39" spans="1:6" x14ac:dyDescent="0.25">
      <c r="A39" s="7"/>
      <c r="E39" s="7"/>
      <c r="F39" s="7"/>
    </row>
    <row r="40" spans="1:6" x14ac:dyDescent="0.25">
      <c r="A40" s="7"/>
      <c r="E40" s="7"/>
      <c r="F40" s="7"/>
    </row>
    <row r="41" spans="1:6" x14ac:dyDescent="0.25">
      <c r="A41" s="7"/>
      <c r="E41" s="7"/>
      <c r="F41" s="7"/>
    </row>
    <row r="42" spans="1:6" x14ac:dyDescent="0.25">
      <c r="A42" s="7"/>
      <c r="E42" s="7"/>
      <c r="F42" s="7"/>
    </row>
    <row r="43" spans="1:6" x14ac:dyDescent="0.25">
      <c r="A43" s="7"/>
      <c r="E43" s="7"/>
      <c r="F43" s="7"/>
    </row>
    <row r="44" spans="1:6" x14ac:dyDescent="0.25">
      <c r="A44" s="7"/>
      <c r="E44" s="7"/>
      <c r="F44" s="7"/>
    </row>
    <row r="45" spans="1:6" x14ac:dyDescent="0.25">
      <c r="A45" s="7"/>
      <c r="E45" s="7"/>
      <c r="F45" s="7"/>
    </row>
    <row r="46" spans="1:6" x14ac:dyDescent="0.25">
      <c r="A46" s="7"/>
      <c r="E46" s="7"/>
      <c r="F46" s="7"/>
    </row>
    <row r="47" spans="1:6" x14ac:dyDescent="0.25">
      <c r="A47" s="7"/>
      <c r="E47" s="7"/>
      <c r="F47" s="7"/>
    </row>
    <row r="48" spans="1:6" x14ac:dyDescent="0.25">
      <c r="A48" s="7"/>
      <c r="E48" s="7"/>
      <c r="F48" s="7"/>
    </row>
    <row r="49" spans="1:6" x14ac:dyDescent="0.25">
      <c r="A49" s="7"/>
      <c r="E49" s="7"/>
      <c r="F49" s="7"/>
    </row>
    <row r="50" spans="1:6" x14ac:dyDescent="0.25">
      <c r="A50" s="7"/>
      <c r="E50" s="7"/>
      <c r="F50" s="7"/>
    </row>
    <row r="51" spans="1:6" x14ac:dyDescent="0.25">
      <c r="A51" s="7"/>
      <c r="E51" s="7"/>
      <c r="F51" s="7"/>
    </row>
    <row r="52" spans="1:6" x14ac:dyDescent="0.25">
      <c r="A52" s="7"/>
      <c r="E52" s="7"/>
      <c r="F52" s="7"/>
    </row>
    <row r="53" spans="1:6" x14ac:dyDescent="0.25">
      <c r="A53" s="7"/>
      <c r="E53" s="7"/>
      <c r="F53" s="7"/>
    </row>
    <row r="54" spans="1:6" x14ac:dyDescent="0.25">
      <c r="A54" s="7"/>
      <c r="E54" s="7"/>
      <c r="F54" s="7"/>
    </row>
    <row r="55" spans="1:6" x14ac:dyDescent="0.25">
      <c r="A55" s="7"/>
      <c r="E55" s="7"/>
      <c r="F55" s="7"/>
    </row>
    <row r="56" spans="1:6" x14ac:dyDescent="0.25">
      <c r="A56" s="7"/>
      <c r="E56" s="7"/>
      <c r="F56" s="7"/>
    </row>
    <row r="57" spans="1:6" x14ac:dyDescent="0.25">
      <c r="A57" s="7"/>
      <c r="E57" s="7"/>
      <c r="F57" s="7"/>
    </row>
    <row r="58" spans="1:6" x14ac:dyDescent="0.25">
      <c r="A58" s="7"/>
      <c r="E58" s="7"/>
      <c r="F58" s="7"/>
    </row>
    <row r="59" spans="1:6" x14ac:dyDescent="0.25">
      <c r="A59" s="7"/>
      <c r="E59" s="7"/>
      <c r="F59" s="7"/>
    </row>
    <row r="60" spans="1:6" x14ac:dyDescent="0.25">
      <c r="A60" s="7"/>
      <c r="E60" s="7"/>
      <c r="F60" s="7"/>
    </row>
    <row r="61" spans="1:6" x14ac:dyDescent="0.25">
      <c r="A61" s="7"/>
      <c r="E61" s="7"/>
      <c r="F61" s="7"/>
    </row>
    <row r="62" spans="1:6" x14ac:dyDescent="0.25">
      <c r="A62" s="7"/>
      <c r="E62" s="7"/>
      <c r="F62" s="7"/>
    </row>
    <row r="63" spans="1:6" x14ac:dyDescent="0.25">
      <c r="A63" s="7"/>
      <c r="E63" s="7"/>
      <c r="F63" s="7"/>
    </row>
    <row r="64" spans="1:6" x14ac:dyDescent="0.25">
      <c r="A64" s="7"/>
      <c r="E64" s="7"/>
      <c r="F64" s="7"/>
    </row>
    <row r="65" spans="1:6" x14ac:dyDescent="0.25">
      <c r="A65" s="7"/>
      <c r="E65" s="7"/>
      <c r="F65" s="7"/>
    </row>
    <row r="66" spans="1:6" x14ac:dyDescent="0.25">
      <c r="A66" s="7"/>
      <c r="E66" s="7"/>
      <c r="F66" s="7"/>
    </row>
    <row r="67" spans="1:6" x14ac:dyDescent="0.25">
      <c r="A67" s="7"/>
      <c r="E67" s="7"/>
      <c r="F67" s="7"/>
    </row>
    <row r="68" spans="1:6" x14ac:dyDescent="0.25">
      <c r="A68" s="7"/>
      <c r="E68" s="7"/>
      <c r="F68" s="7"/>
    </row>
    <row r="69" spans="1:6" x14ac:dyDescent="0.25">
      <c r="A69" s="7"/>
      <c r="E69" s="7"/>
      <c r="F69" s="7"/>
    </row>
    <row r="70" spans="1:6" x14ac:dyDescent="0.25">
      <c r="A70" s="7"/>
      <c r="E70" s="7"/>
      <c r="F70" s="7"/>
    </row>
    <row r="71" spans="1:6" x14ac:dyDescent="0.25">
      <c r="A71" s="7"/>
      <c r="E71" s="7"/>
      <c r="F71" s="7"/>
    </row>
    <row r="72" spans="1:6" x14ac:dyDescent="0.25">
      <c r="A72" s="7"/>
      <c r="E72" s="7"/>
      <c r="F72" s="7"/>
    </row>
    <row r="73" spans="1:6" x14ac:dyDescent="0.25">
      <c r="A73" s="7"/>
      <c r="E73" s="7"/>
      <c r="F73" s="7"/>
    </row>
    <row r="74" spans="1:6" x14ac:dyDescent="0.25">
      <c r="A74" s="7"/>
      <c r="E74" s="7"/>
      <c r="F74" s="7"/>
    </row>
    <row r="75" spans="1:6" x14ac:dyDescent="0.25">
      <c r="A75" s="7"/>
      <c r="E75" s="7"/>
      <c r="F75" s="7"/>
    </row>
    <row r="76" spans="1:6" x14ac:dyDescent="0.25">
      <c r="A76" s="7"/>
      <c r="E76" s="7"/>
      <c r="F76" s="7"/>
    </row>
    <row r="77" spans="1:6" x14ac:dyDescent="0.25">
      <c r="A77" s="7"/>
      <c r="E77" s="7"/>
      <c r="F77" s="7"/>
    </row>
    <row r="78" spans="1:6" x14ac:dyDescent="0.25">
      <c r="A78" s="7"/>
      <c r="E78" s="7"/>
      <c r="F78" s="7"/>
    </row>
    <row r="79" spans="1:6" x14ac:dyDescent="0.25">
      <c r="A79" s="7"/>
      <c r="E79" s="7"/>
      <c r="F79" s="7"/>
    </row>
    <row r="80" spans="1:6" x14ac:dyDescent="0.25">
      <c r="A80" s="7"/>
      <c r="E80" s="7"/>
      <c r="F80" s="7"/>
    </row>
    <row r="81" spans="1:6" x14ac:dyDescent="0.25">
      <c r="A81" s="7"/>
      <c r="E81" s="7"/>
      <c r="F81" s="7"/>
    </row>
    <row r="82" spans="1:6" x14ac:dyDescent="0.25">
      <c r="A82" s="7"/>
      <c r="E82" s="7"/>
      <c r="F82" s="7"/>
    </row>
    <row r="83" spans="1:6" x14ac:dyDescent="0.25">
      <c r="A83" s="7"/>
      <c r="E83" s="7"/>
      <c r="F83" s="7"/>
    </row>
    <row r="84" spans="1:6" x14ac:dyDescent="0.25">
      <c r="A84" s="7"/>
      <c r="E84" s="7"/>
      <c r="F84" s="7"/>
    </row>
    <row r="85" spans="1:6" x14ac:dyDescent="0.25">
      <c r="A85" s="7"/>
      <c r="E85" s="7"/>
      <c r="F85" s="7"/>
    </row>
    <row r="86" spans="1:6" x14ac:dyDescent="0.25">
      <c r="A86" s="7"/>
      <c r="E86" s="7"/>
      <c r="F86" s="7"/>
    </row>
    <row r="87" spans="1:6" x14ac:dyDescent="0.25">
      <c r="A87" s="7"/>
      <c r="E87" s="7"/>
      <c r="F87" s="7"/>
    </row>
    <row r="88" spans="1:6" x14ac:dyDescent="0.25">
      <c r="A88" s="7"/>
      <c r="E88" s="7"/>
      <c r="F88" s="7"/>
    </row>
    <row r="89" spans="1:6" x14ac:dyDescent="0.25">
      <c r="A89" s="7"/>
      <c r="E89" s="7"/>
      <c r="F89" s="7"/>
    </row>
    <row r="90" spans="1:6" x14ac:dyDescent="0.25">
      <c r="A90" s="7"/>
      <c r="E90" s="7"/>
      <c r="F90" s="7"/>
    </row>
    <row r="91" spans="1:6" x14ac:dyDescent="0.25">
      <c r="A91" s="7"/>
      <c r="E91" s="7"/>
      <c r="F91" s="7"/>
    </row>
    <row r="92" spans="1:6" x14ac:dyDescent="0.25">
      <c r="A92" s="7"/>
      <c r="E92" s="7"/>
      <c r="F92" s="7"/>
    </row>
    <row r="93" spans="1:6" x14ac:dyDescent="0.25">
      <c r="A93" s="7"/>
      <c r="E93" s="7"/>
      <c r="F93" s="7"/>
    </row>
    <row r="94" spans="1:6" x14ac:dyDescent="0.25">
      <c r="A94" s="7"/>
      <c r="E94" s="7"/>
      <c r="F94" s="7"/>
    </row>
    <row r="95" spans="1:6" x14ac:dyDescent="0.25">
      <c r="A95" s="7"/>
      <c r="E95" s="7"/>
      <c r="F95" s="7"/>
    </row>
    <row r="96" spans="1:6" x14ac:dyDescent="0.25">
      <c r="A96" s="7"/>
      <c r="E96" s="7"/>
      <c r="F96" s="7"/>
    </row>
    <row r="97" spans="1:6" x14ac:dyDescent="0.25">
      <c r="A97" s="7"/>
      <c r="E97" s="7"/>
      <c r="F97" s="7"/>
    </row>
    <row r="98" spans="1:6" x14ac:dyDescent="0.25">
      <c r="A98" s="7"/>
      <c r="E98" s="7"/>
      <c r="F98" s="7"/>
    </row>
    <row r="99" spans="1:6" x14ac:dyDescent="0.25">
      <c r="A99" s="7"/>
      <c r="E99" s="7"/>
      <c r="F99" s="7"/>
    </row>
    <row r="100" spans="1:6" x14ac:dyDescent="0.25">
      <c r="A100" s="7"/>
      <c r="E100" s="7"/>
      <c r="F100" s="7"/>
    </row>
    <row r="101" spans="1:6" x14ac:dyDescent="0.25">
      <c r="A101" s="7"/>
      <c r="E101" s="7"/>
      <c r="F101" s="7"/>
    </row>
    <row r="102" spans="1:6" x14ac:dyDescent="0.25">
      <c r="A102" s="7"/>
      <c r="E102" s="7"/>
      <c r="F102" s="7"/>
    </row>
    <row r="103" spans="1:6" x14ac:dyDescent="0.25">
      <c r="A103" s="7"/>
      <c r="E103" s="7"/>
      <c r="F103" s="7"/>
    </row>
    <row r="104" spans="1:6" x14ac:dyDescent="0.25">
      <c r="A104" s="7"/>
      <c r="E104" s="7"/>
      <c r="F104" s="7"/>
    </row>
    <row r="105" spans="1:6" x14ac:dyDescent="0.25">
      <c r="A105" s="7"/>
      <c r="E105" s="7"/>
      <c r="F105" s="7"/>
    </row>
    <row r="106" spans="1:6" x14ac:dyDescent="0.25">
      <c r="A106" s="7"/>
      <c r="E106" s="7"/>
      <c r="F106" s="7"/>
    </row>
    <row r="107" spans="1:6" x14ac:dyDescent="0.25">
      <c r="A107" s="7"/>
      <c r="E107" s="7"/>
      <c r="F107" s="7"/>
    </row>
    <row r="108" spans="1:6" x14ac:dyDescent="0.25">
      <c r="A108" s="7"/>
      <c r="E108" s="7"/>
      <c r="F108" s="7"/>
    </row>
    <row r="109" spans="1:6" x14ac:dyDescent="0.25">
      <c r="A109" s="7"/>
      <c r="E109" s="7"/>
      <c r="F109" s="7"/>
    </row>
    <row r="110" spans="1:6" x14ac:dyDescent="0.25">
      <c r="A110" s="7"/>
      <c r="E110" s="7"/>
      <c r="F110" s="7"/>
    </row>
    <row r="111" spans="1:6" x14ac:dyDescent="0.25">
      <c r="A111" s="7"/>
      <c r="E111" s="7"/>
      <c r="F111" s="7"/>
    </row>
    <row r="112" spans="1:6" x14ac:dyDescent="0.25">
      <c r="A112" s="7"/>
      <c r="E112" s="7"/>
      <c r="F112" s="7"/>
    </row>
    <row r="113" spans="1:6" x14ac:dyDescent="0.25">
      <c r="A113" s="7"/>
      <c r="E113" s="7"/>
      <c r="F113" s="7"/>
    </row>
    <row r="114" spans="1:6" x14ac:dyDescent="0.25">
      <c r="A114" s="7"/>
      <c r="E114" s="7"/>
      <c r="F114" s="7"/>
    </row>
    <row r="115" spans="1:6" x14ac:dyDescent="0.25">
      <c r="A115" s="7"/>
      <c r="E115" s="7"/>
      <c r="F115" s="7"/>
    </row>
    <row r="116" spans="1:6" x14ac:dyDescent="0.25">
      <c r="A116" s="7"/>
      <c r="E116" s="7"/>
      <c r="F116" s="7"/>
    </row>
    <row r="117" spans="1:6" x14ac:dyDescent="0.25">
      <c r="A117" s="7"/>
      <c r="E117" s="7"/>
      <c r="F117" s="7"/>
    </row>
    <row r="118" spans="1:6" x14ac:dyDescent="0.25">
      <c r="A118" s="7"/>
      <c r="E118" s="7"/>
      <c r="F118" s="7"/>
    </row>
    <row r="119" spans="1:6" x14ac:dyDescent="0.25">
      <c r="A119" s="7"/>
      <c r="E119" s="7"/>
      <c r="F119" s="7"/>
    </row>
    <row r="120" spans="1:6" x14ac:dyDescent="0.25">
      <c r="A120" s="7"/>
      <c r="E120" s="7"/>
      <c r="F120" s="7"/>
    </row>
    <row r="121" spans="1:6" x14ac:dyDescent="0.25">
      <c r="A121" s="7"/>
      <c r="E121" s="7"/>
      <c r="F121" s="7"/>
    </row>
    <row r="122" spans="1:6" x14ac:dyDescent="0.25">
      <c r="A122" s="7"/>
      <c r="E122" s="7"/>
      <c r="F122" s="7"/>
    </row>
    <row r="123" spans="1:6" x14ac:dyDescent="0.25">
      <c r="A123" s="7"/>
      <c r="E123" s="7"/>
      <c r="F123" s="7"/>
    </row>
    <row r="124" spans="1:6" x14ac:dyDescent="0.25">
      <c r="A124" s="7"/>
      <c r="E124" s="7"/>
      <c r="F124" s="7"/>
    </row>
    <row r="125" spans="1:6" x14ac:dyDescent="0.25">
      <c r="A125" s="7"/>
      <c r="E125" s="7"/>
      <c r="F125" s="7"/>
    </row>
    <row r="126" spans="1:6" x14ac:dyDescent="0.25">
      <c r="A126" s="7"/>
      <c r="E126" s="7"/>
      <c r="F126" s="7"/>
    </row>
    <row r="127" spans="1:6" x14ac:dyDescent="0.25">
      <c r="A127" s="7"/>
      <c r="E127" s="7"/>
      <c r="F127" s="7"/>
    </row>
    <row r="128" spans="1:6" x14ac:dyDescent="0.25">
      <c r="A128" s="7"/>
      <c r="E128" s="7"/>
      <c r="F128" s="7"/>
    </row>
    <row r="129" spans="1:6" x14ac:dyDescent="0.25">
      <c r="A129" s="7"/>
      <c r="E129" s="7"/>
      <c r="F129" s="7"/>
    </row>
    <row r="130" spans="1:6" x14ac:dyDescent="0.25">
      <c r="A130" s="7"/>
      <c r="E130" s="7"/>
      <c r="F130" s="7"/>
    </row>
    <row r="131" spans="1:6" x14ac:dyDescent="0.25">
      <c r="A131" s="7"/>
      <c r="E131" s="7"/>
      <c r="F131" s="7"/>
    </row>
    <row r="132" spans="1:6" x14ac:dyDescent="0.25">
      <c r="A132" s="7"/>
      <c r="E132" s="7"/>
      <c r="F132" s="7"/>
    </row>
    <row r="133" spans="1:6" x14ac:dyDescent="0.25">
      <c r="A133" s="7"/>
      <c r="E133" s="7"/>
      <c r="F133" s="7"/>
    </row>
    <row r="134" spans="1:6" x14ac:dyDescent="0.25">
      <c r="A134" s="7"/>
      <c r="E134" s="7"/>
      <c r="F134" s="7"/>
    </row>
    <row r="135" spans="1:6" x14ac:dyDescent="0.25">
      <c r="A135" s="7"/>
      <c r="E135" s="7"/>
      <c r="F135" s="7"/>
    </row>
    <row r="136" spans="1:6" x14ac:dyDescent="0.25">
      <c r="A136" s="7"/>
      <c r="E136" s="7"/>
      <c r="F136" s="7"/>
    </row>
    <row r="137" spans="1:6" x14ac:dyDescent="0.25">
      <c r="A137" s="7"/>
      <c r="E137" s="7"/>
      <c r="F137" s="7"/>
    </row>
    <row r="138" spans="1:6" x14ac:dyDescent="0.25">
      <c r="A138" s="7"/>
      <c r="E138" s="7"/>
      <c r="F138" s="7"/>
    </row>
    <row r="139" spans="1:6" x14ac:dyDescent="0.25">
      <c r="A139" s="7"/>
      <c r="E139" s="7"/>
      <c r="F139" s="7"/>
    </row>
    <row r="140" spans="1:6" x14ac:dyDescent="0.25">
      <c r="A140" s="7"/>
      <c r="E140" s="7"/>
      <c r="F140" s="7"/>
    </row>
    <row r="141" spans="1:6" x14ac:dyDescent="0.25">
      <c r="A141" s="7"/>
      <c r="E141" s="7"/>
      <c r="F141" s="7"/>
    </row>
    <row r="142" spans="1:6" x14ac:dyDescent="0.25">
      <c r="A142" s="7"/>
      <c r="E142" s="7"/>
      <c r="F142" s="7"/>
    </row>
    <row r="143" spans="1:6" x14ac:dyDescent="0.25">
      <c r="A143" s="7"/>
      <c r="E143" s="7"/>
      <c r="F143" s="7"/>
    </row>
    <row r="144" spans="1:6" x14ac:dyDescent="0.25">
      <c r="A144" s="7"/>
      <c r="E144" s="7"/>
      <c r="F144" s="7"/>
    </row>
    <row r="145" spans="1:6" x14ac:dyDescent="0.25">
      <c r="A145" s="7"/>
      <c r="E145" s="7"/>
      <c r="F145" s="7"/>
    </row>
    <row r="146" spans="1:6" x14ac:dyDescent="0.25">
      <c r="A146" s="7"/>
      <c r="E146" s="7"/>
      <c r="F146" s="7"/>
    </row>
    <row r="147" spans="1:6" x14ac:dyDescent="0.25">
      <c r="A147" s="7"/>
      <c r="E147" s="7"/>
      <c r="F147" s="7"/>
    </row>
    <row r="148" spans="1:6" x14ac:dyDescent="0.25">
      <c r="A148" s="7"/>
      <c r="E148" s="7"/>
      <c r="F148" s="7"/>
    </row>
    <row r="149" spans="1:6" x14ac:dyDescent="0.25">
      <c r="A149" s="7"/>
      <c r="E149" s="7"/>
      <c r="F149" s="7"/>
    </row>
    <row r="150" spans="1:6" x14ac:dyDescent="0.25">
      <c r="A150" s="7"/>
      <c r="E150" s="7"/>
      <c r="F150" s="7"/>
    </row>
    <row r="151" spans="1:6" x14ac:dyDescent="0.25">
      <c r="A151" s="7"/>
      <c r="E151" s="7"/>
      <c r="F151" s="7"/>
    </row>
    <row r="152" spans="1:6" x14ac:dyDescent="0.25">
      <c r="A152" s="7"/>
      <c r="E152" s="7"/>
      <c r="F152" s="7"/>
    </row>
    <row r="153" spans="1:6" x14ac:dyDescent="0.25">
      <c r="A153" s="7"/>
      <c r="E153" s="7"/>
      <c r="F153" s="7"/>
    </row>
    <row r="154" spans="1:6" x14ac:dyDescent="0.25">
      <c r="A154" s="7"/>
      <c r="E154" s="7"/>
      <c r="F154" s="7"/>
    </row>
    <row r="155" spans="1:6" x14ac:dyDescent="0.25">
      <c r="A155" s="7"/>
      <c r="E155" s="7"/>
      <c r="F155" s="7"/>
    </row>
    <row r="156" spans="1:6" x14ac:dyDescent="0.25">
      <c r="A156" s="7"/>
      <c r="E156" s="7"/>
      <c r="F156" s="7"/>
    </row>
    <row r="157" spans="1:6" x14ac:dyDescent="0.25">
      <c r="A157" s="7"/>
      <c r="E157" s="7"/>
      <c r="F157" s="7"/>
    </row>
    <row r="158" spans="1:6" x14ac:dyDescent="0.25">
      <c r="A158" s="7"/>
      <c r="E158" s="7"/>
      <c r="F158" s="7"/>
    </row>
    <row r="159" spans="1:6" x14ac:dyDescent="0.25">
      <c r="A159" s="7"/>
      <c r="E159" s="7"/>
      <c r="F159" s="7"/>
    </row>
    <row r="160" spans="1:6" x14ac:dyDescent="0.25">
      <c r="A160" s="7"/>
      <c r="E160" s="7"/>
      <c r="F160" s="7"/>
    </row>
    <row r="161" spans="1:6" x14ac:dyDescent="0.25">
      <c r="A161" s="7"/>
      <c r="E161" s="7"/>
      <c r="F161" s="7"/>
    </row>
    <row r="162" spans="1:6" x14ac:dyDescent="0.25">
      <c r="A162" s="7"/>
      <c r="E162" s="7"/>
      <c r="F162" s="7"/>
    </row>
    <row r="163" spans="1:6" x14ac:dyDescent="0.25">
      <c r="A163" s="7"/>
      <c r="E163" s="7"/>
      <c r="F163" s="7"/>
    </row>
    <row r="164" spans="1:6" x14ac:dyDescent="0.25">
      <c r="A164" s="7"/>
      <c r="E164" s="7"/>
      <c r="F164" s="7"/>
    </row>
    <row r="165" spans="1:6" x14ac:dyDescent="0.25">
      <c r="A165" s="7"/>
      <c r="E165" s="7"/>
      <c r="F165" s="7"/>
    </row>
    <row r="166" spans="1:6" x14ac:dyDescent="0.25">
      <c r="A166" s="7"/>
      <c r="E166" s="7"/>
      <c r="F166" s="7"/>
    </row>
    <row r="167" spans="1:6" x14ac:dyDescent="0.25">
      <c r="A167" s="7"/>
      <c r="E167" s="7"/>
      <c r="F167" s="7"/>
    </row>
    <row r="168" spans="1:6" x14ac:dyDescent="0.25">
      <c r="A168" s="7"/>
      <c r="E168" s="7"/>
      <c r="F168" s="7"/>
    </row>
    <row r="169" spans="1:6" x14ac:dyDescent="0.25">
      <c r="A169" s="7"/>
      <c r="E169" s="7"/>
      <c r="F169" s="7"/>
    </row>
    <row r="170" spans="1:6" x14ac:dyDescent="0.25">
      <c r="A170" s="7"/>
      <c r="E170" s="7"/>
      <c r="F170" s="7"/>
    </row>
    <row r="171" spans="1:6" x14ac:dyDescent="0.25">
      <c r="A171" s="7"/>
      <c r="E171" s="7"/>
      <c r="F171" s="7"/>
    </row>
    <row r="172" spans="1:6" x14ac:dyDescent="0.25">
      <c r="A172" s="7"/>
      <c r="E172" s="7"/>
      <c r="F172" s="7"/>
    </row>
    <row r="173" spans="1:6" x14ac:dyDescent="0.25">
      <c r="A173" s="7"/>
      <c r="E173" s="7"/>
      <c r="F173" s="7"/>
    </row>
    <row r="174" spans="1:6" x14ac:dyDescent="0.25">
      <c r="A174" s="7"/>
      <c r="E174" s="7"/>
      <c r="F174" s="7"/>
    </row>
    <row r="175" spans="1:6" x14ac:dyDescent="0.25">
      <c r="A175" s="7"/>
      <c r="E175" s="7"/>
      <c r="F175" s="7"/>
    </row>
    <row r="176" spans="1:6" x14ac:dyDescent="0.25">
      <c r="A176" s="7"/>
      <c r="E176" s="7"/>
      <c r="F176" s="7"/>
    </row>
    <row r="177" spans="1:6" x14ac:dyDescent="0.25">
      <c r="A177" s="7"/>
      <c r="E177" s="7"/>
      <c r="F177" s="7"/>
    </row>
    <row r="178" spans="1:6" x14ac:dyDescent="0.25">
      <c r="A178" s="7"/>
      <c r="E178" s="7"/>
      <c r="F178" s="7"/>
    </row>
    <row r="179" spans="1:6" x14ac:dyDescent="0.25">
      <c r="A179" s="7"/>
      <c r="E179" s="7"/>
      <c r="F179" s="7"/>
    </row>
    <row r="180" spans="1:6" x14ac:dyDescent="0.25">
      <c r="A180" s="7"/>
      <c r="E180" s="7"/>
      <c r="F180" s="7"/>
    </row>
    <row r="181" spans="1:6" x14ac:dyDescent="0.25">
      <c r="A181" s="7"/>
      <c r="E181" s="7"/>
      <c r="F181" s="7"/>
    </row>
    <row r="182" spans="1:6" x14ac:dyDescent="0.25">
      <c r="A182" s="7"/>
      <c r="E182" s="7"/>
      <c r="F182" s="7"/>
    </row>
    <row r="183" spans="1:6" x14ac:dyDescent="0.25">
      <c r="A183" s="7"/>
      <c r="E183" s="7"/>
      <c r="F183" s="7"/>
    </row>
    <row r="184" spans="1:6" x14ac:dyDescent="0.25">
      <c r="A184" s="7"/>
      <c r="E184" s="7"/>
      <c r="F184" s="7"/>
    </row>
    <row r="185" spans="1:6" x14ac:dyDescent="0.25">
      <c r="A185" s="7"/>
      <c r="E185" s="7"/>
      <c r="F185" s="7"/>
    </row>
    <row r="186" spans="1:6" x14ac:dyDescent="0.25">
      <c r="A186" s="7"/>
      <c r="E186" s="7"/>
      <c r="F186" s="7"/>
    </row>
    <row r="187" spans="1:6" x14ac:dyDescent="0.25">
      <c r="A187" s="7"/>
      <c r="E187" s="7"/>
      <c r="F187" s="7"/>
    </row>
    <row r="188" spans="1:6" x14ac:dyDescent="0.25">
      <c r="A188" s="7"/>
      <c r="E188" s="7"/>
      <c r="F188" s="7"/>
    </row>
    <row r="189" spans="1:6" x14ac:dyDescent="0.25">
      <c r="A189" s="7"/>
      <c r="E189" s="7"/>
      <c r="F189" s="7"/>
    </row>
    <row r="190" spans="1:6" x14ac:dyDescent="0.25">
      <c r="A190" s="7"/>
      <c r="E190" s="7"/>
      <c r="F190" s="7"/>
    </row>
    <row r="191" spans="1:6" x14ac:dyDescent="0.25">
      <c r="A191" s="7"/>
      <c r="E191" s="7"/>
      <c r="F191" s="7"/>
    </row>
    <row r="192" spans="1:6" x14ac:dyDescent="0.25">
      <c r="A192" s="7"/>
      <c r="E192" s="7"/>
      <c r="F192" s="7"/>
    </row>
    <row r="193" spans="1:6" x14ac:dyDescent="0.25">
      <c r="A193" s="7"/>
      <c r="E193" s="7"/>
      <c r="F193" s="7"/>
    </row>
    <row r="194" spans="1:6" x14ac:dyDescent="0.25">
      <c r="A194" s="7"/>
      <c r="E194" s="7"/>
      <c r="F194" s="7"/>
    </row>
    <row r="195" spans="1:6" x14ac:dyDescent="0.25">
      <c r="A195" s="7"/>
      <c r="E195" s="7"/>
      <c r="F195" s="7"/>
    </row>
    <row r="196" spans="1:6" x14ac:dyDescent="0.25">
      <c r="A196" s="7"/>
      <c r="E196" s="7"/>
      <c r="F196" s="7"/>
    </row>
    <row r="197" spans="1:6" x14ac:dyDescent="0.25">
      <c r="A197" s="7"/>
      <c r="E197" s="7"/>
      <c r="F197" s="7"/>
    </row>
    <row r="198" spans="1:6" x14ac:dyDescent="0.25">
      <c r="A198" s="7"/>
      <c r="E198" s="7"/>
      <c r="F198" s="7"/>
    </row>
    <row r="199" spans="1:6" x14ac:dyDescent="0.25">
      <c r="A199" s="7"/>
      <c r="E199" s="7"/>
      <c r="F199" s="7"/>
    </row>
    <row r="200" spans="1:6" x14ac:dyDescent="0.25">
      <c r="A200" s="7"/>
      <c r="E200" s="7"/>
      <c r="F200" s="7"/>
    </row>
    <row r="201" spans="1:6" x14ac:dyDescent="0.25">
      <c r="A201" s="7"/>
      <c r="E201" s="7"/>
      <c r="F201" s="7"/>
    </row>
    <row r="202" spans="1:6" x14ac:dyDescent="0.25">
      <c r="A202" s="7"/>
      <c r="E202" s="7"/>
      <c r="F202" s="7"/>
    </row>
    <row r="203" spans="1:6" x14ac:dyDescent="0.25">
      <c r="A203" s="7"/>
      <c r="E203" s="7"/>
      <c r="F203" s="7"/>
    </row>
    <row r="204" spans="1:6" x14ac:dyDescent="0.25">
      <c r="A204" s="7"/>
      <c r="E204" s="7"/>
      <c r="F204" s="7"/>
    </row>
    <row r="205" spans="1:6" x14ac:dyDescent="0.25">
      <c r="A205" s="7"/>
      <c r="E205" s="7"/>
      <c r="F205" s="7"/>
    </row>
    <row r="206" spans="1:6" x14ac:dyDescent="0.25">
      <c r="A206" s="7"/>
      <c r="E206" s="7"/>
      <c r="F206" s="7"/>
    </row>
    <row r="207" spans="1:6" x14ac:dyDescent="0.25">
      <c r="A207" s="7"/>
      <c r="E207" s="7"/>
      <c r="F207" s="7"/>
    </row>
    <row r="208" spans="1:6" x14ac:dyDescent="0.25">
      <c r="A208" s="7"/>
      <c r="E208" s="7"/>
      <c r="F208" s="7"/>
    </row>
    <row r="209" spans="1:6" x14ac:dyDescent="0.25">
      <c r="A209" s="7"/>
      <c r="E209" s="7"/>
      <c r="F209" s="7"/>
    </row>
    <row r="210" spans="1:6" x14ac:dyDescent="0.25">
      <c r="A210" s="7"/>
      <c r="E210" s="7"/>
      <c r="F210" s="7"/>
    </row>
    <row r="211" spans="1:6" x14ac:dyDescent="0.25">
      <c r="A211" s="7"/>
      <c r="E211" s="7"/>
      <c r="F211" s="7"/>
    </row>
    <row r="212" spans="1:6" x14ac:dyDescent="0.25">
      <c r="A212" s="7"/>
      <c r="E212" s="7"/>
      <c r="F212" s="7"/>
    </row>
    <row r="213" spans="1:6" x14ac:dyDescent="0.25">
      <c r="A213" s="7"/>
      <c r="E213" s="7"/>
      <c r="F213" s="7"/>
    </row>
    <row r="214" spans="1:6" x14ac:dyDescent="0.25">
      <c r="A214" s="7"/>
      <c r="E214" s="7"/>
      <c r="F214" s="7"/>
    </row>
    <row r="215" spans="1:6" x14ac:dyDescent="0.25">
      <c r="A215" s="7"/>
      <c r="E215" s="7"/>
      <c r="F215" s="7"/>
    </row>
    <row r="216" spans="1:6" x14ac:dyDescent="0.25">
      <c r="A216" s="7"/>
      <c r="E216" s="7"/>
      <c r="F216" s="7"/>
    </row>
    <row r="217" spans="1:6" x14ac:dyDescent="0.25">
      <c r="A217" s="7"/>
      <c r="E217" s="7"/>
      <c r="F217" s="7"/>
    </row>
    <row r="218" spans="1:6" x14ac:dyDescent="0.25">
      <c r="A218" s="7"/>
      <c r="E218" s="7"/>
      <c r="F218" s="7"/>
    </row>
    <row r="219" spans="1:6" x14ac:dyDescent="0.25">
      <c r="A219" s="7"/>
      <c r="E219" s="7"/>
      <c r="F219" s="7"/>
    </row>
    <row r="220" spans="1:6" x14ac:dyDescent="0.25">
      <c r="A220" s="7"/>
      <c r="E220" s="7"/>
      <c r="F220" s="7"/>
    </row>
    <row r="221" spans="1:6" x14ac:dyDescent="0.25">
      <c r="A221" s="7"/>
      <c r="E221" s="7"/>
      <c r="F221" s="7"/>
    </row>
    <row r="222" spans="1:6" x14ac:dyDescent="0.25">
      <c r="A222" s="7"/>
      <c r="E222" s="7"/>
      <c r="F222" s="7"/>
    </row>
    <row r="223" spans="1:6" x14ac:dyDescent="0.25">
      <c r="A223" s="7"/>
      <c r="E223" s="7"/>
      <c r="F223" s="7"/>
    </row>
    <row r="224" spans="1:6" x14ac:dyDescent="0.25">
      <c r="A224" s="7"/>
      <c r="E224" s="7"/>
      <c r="F224" s="7"/>
    </row>
    <row r="225" spans="1:6" x14ac:dyDescent="0.25">
      <c r="A225" s="7"/>
      <c r="E225" s="7"/>
      <c r="F225" s="7"/>
    </row>
    <row r="226" spans="1:6" x14ac:dyDescent="0.25">
      <c r="A226" s="7"/>
      <c r="E226" s="7"/>
      <c r="F226" s="7"/>
    </row>
    <row r="227" spans="1:6" x14ac:dyDescent="0.25">
      <c r="A227" s="7"/>
      <c r="E227" s="7"/>
      <c r="F227" s="7"/>
    </row>
    <row r="228" spans="1:6" x14ac:dyDescent="0.25">
      <c r="A228" s="7"/>
      <c r="E228" s="7"/>
      <c r="F228" s="7"/>
    </row>
    <row r="229" spans="1:6" x14ac:dyDescent="0.25">
      <c r="A229" s="7"/>
      <c r="E229" s="7"/>
      <c r="F229" s="7"/>
    </row>
    <row r="230" spans="1:6" x14ac:dyDescent="0.25">
      <c r="A230" s="7"/>
      <c r="E230" s="7"/>
      <c r="F230" s="7"/>
    </row>
    <row r="231" spans="1:6" x14ac:dyDescent="0.25">
      <c r="A231" s="7"/>
      <c r="E231" s="7"/>
      <c r="F231" s="7"/>
    </row>
    <row r="232" spans="1:6" x14ac:dyDescent="0.25">
      <c r="A232" s="7"/>
      <c r="E232" s="7"/>
      <c r="F232" s="7"/>
    </row>
    <row r="233" spans="1:6" x14ac:dyDescent="0.25">
      <c r="A233" s="7"/>
      <c r="E233" s="7"/>
      <c r="F233" s="7"/>
    </row>
    <row r="234" spans="1:6" x14ac:dyDescent="0.25">
      <c r="A234" s="7"/>
      <c r="E234" s="7"/>
      <c r="F234" s="7"/>
    </row>
    <row r="235" spans="1:6" x14ac:dyDescent="0.25">
      <c r="A235" s="7"/>
      <c r="E235" s="7"/>
      <c r="F235" s="7"/>
    </row>
    <row r="236" spans="1:6" x14ac:dyDescent="0.25">
      <c r="A236" s="7"/>
      <c r="E236" s="7"/>
      <c r="F236" s="7"/>
    </row>
    <row r="237" spans="1:6" x14ac:dyDescent="0.25">
      <c r="A237" s="7"/>
      <c r="E237" s="7"/>
      <c r="F237" s="7"/>
    </row>
    <row r="238" spans="1:6" x14ac:dyDescent="0.25">
      <c r="A238" s="7"/>
      <c r="E238" s="7"/>
      <c r="F238" s="7"/>
    </row>
    <row r="239" spans="1:6" x14ac:dyDescent="0.25">
      <c r="A239" s="7"/>
      <c r="E239" s="7"/>
      <c r="F239" s="7"/>
    </row>
    <row r="240" spans="1:6" x14ac:dyDescent="0.25">
      <c r="A240" s="7"/>
      <c r="E240" s="7"/>
      <c r="F240" s="7"/>
    </row>
    <row r="241" spans="1:6" x14ac:dyDescent="0.25">
      <c r="A241" s="7"/>
      <c r="E241" s="7"/>
      <c r="F241" s="7"/>
    </row>
    <row r="242" spans="1:6" x14ac:dyDescent="0.25">
      <c r="A242" s="7"/>
      <c r="E242" s="7"/>
      <c r="F242" s="7"/>
    </row>
    <row r="243" spans="1:6" x14ac:dyDescent="0.25">
      <c r="A243" s="7"/>
      <c r="E243" s="7"/>
      <c r="F243" s="7"/>
    </row>
    <row r="244" spans="1:6" x14ac:dyDescent="0.25">
      <c r="A244" s="7"/>
      <c r="E244" s="7"/>
      <c r="F244" s="7"/>
    </row>
    <row r="245" spans="1:6" x14ac:dyDescent="0.25">
      <c r="A245" s="7"/>
      <c r="E245" s="7"/>
      <c r="F245" s="7"/>
    </row>
    <row r="246" spans="1:6" x14ac:dyDescent="0.25">
      <c r="A246" s="7"/>
      <c r="E246" s="7"/>
      <c r="F246" s="7"/>
    </row>
    <row r="247" spans="1:6" x14ac:dyDescent="0.25">
      <c r="A247" s="7"/>
      <c r="E247" s="7"/>
      <c r="F247" s="7"/>
    </row>
    <row r="248" spans="1:6" x14ac:dyDescent="0.25">
      <c r="A248" s="7"/>
      <c r="E248" s="7"/>
      <c r="F248" s="7"/>
    </row>
    <row r="249" spans="1:6" x14ac:dyDescent="0.25">
      <c r="A249" s="7"/>
      <c r="E249" s="7"/>
      <c r="F249" s="7"/>
    </row>
    <row r="250" spans="1:6" x14ac:dyDescent="0.25">
      <c r="A250" s="7"/>
      <c r="E250" s="7"/>
      <c r="F250" s="7"/>
    </row>
    <row r="251" spans="1:6" x14ac:dyDescent="0.25">
      <c r="A251" s="7"/>
      <c r="E251" s="7"/>
      <c r="F251" s="7"/>
    </row>
    <row r="252" spans="1:6" x14ac:dyDescent="0.25">
      <c r="A252" s="7"/>
      <c r="E252" s="7"/>
      <c r="F252" s="7"/>
    </row>
    <row r="253" spans="1:6" x14ac:dyDescent="0.25">
      <c r="A253" s="7"/>
      <c r="E253" s="7"/>
      <c r="F253" s="7"/>
    </row>
    <row r="254" spans="1:6" x14ac:dyDescent="0.25">
      <c r="A254" s="7"/>
      <c r="E254" s="7"/>
      <c r="F254" s="7"/>
    </row>
    <row r="255" spans="1:6" x14ac:dyDescent="0.25">
      <c r="A255" s="7"/>
      <c r="E255" s="7"/>
      <c r="F255" s="7"/>
    </row>
    <row r="256" spans="1:6" x14ac:dyDescent="0.25">
      <c r="A256" s="7"/>
      <c r="E256" s="7"/>
      <c r="F256" s="7"/>
    </row>
    <row r="257" spans="1:6" x14ac:dyDescent="0.25">
      <c r="A257" s="7"/>
      <c r="E257" s="7"/>
      <c r="F257" s="7"/>
    </row>
    <row r="258" spans="1:6" x14ac:dyDescent="0.25">
      <c r="A258" s="7"/>
      <c r="E258" s="7"/>
      <c r="F258" s="7"/>
    </row>
    <row r="259" spans="1:6" x14ac:dyDescent="0.25">
      <c r="A259" s="7"/>
      <c r="E259" s="7"/>
      <c r="F259" s="7"/>
    </row>
    <row r="260" spans="1:6" x14ac:dyDescent="0.25">
      <c r="A260" s="7"/>
      <c r="E260" s="7"/>
      <c r="F260" s="7"/>
    </row>
    <row r="261" spans="1:6" x14ac:dyDescent="0.25">
      <c r="A261" s="7"/>
      <c r="E261" s="7"/>
      <c r="F261" s="7"/>
    </row>
    <row r="262" spans="1:6" x14ac:dyDescent="0.25">
      <c r="A262" s="7"/>
      <c r="E262" s="7"/>
      <c r="F262" s="7"/>
    </row>
    <row r="263" spans="1:6" x14ac:dyDescent="0.25">
      <c r="A263" s="7"/>
      <c r="E263" s="7"/>
      <c r="F263" s="7"/>
    </row>
    <row r="264" spans="1:6" x14ac:dyDescent="0.25">
      <c r="A264" s="7"/>
      <c r="E264" s="7"/>
      <c r="F264" s="7"/>
    </row>
    <row r="265" spans="1:6" x14ac:dyDescent="0.25">
      <c r="A265" s="7"/>
      <c r="E265" s="7"/>
      <c r="F265" s="7"/>
    </row>
    <row r="266" spans="1:6" x14ac:dyDescent="0.25">
      <c r="A266" s="7"/>
      <c r="E266" s="7"/>
      <c r="F266" s="7"/>
    </row>
    <row r="267" spans="1:6" x14ac:dyDescent="0.25">
      <c r="A267" s="7"/>
      <c r="E267" s="7"/>
      <c r="F267" s="7"/>
    </row>
    <row r="268" spans="1:6" x14ac:dyDescent="0.25">
      <c r="A268" s="7"/>
      <c r="E268" s="7"/>
      <c r="F268" s="7"/>
    </row>
    <row r="269" spans="1:6" x14ac:dyDescent="0.25">
      <c r="A269" s="7"/>
      <c r="E269" s="7"/>
      <c r="F269" s="7"/>
    </row>
    <row r="270" spans="1:6" x14ac:dyDescent="0.25">
      <c r="A270" s="7"/>
      <c r="E270" s="7"/>
      <c r="F270" s="7"/>
    </row>
    <row r="271" spans="1:6" x14ac:dyDescent="0.25">
      <c r="A271" s="7"/>
      <c r="E271" s="7"/>
      <c r="F271" s="7"/>
    </row>
    <row r="272" spans="1:6" x14ac:dyDescent="0.25">
      <c r="A272" s="7"/>
      <c r="E272" s="7"/>
      <c r="F272" s="7"/>
    </row>
    <row r="273" spans="1:6" x14ac:dyDescent="0.25">
      <c r="A273" s="7"/>
      <c r="E273" s="7"/>
      <c r="F273" s="7"/>
    </row>
    <row r="274" spans="1:6" x14ac:dyDescent="0.25">
      <c r="A274" s="7"/>
      <c r="E274" s="7"/>
      <c r="F274" s="7"/>
    </row>
    <row r="275" spans="1:6" x14ac:dyDescent="0.25">
      <c r="A275" s="7"/>
      <c r="E275" s="7"/>
      <c r="F275" s="7"/>
    </row>
    <row r="276" spans="1:6" x14ac:dyDescent="0.25">
      <c r="A276" s="7"/>
      <c r="E276" s="7"/>
      <c r="F276" s="7"/>
    </row>
    <row r="277" spans="1:6" x14ac:dyDescent="0.25">
      <c r="A277" s="7"/>
      <c r="E277" s="7"/>
      <c r="F277" s="7"/>
    </row>
    <row r="278" spans="1:6" x14ac:dyDescent="0.25">
      <c r="A278" s="7"/>
      <c r="E278" s="7"/>
      <c r="F278" s="7"/>
    </row>
    <row r="279" spans="1:6" x14ac:dyDescent="0.25">
      <c r="A279" s="7"/>
      <c r="E279" s="7"/>
      <c r="F279" s="7"/>
    </row>
    <row r="280" spans="1:6" x14ac:dyDescent="0.25">
      <c r="A280" s="7"/>
      <c r="E280" s="7"/>
      <c r="F280" s="7"/>
    </row>
    <row r="281" spans="1:6" x14ac:dyDescent="0.25">
      <c r="A281" s="7"/>
      <c r="E281" s="7"/>
      <c r="F281" s="7"/>
    </row>
    <row r="282" spans="1:6" x14ac:dyDescent="0.25">
      <c r="A282" s="7"/>
      <c r="E282" s="7"/>
      <c r="F282" s="7"/>
    </row>
    <row r="283" spans="1:6" x14ac:dyDescent="0.25">
      <c r="A283" s="7"/>
      <c r="E283" s="7"/>
      <c r="F283" s="7"/>
    </row>
    <row r="284" spans="1:6" x14ac:dyDescent="0.25">
      <c r="A284" s="7"/>
      <c r="E284" s="7"/>
      <c r="F284" s="7"/>
    </row>
    <row r="285" spans="1:6" x14ac:dyDescent="0.25">
      <c r="A285" s="7"/>
      <c r="E285" s="7"/>
      <c r="F285" s="7"/>
    </row>
    <row r="286" spans="1:6" x14ac:dyDescent="0.25">
      <c r="A286" s="7"/>
      <c r="E286" s="7"/>
      <c r="F286" s="7"/>
    </row>
    <row r="287" spans="1:6" x14ac:dyDescent="0.25">
      <c r="A287" s="7"/>
      <c r="E287" s="7"/>
      <c r="F287" s="7"/>
    </row>
    <row r="288" spans="1:6" x14ac:dyDescent="0.25">
      <c r="A288" s="7"/>
      <c r="E288" s="7"/>
      <c r="F288" s="7"/>
    </row>
    <row r="289" spans="1:6" x14ac:dyDescent="0.25">
      <c r="A289" s="7"/>
      <c r="E289" s="7"/>
      <c r="F289" s="7"/>
    </row>
    <row r="290" spans="1:6" x14ac:dyDescent="0.25">
      <c r="A290" s="7"/>
      <c r="E290" s="7"/>
      <c r="F290" s="7"/>
    </row>
    <row r="291" spans="1:6" x14ac:dyDescent="0.25">
      <c r="A291" s="7"/>
      <c r="E291" s="7"/>
      <c r="F291" s="7"/>
    </row>
    <row r="292" spans="1:6" x14ac:dyDescent="0.25">
      <c r="A292" s="7"/>
      <c r="E292" s="7"/>
      <c r="F292" s="7"/>
    </row>
    <row r="293" spans="1:6" x14ac:dyDescent="0.25">
      <c r="A293" s="7"/>
      <c r="E293" s="7"/>
      <c r="F293" s="7"/>
    </row>
    <row r="294" spans="1:6" x14ac:dyDescent="0.25">
      <c r="A294" s="7"/>
      <c r="E294" s="7"/>
      <c r="F294" s="7"/>
    </row>
    <row r="295" spans="1:6" x14ac:dyDescent="0.25">
      <c r="A295" s="7"/>
      <c r="E295" s="7"/>
      <c r="F295" s="7"/>
    </row>
    <row r="296" spans="1:6" x14ac:dyDescent="0.25">
      <c r="A296" s="7"/>
      <c r="E296" s="7"/>
      <c r="F296" s="7"/>
    </row>
    <row r="297" spans="1:6" x14ac:dyDescent="0.25">
      <c r="A297" s="7"/>
      <c r="E297" s="7"/>
      <c r="F297" s="7"/>
    </row>
    <row r="298" spans="1:6" x14ac:dyDescent="0.25">
      <c r="A298" s="7"/>
      <c r="E298" s="7"/>
      <c r="F298" s="7"/>
    </row>
    <row r="299" spans="1:6" x14ac:dyDescent="0.25">
      <c r="A299" s="7"/>
      <c r="E299" s="7"/>
      <c r="F299" s="7"/>
    </row>
    <row r="300" spans="1:6" x14ac:dyDescent="0.25">
      <c r="A300" s="7"/>
      <c r="E300" s="7"/>
      <c r="F300" s="7"/>
    </row>
    <row r="301" spans="1:6" x14ac:dyDescent="0.25">
      <c r="A301" s="7"/>
      <c r="E301" s="7"/>
      <c r="F301" s="7"/>
    </row>
    <row r="302" spans="1:6" x14ac:dyDescent="0.25">
      <c r="A302" s="7"/>
      <c r="E302" s="7"/>
      <c r="F302" s="7"/>
    </row>
    <row r="303" spans="1:6" x14ac:dyDescent="0.25">
      <c r="A303" s="7"/>
      <c r="E303" s="7"/>
      <c r="F303" s="7"/>
    </row>
    <row r="304" spans="1:6" x14ac:dyDescent="0.25">
      <c r="A304" s="7"/>
      <c r="E304" s="7"/>
      <c r="F304" s="7"/>
    </row>
    <row r="305" spans="1:6" x14ac:dyDescent="0.25">
      <c r="A305" s="7"/>
      <c r="E305" s="7"/>
      <c r="F305" s="7"/>
    </row>
    <row r="306" spans="1:6" x14ac:dyDescent="0.25">
      <c r="A306" s="7"/>
      <c r="E306" s="7"/>
      <c r="F306" s="7"/>
    </row>
    <row r="307" spans="1:6" x14ac:dyDescent="0.25">
      <c r="A307" s="7"/>
      <c r="E307" s="7"/>
      <c r="F307" s="7"/>
    </row>
    <row r="308" spans="1:6" x14ac:dyDescent="0.25">
      <c r="A308" s="7"/>
      <c r="E308" s="7"/>
      <c r="F308" s="7"/>
    </row>
    <row r="309" spans="1:6" x14ac:dyDescent="0.25">
      <c r="A309" s="7"/>
      <c r="E309" s="7"/>
      <c r="F309" s="7"/>
    </row>
    <row r="310" spans="1:6" x14ac:dyDescent="0.25">
      <c r="A310" s="7"/>
      <c r="E310" s="7"/>
      <c r="F310" s="7"/>
    </row>
    <row r="311" spans="1:6" x14ac:dyDescent="0.25">
      <c r="A311" s="7"/>
      <c r="E311" s="7"/>
      <c r="F311" s="7"/>
    </row>
    <row r="312" spans="1:6" x14ac:dyDescent="0.25">
      <c r="A312" s="7"/>
      <c r="E312" s="7"/>
      <c r="F312" s="7"/>
    </row>
    <row r="313" spans="1:6" x14ac:dyDescent="0.25">
      <c r="A313" s="7"/>
      <c r="E313" s="7"/>
      <c r="F313" s="7"/>
    </row>
    <row r="314" spans="1:6" x14ac:dyDescent="0.25">
      <c r="A314" s="7"/>
      <c r="E314" s="7"/>
      <c r="F314" s="7"/>
    </row>
    <row r="315" spans="1:6" x14ac:dyDescent="0.25">
      <c r="A315" s="7"/>
      <c r="E315" s="7"/>
      <c r="F315" s="7"/>
    </row>
    <row r="316" spans="1:6" x14ac:dyDescent="0.25">
      <c r="A316" s="7"/>
      <c r="E316" s="7"/>
      <c r="F316" s="7"/>
    </row>
    <row r="317" spans="1:6" x14ac:dyDescent="0.25">
      <c r="A317" s="7"/>
      <c r="E317" s="7"/>
      <c r="F317" s="7"/>
    </row>
    <row r="318" spans="1:6" x14ac:dyDescent="0.25">
      <c r="A318" s="7"/>
      <c r="E318" s="7"/>
      <c r="F318" s="7"/>
    </row>
    <row r="319" spans="1:6" x14ac:dyDescent="0.25">
      <c r="A319" s="7"/>
      <c r="E319" s="7"/>
      <c r="F319" s="7"/>
    </row>
    <row r="320" spans="1:6" x14ac:dyDescent="0.25">
      <c r="A320" s="7"/>
      <c r="E320" s="7"/>
      <c r="F320" s="7"/>
    </row>
    <row r="321" spans="1:6" x14ac:dyDescent="0.25">
      <c r="A321" s="7"/>
      <c r="E321" s="7"/>
      <c r="F321" s="7"/>
    </row>
    <row r="322" spans="1:6" x14ac:dyDescent="0.25">
      <c r="A322" s="7"/>
      <c r="E322" s="7"/>
      <c r="F322" s="7"/>
    </row>
    <row r="323" spans="1:6" x14ac:dyDescent="0.25">
      <c r="A323" s="7"/>
      <c r="E323" s="7"/>
      <c r="F323" s="7"/>
    </row>
    <row r="324" spans="1:6" x14ac:dyDescent="0.25">
      <c r="A324" s="7"/>
      <c r="E324" s="7"/>
      <c r="F324" s="7"/>
    </row>
    <row r="325" spans="1:6" x14ac:dyDescent="0.25">
      <c r="A325" s="7"/>
      <c r="E325" s="7"/>
      <c r="F325" s="7"/>
    </row>
    <row r="326" spans="1:6" x14ac:dyDescent="0.25">
      <c r="A326" s="7"/>
      <c r="E326" s="7"/>
      <c r="F326" s="7"/>
    </row>
    <row r="327" spans="1:6" x14ac:dyDescent="0.25">
      <c r="A327" s="7"/>
      <c r="E327" s="7"/>
      <c r="F327" s="7"/>
    </row>
    <row r="328" spans="1:6" x14ac:dyDescent="0.25">
      <c r="A328" s="7"/>
      <c r="E328" s="7"/>
      <c r="F328" s="7"/>
    </row>
    <row r="329" spans="1:6" x14ac:dyDescent="0.25">
      <c r="A329" s="7"/>
      <c r="E329" s="7"/>
      <c r="F329" s="7"/>
    </row>
    <row r="330" spans="1:6" x14ac:dyDescent="0.25">
      <c r="A330" s="7"/>
      <c r="E330" s="7"/>
      <c r="F330" s="7"/>
    </row>
    <row r="331" spans="1:6" x14ac:dyDescent="0.25">
      <c r="A331" s="7"/>
      <c r="E331" s="7"/>
      <c r="F331" s="7"/>
    </row>
    <row r="332" spans="1:6" x14ac:dyDescent="0.25">
      <c r="A332" s="7"/>
      <c r="E332" s="7"/>
      <c r="F332" s="7"/>
    </row>
    <row r="333" spans="1:6" x14ac:dyDescent="0.25">
      <c r="A333" s="7"/>
      <c r="E333" s="7"/>
      <c r="F333" s="7"/>
    </row>
    <row r="334" spans="1:6" x14ac:dyDescent="0.25">
      <c r="A334" s="7"/>
      <c r="E334" s="7"/>
      <c r="F334" s="7"/>
    </row>
    <row r="335" spans="1:6" x14ac:dyDescent="0.25">
      <c r="A335" s="7"/>
      <c r="E335" s="7"/>
      <c r="F335" s="7"/>
    </row>
    <row r="336" spans="1:6" x14ac:dyDescent="0.25">
      <c r="A336" s="7"/>
      <c r="E336" s="7"/>
      <c r="F336" s="7"/>
    </row>
    <row r="337" spans="1:6" x14ac:dyDescent="0.25">
      <c r="A337" s="7"/>
      <c r="E337" s="7"/>
      <c r="F337" s="7"/>
    </row>
    <row r="338" spans="1:6" x14ac:dyDescent="0.25">
      <c r="A338" s="7"/>
      <c r="E338" s="7"/>
      <c r="F338" s="7"/>
    </row>
    <row r="339" spans="1:6" x14ac:dyDescent="0.25">
      <c r="A339" s="7"/>
      <c r="E339" s="7"/>
      <c r="F339" s="7"/>
    </row>
    <row r="340" spans="1:6" x14ac:dyDescent="0.25">
      <c r="A340" s="7"/>
      <c r="E340" s="7"/>
      <c r="F340" s="7"/>
    </row>
    <row r="341" spans="1:6" x14ac:dyDescent="0.25">
      <c r="A341" s="7"/>
      <c r="E341" s="7"/>
      <c r="F341" s="7"/>
    </row>
    <row r="342" spans="1:6" x14ac:dyDescent="0.25">
      <c r="A342" s="7"/>
      <c r="E342" s="7"/>
      <c r="F342" s="7"/>
    </row>
    <row r="343" spans="1:6" x14ac:dyDescent="0.25">
      <c r="A343" s="7"/>
      <c r="E343" s="7"/>
      <c r="F343" s="7"/>
    </row>
    <row r="344" spans="1:6" x14ac:dyDescent="0.25">
      <c r="A344" s="7"/>
      <c r="E344" s="7"/>
      <c r="F344" s="7"/>
    </row>
    <row r="345" spans="1:6" x14ac:dyDescent="0.25">
      <c r="A345" s="7"/>
      <c r="E345" s="7"/>
      <c r="F345" s="7"/>
    </row>
    <row r="346" spans="1:6" x14ac:dyDescent="0.25">
      <c r="A346" s="7"/>
      <c r="E346" s="7"/>
      <c r="F346" s="7"/>
    </row>
    <row r="347" spans="1:6" x14ac:dyDescent="0.25">
      <c r="A347" s="7"/>
      <c r="E347" s="7"/>
      <c r="F347" s="7"/>
    </row>
    <row r="348" spans="1:6" x14ac:dyDescent="0.25">
      <c r="A348" s="7"/>
      <c r="E348" s="7"/>
      <c r="F348" s="7"/>
    </row>
    <row r="349" spans="1:6" x14ac:dyDescent="0.25">
      <c r="A349" s="7"/>
      <c r="E349" s="7"/>
      <c r="F349" s="7"/>
    </row>
    <row r="350" spans="1:6" x14ac:dyDescent="0.25">
      <c r="A350" s="7"/>
      <c r="E350" s="7"/>
      <c r="F350" s="7"/>
    </row>
    <row r="351" spans="1:6" x14ac:dyDescent="0.25">
      <c r="A351" s="7"/>
      <c r="E351" s="7"/>
      <c r="F351" s="7"/>
    </row>
    <row r="352" spans="1:6" x14ac:dyDescent="0.25">
      <c r="A352" s="7"/>
      <c r="E352" s="7"/>
      <c r="F352" s="7"/>
    </row>
    <row r="353" spans="1:6" x14ac:dyDescent="0.25">
      <c r="A353" s="7"/>
      <c r="E353" s="7"/>
      <c r="F353" s="7"/>
    </row>
    <row r="354" spans="1:6" x14ac:dyDescent="0.25">
      <c r="A354" s="7"/>
      <c r="E354" s="7"/>
      <c r="F354" s="7"/>
    </row>
    <row r="355" spans="1:6" x14ac:dyDescent="0.25">
      <c r="A355" s="7"/>
      <c r="E355" s="7"/>
      <c r="F355" s="7"/>
    </row>
    <row r="356" spans="1:6" x14ac:dyDescent="0.25">
      <c r="A356" s="7"/>
      <c r="E356" s="7"/>
      <c r="F356" s="7"/>
    </row>
    <row r="357" spans="1:6" x14ac:dyDescent="0.25">
      <c r="A357" s="7"/>
      <c r="E357" s="7"/>
      <c r="F357" s="7"/>
    </row>
    <row r="358" spans="1:6" x14ac:dyDescent="0.25">
      <c r="A358" s="7"/>
      <c r="E358" s="7"/>
      <c r="F358" s="7"/>
    </row>
    <row r="359" spans="1:6" x14ac:dyDescent="0.25">
      <c r="A359" s="7"/>
      <c r="E359" s="7"/>
      <c r="F359" s="7"/>
    </row>
    <row r="360" spans="1:6" x14ac:dyDescent="0.25">
      <c r="A360" s="7"/>
      <c r="E360" s="7"/>
      <c r="F360" s="7"/>
    </row>
    <row r="361" spans="1:6" x14ac:dyDescent="0.25">
      <c r="A361" s="7"/>
      <c r="E361" s="7"/>
      <c r="F361" s="7"/>
    </row>
    <row r="362" spans="1:6" x14ac:dyDescent="0.25">
      <c r="A362" s="7"/>
      <c r="E362" s="7"/>
      <c r="F362" s="7"/>
    </row>
    <row r="363" spans="1:6" x14ac:dyDescent="0.25">
      <c r="A363" s="7"/>
      <c r="E363" s="7"/>
      <c r="F363" s="7"/>
    </row>
    <row r="364" spans="1:6" x14ac:dyDescent="0.25">
      <c r="A364" s="7"/>
      <c r="E364" s="7"/>
      <c r="F364" s="7"/>
    </row>
    <row r="365" spans="1:6" x14ac:dyDescent="0.25">
      <c r="A365" s="7"/>
      <c r="E365" s="7"/>
      <c r="F365" s="7"/>
    </row>
    <row r="366" spans="1:6" x14ac:dyDescent="0.25">
      <c r="A366" s="7"/>
      <c r="E366" s="7"/>
      <c r="F366" s="7"/>
    </row>
    <row r="367" spans="1:6" x14ac:dyDescent="0.25">
      <c r="A367" s="7"/>
      <c r="E367" s="7"/>
      <c r="F367" s="7"/>
    </row>
    <row r="368" spans="1:6" x14ac:dyDescent="0.25">
      <c r="A368" s="7"/>
      <c r="E368" s="7"/>
      <c r="F368" s="7"/>
    </row>
    <row r="369" spans="1:6" x14ac:dyDescent="0.25">
      <c r="A369" s="7"/>
      <c r="E369" s="7"/>
      <c r="F369" s="7"/>
    </row>
    <row r="370" spans="1:6" x14ac:dyDescent="0.25">
      <c r="A370" s="7"/>
      <c r="E370" s="7"/>
      <c r="F370" s="7"/>
    </row>
    <row r="371" spans="1:6" x14ac:dyDescent="0.25">
      <c r="A371" s="7"/>
      <c r="E371" s="7"/>
      <c r="F371" s="7"/>
    </row>
    <row r="372" spans="1:6" x14ac:dyDescent="0.25">
      <c r="A372" s="7"/>
      <c r="E372" s="7"/>
      <c r="F372" s="7"/>
    </row>
    <row r="373" spans="1:6" x14ac:dyDescent="0.25">
      <c r="A373" s="7"/>
      <c r="E373" s="7"/>
      <c r="F373" s="7"/>
    </row>
    <row r="374" spans="1:6" x14ac:dyDescent="0.25">
      <c r="A374" s="7"/>
      <c r="E374" s="7"/>
      <c r="F374" s="7"/>
    </row>
    <row r="375" spans="1:6" x14ac:dyDescent="0.25">
      <c r="A375" s="7"/>
      <c r="E375" s="7"/>
      <c r="F375" s="7"/>
    </row>
    <row r="376" spans="1:6" x14ac:dyDescent="0.25">
      <c r="A376" s="7"/>
      <c r="E376" s="7"/>
      <c r="F376" s="7"/>
    </row>
    <row r="377" spans="1:6" x14ac:dyDescent="0.25">
      <c r="A377" s="7"/>
      <c r="E377" s="7"/>
      <c r="F377" s="7"/>
    </row>
    <row r="378" spans="1:6" x14ac:dyDescent="0.25">
      <c r="A378" s="7"/>
      <c r="E378" s="7"/>
      <c r="F378" s="7"/>
    </row>
    <row r="379" spans="1:6" x14ac:dyDescent="0.25">
      <c r="A379" s="7"/>
      <c r="E379" s="7"/>
      <c r="F379" s="7"/>
    </row>
    <row r="380" spans="1:6" x14ac:dyDescent="0.25">
      <c r="A380" s="7"/>
      <c r="E380" s="7"/>
      <c r="F380" s="7"/>
    </row>
    <row r="381" spans="1:6" x14ac:dyDescent="0.25">
      <c r="A381" s="7"/>
      <c r="E381" s="7"/>
      <c r="F381" s="7"/>
    </row>
    <row r="382" spans="1:6" x14ac:dyDescent="0.25">
      <c r="A382" s="7"/>
      <c r="E382" s="7"/>
      <c r="F382" s="7"/>
    </row>
    <row r="383" spans="1:6" x14ac:dyDescent="0.25">
      <c r="A383" s="7"/>
      <c r="E383" s="7"/>
      <c r="F383" s="7"/>
    </row>
    <row r="384" spans="1:6" x14ac:dyDescent="0.25">
      <c r="A384" s="7"/>
      <c r="E384" s="7"/>
      <c r="F384" s="7"/>
    </row>
    <row r="385" spans="1:6" x14ac:dyDescent="0.25">
      <c r="A385" s="7"/>
      <c r="E385" s="7"/>
      <c r="F385" s="7"/>
    </row>
    <row r="386" spans="1:6" x14ac:dyDescent="0.25">
      <c r="A386" s="7"/>
      <c r="E386" s="7"/>
      <c r="F386" s="7"/>
    </row>
    <row r="387" spans="1:6" x14ac:dyDescent="0.25">
      <c r="A387" s="7"/>
      <c r="E387" s="7"/>
      <c r="F387" s="7"/>
    </row>
    <row r="388" spans="1:6" x14ac:dyDescent="0.25">
      <c r="A388" s="7"/>
      <c r="E388" s="7"/>
      <c r="F388" s="7"/>
    </row>
    <row r="389" spans="1:6" x14ac:dyDescent="0.25">
      <c r="A389" s="7"/>
      <c r="E389" s="7"/>
      <c r="F389" s="7"/>
    </row>
    <row r="390" spans="1:6" x14ac:dyDescent="0.25">
      <c r="A390" s="7"/>
      <c r="E390" s="7"/>
      <c r="F390" s="7"/>
    </row>
    <row r="391" spans="1:6" x14ac:dyDescent="0.25">
      <c r="A391" s="7"/>
      <c r="E391" s="7"/>
      <c r="F391" s="7"/>
    </row>
    <row r="392" spans="1:6" x14ac:dyDescent="0.25">
      <c r="A392" s="7"/>
      <c r="E392" s="7"/>
      <c r="F392" s="7"/>
    </row>
    <row r="393" spans="1:6" x14ac:dyDescent="0.25">
      <c r="A393" s="7"/>
      <c r="E393" s="7"/>
      <c r="F393" s="7"/>
    </row>
    <row r="394" spans="1:6" x14ac:dyDescent="0.25">
      <c r="A394" s="7"/>
      <c r="E394" s="7"/>
      <c r="F394" s="7"/>
    </row>
    <row r="395" spans="1:6" x14ac:dyDescent="0.25">
      <c r="A395" s="7"/>
      <c r="E395" s="7"/>
      <c r="F395" s="7"/>
    </row>
    <row r="396" spans="1:6" x14ac:dyDescent="0.25">
      <c r="A396" s="7"/>
      <c r="E396" s="7"/>
      <c r="F396" s="7"/>
    </row>
    <row r="397" spans="1:6" x14ac:dyDescent="0.25">
      <c r="A397" s="7"/>
      <c r="E397" s="7"/>
      <c r="F397" s="7"/>
    </row>
    <row r="398" spans="1:6" x14ac:dyDescent="0.25">
      <c r="A398" s="7"/>
      <c r="E398" s="7"/>
      <c r="F398" s="7"/>
    </row>
    <row r="399" spans="1:6" x14ac:dyDescent="0.25">
      <c r="A399" s="7"/>
      <c r="E399" s="7"/>
      <c r="F399" s="7"/>
    </row>
    <row r="400" spans="1:6" x14ac:dyDescent="0.25">
      <c r="A400" s="7"/>
      <c r="E400" s="7"/>
      <c r="F400" s="7"/>
    </row>
    <row r="401" spans="1:6" x14ac:dyDescent="0.25">
      <c r="A401" s="7"/>
      <c r="E401" s="7"/>
      <c r="F401" s="7"/>
    </row>
    <row r="402" spans="1:6" x14ac:dyDescent="0.25">
      <c r="A402" s="7"/>
      <c r="E402" s="7"/>
      <c r="F402" s="7"/>
    </row>
    <row r="403" spans="1:6" x14ac:dyDescent="0.25">
      <c r="A403" s="7"/>
      <c r="E403" s="7"/>
      <c r="F403" s="7"/>
    </row>
    <row r="404" spans="1:6" x14ac:dyDescent="0.25">
      <c r="A404" s="7"/>
      <c r="E404" s="7"/>
      <c r="F404" s="7"/>
    </row>
    <row r="405" spans="1:6" x14ac:dyDescent="0.25">
      <c r="A405" s="7"/>
      <c r="E405" s="7"/>
      <c r="F405" s="7"/>
    </row>
    <row r="406" spans="1:6" x14ac:dyDescent="0.25">
      <c r="A406" s="7"/>
      <c r="E406" s="7"/>
      <c r="F406" s="7"/>
    </row>
    <row r="407" spans="1:6" x14ac:dyDescent="0.25">
      <c r="A407" s="7"/>
      <c r="E407" s="7"/>
      <c r="F407" s="7"/>
    </row>
    <row r="408" spans="1:6" x14ac:dyDescent="0.25">
      <c r="A408" s="7"/>
      <c r="E408" s="7"/>
      <c r="F408" s="7"/>
    </row>
    <row r="409" spans="1:6" x14ac:dyDescent="0.25">
      <c r="A409" s="7"/>
      <c r="E409" s="7"/>
      <c r="F409" s="7"/>
    </row>
    <row r="410" spans="1:6" x14ac:dyDescent="0.25">
      <c r="A410" s="7"/>
      <c r="E410" s="7"/>
      <c r="F410" s="7"/>
    </row>
    <row r="411" spans="1:6" x14ac:dyDescent="0.25">
      <c r="A411" s="7"/>
      <c r="E411" s="7"/>
      <c r="F411" s="7"/>
    </row>
    <row r="412" spans="1:6" x14ac:dyDescent="0.25">
      <c r="A412" s="7"/>
      <c r="E412" s="7"/>
      <c r="F412" s="7"/>
    </row>
    <row r="413" spans="1:6" x14ac:dyDescent="0.25">
      <c r="A413" s="7"/>
      <c r="E413" s="7"/>
      <c r="F413" s="7"/>
    </row>
    <row r="414" spans="1:6" x14ac:dyDescent="0.25">
      <c r="A414" s="7"/>
      <c r="E414" s="7"/>
      <c r="F414" s="7"/>
    </row>
    <row r="415" spans="1:6" x14ac:dyDescent="0.25">
      <c r="A415" s="7"/>
      <c r="E415" s="7"/>
      <c r="F415" s="7"/>
    </row>
    <row r="416" spans="1:6" x14ac:dyDescent="0.25">
      <c r="A416" s="7"/>
      <c r="E416" s="7"/>
      <c r="F416" s="7"/>
    </row>
    <row r="417" spans="1:6" x14ac:dyDescent="0.25">
      <c r="A417" s="7"/>
      <c r="E417" s="7"/>
      <c r="F417" s="7"/>
    </row>
    <row r="418" spans="1:6" x14ac:dyDescent="0.25">
      <c r="A418" s="7"/>
      <c r="E418" s="7"/>
      <c r="F418" s="7"/>
    </row>
    <row r="419" spans="1:6" x14ac:dyDescent="0.25">
      <c r="A419" s="7"/>
      <c r="E419" s="7"/>
      <c r="F419" s="7"/>
    </row>
    <row r="420" spans="1:6" x14ac:dyDescent="0.25">
      <c r="A420" s="7"/>
      <c r="E420" s="7"/>
      <c r="F420" s="7"/>
    </row>
    <row r="421" spans="1:6" x14ac:dyDescent="0.25">
      <c r="A421" s="7"/>
      <c r="E421" s="7"/>
      <c r="F421" s="7"/>
    </row>
    <row r="422" spans="1:6" x14ac:dyDescent="0.25">
      <c r="A422" s="7"/>
      <c r="E422" s="7"/>
      <c r="F422" s="7"/>
    </row>
    <row r="423" spans="1:6" x14ac:dyDescent="0.25">
      <c r="A423" s="7"/>
      <c r="E423" s="7"/>
      <c r="F423" s="7"/>
    </row>
    <row r="424" spans="1:6" x14ac:dyDescent="0.25">
      <c r="A424" s="7"/>
      <c r="E424" s="7"/>
      <c r="F424" s="7"/>
    </row>
    <row r="425" spans="1:6" x14ac:dyDescent="0.25">
      <c r="A425" s="7"/>
      <c r="E425" s="7"/>
      <c r="F425" s="7"/>
    </row>
    <row r="426" spans="1:6" x14ac:dyDescent="0.25">
      <c r="A426" s="7"/>
      <c r="E426" s="7"/>
      <c r="F426" s="7"/>
    </row>
    <row r="427" spans="1:6" x14ac:dyDescent="0.25">
      <c r="A427" s="7"/>
      <c r="E427" s="7"/>
      <c r="F427" s="7"/>
    </row>
    <row r="428" spans="1:6" x14ac:dyDescent="0.25">
      <c r="A428" s="7"/>
      <c r="E428" s="7"/>
      <c r="F428" s="7"/>
    </row>
    <row r="429" spans="1:6" x14ac:dyDescent="0.25">
      <c r="A429" s="7"/>
      <c r="E429" s="7"/>
      <c r="F429" s="7"/>
    </row>
    <row r="430" spans="1:6" x14ac:dyDescent="0.25">
      <c r="A430" s="7"/>
      <c r="E430" s="7"/>
      <c r="F430" s="7"/>
    </row>
    <row r="431" spans="1:6" x14ac:dyDescent="0.25">
      <c r="A431" s="7"/>
      <c r="E431" s="7"/>
      <c r="F431" s="7"/>
    </row>
    <row r="432" spans="1:6" x14ac:dyDescent="0.25">
      <c r="A432" s="7"/>
      <c r="E432" s="7"/>
      <c r="F432" s="7"/>
    </row>
    <row r="433" spans="1:6" x14ac:dyDescent="0.25">
      <c r="A433" s="7"/>
      <c r="E433" s="7"/>
      <c r="F433" s="7"/>
    </row>
    <row r="434" spans="1:6" x14ac:dyDescent="0.25">
      <c r="A434" s="7"/>
      <c r="E434" s="7"/>
      <c r="F434" s="7"/>
    </row>
    <row r="435" spans="1:6" x14ac:dyDescent="0.25">
      <c r="A435" s="7"/>
      <c r="E435" s="7"/>
      <c r="F435" s="7"/>
    </row>
    <row r="436" spans="1:6" x14ac:dyDescent="0.25">
      <c r="A436" s="7"/>
      <c r="E436" s="7"/>
      <c r="F436" s="7"/>
    </row>
    <row r="437" spans="1:6" x14ac:dyDescent="0.25">
      <c r="A437" s="7"/>
      <c r="E437" s="7"/>
      <c r="F437" s="7"/>
    </row>
    <row r="438" spans="1:6" x14ac:dyDescent="0.25">
      <c r="A438" s="7"/>
      <c r="E438" s="7"/>
      <c r="F438" s="7"/>
    </row>
    <row r="439" spans="1:6" x14ac:dyDescent="0.25">
      <c r="A439" s="7"/>
      <c r="E439" s="7"/>
      <c r="F439" s="7"/>
    </row>
    <row r="440" spans="1:6" x14ac:dyDescent="0.25">
      <c r="A440" s="7"/>
      <c r="E440" s="7"/>
      <c r="F440" s="7"/>
    </row>
    <row r="441" spans="1:6" x14ac:dyDescent="0.25">
      <c r="A441" s="7"/>
      <c r="E441" s="7"/>
      <c r="F441" s="7"/>
    </row>
    <row r="442" spans="1:6" x14ac:dyDescent="0.25">
      <c r="A442" s="7"/>
      <c r="E442" s="7"/>
      <c r="F442" s="7"/>
    </row>
    <row r="443" spans="1:6" x14ac:dyDescent="0.25">
      <c r="A443" s="7"/>
      <c r="E443" s="7"/>
      <c r="F443" s="7"/>
    </row>
    <row r="444" spans="1:6" x14ac:dyDescent="0.25">
      <c r="A444" s="7"/>
      <c r="E444" s="7"/>
      <c r="F444" s="7"/>
    </row>
    <row r="445" spans="1:6" x14ac:dyDescent="0.25">
      <c r="A445" s="7"/>
      <c r="E445" s="7"/>
      <c r="F445" s="7"/>
    </row>
    <row r="446" spans="1:6" x14ac:dyDescent="0.25">
      <c r="A446" s="7"/>
      <c r="E446" s="7"/>
      <c r="F446" s="7"/>
    </row>
    <row r="447" spans="1:6" x14ac:dyDescent="0.25">
      <c r="A447" s="7"/>
      <c r="E447" s="7"/>
      <c r="F447" s="7"/>
    </row>
    <row r="448" spans="1:6" x14ac:dyDescent="0.25">
      <c r="A448" s="7"/>
      <c r="E448" s="7"/>
      <c r="F448" s="7"/>
    </row>
    <row r="449" spans="1:6" x14ac:dyDescent="0.25">
      <c r="A449" s="7"/>
      <c r="E449" s="7"/>
      <c r="F449" s="7"/>
    </row>
    <row r="450" spans="1:6" x14ac:dyDescent="0.25">
      <c r="A450" s="7"/>
      <c r="E450" s="7"/>
      <c r="F450" s="7"/>
    </row>
    <row r="451" spans="1:6" x14ac:dyDescent="0.25">
      <c r="A451" s="7"/>
      <c r="E451" s="7"/>
      <c r="F451" s="7"/>
    </row>
    <row r="452" spans="1:6" x14ac:dyDescent="0.25">
      <c r="A452" s="7"/>
      <c r="E452" s="7"/>
      <c r="F452" s="7"/>
    </row>
    <row r="453" spans="1:6" x14ac:dyDescent="0.25">
      <c r="A453" s="7"/>
      <c r="E453" s="7"/>
      <c r="F453" s="7"/>
    </row>
    <row r="454" spans="1:6" x14ac:dyDescent="0.25">
      <c r="A454" s="7"/>
      <c r="E454" s="7"/>
      <c r="F454" s="7"/>
    </row>
    <row r="455" spans="1:6" x14ac:dyDescent="0.25">
      <c r="A455" s="7"/>
      <c r="E455" s="7"/>
      <c r="F455" s="7"/>
    </row>
    <row r="456" spans="1:6" x14ac:dyDescent="0.25">
      <c r="A456" s="7"/>
      <c r="E456" s="7"/>
      <c r="F456" s="7"/>
    </row>
    <row r="457" spans="1:6" x14ac:dyDescent="0.25">
      <c r="A457" s="7"/>
      <c r="E457" s="7"/>
      <c r="F457" s="7"/>
    </row>
    <row r="458" spans="1:6" x14ac:dyDescent="0.25">
      <c r="A458" s="7"/>
      <c r="E458" s="7"/>
      <c r="F458" s="7"/>
    </row>
    <row r="459" spans="1:6" x14ac:dyDescent="0.25">
      <c r="A459" s="7"/>
      <c r="E459" s="7"/>
      <c r="F459" s="7"/>
    </row>
    <row r="460" spans="1:6" x14ac:dyDescent="0.25">
      <c r="A460" s="7"/>
      <c r="E460" s="7"/>
      <c r="F460" s="7"/>
    </row>
    <row r="461" spans="1:6" x14ac:dyDescent="0.25">
      <c r="A461" s="7"/>
      <c r="E461" s="7"/>
      <c r="F461" s="7"/>
    </row>
    <row r="462" spans="1:6" x14ac:dyDescent="0.25">
      <c r="A462" s="7"/>
      <c r="E462" s="7"/>
      <c r="F462" s="7"/>
    </row>
    <row r="463" spans="1:6" x14ac:dyDescent="0.25">
      <c r="A463" s="7"/>
      <c r="E463" s="7"/>
      <c r="F463" s="7"/>
    </row>
    <row r="464" spans="1:6" x14ac:dyDescent="0.25">
      <c r="A464" s="7"/>
      <c r="E464" s="7"/>
      <c r="F464" s="7"/>
    </row>
    <row r="465" spans="1:6" x14ac:dyDescent="0.25">
      <c r="A465" s="7"/>
      <c r="E465" s="7"/>
      <c r="F465" s="7"/>
    </row>
    <row r="466" spans="1:6" x14ac:dyDescent="0.25">
      <c r="A466" s="7"/>
      <c r="E466" s="7"/>
      <c r="F466" s="7"/>
    </row>
    <row r="467" spans="1:6" x14ac:dyDescent="0.25">
      <c r="A467" s="7"/>
      <c r="E467" s="7"/>
      <c r="F467" s="7"/>
    </row>
    <row r="468" spans="1:6" x14ac:dyDescent="0.25">
      <c r="A468" s="7"/>
      <c r="E468" s="7"/>
      <c r="F468" s="7"/>
    </row>
    <row r="469" spans="1:6" x14ac:dyDescent="0.25">
      <c r="A469" s="7"/>
      <c r="E469" s="7"/>
      <c r="F469" s="7"/>
    </row>
    <row r="470" spans="1:6" x14ac:dyDescent="0.25">
      <c r="A470" s="7"/>
      <c r="E470" s="7"/>
      <c r="F470" s="7"/>
    </row>
    <row r="471" spans="1:6" x14ac:dyDescent="0.25">
      <c r="A471" s="7"/>
      <c r="E471" s="7"/>
      <c r="F471" s="7"/>
    </row>
    <row r="472" spans="1:6" x14ac:dyDescent="0.25">
      <c r="A472" s="7"/>
      <c r="E472" s="7"/>
      <c r="F472" s="7"/>
    </row>
    <row r="473" spans="1:6" x14ac:dyDescent="0.25">
      <c r="A473" s="7"/>
      <c r="E473" s="7"/>
      <c r="F473" s="7"/>
    </row>
    <row r="474" spans="1:6" x14ac:dyDescent="0.25">
      <c r="A474" s="7"/>
      <c r="E474" s="7"/>
      <c r="F474" s="7"/>
    </row>
    <row r="475" spans="1:6" x14ac:dyDescent="0.25">
      <c r="A475" s="7"/>
      <c r="E475" s="7"/>
      <c r="F475" s="7"/>
    </row>
    <row r="476" spans="1:6" x14ac:dyDescent="0.25">
      <c r="A476" s="7"/>
      <c r="E476" s="7"/>
      <c r="F476" s="7"/>
    </row>
    <row r="477" spans="1:6" x14ac:dyDescent="0.25">
      <c r="A477" s="7"/>
      <c r="E477" s="7"/>
      <c r="F477" s="7"/>
    </row>
    <row r="478" spans="1:6" x14ac:dyDescent="0.25">
      <c r="A478" s="7"/>
      <c r="E478" s="7"/>
      <c r="F478" s="7"/>
    </row>
    <row r="479" spans="1:6" x14ac:dyDescent="0.25">
      <c r="A479" s="7"/>
      <c r="E479" s="7"/>
      <c r="F479" s="7"/>
    </row>
    <row r="480" spans="1:6" x14ac:dyDescent="0.25">
      <c r="A480" s="7"/>
      <c r="E480" s="7"/>
      <c r="F480" s="7"/>
    </row>
    <row r="481" spans="1:6" x14ac:dyDescent="0.25">
      <c r="A481" s="7"/>
      <c r="E481" s="7"/>
      <c r="F481" s="7"/>
    </row>
    <row r="482" spans="1:6" x14ac:dyDescent="0.25">
      <c r="A482" s="7"/>
      <c r="E482" s="7"/>
      <c r="F482" s="7"/>
    </row>
    <row r="483" spans="1:6" x14ac:dyDescent="0.25">
      <c r="A483" s="7"/>
      <c r="E483" s="7"/>
      <c r="F483" s="7"/>
    </row>
    <row r="484" spans="1:6" x14ac:dyDescent="0.25">
      <c r="A484" s="7"/>
      <c r="E484" s="7"/>
      <c r="F484" s="7"/>
    </row>
    <row r="485" spans="1:6" x14ac:dyDescent="0.25">
      <c r="A485" s="7"/>
      <c r="E485" s="7"/>
      <c r="F485" s="7"/>
    </row>
    <row r="486" spans="1:6" x14ac:dyDescent="0.25">
      <c r="A486" s="7"/>
      <c r="E486" s="7"/>
      <c r="F486" s="7"/>
    </row>
    <row r="487" spans="1:6" x14ac:dyDescent="0.25">
      <c r="A487" s="7"/>
      <c r="E487" s="7"/>
      <c r="F487" s="7"/>
    </row>
    <row r="488" spans="1:6" x14ac:dyDescent="0.25">
      <c r="A488" s="7"/>
      <c r="E488" s="7"/>
      <c r="F488" s="7"/>
    </row>
    <row r="489" spans="1:6" x14ac:dyDescent="0.25">
      <c r="A489" s="7"/>
      <c r="E489" s="7"/>
      <c r="F489" s="7"/>
    </row>
    <row r="490" spans="1:6" x14ac:dyDescent="0.25">
      <c r="A490" s="7"/>
      <c r="E490" s="7"/>
      <c r="F490" s="7"/>
    </row>
    <row r="491" spans="1:6" x14ac:dyDescent="0.25">
      <c r="A491" s="7"/>
      <c r="E491" s="7"/>
      <c r="F491" s="7"/>
    </row>
    <row r="492" spans="1:6" x14ac:dyDescent="0.25">
      <c r="A492" s="7"/>
      <c r="E492" s="7"/>
      <c r="F492" s="7"/>
    </row>
    <row r="493" spans="1:6" x14ac:dyDescent="0.25">
      <c r="A493" s="7"/>
      <c r="E493" s="7"/>
      <c r="F493" s="7"/>
    </row>
    <row r="494" spans="1:6" x14ac:dyDescent="0.25">
      <c r="A494" s="7"/>
      <c r="E494" s="7"/>
      <c r="F494" s="7"/>
    </row>
    <row r="495" spans="1:6" x14ac:dyDescent="0.25">
      <c r="A495" s="7"/>
      <c r="E495" s="7"/>
      <c r="F495" s="7"/>
    </row>
    <row r="496" spans="1:6" x14ac:dyDescent="0.25">
      <c r="A496" s="7"/>
      <c r="E496" s="7"/>
      <c r="F496" s="7"/>
    </row>
    <row r="497" spans="1:6" x14ac:dyDescent="0.25">
      <c r="A497" s="7"/>
      <c r="E497" s="7"/>
      <c r="F497" s="7"/>
    </row>
    <row r="498" spans="1:6" x14ac:dyDescent="0.25">
      <c r="A498" s="7"/>
      <c r="E498" s="7"/>
      <c r="F498" s="7"/>
    </row>
    <row r="499" spans="1:6" x14ac:dyDescent="0.25">
      <c r="A499" s="7"/>
      <c r="E499" s="7"/>
      <c r="F499" s="7"/>
    </row>
    <row r="500" spans="1:6" x14ac:dyDescent="0.25">
      <c r="A500" s="7"/>
      <c r="E500" s="7"/>
      <c r="F500" s="7"/>
    </row>
    <row r="501" spans="1:6" x14ac:dyDescent="0.25">
      <c r="A501" s="7"/>
      <c r="E501" s="7"/>
      <c r="F501" s="7"/>
    </row>
    <row r="502" spans="1:6" x14ac:dyDescent="0.25">
      <c r="A502" s="7"/>
      <c r="E502" s="7"/>
      <c r="F502" s="7"/>
    </row>
    <row r="503" spans="1:6" x14ac:dyDescent="0.25">
      <c r="A503" s="7"/>
      <c r="E503" s="7"/>
      <c r="F503" s="7"/>
    </row>
    <row r="504" spans="1:6" x14ac:dyDescent="0.25">
      <c r="A504" s="7"/>
      <c r="E504" s="7"/>
      <c r="F504" s="7"/>
    </row>
    <row r="505" spans="1:6" x14ac:dyDescent="0.25">
      <c r="A505" s="7"/>
      <c r="E505" s="7"/>
      <c r="F505" s="7"/>
    </row>
    <row r="506" spans="1:6" x14ac:dyDescent="0.25">
      <c r="A506" s="7"/>
      <c r="E506" s="7"/>
      <c r="F506" s="7"/>
    </row>
    <row r="507" spans="1:6" x14ac:dyDescent="0.25">
      <c r="A507" s="7"/>
      <c r="E507" s="7"/>
      <c r="F507" s="7"/>
    </row>
    <row r="508" spans="1:6" x14ac:dyDescent="0.25">
      <c r="A508" s="7"/>
      <c r="E508" s="7"/>
      <c r="F508" s="7"/>
    </row>
    <row r="509" spans="1:6" x14ac:dyDescent="0.25">
      <c r="A509" s="7"/>
      <c r="E509" s="7"/>
      <c r="F509" s="7"/>
    </row>
    <row r="510" spans="1:6" x14ac:dyDescent="0.25">
      <c r="A510" s="7"/>
      <c r="E510" s="7"/>
      <c r="F510" s="7"/>
    </row>
    <row r="511" spans="1:6" x14ac:dyDescent="0.25">
      <c r="A511" s="7"/>
      <c r="E511" s="7"/>
      <c r="F511" s="7"/>
    </row>
    <row r="512" spans="1:6" x14ac:dyDescent="0.25">
      <c r="A512" s="7"/>
      <c r="E512" s="7"/>
      <c r="F512" s="7"/>
    </row>
    <row r="513" spans="1:6" x14ac:dyDescent="0.25">
      <c r="A513" s="7"/>
      <c r="E513" s="7"/>
      <c r="F513" s="7"/>
    </row>
    <row r="514" spans="1:6" x14ac:dyDescent="0.25">
      <c r="A514" s="7"/>
      <c r="E514" s="7"/>
      <c r="F514" s="7"/>
    </row>
    <row r="515" spans="1:6" x14ac:dyDescent="0.25">
      <c r="A515" s="7"/>
      <c r="E515" s="7"/>
      <c r="F515" s="7"/>
    </row>
    <row r="516" spans="1:6" x14ac:dyDescent="0.25">
      <c r="A516" s="7"/>
      <c r="E516" s="7"/>
      <c r="F516" s="7"/>
    </row>
    <row r="517" spans="1:6" x14ac:dyDescent="0.25">
      <c r="A517" s="7"/>
      <c r="E517" s="7"/>
      <c r="F517" s="7"/>
    </row>
    <row r="518" spans="1:6" x14ac:dyDescent="0.25">
      <c r="A518" s="7"/>
      <c r="E518" s="7"/>
      <c r="F518" s="7"/>
    </row>
    <row r="519" spans="1:6" x14ac:dyDescent="0.25">
      <c r="A519" s="7"/>
      <c r="E519" s="7"/>
      <c r="F519" s="7"/>
    </row>
    <row r="520" spans="1:6" x14ac:dyDescent="0.25">
      <c r="A520" s="7"/>
      <c r="E520" s="7"/>
      <c r="F520" s="7"/>
    </row>
    <row r="521" spans="1:6" x14ac:dyDescent="0.25">
      <c r="A521" s="7"/>
      <c r="E521" s="7"/>
      <c r="F521" s="7"/>
    </row>
    <row r="522" spans="1:6" x14ac:dyDescent="0.25">
      <c r="A522" s="7"/>
      <c r="E522" s="7"/>
      <c r="F522" s="7"/>
    </row>
    <row r="523" spans="1:6" x14ac:dyDescent="0.25">
      <c r="A523" s="7"/>
      <c r="E523" s="7"/>
      <c r="F523" s="7"/>
    </row>
    <row r="524" spans="1:6" x14ac:dyDescent="0.25">
      <c r="A524" s="7"/>
      <c r="E524" s="7"/>
      <c r="F524" s="7"/>
    </row>
    <row r="525" spans="1:6" x14ac:dyDescent="0.25">
      <c r="A525" s="7"/>
      <c r="E525" s="7"/>
      <c r="F525" s="7"/>
    </row>
    <row r="526" spans="1:6" x14ac:dyDescent="0.25">
      <c r="A526" s="7"/>
      <c r="E526" s="7"/>
      <c r="F526" s="7"/>
    </row>
    <row r="527" spans="1:6" x14ac:dyDescent="0.25">
      <c r="A527" s="7"/>
      <c r="E527" s="7"/>
      <c r="F527" s="7"/>
    </row>
    <row r="528" spans="1:6" x14ac:dyDescent="0.25">
      <c r="A528" s="7"/>
      <c r="E528" s="7"/>
      <c r="F528" s="7"/>
    </row>
    <row r="529" spans="1:6" x14ac:dyDescent="0.25">
      <c r="A529" s="7"/>
      <c r="E529" s="7"/>
      <c r="F529" s="7"/>
    </row>
    <row r="530" spans="1:6" x14ac:dyDescent="0.25">
      <c r="A530" s="7"/>
      <c r="E530" s="7"/>
      <c r="F530" s="7"/>
    </row>
    <row r="531" spans="1:6" x14ac:dyDescent="0.25">
      <c r="A531" s="7"/>
      <c r="E531" s="7"/>
      <c r="F531" s="7"/>
    </row>
    <row r="532" spans="1:6" x14ac:dyDescent="0.25">
      <c r="A532" s="7"/>
      <c r="E532" s="7"/>
      <c r="F532" s="7"/>
    </row>
    <row r="533" spans="1:6" x14ac:dyDescent="0.25">
      <c r="A533" s="7"/>
      <c r="E533" s="7"/>
      <c r="F533" s="7"/>
    </row>
    <row r="534" spans="1:6" x14ac:dyDescent="0.25">
      <c r="A534" s="7"/>
      <c r="E534" s="7"/>
      <c r="F534" s="7"/>
    </row>
    <row r="535" spans="1:6" x14ac:dyDescent="0.25">
      <c r="A535" s="7"/>
      <c r="E535" s="7"/>
      <c r="F535" s="7"/>
    </row>
    <row r="536" spans="1:6" x14ac:dyDescent="0.25">
      <c r="A536" s="7"/>
      <c r="E536" s="7"/>
      <c r="F536" s="7"/>
    </row>
    <row r="537" spans="1:6" x14ac:dyDescent="0.25">
      <c r="A537" s="7"/>
      <c r="E537" s="7"/>
      <c r="F537" s="7"/>
    </row>
    <row r="538" spans="1:6" x14ac:dyDescent="0.25">
      <c r="A538" s="7"/>
      <c r="E538" s="7"/>
      <c r="F538" s="7"/>
    </row>
    <row r="539" spans="1:6" x14ac:dyDescent="0.25">
      <c r="A539" s="7"/>
      <c r="E539" s="7"/>
      <c r="F539" s="7"/>
    </row>
    <row r="540" spans="1:6" x14ac:dyDescent="0.25">
      <c r="A540" s="7"/>
      <c r="E540" s="7"/>
      <c r="F540" s="7"/>
    </row>
    <row r="541" spans="1:6" x14ac:dyDescent="0.25">
      <c r="A541" s="7"/>
      <c r="E541" s="7"/>
      <c r="F541" s="7"/>
    </row>
    <row r="542" spans="1:6" x14ac:dyDescent="0.25">
      <c r="A542" s="7"/>
      <c r="E542" s="7"/>
      <c r="F542" s="7"/>
    </row>
    <row r="543" spans="1:6" x14ac:dyDescent="0.25">
      <c r="A543" s="7"/>
      <c r="E543" s="7"/>
      <c r="F543" s="7"/>
    </row>
    <row r="544" spans="1:6" x14ac:dyDescent="0.25">
      <c r="A544" s="7"/>
      <c r="E544" s="7"/>
      <c r="F544" s="7"/>
    </row>
    <row r="545" spans="1:6" x14ac:dyDescent="0.25">
      <c r="A545" s="7"/>
      <c r="E545" s="7"/>
      <c r="F545" s="7"/>
    </row>
    <row r="546" spans="1:6" x14ac:dyDescent="0.25">
      <c r="A546" s="7"/>
      <c r="E546" s="7"/>
      <c r="F546" s="7"/>
    </row>
    <row r="547" spans="1:6" x14ac:dyDescent="0.25">
      <c r="A547" s="7"/>
      <c r="E547" s="7"/>
      <c r="F547" s="7"/>
    </row>
    <row r="548" spans="1:6" x14ac:dyDescent="0.25">
      <c r="A548" s="7"/>
      <c r="E548" s="7"/>
      <c r="F548" s="7"/>
    </row>
    <row r="549" spans="1:6" x14ac:dyDescent="0.25">
      <c r="A549" s="7"/>
      <c r="E549" s="7"/>
      <c r="F549" s="7"/>
    </row>
    <row r="550" spans="1:6" x14ac:dyDescent="0.25">
      <c r="A550" s="7"/>
      <c r="E550" s="7"/>
      <c r="F550" s="7"/>
    </row>
    <row r="551" spans="1:6" x14ac:dyDescent="0.25">
      <c r="A551" s="7"/>
      <c r="E551" s="7"/>
      <c r="F551" s="7"/>
    </row>
    <row r="552" spans="1:6" x14ac:dyDescent="0.25">
      <c r="A552" s="7"/>
      <c r="E552" s="7"/>
      <c r="F552" s="7"/>
    </row>
    <row r="553" spans="1:6" x14ac:dyDescent="0.25">
      <c r="A553" s="7"/>
      <c r="E553" s="7"/>
      <c r="F553" s="7"/>
    </row>
    <row r="554" spans="1:6" x14ac:dyDescent="0.25">
      <c r="A554" s="7"/>
      <c r="E554" s="7"/>
      <c r="F554" s="7"/>
    </row>
    <row r="555" spans="1:6" x14ac:dyDescent="0.25">
      <c r="A555" s="7"/>
      <c r="E555" s="7"/>
      <c r="F555" s="7"/>
    </row>
    <row r="556" spans="1:6" x14ac:dyDescent="0.25">
      <c r="A556" s="7"/>
      <c r="E556" s="7"/>
      <c r="F556" s="7"/>
    </row>
    <row r="557" spans="1:6" x14ac:dyDescent="0.25">
      <c r="A557" s="7"/>
      <c r="E557" s="7"/>
      <c r="F557" s="7"/>
    </row>
    <row r="558" spans="1:6" x14ac:dyDescent="0.25">
      <c r="A558" s="7"/>
      <c r="E558" s="7"/>
      <c r="F558" s="7"/>
    </row>
    <row r="559" spans="1:6" x14ac:dyDescent="0.25">
      <c r="A559" s="7"/>
      <c r="E559" s="7"/>
      <c r="F559" s="7"/>
    </row>
    <row r="560" spans="1:6" x14ac:dyDescent="0.25">
      <c r="A560" s="7"/>
      <c r="E560" s="7"/>
      <c r="F560" s="7"/>
    </row>
    <row r="561" spans="1:6" x14ac:dyDescent="0.25">
      <c r="A561" s="7"/>
      <c r="E561" s="7"/>
      <c r="F561" s="7"/>
    </row>
    <row r="562" spans="1:6" x14ac:dyDescent="0.25">
      <c r="A562" s="7"/>
      <c r="E562" s="7"/>
      <c r="F562" s="7"/>
    </row>
    <row r="563" spans="1:6" x14ac:dyDescent="0.25">
      <c r="A563" s="7"/>
      <c r="E563" s="7"/>
      <c r="F563" s="7"/>
    </row>
    <row r="564" spans="1:6" x14ac:dyDescent="0.25">
      <c r="A564" s="7"/>
      <c r="E564" s="7"/>
      <c r="F564" s="7"/>
    </row>
    <row r="565" spans="1:6" x14ac:dyDescent="0.25">
      <c r="A565" s="7"/>
      <c r="E565" s="7"/>
      <c r="F565" s="7"/>
    </row>
    <row r="566" spans="1:6" x14ac:dyDescent="0.25">
      <c r="A566" s="7"/>
      <c r="E566" s="7"/>
      <c r="F566" s="7"/>
    </row>
    <row r="567" spans="1:6" x14ac:dyDescent="0.25">
      <c r="A567" s="7"/>
      <c r="E567" s="7"/>
      <c r="F567" s="7"/>
    </row>
    <row r="568" spans="1:6" x14ac:dyDescent="0.25">
      <c r="A568" s="7"/>
      <c r="E568" s="7"/>
      <c r="F568" s="7"/>
    </row>
    <row r="569" spans="1:6" x14ac:dyDescent="0.25">
      <c r="A569" s="7"/>
      <c r="E569" s="7"/>
      <c r="F569" s="7"/>
    </row>
    <row r="570" spans="1:6" x14ac:dyDescent="0.25">
      <c r="A570" s="7"/>
      <c r="E570" s="7"/>
      <c r="F570" s="7"/>
    </row>
    <row r="571" spans="1:6" x14ac:dyDescent="0.25">
      <c r="A571" s="7"/>
      <c r="E571" s="7"/>
      <c r="F571" s="7"/>
    </row>
    <row r="572" spans="1:6" x14ac:dyDescent="0.25">
      <c r="A572" s="7"/>
      <c r="E572" s="7"/>
      <c r="F572" s="7"/>
    </row>
    <row r="573" spans="1:6" x14ac:dyDescent="0.25">
      <c r="A573" s="7"/>
      <c r="E573" s="7"/>
      <c r="F573" s="7"/>
    </row>
    <row r="574" spans="1:6" x14ac:dyDescent="0.25">
      <c r="A574" s="7"/>
      <c r="E574" s="7"/>
      <c r="F574" s="7"/>
    </row>
    <row r="575" spans="1:6" x14ac:dyDescent="0.25">
      <c r="A575" s="7"/>
      <c r="E575" s="7"/>
      <c r="F575" s="7"/>
    </row>
    <row r="576" spans="1:6" x14ac:dyDescent="0.25">
      <c r="A576" s="7"/>
      <c r="E576" s="7"/>
      <c r="F576" s="7"/>
    </row>
    <row r="577" spans="1:6" x14ac:dyDescent="0.25">
      <c r="A577" s="7"/>
      <c r="E577" s="7"/>
      <c r="F577" s="7"/>
    </row>
    <row r="578" spans="1:6" x14ac:dyDescent="0.25">
      <c r="A578" s="7"/>
      <c r="E578" s="7"/>
      <c r="F578" s="7"/>
    </row>
    <row r="579" spans="1:6" x14ac:dyDescent="0.25">
      <c r="A579" s="7"/>
      <c r="E579" s="7"/>
      <c r="F579" s="7"/>
    </row>
    <row r="580" spans="1:6" x14ac:dyDescent="0.25">
      <c r="A580" s="7"/>
      <c r="E580" s="7"/>
      <c r="F580" s="7"/>
    </row>
    <row r="581" spans="1:6" x14ac:dyDescent="0.25">
      <c r="A581" s="7"/>
      <c r="E581" s="7"/>
      <c r="F581" s="7"/>
    </row>
    <row r="582" spans="1:6" x14ac:dyDescent="0.25">
      <c r="A582" s="7"/>
      <c r="E582" s="7"/>
      <c r="F582" s="7"/>
    </row>
    <row r="583" spans="1:6" x14ac:dyDescent="0.25">
      <c r="A583" s="7"/>
      <c r="E583" s="7"/>
      <c r="F583" s="7"/>
    </row>
    <row r="584" spans="1:6" x14ac:dyDescent="0.25">
      <c r="A584" s="7"/>
      <c r="E584" s="7"/>
      <c r="F584" s="7"/>
    </row>
    <row r="585" spans="1:6" x14ac:dyDescent="0.25">
      <c r="A585" s="7"/>
      <c r="E585" s="7"/>
      <c r="F585" s="7"/>
    </row>
    <row r="586" spans="1:6" x14ac:dyDescent="0.25">
      <c r="A586" s="7"/>
      <c r="E586" s="7"/>
      <c r="F586" s="7"/>
    </row>
    <row r="587" spans="1:6" x14ac:dyDescent="0.25">
      <c r="A587" s="7"/>
      <c r="E587" s="7"/>
      <c r="F587" s="7"/>
    </row>
    <row r="588" spans="1:6" x14ac:dyDescent="0.25">
      <c r="A588" s="7"/>
      <c r="E588" s="7"/>
      <c r="F588" s="7"/>
    </row>
    <row r="589" spans="1:6" x14ac:dyDescent="0.25">
      <c r="A589" s="7"/>
      <c r="E589" s="7"/>
      <c r="F589" s="7"/>
    </row>
    <row r="590" spans="1:6" x14ac:dyDescent="0.25">
      <c r="A590" s="7"/>
      <c r="E590" s="7"/>
      <c r="F590" s="7"/>
    </row>
    <row r="591" spans="1:6" x14ac:dyDescent="0.25">
      <c r="A591" s="7"/>
      <c r="E591" s="7"/>
      <c r="F591" s="7"/>
    </row>
    <row r="592" spans="1:6" x14ac:dyDescent="0.25">
      <c r="A592" s="7"/>
      <c r="E592" s="7"/>
      <c r="F592" s="7"/>
    </row>
    <row r="593" spans="1:6" x14ac:dyDescent="0.25">
      <c r="A593" s="7"/>
      <c r="E593" s="7"/>
      <c r="F593" s="7"/>
    </row>
    <row r="594" spans="1:6" x14ac:dyDescent="0.25">
      <c r="A594" s="7"/>
      <c r="E594" s="7"/>
      <c r="F594" s="7"/>
    </row>
    <row r="595" spans="1:6" x14ac:dyDescent="0.25">
      <c r="A595" s="7"/>
      <c r="E595" s="7"/>
      <c r="F595" s="7"/>
    </row>
    <row r="596" spans="1:6" x14ac:dyDescent="0.25">
      <c r="A596" s="7"/>
      <c r="E596" s="7"/>
      <c r="F596" s="7"/>
    </row>
    <row r="597" spans="1:6" x14ac:dyDescent="0.25">
      <c r="A597" s="7"/>
      <c r="E597" s="7"/>
      <c r="F597" s="7"/>
    </row>
    <row r="598" spans="1:6" x14ac:dyDescent="0.25">
      <c r="A598" s="7"/>
      <c r="E598" s="7"/>
      <c r="F598" s="7"/>
    </row>
    <row r="599" spans="1:6" x14ac:dyDescent="0.25">
      <c r="A599" s="7"/>
      <c r="E599" s="7"/>
      <c r="F599" s="7"/>
    </row>
    <row r="600" spans="1:6" x14ac:dyDescent="0.25">
      <c r="A600" s="7"/>
      <c r="E600" s="7"/>
      <c r="F600" s="7"/>
    </row>
    <row r="601" spans="1:6" x14ac:dyDescent="0.25">
      <c r="A601" s="7"/>
      <c r="E601" s="7"/>
      <c r="F601" s="7"/>
    </row>
    <row r="602" spans="1:6" x14ac:dyDescent="0.25">
      <c r="A602" s="7"/>
      <c r="E602" s="7"/>
      <c r="F602" s="7"/>
    </row>
    <row r="603" spans="1:6" x14ac:dyDescent="0.25">
      <c r="A603" s="7"/>
      <c r="E603" s="7"/>
      <c r="F603" s="7"/>
    </row>
    <row r="604" spans="1:6" x14ac:dyDescent="0.25">
      <c r="A604" s="7"/>
      <c r="E604" s="7"/>
      <c r="F604" s="7"/>
    </row>
    <row r="605" spans="1:6" x14ac:dyDescent="0.25">
      <c r="A605" s="7"/>
      <c r="E605" s="7"/>
      <c r="F605" s="7"/>
    </row>
    <row r="606" spans="1:6" x14ac:dyDescent="0.25">
      <c r="A606" s="7"/>
      <c r="E606" s="7"/>
      <c r="F606" s="7"/>
    </row>
    <row r="607" spans="1:6" x14ac:dyDescent="0.25">
      <c r="A607" s="7"/>
      <c r="E607" s="7"/>
      <c r="F607" s="7"/>
    </row>
    <row r="608" spans="1:6" x14ac:dyDescent="0.25">
      <c r="A608" s="7"/>
      <c r="E608" s="7"/>
      <c r="F608" s="7"/>
    </row>
    <row r="609" spans="1:6" x14ac:dyDescent="0.25">
      <c r="A609" s="7"/>
      <c r="E609" s="7"/>
      <c r="F609" s="7"/>
    </row>
    <row r="610" spans="1:6" x14ac:dyDescent="0.25">
      <c r="A610" s="7"/>
      <c r="E610" s="7"/>
      <c r="F610" s="7"/>
    </row>
    <row r="611" spans="1:6" x14ac:dyDescent="0.25">
      <c r="A611" s="7"/>
      <c r="E611" s="7"/>
      <c r="F611" s="7"/>
    </row>
    <row r="612" spans="1:6" x14ac:dyDescent="0.25">
      <c r="A612" s="7"/>
      <c r="E612" s="7"/>
      <c r="F612" s="7"/>
    </row>
    <row r="613" spans="1:6" x14ac:dyDescent="0.25">
      <c r="A613" s="7"/>
      <c r="E613" s="7"/>
      <c r="F613" s="7"/>
    </row>
    <row r="614" spans="1:6" x14ac:dyDescent="0.25">
      <c r="A614" s="7"/>
      <c r="E614" s="7"/>
      <c r="F614" s="7"/>
    </row>
    <row r="615" spans="1:6" x14ac:dyDescent="0.25">
      <c r="A615" s="7"/>
      <c r="E615" s="7"/>
      <c r="F615" s="7"/>
    </row>
    <row r="616" spans="1:6" x14ac:dyDescent="0.25">
      <c r="A616" s="7"/>
      <c r="E616" s="7"/>
      <c r="F616" s="7"/>
    </row>
    <row r="617" spans="1:6" x14ac:dyDescent="0.25">
      <c r="A617" s="7"/>
      <c r="E617" s="7"/>
      <c r="F617" s="7"/>
    </row>
    <row r="618" spans="1:6" x14ac:dyDescent="0.25">
      <c r="A618" s="7"/>
      <c r="E618" s="7"/>
      <c r="F618" s="7"/>
    </row>
    <row r="619" spans="1:6" x14ac:dyDescent="0.25">
      <c r="A619" s="7"/>
      <c r="E619" s="7"/>
      <c r="F619" s="7"/>
    </row>
    <row r="620" spans="1:6" x14ac:dyDescent="0.25">
      <c r="A620" s="7"/>
      <c r="E620" s="7"/>
      <c r="F620" s="7"/>
    </row>
    <row r="621" spans="1:6" x14ac:dyDescent="0.25">
      <c r="A621" s="7"/>
      <c r="E621" s="7"/>
      <c r="F621" s="7"/>
    </row>
    <row r="622" spans="1:6" x14ac:dyDescent="0.25">
      <c r="A622" s="7"/>
      <c r="E622" s="7"/>
      <c r="F622" s="7"/>
    </row>
    <row r="623" spans="1:6" x14ac:dyDescent="0.25">
      <c r="A623" s="7"/>
      <c r="E623" s="7"/>
      <c r="F623" s="7"/>
    </row>
    <row r="624" spans="1:6" x14ac:dyDescent="0.25">
      <c r="A624" s="7"/>
      <c r="E624" s="7"/>
      <c r="F624" s="7"/>
    </row>
    <row r="625" spans="1:6" x14ac:dyDescent="0.25">
      <c r="A625" s="7"/>
      <c r="E625" s="7"/>
      <c r="F625" s="7"/>
    </row>
    <row r="626" spans="1:6" x14ac:dyDescent="0.25">
      <c r="A626" s="7"/>
      <c r="E626" s="7"/>
      <c r="F626" s="7"/>
    </row>
    <row r="627" spans="1:6" x14ac:dyDescent="0.25">
      <c r="A627" s="7"/>
      <c r="E627" s="7"/>
      <c r="F627" s="7"/>
    </row>
    <row r="628" spans="1:6" x14ac:dyDescent="0.25">
      <c r="A628" s="7"/>
      <c r="E628" s="7"/>
      <c r="F628" s="7"/>
    </row>
    <row r="629" spans="1:6" x14ac:dyDescent="0.25">
      <c r="A629" s="7"/>
      <c r="E629" s="7"/>
      <c r="F629" s="7"/>
    </row>
    <row r="630" spans="1:6" x14ac:dyDescent="0.25">
      <c r="A630" s="7"/>
      <c r="E630" s="7"/>
      <c r="F630" s="7"/>
    </row>
    <row r="631" spans="1:6" x14ac:dyDescent="0.25">
      <c r="A631" s="7"/>
      <c r="E631" s="7"/>
      <c r="F631" s="7"/>
    </row>
    <row r="632" spans="1:6" x14ac:dyDescent="0.25">
      <c r="A632" s="7"/>
      <c r="E632" s="7"/>
      <c r="F632" s="7"/>
    </row>
    <row r="633" spans="1:6" x14ac:dyDescent="0.25">
      <c r="A633" s="7"/>
      <c r="E633" s="7"/>
      <c r="F633" s="7"/>
    </row>
    <row r="634" spans="1:6" x14ac:dyDescent="0.25">
      <c r="A634" s="7"/>
      <c r="E634" s="7"/>
      <c r="F634" s="7"/>
    </row>
    <row r="635" spans="1:6" x14ac:dyDescent="0.25">
      <c r="A635" s="7"/>
      <c r="E635" s="7"/>
      <c r="F635" s="7"/>
    </row>
    <row r="636" spans="1:6" x14ac:dyDescent="0.25">
      <c r="A636" s="7"/>
      <c r="E636" s="7"/>
      <c r="F636" s="7"/>
    </row>
    <row r="637" spans="1:6" x14ac:dyDescent="0.25">
      <c r="A637" s="7"/>
      <c r="E637" s="7"/>
      <c r="F637" s="7"/>
    </row>
    <row r="638" spans="1:6" x14ac:dyDescent="0.25">
      <c r="A638" s="7"/>
      <c r="E638" s="7"/>
      <c r="F638" s="7"/>
    </row>
    <row r="639" spans="1:6" x14ac:dyDescent="0.25">
      <c r="A639" s="7"/>
      <c r="E639" s="7"/>
      <c r="F639" s="7"/>
    </row>
    <row r="640" spans="1:6" x14ac:dyDescent="0.25">
      <c r="A640" s="7"/>
      <c r="E640" s="7"/>
      <c r="F640" s="7"/>
    </row>
    <row r="641" spans="1:6" x14ac:dyDescent="0.25">
      <c r="A641" s="7"/>
      <c r="E641" s="7"/>
      <c r="F641" s="7"/>
    </row>
    <row r="642" spans="1:6" x14ac:dyDescent="0.25">
      <c r="A642" s="7"/>
      <c r="E642" s="7"/>
      <c r="F642" s="7"/>
    </row>
    <row r="643" spans="1:6" x14ac:dyDescent="0.25">
      <c r="A643" s="7"/>
      <c r="E643" s="7"/>
      <c r="F643" s="7"/>
    </row>
    <row r="644" spans="1:6" x14ac:dyDescent="0.25">
      <c r="A644" s="7"/>
      <c r="E644" s="7"/>
      <c r="F644" s="7"/>
    </row>
    <row r="645" spans="1:6" x14ac:dyDescent="0.25">
      <c r="A645" s="7"/>
      <c r="E645" s="7"/>
      <c r="F645" s="7"/>
    </row>
    <row r="646" spans="1:6" x14ac:dyDescent="0.25">
      <c r="A646" s="7"/>
      <c r="E646" s="7"/>
      <c r="F646" s="7"/>
    </row>
    <row r="647" spans="1:6" x14ac:dyDescent="0.25">
      <c r="A647" s="7"/>
      <c r="E647" s="7"/>
      <c r="F647" s="7"/>
    </row>
    <row r="648" spans="1:6" x14ac:dyDescent="0.25">
      <c r="A648" s="7"/>
      <c r="E648" s="7"/>
      <c r="F648" s="7"/>
    </row>
    <row r="649" spans="1:6" x14ac:dyDescent="0.25">
      <c r="A649" s="7"/>
      <c r="E649" s="7"/>
      <c r="F649" s="7"/>
    </row>
    <row r="650" spans="1:6" x14ac:dyDescent="0.25">
      <c r="A650" s="7"/>
      <c r="E650" s="7"/>
      <c r="F650" s="7"/>
    </row>
    <row r="651" spans="1:6" x14ac:dyDescent="0.25">
      <c r="A651" s="7"/>
      <c r="E651" s="7"/>
      <c r="F651" s="7"/>
    </row>
    <row r="652" spans="1:6" x14ac:dyDescent="0.25">
      <c r="A652" s="7"/>
      <c r="E652" s="7"/>
      <c r="F652" s="7"/>
    </row>
    <row r="653" spans="1:6" x14ac:dyDescent="0.25">
      <c r="A653" s="7"/>
      <c r="E653" s="7"/>
      <c r="F653" s="7"/>
    </row>
    <row r="654" spans="1:6" x14ac:dyDescent="0.25">
      <c r="A654" s="7"/>
      <c r="E654" s="7"/>
      <c r="F654" s="7"/>
    </row>
    <row r="655" spans="1:6" x14ac:dyDescent="0.25">
      <c r="A655" s="7"/>
      <c r="E655" s="7"/>
      <c r="F655" s="7"/>
    </row>
    <row r="656" spans="1:6" x14ac:dyDescent="0.25">
      <c r="A656" s="7"/>
      <c r="E656" s="7"/>
      <c r="F656" s="7"/>
    </row>
    <row r="657" spans="1:6" x14ac:dyDescent="0.25">
      <c r="A657" s="7"/>
      <c r="E657" s="7"/>
      <c r="F657" s="7"/>
    </row>
    <row r="658" spans="1:6" x14ac:dyDescent="0.25">
      <c r="A658" s="7"/>
      <c r="E658" s="7"/>
      <c r="F658" s="7"/>
    </row>
    <row r="659" spans="1:6" x14ac:dyDescent="0.25">
      <c r="A659" s="7"/>
      <c r="E659" s="7"/>
      <c r="F659" s="7"/>
    </row>
    <row r="660" spans="1:6" x14ac:dyDescent="0.25">
      <c r="A660" s="7"/>
      <c r="E660" s="7"/>
      <c r="F660" s="7"/>
    </row>
    <row r="661" spans="1:6" x14ac:dyDescent="0.25">
      <c r="A661" s="7"/>
      <c r="E661" s="7"/>
      <c r="F661" s="7"/>
    </row>
    <row r="662" spans="1:6" x14ac:dyDescent="0.25">
      <c r="A662" s="7"/>
      <c r="E662" s="7"/>
      <c r="F662" s="7"/>
    </row>
    <row r="663" spans="1:6" x14ac:dyDescent="0.25">
      <c r="A663" s="7"/>
      <c r="E663" s="7"/>
      <c r="F663" s="7"/>
    </row>
    <row r="664" spans="1:6" x14ac:dyDescent="0.25">
      <c r="A664" s="7"/>
      <c r="E664" s="7"/>
      <c r="F664" s="7"/>
    </row>
    <row r="665" spans="1:6" x14ac:dyDescent="0.25">
      <c r="A665" s="7"/>
      <c r="E665" s="7"/>
      <c r="F665" s="7"/>
    </row>
    <row r="666" spans="1:6" x14ac:dyDescent="0.25">
      <c r="A666" s="7"/>
      <c r="E666" s="7"/>
      <c r="F666" s="7"/>
    </row>
    <row r="667" spans="1:6" x14ac:dyDescent="0.25">
      <c r="A667" s="7"/>
      <c r="E667" s="7"/>
      <c r="F667" s="7"/>
    </row>
    <row r="668" spans="1:6" x14ac:dyDescent="0.25">
      <c r="A668" s="7"/>
      <c r="E668" s="7"/>
      <c r="F668" s="7"/>
    </row>
    <row r="669" spans="1:6" x14ac:dyDescent="0.25">
      <c r="A669" s="7"/>
      <c r="E669" s="7"/>
      <c r="F669" s="7"/>
    </row>
    <row r="670" spans="1:6" x14ac:dyDescent="0.25">
      <c r="A670" s="7"/>
      <c r="E670" s="7"/>
      <c r="F670" s="7"/>
    </row>
    <row r="671" spans="1:6" x14ac:dyDescent="0.25">
      <c r="A671" s="7"/>
      <c r="E671" s="7"/>
      <c r="F671" s="7"/>
    </row>
    <row r="672" spans="1:6" x14ac:dyDescent="0.25">
      <c r="A672" s="7"/>
      <c r="E672" s="7"/>
      <c r="F672" s="7"/>
    </row>
    <row r="673" spans="1:6" x14ac:dyDescent="0.25">
      <c r="A673" s="7"/>
      <c r="E673" s="7"/>
      <c r="F673" s="7"/>
    </row>
    <row r="674" spans="1:6" x14ac:dyDescent="0.25">
      <c r="A674" s="7"/>
      <c r="E674" s="7"/>
      <c r="F674" s="7"/>
    </row>
    <row r="675" spans="1:6" x14ac:dyDescent="0.25">
      <c r="A675" s="7"/>
      <c r="E675" s="7"/>
      <c r="F675" s="7"/>
    </row>
    <row r="676" spans="1:6" x14ac:dyDescent="0.25">
      <c r="A676" s="7"/>
      <c r="E676" s="7"/>
      <c r="F676" s="7"/>
    </row>
    <row r="677" spans="1:6" x14ac:dyDescent="0.25">
      <c r="A677" s="7"/>
      <c r="E677" s="7"/>
      <c r="F677" s="7"/>
    </row>
    <row r="678" spans="1:6" x14ac:dyDescent="0.25">
      <c r="A678" s="7"/>
      <c r="E678" s="7"/>
      <c r="F678" s="7"/>
    </row>
    <row r="679" spans="1:6" x14ac:dyDescent="0.25">
      <c r="A679" s="7"/>
      <c r="E679" s="7"/>
      <c r="F679" s="7"/>
    </row>
    <row r="680" spans="1:6" x14ac:dyDescent="0.25">
      <c r="A680" s="7"/>
      <c r="E680" s="7"/>
      <c r="F680" s="7"/>
    </row>
    <row r="681" spans="1:6" x14ac:dyDescent="0.25">
      <c r="A681" s="7"/>
      <c r="E681" s="7"/>
      <c r="F681" s="7"/>
    </row>
    <row r="682" spans="1:6" x14ac:dyDescent="0.25">
      <c r="A682" s="7"/>
      <c r="E682" s="7"/>
      <c r="F682" s="7"/>
    </row>
    <row r="683" spans="1:6" x14ac:dyDescent="0.25">
      <c r="A683" s="7"/>
      <c r="E683" s="7"/>
      <c r="F683" s="7"/>
    </row>
    <row r="684" spans="1:6" x14ac:dyDescent="0.25">
      <c r="A684" s="7"/>
      <c r="E684" s="7"/>
      <c r="F684" s="7"/>
    </row>
    <row r="685" spans="1:6" x14ac:dyDescent="0.25">
      <c r="A685" s="7"/>
      <c r="E685" s="7"/>
      <c r="F685" s="7"/>
    </row>
    <row r="686" spans="1:6" x14ac:dyDescent="0.25">
      <c r="A686" s="7"/>
      <c r="E686" s="7"/>
      <c r="F686" s="7"/>
    </row>
    <row r="687" spans="1:6" x14ac:dyDescent="0.25">
      <c r="A687" s="7"/>
      <c r="E687" s="7"/>
      <c r="F687" s="7"/>
    </row>
    <row r="688" spans="1:6" x14ac:dyDescent="0.25">
      <c r="A688" s="7"/>
      <c r="E688" s="7"/>
      <c r="F688" s="7"/>
    </row>
    <row r="689" spans="1:6" x14ac:dyDescent="0.25">
      <c r="A689" s="7"/>
      <c r="E689" s="7"/>
      <c r="F689" s="7"/>
    </row>
    <row r="690" spans="1:6" x14ac:dyDescent="0.25">
      <c r="A690" s="7"/>
      <c r="E690" s="7"/>
      <c r="F690" s="7"/>
    </row>
    <row r="691" spans="1:6" x14ac:dyDescent="0.25">
      <c r="A691" s="7"/>
      <c r="E691" s="7"/>
      <c r="F691" s="7"/>
    </row>
    <row r="692" spans="1:6" x14ac:dyDescent="0.25">
      <c r="A692" s="7"/>
      <c r="E692" s="7"/>
      <c r="F692" s="7"/>
    </row>
    <row r="693" spans="1:6" x14ac:dyDescent="0.25">
      <c r="A693" s="7"/>
      <c r="E693" s="7"/>
      <c r="F693" s="7"/>
    </row>
    <row r="694" spans="1:6" x14ac:dyDescent="0.25">
      <c r="A694" s="7"/>
      <c r="E694" s="7"/>
      <c r="F694" s="7"/>
    </row>
    <row r="695" spans="1:6" x14ac:dyDescent="0.25">
      <c r="A695" s="7"/>
      <c r="E695" s="7"/>
      <c r="F695" s="7"/>
    </row>
    <row r="696" spans="1:6" x14ac:dyDescent="0.25">
      <c r="A696" s="7"/>
      <c r="E696" s="7"/>
      <c r="F696" s="7"/>
    </row>
    <row r="697" spans="1:6" x14ac:dyDescent="0.25">
      <c r="A697" s="7"/>
      <c r="E697" s="7"/>
      <c r="F697" s="7"/>
    </row>
    <row r="698" spans="1:6" x14ac:dyDescent="0.25">
      <c r="A698" s="7"/>
      <c r="E698" s="7"/>
      <c r="F698" s="7"/>
    </row>
    <row r="699" spans="1:6" x14ac:dyDescent="0.25">
      <c r="A699" s="7"/>
      <c r="E699" s="7"/>
      <c r="F699" s="7"/>
    </row>
    <row r="700" spans="1:6" x14ac:dyDescent="0.25">
      <c r="A700" s="7"/>
      <c r="E700" s="7"/>
      <c r="F700" s="7"/>
    </row>
    <row r="701" spans="1:6" x14ac:dyDescent="0.25">
      <c r="A701" s="7"/>
      <c r="E701" s="7"/>
      <c r="F701" s="7"/>
    </row>
    <row r="702" spans="1:6" x14ac:dyDescent="0.25">
      <c r="A702" s="7"/>
      <c r="E702" s="7"/>
      <c r="F702" s="7"/>
    </row>
    <row r="703" spans="1:6" x14ac:dyDescent="0.25">
      <c r="A703" s="7"/>
      <c r="E703" s="7"/>
      <c r="F703" s="7"/>
    </row>
    <row r="704" spans="1:6" x14ac:dyDescent="0.25">
      <c r="A704" s="7"/>
      <c r="E704" s="7"/>
      <c r="F704" s="7"/>
    </row>
    <row r="705" spans="1:6" x14ac:dyDescent="0.25">
      <c r="A705" s="7"/>
      <c r="E705" s="7"/>
      <c r="F705" s="7"/>
    </row>
    <row r="706" spans="1:6" x14ac:dyDescent="0.25">
      <c r="A706" s="7"/>
      <c r="E706" s="7"/>
      <c r="F706" s="7"/>
    </row>
    <row r="707" spans="1:6" x14ac:dyDescent="0.25">
      <c r="A707" s="7"/>
      <c r="E707" s="7"/>
      <c r="F707" s="7"/>
    </row>
    <row r="708" spans="1:6" x14ac:dyDescent="0.25">
      <c r="A708" s="7"/>
      <c r="E708" s="7"/>
      <c r="F708" s="7"/>
    </row>
    <row r="709" spans="1:6" x14ac:dyDescent="0.25">
      <c r="A709" s="7"/>
      <c r="E709" s="7"/>
      <c r="F709" s="7"/>
    </row>
    <row r="710" spans="1:6" x14ac:dyDescent="0.25">
      <c r="A710" s="7"/>
      <c r="E710" s="7"/>
      <c r="F710" s="7"/>
    </row>
    <row r="711" spans="1:6" x14ac:dyDescent="0.25">
      <c r="A711" s="7"/>
      <c r="E711" s="7"/>
      <c r="F711" s="7"/>
    </row>
    <row r="712" spans="1:6" x14ac:dyDescent="0.25">
      <c r="A712" s="7"/>
      <c r="E712" s="7"/>
      <c r="F712" s="7"/>
    </row>
    <row r="713" spans="1:6" x14ac:dyDescent="0.25">
      <c r="A713" s="7"/>
      <c r="E713" s="7"/>
      <c r="F713" s="7"/>
    </row>
    <row r="714" spans="1:6" x14ac:dyDescent="0.25">
      <c r="A714" s="7"/>
      <c r="E714" s="7"/>
      <c r="F714" s="7"/>
    </row>
    <row r="715" spans="1:6" x14ac:dyDescent="0.25">
      <c r="A715" s="7"/>
      <c r="E715" s="7"/>
      <c r="F715" s="7"/>
    </row>
    <row r="716" spans="1:6" x14ac:dyDescent="0.25">
      <c r="A716" s="7"/>
      <c r="E716" s="7"/>
      <c r="F716" s="7"/>
    </row>
    <row r="717" spans="1:6" x14ac:dyDescent="0.25">
      <c r="A717" s="7"/>
      <c r="E717" s="7"/>
      <c r="F717" s="7"/>
    </row>
    <row r="718" spans="1:6" x14ac:dyDescent="0.25">
      <c r="A718" s="7"/>
      <c r="E718" s="7"/>
      <c r="F718" s="7"/>
    </row>
    <row r="719" spans="1:6" x14ac:dyDescent="0.25">
      <c r="A719" s="7"/>
      <c r="E719" s="7"/>
      <c r="F719" s="7"/>
    </row>
    <row r="720" spans="1:6" x14ac:dyDescent="0.25">
      <c r="A720" s="7"/>
      <c r="E720" s="7"/>
      <c r="F720" s="7"/>
    </row>
    <row r="721" spans="1:6" x14ac:dyDescent="0.25">
      <c r="A721" s="7"/>
      <c r="E721" s="7"/>
      <c r="F721" s="7"/>
    </row>
    <row r="722" spans="1:6" x14ac:dyDescent="0.25">
      <c r="A722" s="7"/>
      <c r="E722" s="7"/>
      <c r="F722" s="7"/>
    </row>
    <row r="723" spans="1:6" x14ac:dyDescent="0.25">
      <c r="A723" s="7"/>
      <c r="E723" s="7"/>
      <c r="F723" s="7"/>
    </row>
    <row r="724" spans="1:6" x14ac:dyDescent="0.25">
      <c r="A724" s="7"/>
      <c r="E724" s="7"/>
      <c r="F724" s="7"/>
    </row>
    <row r="725" spans="1:6" x14ac:dyDescent="0.25">
      <c r="A725" s="7"/>
      <c r="E725" s="7"/>
      <c r="F725" s="7"/>
    </row>
    <row r="726" spans="1:6" x14ac:dyDescent="0.25">
      <c r="A726" s="7"/>
      <c r="E726" s="7"/>
      <c r="F726" s="7"/>
    </row>
    <row r="727" spans="1:6" x14ac:dyDescent="0.25">
      <c r="A727" s="7"/>
      <c r="E727" s="7"/>
      <c r="F727" s="7"/>
    </row>
    <row r="728" spans="1:6" x14ac:dyDescent="0.25">
      <c r="A728" s="7"/>
      <c r="E728" s="7"/>
      <c r="F728" s="7"/>
    </row>
    <row r="729" spans="1:6" x14ac:dyDescent="0.25">
      <c r="A729" s="7"/>
      <c r="E729" s="7"/>
      <c r="F729" s="7"/>
    </row>
    <row r="730" spans="1:6" x14ac:dyDescent="0.25">
      <c r="A730" s="7"/>
      <c r="E730" s="7"/>
      <c r="F730" s="7"/>
    </row>
    <row r="731" spans="1:6" x14ac:dyDescent="0.25">
      <c r="A731" s="7"/>
      <c r="E731" s="7"/>
      <c r="F731" s="7"/>
    </row>
    <row r="732" spans="1:6" x14ac:dyDescent="0.25">
      <c r="A732" s="7"/>
      <c r="E732" s="7"/>
      <c r="F732" s="7"/>
    </row>
    <row r="733" spans="1:6" x14ac:dyDescent="0.25">
      <c r="A733" s="7"/>
      <c r="E733" s="7"/>
      <c r="F733" s="7"/>
    </row>
    <row r="734" spans="1:6" x14ac:dyDescent="0.25">
      <c r="A734" s="7"/>
      <c r="E734" s="7"/>
      <c r="F734" s="7"/>
    </row>
    <row r="735" spans="1:6" x14ac:dyDescent="0.25">
      <c r="A735" s="7"/>
      <c r="E735" s="7"/>
      <c r="F735" s="7"/>
    </row>
    <row r="736" spans="1:6" x14ac:dyDescent="0.25">
      <c r="A736" s="7"/>
      <c r="E736" s="7"/>
      <c r="F736" s="7"/>
    </row>
    <row r="737" spans="1:6" x14ac:dyDescent="0.25">
      <c r="A737" s="7"/>
      <c r="E737" s="7"/>
      <c r="F737" s="7"/>
    </row>
    <row r="738" spans="1:6" x14ac:dyDescent="0.25">
      <c r="A738" s="7"/>
      <c r="E738" s="7"/>
      <c r="F738" s="7"/>
    </row>
    <row r="739" spans="1:6" x14ac:dyDescent="0.25">
      <c r="A739" s="7"/>
      <c r="E739" s="7"/>
      <c r="F739" s="7"/>
    </row>
    <row r="740" spans="1:6" x14ac:dyDescent="0.25">
      <c r="A740" s="7"/>
      <c r="E740" s="7"/>
      <c r="F740" s="7"/>
    </row>
    <row r="741" spans="1:6" x14ac:dyDescent="0.25">
      <c r="A741" s="7"/>
      <c r="E741" s="7"/>
      <c r="F741" s="7"/>
    </row>
    <row r="742" spans="1:6" x14ac:dyDescent="0.25">
      <c r="A742" s="7"/>
      <c r="E742" s="7"/>
      <c r="F742" s="7"/>
    </row>
    <row r="743" spans="1:6" x14ac:dyDescent="0.25">
      <c r="A743" s="7"/>
      <c r="E743" s="7"/>
      <c r="F743" s="7"/>
    </row>
    <row r="744" spans="1:6" x14ac:dyDescent="0.25">
      <c r="A744" s="7"/>
      <c r="E744" s="7"/>
      <c r="F744" s="7"/>
    </row>
    <row r="745" spans="1:6" x14ac:dyDescent="0.25">
      <c r="A745" s="7"/>
      <c r="E745" s="7"/>
      <c r="F745" s="7"/>
    </row>
    <row r="746" spans="1:6" x14ac:dyDescent="0.25">
      <c r="A746" s="7"/>
      <c r="E746" s="7"/>
      <c r="F746" s="7"/>
    </row>
    <row r="747" spans="1:6" x14ac:dyDescent="0.25">
      <c r="A747" s="7"/>
      <c r="E747" s="7"/>
      <c r="F747" s="7"/>
    </row>
    <row r="748" spans="1:6" x14ac:dyDescent="0.25">
      <c r="A748" s="7"/>
      <c r="E748" s="7"/>
      <c r="F748" s="7"/>
    </row>
    <row r="749" spans="1:6" x14ac:dyDescent="0.25">
      <c r="A749" s="7"/>
      <c r="E749" s="7"/>
      <c r="F749" s="7"/>
    </row>
    <row r="750" spans="1:6" x14ac:dyDescent="0.25">
      <c r="A750" s="7"/>
      <c r="E750" s="7"/>
      <c r="F750" s="7"/>
    </row>
    <row r="751" spans="1:6" x14ac:dyDescent="0.25">
      <c r="A751" s="7"/>
      <c r="E751" s="7"/>
      <c r="F751" s="7"/>
    </row>
    <row r="752" spans="1:6" x14ac:dyDescent="0.25">
      <c r="A752" s="7"/>
      <c r="E752" s="7"/>
      <c r="F752" s="7"/>
    </row>
    <row r="753" spans="1:6" x14ac:dyDescent="0.25">
      <c r="A753" s="7"/>
      <c r="E753" s="7"/>
      <c r="F753" s="7"/>
    </row>
    <row r="754" spans="1:6" x14ac:dyDescent="0.25">
      <c r="A754" s="7"/>
      <c r="E754" s="7"/>
      <c r="F754" s="7"/>
    </row>
    <row r="755" spans="1:6" x14ac:dyDescent="0.25">
      <c r="A755" s="7"/>
      <c r="E755" s="7"/>
      <c r="F755" s="7"/>
    </row>
    <row r="756" spans="1:6" x14ac:dyDescent="0.25">
      <c r="A756" s="7"/>
      <c r="E756" s="7"/>
      <c r="F756" s="7"/>
    </row>
    <row r="757" spans="1:6" x14ac:dyDescent="0.25">
      <c r="A757" s="7"/>
      <c r="E757" s="7"/>
      <c r="F757" s="7"/>
    </row>
    <row r="758" spans="1:6" x14ac:dyDescent="0.25">
      <c r="A758" s="7"/>
      <c r="E758" s="7"/>
      <c r="F758" s="7"/>
    </row>
    <row r="759" spans="1:6" x14ac:dyDescent="0.25">
      <c r="A759" s="7"/>
      <c r="E759" s="7"/>
      <c r="F759" s="7"/>
    </row>
    <row r="760" spans="1:6" x14ac:dyDescent="0.25">
      <c r="A760" s="7"/>
      <c r="E760" s="7"/>
      <c r="F760" s="7"/>
    </row>
    <row r="761" spans="1:6" x14ac:dyDescent="0.25">
      <c r="A761" s="7"/>
      <c r="E761" s="7"/>
      <c r="F761" s="7"/>
    </row>
    <row r="762" spans="1:6" x14ac:dyDescent="0.25">
      <c r="A762" s="7"/>
      <c r="E762" s="7"/>
      <c r="F762" s="7"/>
    </row>
    <row r="763" spans="1:6" x14ac:dyDescent="0.25">
      <c r="A763" s="7"/>
      <c r="E763" s="7"/>
      <c r="F763" s="7"/>
    </row>
    <row r="764" spans="1:6" x14ac:dyDescent="0.25">
      <c r="A764" s="7"/>
      <c r="E764" s="7"/>
      <c r="F764" s="7"/>
    </row>
    <row r="765" spans="1:6" x14ac:dyDescent="0.25">
      <c r="A765" s="7"/>
      <c r="E765" s="7"/>
      <c r="F765" s="7"/>
    </row>
    <row r="766" spans="1:6" x14ac:dyDescent="0.25">
      <c r="A766" s="7"/>
      <c r="E766" s="7"/>
      <c r="F766" s="7"/>
    </row>
    <row r="767" spans="1:6" x14ac:dyDescent="0.25">
      <c r="A767" s="7"/>
      <c r="E767" s="7"/>
      <c r="F767" s="7"/>
    </row>
    <row r="768" spans="1:6" x14ac:dyDescent="0.25">
      <c r="A768" s="7"/>
      <c r="E768" s="7"/>
      <c r="F768" s="7"/>
    </row>
    <row r="769" spans="1:6" x14ac:dyDescent="0.25">
      <c r="A769" s="7"/>
      <c r="E769" s="7"/>
      <c r="F769" s="7"/>
    </row>
    <row r="770" spans="1:6" x14ac:dyDescent="0.25">
      <c r="A770" s="7"/>
      <c r="E770" s="7"/>
      <c r="F770" s="7"/>
    </row>
    <row r="771" spans="1:6" x14ac:dyDescent="0.25">
      <c r="A771" s="7"/>
      <c r="E771" s="7"/>
      <c r="F771" s="7"/>
    </row>
    <row r="772" spans="1:6" x14ac:dyDescent="0.25">
      <c r="A772" s="7"/>
      <c r="E772" s="7"/>
      <c r="F772" s="7"/>
    </row>
    <row r="773" spans="1:6" x14ac:dyDescent="0.25">
      <c r="A773" s="7"/>
      <c r="E773" s="7"/>
      <c r="F773" s="7"/>
    </row>
    <row r="774" spans="1:6" x14ac:dyDescent="0.25">
      <c r="A774" s="7"/>
      <c r="E774" s="7"/>
      <c r="F774" s="7"/>
    </row>
    <row r="775" spans="1:6" x14ac:dyDescent="0.25">
      <c r="A775" s="7"/>
      <c r="E775" s="7"/>
      <c r="F775" s="7"/>
    </row>
    <row r="776" spans="1:6" x14ac:dyDescent="0.25">
      <c r="A776" s="7"/>
      <c r="E776" s="7"/>
      <c r="F776" s="7"/>
    </row>
    <row r="777" spans="1:6" x14ac:dyDescent="0.25">
      <c r="A777" s="7"/>
      <c r="E777" s="7"/>
      <c r="F777" s="7"/>
    </row>
    <row r="778" spans="1:6" x14ac:dyDescent="0.25">
      <c r="A778" s="7"/>
      <c r="E778" s="7"/>
      <c r="F778" s="7"/>
    </row>
    <row r="779" spans="1:6" x14ac:dyDescent="0.25">
      <c r="A779" s="7"/>
      <c r="E779" s="7"/>
      <c r="F779" s="7"/>
    </row>
    <row r="780" spans="1:6" x14ac:dyDescent="0.25">
      <c r="A780" s="7"/>
      <c r="E780" s="7"/>
      <c r="F780" s="7"/>
    </row>
    <row r="781" spans="1:6" x14ac:dyDescent="0.25">
      <c r="A781" s="7"/>
      <c r="E781" s="7"/>
      <c r="F781" s="7"/>
    </row>
    <row r="782" spans="1:6" x14ac:dyDescent="0.25">
      <c r="A782" s="7"/>
      <c r="E782" s="7"/>
      <c r="F782" s="7"/>
    </row>
    <row r="783" spans="1:6" x14ac:dyDescent="0.25">
      <c r="A783" s="7"/>
      <c r="E783" s="7"/>
      <c r="F783" s="7"/>
    </row>
    <row r="784" spans="1:6" x14ac:dyDescent="0.25">
      <c r="A784" s="7"/>
      <c r="E784" s="7"/>
      <c r="F784" s="7"/>
    </row>
    <row r="785" spans="1:6" x14ac:dyDescent="0.25">
      <c r="A785" s="7"/>
      <c r="E785" s="7"/>
      <c r="F785" s="7"/>
    </row>
    <row r="786" spans="1:6" x14ac:dyDescent="0.25">
      <c r="A786" s="7"/>
      <c r="E786" s="7"/>
      <c r="F786" s="7"/>
    </row>
    <row r="787" spans="1:6" x14ac:dyDescent="0.25">
      <c r="A787" s="7"/>
      <c r="E787" s="7"/>
      <c r="F787" s="7"/>
    </row>
    <row r="788" spans="1:6" x14ac:dyDescent="0.25">
      <c r="A788" s="7"/>
      <c r="E788" s="7"/>
      <c r="F788" s="7"/>
    </row>
    <row r="789" spans="1:6" x14ac:dyDescent="0.25">
      <c r="A789" s="7"/>
      <c r="E789" s="7"/>
      <c r="F789" s="7"/>
    </row>
    <row r="790" spans="1:6" x14ac:dyDescent="0.25">
      <c r="A790" s="7"/>
      <c r="E790" s="7"/>
      <c r="F790" s="7"/>
    </row>
    <row r="791" spans="1:6" x14ac:dyDescent="0.25">
      <c r="A791" s="7"/>
      <c r="E791" s="7"/>
      <c r="F791" s="7"/>
    </row>
    <row r="792" spans="1:6" x14ac:dyDescent="0.25">
      <c r="A792" s="7"/>
      <c r="E792" s="7"/>
      <c r="F792" s="7"/>
    </row>
    <row r="793" spans="1:6" x14ac:dyDescent="0.25">
      <c r="A793" s="7"/>
      <c r="E793" s="7"/>
      <c r="F793" s="7"/>
    </row>
    <row r="794" spans="1:6" x14ac:dyDescent="0.25">
      <c r="A794" s="7"/>
      <c r="E794" s="7"/>
      <c r="F794" s="7"/>
    </row>
    <row r="795" spans="1:6" x14ac:dyDescent="0.25">
      <c r="A795" s="7"/>
      <c r="E795" s="7"/>
      <c r="F795" s="7"/>
    </row>
    <row r="796" spans="1:6" x14ac:dyDescent="0.25">
      <c r="A796" s="7"/>
      <c r="E796" s="7"/>
      <c r="F796" s="7"/>
    </row>
    <row r="797" spans="1:6" x14ac:dyDescent="0.25">
      <c r="A797" s="7"/>
      <c r="E797" s="7"/>
      <c r="F797" s="7"/>
    </row>
    <row r="798" spans="1:6" x14ac:dyDescent="0.25">
      <c r="A798" s="7"/>
      <c r="E798" s="7"/>
      <c r="F798" s="7"/>
    </row>
    <row r="799" spans="1:6" x14ac:dyDescent="0.25">
      <c r="A799" s="7"/>
      <c r="E799" s="7"/>
      <c r="F799" s="7"/>
    </row>
    <row r="800" spans="1:6" x14ac:dyDescent="0.25">
      <c r="A800" s="7"/>
      <c r="E800" s="7"/>
      <c r="F800" s="7"/>
    </row>
    <row r="801" spans="1:6" x14ac:dyDescent="0.25">
      <c r="A801" s="7"/>
      <c r="E801" s="7"/>
      <c r="F801" s="7"/>
    </row>
    <row r="802" spans="1:6" x14ac:dyDescent="0.25">
      <c r="A802" s="7"/>
      <c r="E802" s="7"/>
      <c r="F802" s="7"/>
    </row>
    <row r="803" spans="1:6" x14ac:dyDescent="0.25">
      <c r="A803" s="7"/>
      <c r="E803" s="7"/>
      <c r="F803" s="7"/>
    </row>
    <row r="804" spans="1:6" x14ac:dyDescent="0.25">
      <c r="A804" s="7"/>
      <c r="E804" s="7"/>
      <c r="F804" s="7"/>
    </row>
    <row r="805" spans="1:6" x14ac:dyDescent="0.25">
      <c r="A805" s="7"/>
      <c r="E805" s="7"/>
      <c r="F805" s="7"/>
    </row>
    <row r="806" spans="1:6" x14ac:dyDescent="0.25">
      <c r="A806" s="7"/>
      <c r="E806" s="7"/>
      <c r="F806" s="7"/>
    </row>
    <row r="807" spans="1:6" x14ac:dyDescent="0.25">
      <c r="A807" s="7"/>
      <c r="E807" s="7"/>
      <c r="F807" s="7"/>
    </row>
    <row r="808" spans="1:6" x14ac:dyDescent="0.25">
      <c r="A808" s="7"/>
      <c r="E808" s="7"/>
      <c r="F808" s="7"/>
    </row>
    <row r="809" spans="1:6" x14ac:dyDescent="0.25">
      <c r="A809" s="7"/>
      <c r="E809" s="7"/>
      <c r="F809" s="7"/>
    </row>
    <row r="810" spans="1:6" x14ac:dyDescent="0.25">
      <c r="A810" s="7"/>
      <c r="E810" s="7"/>
      <c r="F810" s="7"/>
    </row>
    <row r="811" spans="1:6" x14ac:dyDescent="0.25">
      <c r="A811" s="7"/>
      <c r="E811" s="7"/>
      <c r="F811" s="7"/>
    </row>
    <row r="812" spans="1:6" x14ac:dyDescent="0.25">
      <c r="A812" s="7"/>
      <c r="E812" s="7"/>
      <c r="F812" s="7"/>
    </row>
    <row r="813" spans="1:6" x14ac:dyDescent="0.25">
      <c r="A813" s="7"/>
      <c r="E813" s="7"/>
      <c r="F813" s="7"/>
    </row>
    <row r="814" spans="1:6" x14ac:dyDescent="0.25">
      <c r="A814" s="7"/>
      <c r="E814" s="7"/>
      <c r="F814" s="7"/>
    </row>
    <row r="815" spans="1:6" x14ac:dyDescent="0.25">
      <c r="A815" s="7"/>
      <c r="E815" s="7"/>
      <c r="F815" s="7"/>
    </row>
    <row r="816" spans="1:6" x14ac:dyDescent="0.25">
      <c r="A816" s="7"/>
      <c r="E816" s="7"/>
      <c r="F816" s="7"/>
    </row>
    <row r="817" spans="1:6" x14ac:dyDescent="0.25">
      <c r="A817" s="7"/>
      <c r="E817" s="7"/>
      <c r="F817" s="7"/>
    </row>
    <row r="818" spans="1:6" x14ac:dyDescent="0.25">
      <c r="A818" s="7"/>
      <c r="E818" s="7"/>
      <c r="F818" s="7"/>
    </row>
    <row r="819" spans="1:6" x14ac:dyDescent="0.25">
      <c r="A819" s="7"/>
      <c r="E819" s="7"/>
      <c r="F819" s="7"/>
    </row>
    <row r="820" spans="1:6" x14ac:dyDescent="0.25">
      <c r="A820" s="7"/>
      <c r="E820" s="7"/>
      <c r="F820" s="7"/>
    </row>
    <row r="821" spans="1:6" x14ac:dyDescent="0.25">
      <c r="A821" s="7"/>
      <c r="E821" s="7"/>
      <c r="F821" s="7"/>
    </row>
    <row r="822" spans="1:6" x14ac:dyDescent="0.25">
      <c r="A822" s="7"/>
      <c r="E822" s="7"/>
      <c r="F822" s="7"/>
    </row>
    <row r="823" spans="1:6" x14ac:dyDescent="0.25">
      <c r="A823" s="7"/>
      <c r="E823" s="7"/>
      <c r="F823" s="7"/>
    </row>
    <row r="824" spans="1:6" x14ac:dyDescent="0.25">
      <c r="A824" s="7"/>
      <c r="E824" s="7"/>
      <c r="F824" s="7"/>
    </row>
    <row r="825" spans="1:6" x14ac:dyDescent="0.25">
      <c r="A825" s="7"/>
      <c r="E825" s="7"/>
      <c r="F825" s="7"/>
    </row>
    <row r="826" spans="1:6" x14ac:dyDescent="0.25">
      <c r="A826" s="7"/>
      <c r="E826" s="7"/>
      <c r="F826" s="7"/>
    </row>
    <row r="827" spans="1:6" x14ac:dyDescent="0.25">
      <c r="A827" s="7"/>
      <c r="E827" s="7"/>
      <c r="F827" s="7"/>
    </row>
    <row r="828" spans="1:6" x14ac:dyDescent="0.25">
      <c r="A828" s="7"/>
      <c r="E828" s="7"/>
      <c r="F828" s="7"/>
    </row>
    <row r="829" spans="1:6" x14ac:dyDescent="0.25">
      <c r="A829" s="7"/>
      <c r="E829" s="7"/>
      <c r="F829" s="7"/>
    </row>
    <row r="830" spans="1:6" x14ac:dyDescent="0.25">
      <c r="A830" s="7"/>
      <c r="E830" s="7"/>
      <c r="F830" s="7"/>
    </row>
    <row r="831" spans="1:6" x14ac:dyDescent="0.25">
      <c r="A831" s="7"/>
      <c r="E831" s="7"/>
      <c r="F831" s="7"/>
    </row>
    <row r="832" spans="1:6" x14ac:dyDescent="0.25">
      <c r="A832" s="7"/>
      <c r="E832" s="7"/>
      <c r="F832" s="7"/>
    </row>
    <row r="833" spans="1:6" x14ac:dyDescent="0.25">
      <c r="A833" s="7"/>
      <c r="E833" s="7"/>
      <c r="F833" s="7"/>
    </row>
    <row r="834" spans="1:6" x14ac:dyDescent="0.25">
      <c r="A834" s="7"/>
      <c r="E834" s="7"/>
      <c r="F834" s="7"/>
    </row>
    <row r="835" spans="1:6" x14ac:dyDescent="0.25">
      <c r="A835" s="7"/>
      <c r="E835" s="7"/>
      <c r="F835" s="7"/>
    </row>
    <row r="836" spans="1:6" x14ac:dyDescent="0.25">
      <c r="A836" s="7"/>
      <c r="E836" s="7"/>
      <c r="F836" s="7"/>
    </row>
    <row r="837" spans="1:6" x14ac:dyDescent="0.25">
      <c r="A837" s="7"/>
      <c r="E837" s="7"/>
      <c r="F837" s="7"/>
    </row>
    <row r="838" spans="1:6" x14ac:dyDescent="0.25">
      <c r="A838" s="7"/>
      <c r="E838" s="7"/>
      <c r="F838" s="7"/>
    </row>
    <row r="839" spans="1:6" x14ac:dyDescent="0.25">
      <c r="A839" s="7"/>
      <c r="E839" s="7"/>
      <c r="F839" s="7"/>
    </row>
    <row r="840" spans="1:6" x14ac:dyDescent="0.25">
      <c r="A840" s="7"/>
      <c r="E840" s="7"/>
      <c r="F840" s="7"/>
    </row>
    <row r="841" spans="1:6" x14ac:dyDescent="0.25">
      <c r="A841" s="7"/>
      <c r="E841" s="7"/>
      <c r="F841" s="7"/>
    </row>
    <row r="842" spans="1:6" x14ac:dyDescent="0.25">
      <c r="A842" s="7"/>
      <c r="E842" s="7"/>
      <c r="F842" s="7"/>
    </row>
    <row r="843" spans="1:6" x14ac:dyDescent="0.25">
      <c r="A843" s="7"/>
      <c r="E843" s="7"/>
      <c r="F843" s="7"/>
    </row>
    <row r="844" spans="1:6" x14ac:dyDescent="0.25">
      <c r="A844" s="7"/>
      <c r="E844" s="7"/>
      <c r="F844" s="7"/>
    </row>
    <row r="845" spans="1:6" x14ac:dyDescent="0.25">
      <c r="A845" s="7"/>
      <c r="E845" s="7"/>
      <c r="F845" s="7"/>
    </row>
    <row r="846" spans="1:6" x14ac:dyDescent="0.25">
      <c r="A846" s="7"/>
      <c r="E846" s="7"/>
      <c r="F846" s="7"/>
    </row>
    <row r="847" spans="1:6" x14ac:dyDescent="0.25">
      <c r="A847" s="7"/>
      <c r="E847" s="7"/>
      <c r="F847" s="7"/>
    </row>
    <row r="848" spans="1:6" x14ac:dyDescent="0.25">
      <c r="A848" s="7"/>
      <c r="E848" s="7"/>
      <c r="F848" s="7"/>
    </row>
    <row r="849" spans="1:6" x14ac:dyDescent="0.25">
      <c r="A849" s="7"/>
      <c r="E849" s="7"/>
      <c r="F849" s="7"/>
    </row>
    <row r="850" spans="1:6" x14ac:dyDescent="0.25">
      <c r="A850" s="7"/>
      <c r="E850" s="7"/>
      <c r="F850" s="7"/>
    </row>
    <row r="851" spans="1:6" x14ac:dyDescent="0.25">
      <c r="A851" s="7"/>
      <c r="E851" s="7"/>
      <c r="F851" s="7"/>
    </row>
    <row r="852" spans="1:6" x14ac:dyDescent="0.25">
      <c r="A852" s="7"/>
      <c r="E852" s="7"/>
      <c r="F852" s="7"/>
    </row>
    <row r="853" spans="1:6" x14ac:dyDescent="0.25">
      <c r="A853" s="7"/>
      <c r="E853" s="7"/>
      <c r="F853" s="7"/>
    </row>
    <row r="854" spans="1:6" x14ac:dyDescent="0.25">
      <c r="A854" s="7"/>
      <c r="E854" s="7"/>
      <c r="F854" s="7"/>
    </row>
    <row r="855" spans="1:6" x14ac:dyDescent="0.25">
      <c r="A855" s="7"/>
      <c r="E855" s="7"/>
      <c r="F855" s="7"/>
    </row>
    <row r="856" spans="1:6" x14ac:dyDescent="0.25">
      <c r="A856" s="7"/>
      <c r="E856" s="7"/>
      <c r="F856" s="7"/>
    </row>
    <row r="857" spans="1:6" x14ac:dyDescent="0.25">
      <c r="A857" s="7"/>
      <c r="E857" s="7"/>
      <c r="F857" s="7"/>
    </row>
    <row r="858" spans="1:6" x14ac:dyDescent="0.25">
      <c r="A858" s="7"/>
      <c r="E858" s="7"/>
      <c r="F858" s="7"/>
    </row>
    <row r="859" spans="1:6" x14ac:dyDescent="0.25">
      <c r="A859" s="7"/>
      <c r="E859" s="7"/>
      <c r="F859" s="7"/>
    </row>
    <row r="860" spans="1:6" x14ac:dyDescent="0.25">
      <c r="A860" s="7"/>
      <c r="E860" s="7"/>
      <c r="F860" s="7"/>
    </row>
    <row r="861" spans="1:6" x14ac:dyDescent="0.25">
      <c r="A861" s="7"/>
      <c r="E861" s="7"/>
      <c r="F861" s="7"/>
    </row>
    <row r="862" spans="1:6" x14ac:dyDescent="0.25">
      <c r="A862" s="7"/>
      <c r="E862" s="7"/>
      <c r="F862" s="7"/>
    </row>
    <row r="863" spans="1:6" x14ac:dyDescent="0.25">
      <c r="A863" s="7"/>
      <c r="E863" s="7"/>
      <c r="F863" s="7"/>
    </row>
    <row r="864" spans="1:6" x14ac:dyDescent="0.25">
      <c r="A864" s="7"/>
      <c r="E864" s="7"/>
      <c r="F864" s="7"/>
    </row>
    <row r="865" spans="1:6" x14ac:dyDescent="0.25">
      <c r="A865" s="7"/>
      <c r="E865" s="7"/>
      <c r="F865" s="7"/>
    </row>
    <row r="866" spans="1:6" x14ac:dyDescent="0.25">
      <c r="A866" s="7"/>
      <c r="E866" s="7"/>
      <c r="F866" s="7"/>
    </row>
    <row r="867" spans="1:6" x14ac:dyDescent="0.25">
      <c r="A867" s="7"/>
      <c r="E867" s="7"/>
      <c r="F867" s="7"/>
    </row>
    <row r="868" spans="1:6" x14ac:dyDescent="0.25">
      <c r="A868" s="7"/>
      <c r="E868" s="7"/>
      <c r="F868" s="7"/>
    </row>
    <row r="869" spans="1:6" x14ac:dyDescent="0.25">
      <c r="A869" s="7"/>
      <c r="E869" s="7"/>
      <c r="F869" s="7"/>
    </row>
    <row r="870" spans="1:6" x14ac:dyDescent="0.25">
      <c r="A870" s="7"/>
      <c r="E870" s="7"/>
      <c r="F870" s="7"/>
    </row>
    <row r="871" spans="1:6" x14ac:dyDescent="0.25">
      <c r="A871" s="7"/>
      <c r="E871" s="7"/>
      <c r="F871" s="7"/>
    </row>
    <row r="872" spans="1:6" x14ac:dyDescent="0.25">
      <c r="A872" s="7"/>
      <c r="E872" s="7"/>
      <c r="F872" s="7"/>
    </row>
    <row r="873" spans="1:6" x14ac:dyDescent="0.25">
      <c r="A873" s="7"/>
      <c r="E873" s="7"/>
      <c r="F873" s="7"/>
    </row>
    <row r="874" spans="1:6" x14ac:dyDescent="0.25">
      <c r="A874" s="7"/>
      <c r="E874" s="7"/>
      <c r="F874" s="7"/>
    </row>
    <row r="875" spans="1:6" x14ac:dyDescent="0.25">
      <c r="A875" s="7"/>
      <c r="E875" s="7"/>
      <c r="F875" s="7"/>
    </row>
    <row r="876" spans="1:6" x14ac:dyDescent="0.25">
      <c r="A876" s="7"/>
      <c r="E876" s="7"/>
      <c r="F876" s="7"/>
    </row>
    <row r="877" spans="1:6" x14ac:dyDescent="0.25">
      <c r="A877" s="7"/>
      <c r="E877" s="7"/>
      <c r="F877" s="7"/>
    </row>
    <row r="878" spans="1:6" x14ac:dyDescent="0.25">
      <c r="A878" s="7"/>
      <c r="E878" s="7"/>
      <c r="F878" s="7"/>
    </row>
    <row r="879" spans="1:6" x14ac:dyDescent="0.25">
      <c r="A879" s="7"/>
      <c r="E879" s="7"/>
      <c r="F879" s="7"/>
    </row>
    <row r="880" spans="1:6" x14ac:dyDescent="0.25">
      <c r="A880" s="7"/>
      <c r="E880" s="7"/>
      <c r="F880" s="7"/>
    </row>
    <row r="881" spans="1:6" x14ac:dyDescent="0.25">
      <c r="A881" s="7"/>
      <c r="E881" s="7"/>
      <c r="F881" s="7"/>
    </row>
    <row r="882" spans="1:6" x14ac:dyDescent="0.25">
      <c r="A882" s="7"/>
      <c r="E882" s="7"/>
      <c r="F882" s="7"/>
    </row>
    <row r="883" spans="1:6" x14ac:dyDescent="0.25">
      <c r="A883" s="7"/>
      <c r="E883" s="7"/>
      <c r="F883" s="7"/>
    </row>
    <row r="884" spans="1:6" x14ac:dyDescent="0.25">
      <c r="A884" s="7"/>
      <c r="E884" s="7"/>
      <c r="F884" s="7"/>
    </row>
    <row r="885" spans="1:6" x14ac:dyDescent="0.25">
      <c r="A885" s="7"/>
      <c r="E885" s="7"/>
      <c r="F885" s="7"/>
    </row>
    <row r="886" spans="1:6" x14ac:dyDescent="0.25">
      <c r="A886" s="7"/>
      <c r="E886" s="7"/>
      <c r="F886" s="7"/>
    </row>
    <row r="887" spans="1:6" x14ac:dyDescent="0.25">
      <c r="A887" s="7"/>
      <c r="E887" s="7"/>
      <c r="F887" s="7"/>
    </row>
    <row r="888" spans="1:6" x14ac:dyDescent="0.25">
      <c r="A888" s="7"/>
      <c r="E888" s="7"/>
      <c r="F888" s="7"/>
    </row>
    <row r="889" spans="1:6" x14ac:dyDescent="0.25">
      <c r="A889" s="7"/>
      <c r="E889" s="7"/>
      <c r="F889" s="7"/>
    </row>
    <row r="890" spans="1:6" x14ac:dyDescent="0.25">
      <c r="A890" s="7"/>
      <c r="E890" s="7"/>
      <c r="F890" s="7"/>
    </row>
    <row r="891" spans="1:6" x14ac:dyDescent="0.25">
      <c r="A891" s="7"/>
      <c r="E891" s="7"/>
      <c r="F891" s="7"/>
    </row>
    <row r="892" spans="1:6" x14ac:dyDescent="0.25">
      <c r="A892" s="7"/>
      <c r="E892" s="7"/>
      <c r="F892" s="7"/>
    </row>
    <row r="893" spans="1:6" x14ac:dyDescent="0.25">
      <c r="A893" s="7"/>
      <c r="E893" s="7"/>
      <c r="F893" s="7"/>
    </row>
    <row r="894" spans="1:6" x14ac:dyDescent="0.25">
      <c r="A894" s="7"/>
      <c r="E894" s="7"/>
      <c r="F894" s="7"/>
    </row>
    <row r="895" spans="1:6" x14ac:dyDescent="0.25">
      <c r="A895" s="7"/>
      <c r="E895" s="7"/>
      <c r="F895" s="7"/>
    </row>
    <row r="896" spans="1:6" x14ac:dyDescent="0.25">
      <c r="A896" s="7"/>
      <c r="E896" s="7"/>
      <c r="F896" s="7"/>
    </row>
    <row r="897" spans="1:6" x14ac:dyDescent="0.25">
      <c r="A897" s="7"/>
      <c r="E897" s="7"/>
      <c r="F897" s="7"/>
    </row>
    <row r="898" spans="1:6" x14ac:dyDescent="0.25">
      <c r="A898" s="7"/>
      <c r="E898" s="7"/>
      <c r="F898" s="7"/>
    </row>
    <row r="899" spans="1:6" x14ac:dyDescent="0.25">
      <c r="A899" s="7"/>
      <c r="E899" s="7"/>
      <c r="F899" s="7"/>
    </row>
    <row r="900" spans="1:6" x14ac:dyDescent="0.25">
      <c r="A900" s="7"/>
      <c r="E900" s="7"/>
      <c r="F900" s="7"/>
    </row>
    <row r="901" spans="1:6" x14ac:dyDescent="0.25">
      <c r="A901" s="7"/>
      <c r="E901" s="7"/>
      <c r="F901" s="7"/>
    </row>
    <row r="902" spans="1:6" x14ac:dyDescent="0.25">
      <c r="A902" s="7"/>
      <c r="E902" s="7"/>
      <c r="F902" s="7"/>
    </row>
    <row r="903" spans="1:6" x14ac:dyDescent="0.25">
      <c r="A903" s="7"/>
      <c r="E903" s="7"/>
      <c r="F903" s="7"/>
    </row>
    <row r="904" spans="1:6" x14ac:dyDescent="0.25">
      <c r="A904" s="7"/>
      <c r="E904" s="7"/>
      <c r="F904" s="7"/>
    </row>
    <row r="905" spans="1:6" x14ac:dyDescent="0.25">
      <c r="A905" s="7"/>
      <c r="E905" s="7"/>
      <c r="F905" s="7"/>
    </row>
    <row r="906" spans="1:6" x14ac:dyDescent="0.25">
      <c r="A906" s="7"/>
      <c r="E906" s="7"/>
      <c r="F906" s="7"/>
    </row>
    <row r="907" spans="1:6" x14ac:dyDescent="0.25">
      <c r="A907" s="7"/>
      <c r="E907" s="7"/>
      <c r="F907" s="7"/>
    </row>
    <row r="908" spans="1:6" x14ac:dyDescent="0.25">
      <c r="A908" s="7"/>
      <c r="E908" s="7"/>
      <c r="F908" s="7"/>
    </row>
    <row r="909" spans="1:6" x14ac:dyDescent="0.25">
      <c r="A909" s="7"/>
      <c r="E909" s="7"/>
      <c r="F909" s="7"/>
    </row>
    <row r="910" spans="1:6" x14ac:dyDescent="0.25">
      <c r="A910" s="7"/>
      <c r="E910" s="7"/>
      <c r="F910" s="7"/>
    </row>
    <row r="911" spans="1:6" x14ac:dyDescent="0.25">
      <c r="A911" s="7"/>
      <c r="E911" s="7"/>
      <c r="F911" s="7"/>
    </row>
    <row r="912" spans="1:6" x14ac:dyDescent="0.25">
      <c r="A912" s="7"/>
      <c r="E912" s="7"/>
      <c r="F912" s="7"/>
    </row>
    <row r="913" spans="1:6" x14ac:dyDescent="0.25">
      <c r="A913" s="7"/>
      <c r="E913" s="7"/>
      <c r="F913" s="7"/>
    </row>
    <row r="914" spans="1:6" x14ac:dyDescent="0.25">
      <c r="A914" s="7"/>
      <c r="E914" s="7"/>
      <c r="F914" s="7"/>
    </row>
    <row r="915" spans="1:6" x14ac:dyDescent="0.25">
      <c r="A915" s="7"/>
      <c r="E915" s="7"/>
      <c r="F915" s="7"/>
    </row>
    <row r="916" spans="1:6" x14ac:dyDescent="0.25">
      <c r="A916" s="7"/>
      <c r="E916" s="7"/>
      <c r="F916" s="7"/>
    </row>
    <row r="917" spans="1:6" x14ac:dyDescent="0.25">
      <c r="A917" s="7"/>
      <c r="E917" s="7"/>
      <c r="F917" s="7"/>
    </row>
    <row r="918" spans="1:6" x14ac:dyDescent="0.25">
      <c r="A918" s="7"/>
      <c r="E918" s="7"/>
      <c r="F918" s="7"/>
    </row>
    <row r="919" spans="1:6" x14ac:dyDescent="0.25">
      <c r="A919" s="7"/>
      <c r="E919" s="7"/>
      <c r="F919" s="7"/>
    </row>
    <row r="920" spans="1:6" x14ac:dyDescent="0.25">
      <c r="A920" s="7"/>
      <c r="E920" s="7"/>
      <c r="F920" s="7"/>
    </row>
    <row r="921" spans="1:6" x14ac:dyDescent="0.25">
      <c r="A921" s="7"/>
      <c r="E921" s="7"/>
      <c r="F921" s="7"/>
    </row>
    <row r="922" spans="1:6" x14ac:dyDescent="0.25">
      <c r="A922" s="7"/>
      <c r="E922" s="7"/>
      <c r="F922" s="7"/>
    </row>
    <row r="923" spans="1:6" x14ac:dyDescent="0.25">
      <c r="A923" s="7"/>
      <c r="E923" s="7"/>
      <c r="F923" s="7"/>
    </row>
    <row r="924" spans="1:6" x14ac:dyDescent="0.25">
      <c r="A924" s="7"/>
      <c r="E924" s="7"/>
      <c r="F924" s="7"/>
    </row>
    <row r="925" spans="1:6" x14ac:dyDescent="0.25">
      <c r="A925" s="7"/>
      <c r="E925" s="7"/>
      <c r="F925" s="7"/>
    </row>
    <row r="926" spans="1:6" x14ac:dyDescent="0.25">
      <c r="A926" s="7"/>
      <c r="E926" s="7"/>
      <c r="F926" s="7"/>
    </row>
    <row r="927" spans="1:6" x14ac:dyDescent="0.25">
      <c r="A927" s="7"/>
      <c r="E927" s="7"/>
      <c r="F927" s="7"/>
    </row>
    <row r="928" spans="1:6" x14ac:dyDescent="0.25">
      <c r="A928" s="7"/>
      <c r="E928" s="7"/>
      <c r="F928" s="7"/>
    </row>
    <row r="929" spans="1:6" x14ac:dyDescent="0.25">
      <c r="A929" s="7"/>
      <c r="E929" s="7"/>
      <c r="F929" s="7"/>
    </row>
    <row r="930" spans="1:6" x14ac:dyDescent="0.25">
      <c r="A930" s="7"/>
      <c r="E930" s="7"/>
      <c r="F930" s="7"/>
    </row>
    <row r="931" spans="1:6" x14ac:dyDescent="0.25">
      <c r="A931" s="7"/>
      <c r="E931" s="7"/>
      <c r="F931" s="7"/>
    </row>
    <row r="932" spans="1:6" x14ac:dyDescent="0.25">
      <c r="A932" s="7"/>
      <c r="E932" s="7"/>
      <c r="F932" s="7"/>
    </row>
    <row r="933" spans="1:6" x14ac:dyDescent="0.25">
      <c r="A933" s="7"/>
      <c r="E933" s="7"/>
      <c r="F933" s="7"/>
    </row>
    <row r="934" spans="1:6" x14ac:dyDescent="0.25">
      <c r="A934" s="7"/>
      <c r="E934" s="7"/>
      <c r="F934" s="7"/>
    </row>
    <row r="935" spans="1:6" x14ac:dyDescent="0.25">
      <c r="A935" s="7"/>
      <c r="E935" s="7"/>
      <c r="F935" s="7"/>
    </row>
    <row r="936" spans="1:6" x14ac:dyDescent="0.25">
      <c r="A936" s="7"/>
      <c r="E936" s="7"/>
      <c r="F936" s="7"/>
    </row>
    <row r="937" spans="1:6" x14ac:dyDescent="0.25">
      <c r="A937" s="7"/>
      <c r="E937" s="7"/>
      <c r="F937" s="7"/>
    </row>
    <row r="938" spans="1:6" x14ac:dyDescent="0.25">
      <c r="A938" s="7"/>
      <c r="E938" s="7"/>
      <c r="F938" s="7"/>
    </row>
    <row r="939" spans="1:6" x14ac:dyDescent="0.25">
      <c r="A939" s="7"/>
      <c r="E939" s="7"/>
      <c r="F939" s="7"/>
    </row>
    <row r="940" spans="1:6" x14ac:dyDescent="0.25">
      <c r="A940" s="7"/>
      <c r="E940" s="7"/>
      <c r="F940" s="7"/>
    </row>
    <row r="941" spans="1:6" x14ac:dyDescent="0.25">
      <c r="A941" s="7"/>
      <c r="E941" s="7"/>
      <c r="F941" s="7"/>
    </row>
    <row r="942" spans="1:6" x14ac:dyDescent="0.25">
      <c r="A942" s="7"/>
      <c r="E942" s="7"/>
      <c r="F942" s="7"/>
    </row>
    <row r="943" spans="1:6" x14ac:dyDescent="0.25">
      <c r="A943" s="7"/>
      <c r="E943" s="7"/>
      <c r="F943" s="7"/>
    </row>
    <row r="944" spans="1:6" x14ac:dyDescent="0.25">
      <c r="A944" s="7"/>
      <c r="E944" s="7"/>
      <c r="F944" s="7"/>
    </row>
    <row r="945" spans="1:6" x14ac:dyDescent="0.25">
      <c r="A945" s="7"/>
      <c r="E945" s="7"/>
      <c r="F945" s="7"/>
    </row>
    <row r="946" spans="1:6" x14ac:dyDescent="0.25">
      <c r="A946" s="7"/>
      <c r="E946" s="7"/>
      <c r="F946" s="7"/>
    </row>
    <row r="947" spans="1:6" x14ac:dyDescent="0.25">
      <c r="A947" s="7"/>
      <c r="E947" s="7"/>
      <c r="F947" s="7"/>
    </row>
    <row r="948" spans="1:6" x14ac:dyDescent="0.25">
      <c r="A948" s="7"/>
      <c r="E948" s="7"/>
      <c r="F948" s="7"/>
    </row>
    <row r="949" spans="1:6" x14ac:dyDescent="0.25">
      <c r="A949" s="7"/>
      <c r="E949" s="7"/>
      <c r="F949" s="7"/>
    </row>
    <row r="950" spans="1:6" x14ac:dyDescent="0.25">
      <c r="A950" s="7"/>
      <c r="E950" s="7"/>
      <c r="F950" s="7"/>
    </row>
    <row r="951" spans="1:6" x14ac:dyDescent="0.25">
      <c r="A951" s="7"/>
      <c r="E951" s="7"/>
      <c r="F951" s="7"/>
    </row>
    <row r="952" spans="1:6" x14ac:dyDescent="0.25">
      <c r="A952" s="7"/>
      <c r="E952" s="7"/>
      <c r="F952" s="7"/>
    </row>
    <row r="953" spans="1:6" x14ac:dyDescent="0.25">
      <c r="A953" s="7"/>
      <c r="E953" s="7"/>
      <c r="F953" s="7"/>
    </row>
    <row r="954" spans="1:6" x14ac:dyDescent="0.25">
      <c r="A954" s="7"/>
      <c r="E954" s="7"/>
      <c r="F954" s="7"/>
    </row>
    <row r="955" spans="1:6" x14ac:dyDescent="0.25">
      <c r="A955" s="7"/>
      <c r="E955" s="7"/>
      <c r="F955" s="7"/>
    </row>
    <row r="956" spans="1:6" x14ac:dyDescent="0.25">
      <c r="A956" s="7"/>
      <c r="E956" s="7"/>
      <c r="F956" s="7"/>
    </row>
    <row r="957" spans="1:6" x14ac:dyDescent="0.25">
      <c r="A957" s="7"/>
      <c r="E957" s="7"/>
      <c r="F957" s="7"/>
    </row>
    <row r="958" spans="1:6" x14ac:dyDescent="0.25">
      <c r="A958" s="7"/>
      <c r="E958" s="7"/>
      <c r="F958" s="7"/>
    </row>
    <row r="959" spans="1:6" x14ac:dyDescent="0.25">
      <c r="A959" s="7"/>
      <c r="E959" s="7"/>
      <c r="F959" s="7"/>
    </row>
    <row r="960" spans="1:6" x14ac:dyDescent="0.25">
      <c r="A960" s="7"/>
      <c r="E960" s="7"/>
      <c r="F960" s="7"/>
    </row>
    <row r="961" spans="1:6" x14ac:dyDescent="0.25">
      <c r="A961" s="7"/>
      <c r="E961" s="7"/>
      <c r="F961" s="7"/>
    </row>
    <row r="962" spans="1:6" x14ac:dyDescent="0.25">
      <c r="A962" s="7"/>
      <c r="E962" s="7"/>
      <c r="F962" s="7"/>
    </row>
    <row r="963" spans="1:6" x14ac:dyDescent="0.25">
      <c r="A963" s="7"/>
      <c r="E963" s="7"/>
      <c r="F963" s="7"/>
    </row>
    <row r="964" spans="1:6" x14ac:dyDescent="0.25">
      <c r="A964" s="7"/>
      <c r="E964" s="7"/>
      <c r="F964" s="7"/>
    </row>
    <row r="965" spans="1:6" x14ac:dyDescent="0.25">
      <c r="A965" s="7"/>
      <c r="E965" s="7"/>
      <c r="F965" s="7"/>
    </row>
    <row r="966" spans="1:6" x14ac:dyDescent="0.25">
      <c r="A966" s="7"/>
      <c r="E966" s="7"/>
      <c r="F966" s="7"/>
    </row>
    <row r="967" spans="1:6" x14ac:dyDescent="0.25">
      <c r="A967" s="7"/>
      <c r="E967" s="7"/>
      <c r="F967" s="7"/>
    </row>
    <row r="968" spans="1:6" x14ac:dyDescent="0.25">
      <c r="A968" s="7"/>
      <c r="E968" s="7"/>
      <c r="F968" s="7"/>
    </row>
    <row r="969" spans="1:6" x14ac:dyDescent="0.25">
      <c r="A969" s="7"/>
      <c r="E969" s="7"/>
      <c r="F969" s="7"/>
    </row>
    <row r="970" spans="1:6" x14ac:dyDescent="0.25">
      <c r="A970" s="7"/>
      <c r="E970" s="7"/>
      <c r="F970" s="7"/>
    </row>
    <row r="971" spans="1:6" x14ac:dyDescent="0.25">
      <c r="A971" s="7"/>
      <c r="E971" s="7"/>
      <c r="F971" s="7"/>
    </row>
    <row r="972" spans="1:6" x14ac:dyDescent="0.25">
      <c r="A972" s="7"/>
      <c r="E972" s="7"/>
      <c r="F972" s="7"/>
    </row>
    <row r="973" spans="1:6" x14ac:dyDescent="0.25">
      <c r="A973" s="7"/>
      <c r="E973" s="7"/>
      <c r="F973" s="7"/>
    </row>
    <row r="974" spans="1:6" x14ac:dyDescent="0.25">
      <c r="A974" s="7"/>
      <c r="E974" s="7"/>
      <c r="F974" s="7"/>
    </row>
    <row r="975" spans="1:6" x14ac:dyDescent="0.25">
      <c r="A975" s="7"/>
      <c r="E975" s="7"/>
      <c r="F975" s="7"/>
    </row>
    <row r="976" spans="1:6" x14ac:dyDescent="0.25">
      <c r="A976" s="7"/>
      <c r="E976" s="7"/>
      <c r="F976" s="7"/>
    </row>
    <row r="977" spans="1:6" x14ac:dyDescent="0.25">
      <c r="A977" s="7"/>
      <c r="E977" s="7"/>
      <c r="F977" s="7"/>
    </row>
    <row r="978" spans="1:6" x14ac:dyDescent="0.25">
      <c r="A978" s="7"/>
      <c r="E978" s="7"/>
      <c r="F978" s="7"/>
    </row>
    <row r="979" spans="1:6" x14ac:dyDescent="0.25">
      <c r="A979" s="7"/>
      <c r="E979" s="7"/>
      <c r="F979" s="7"/>
    </row>
    <row r="980" spans="1:6" x14ac:dyDescent="0.25">
      <c r="A980" s="7"/>
      <c r="E980" s="7"/>
      <c r="F980" s="7"/>
    </row>
    <row r="981" spans="1:6" x14ac:dyDescent="0.25">
      <c r="A981" s="7"/>
      <c r="E981" s="7"/>
      <c r="F981" s="7"/>
    </row>
    <row r="982" spans="1:6" x14ac:dyDescent="0.25">
      <c r="A982" s="7"/>
      <c r="E982" s="7"/>
      <c r="F982" s="7"/>
    </row>
    <row r="983" spans="1:6" x14ac:dyDescent="0.25">
      <c r="A983" s="7"/>
      <c r="E983" s="7"/>
      <c r="F983" s="7"/>
    </row>
    <row r="984" spans="1:6" x14ac:dyDescent="0.25">
      <c r="A984" s="7"/>
      <c r="E984" s="7"/>
      <c r="F984" s="7"/>
    </row>
    <row r="985" spans="1:6" x14ac:dyDescent="0.25">
      <c r="A985" s="7"/>
      <c r="E985" s="7"/>
      <c r="F985" s="7"/>
    </row>
    <row r="986" spans="1:6" x14ac:dyDescent="0.25">
      <c r="A986" s="7"/>
      <c r="E986" s="7"/>
      <c r="F986" s="7"/>
    </row>
    <row r="987" spans="1:6" x14ac:dyDescent="0.25">
      <c r="A987" s="7"/>
      <c r="E987" s="7"/>
      <c r="F987" s="7"/>
    </row>
    <row r="988" spans="1:6" x14ac:dyDescent="0.25">
      <c r="A988" s="7"/>
      <c r="E988" s="7"/>
      <c r="F988" s="7"/>
    </row>
    <row r="989" spans="1:6" x14ac:dyDescent="0.25">
      <c r="A989" s="7"/>
      <c r="E989" s="7"/>
      <c r="F989" s="7"/>
    </row>
    <row r="990" spans="1:6" x14ac:dyDescent="0.25">
      <c r="A990" s="7"/>
      <c r="E990" s="7"/>
      <c r="F990" s="7"/>
    </row>
    <row r="991" spans="1:6" x14ac:dyDescent="0.25">
      <c r="A991" s="7"/>
      <c r="E991" s="7"/>
      <c r="F991" s="7"/>
    </row>
    <row r="992" spans="1:6" x14ac:dyDescent="0.25">
      <c r="A992" s="7"/>
      <c r="E992" s="7"/>
      <c r="F992" s="7"/>
    </row>
    <row r="993" spans="1:6" x14ac:dyDescent="0.25">
      <c r="A993" s="7"/>
      <c r="E993" s="7"/>
      <c r="F993" s="7"/>
    </row>
    <row r="994" spans="1:6" x14ac:dyDescent="0.25">
      <c r="A994" s="7"/>
      <c r="E994" s="7"/>
      <c r="F994" s="7"/>
    </row>
    <row r="995" spans="1:6" x14ac:dyDescent="0.25">
      <c r="A995" s="7"/>
      <c r="E995" s="7"/>
      <c r="F995" s="7"/>
    </row>
    <row r="996" spans="1:6" x14ac:dyDescent="0.25">
      <c r="A996" s="7"/>
      <c r="E996" s="7"/>
      <c r="F996" s="7"/>
    </row>
    <row r="997" spans="1:6" x14ac:dyDescent="0.25">
      <c r="A997" s="7"/>
      <c r="E997" s="7"/>
      <c r="F997" s="7"/>
    </row>
    <row r="998" spans="1:6" x14ac:dyDescent="0.25">
      <c r="A998" s="7"/>
      <c r="E998" s="7"/>
      <c r="F998" s="7"/>
    </row>
    <row r="999" spans="1:6" x14ac:dyDescent="0.25">
      <c r="A999" s="7"/>
      <c r="E999" s="7"/>
      <c r="F999" s="7"/>
    </row>
    <row r="1000" spans="1:6" x14ac:dyDescent="0.25">
      <c r="A1000" s="7"/>
      <c r="E1000" s="7"/>
      <c r="F1000" s="7"/>
    </row>
    <row r="1001" spans="1:6" x14ac:dyDescent="0.25">
      <c r="A1001" s="7"/>
      <c r="E1001" s="7"/>
      <c r="F1001" s="7"/>
    </row>
  </sheetData>
  <mergeCells count="4">
    <mergeCell ref="A1:I1"/>
    <mergeCell ref="A2:I2"/>
    <mergeCell ref="B3:C3"/>
    <mergeCell ref="A16:I16"/>
  </mergeCells>
  <printOptions horizontalCentered="1" verticalCentered="1" gridLines="1"/>
  <pageMargins left="0.25" right="0.25" top="0.75" bottom="0.75" header="0" footer="0"/>
  <pageSetup fitToHeight="0" pageOrder="overThenDown" orientation="landscape" cellComments="atEnd"/>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outlinePr summaryBelow="0" summaryRight="0"/>
    <pageSetUpPr fitToPage="1"/>
  </sheetPr>
  <dimension ref="A1:W1003"/>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46.33203125" customWidth="1"/>
    <col min="2" max="2" width="7.33203125" customWidth="1"/>
    <col min="3" max="4" width="7.88671875" customWidth="1"/>
    <col min="5" max="5" width="22.21875" customWidth="1"/>
    <col min="6" max="6" width="14.6640625" customWidth="1"/>
  </cols>
  <sheetData>
    <row r="1" spans="1:23" x14ac:dyDescent="0.25">
      <c r="A1" s="141" t="s">
        <v>910</v>
      </c>
      <c r="B1" s="142"/>
      <c r="C1" s="142"/>
      <c r="D1" s="142"/>
      <c r="E1" s="142"/>
      <c r="F1" s="142"/>
      <c r="G1" s="142"/>
      <c r="H1" s="142"/>
      <c r="I1" s="143"/>
    </row>
    <row r="2" spans="1:23" x14ac:dyDescent="0.25">
      <c r="A2" s="144" t="s">
        <v>911</v>
      </c>
      <c r="B2" s="142"/>
      <c r="C2" s="142"/>
      <c r="D2" s="142"/>
      <c r="E2" s="142"/>
      <c r="F2" s="142"/>
      <c r="G2" s="142"/>
      <c r="H2" s="142"/>
      <c r="I2" s="143"/>
    </row>
    <row r="3" spans="1:23" x14ac:dyDescent="0.25">
      <c r="A3" s="43" t="s">
        <v>374</v>
      </c>
      <c r="B3" s="145" t="s">
        <v>408</v>
      </c>
      <c r="C3" s="143"/>
      <c r="D3" s="49" t="s">
        <v>370</v>
      </c>
      <c r="E3" s="50" t="s">
        <v>371</v>
      </c>
      <c r="F3" s="51" t="s">
        <v>372</v>
      </c>
      <c r="G3" s="52" t="s">
        <v>373</v>
      </c>
      <c r="H3" s="53" t="s">
        <v>409</v>
      </c>
      <c r="I3" s="53" t="s">
        <v>410</v>
      </c>
      <c r="J3" s="7"/>
      <c r="K3" s="7"/>
      <c r="L3" s="7"/>
      <c r="M3" s="7"/>
      <c r="N3" s="7"/>
      <c r="O3" s="7"/>
      <c r="P3" s="7"/>
      <c r="Q3" s="7"/>
      <c r="R3" s="7"/>
      <c r="S3" s="7"/>
      <c r="T3" s="7"/>
      <c r="U3" s="7"/>
      <c r="V3" s="7"/>
      <c r="W3" s="7"/>
    </row>
    <row r="4" spans="1:23" x14ac:dyDescent="0.25">
      <c r="A4" s="41" t="s">
        <v>411</v>
      </c>
      <c r="B4" s="54">
        <f>SUM(B5:B9)/4</f>
        <v>1</v>
      </c>
      <c r="C4" s="55">
        <f>D4*B4</f>
        <v>0.7</v>
      </c>
      <c r="D4" s="56">
        <v>0.7</v>
      </c>
      <c r="E4" s="57"/>
      <c r="F4" s="57"/>
      <c r="G4" s="58"/>
      <c r="H4" s="58"/>
      <c r="I4" s="58"/>
    </row>
    <row r="5" spans="1:23" x14ac:dyDescent="0.25">
      <c r="A5" s="42" t="s">
        <v>912</v>
      </c>
      <c r="B5" s="59">
        <v>1</v>
      </c>
      <c r="C5" s="60"/>
      <c r="D5" s="60"/>
      <c r="E5" s="42"/>
      <c r="F5" s="61"/>
      <c r="G5" s="59">
        <v>0.8</v>
      </c>
      <c r="H5" s="59">
        <v>0.8</v>
      </c>
      <c r="I5" s="59">
        <v>1</v>
      </c>
    </row>
    <row r="6" spans="1:23" x14ac:dyDescent="0.25">
      <c r="A6" s="42" t="s">
        <v>913</v>
      </c>
      <c r="B6" s="59">
        <v>1</v>
      </c>
      <c r="C6" s="60"/>
      <c r="D6" s="60"/>
      <c r="E6" s="42"/>
      <c r="F6" s="61"/>
      <c r="G6" s="59">
        <v>0.8</v>
      </c>
      <c r="H6" s="59">
        <v>0.8</v>
      </c>
      <c r="I6" s="59">
        <v>1</v>
      </c>
    </row>
    <row r="7" spans="1:23" x14ac:dyDescent="0.25">
      <c r="A7" s="42" t="s">
        <v>914</v>
      </c>
      <c r="B7" s="59">
        <v>1</v>
      </c>
      <c r="C7" s="60"/>
      <c r="D7" s="60"/>
      <c r="E7" s="42"/>
      <c r="F7" s="61"/>
      <c r="G7" s="59">
        <v>0.8</v>
      </c>
      <c r="H7" s="59">
        <v>0.8</v>
      </c>
      <c r="I7" s="59">
        <v>1</v>
      </c>
    </row>
    <row r="8" spans="1:23" x14ac:dyDescent="0.25">
      <c r="A8" s="42" t="s">
        <v>915</v>
      </c>
      <c r="B8" s="59">
        <v>1</v>
      </c>
      <c r="C8" s="60"/>
      <c r="D8" s="60"/>
      <c r="E8" s="42"/>
      <c r="F8" s="61"/>
      <c r="G8" s="59">
        <v>0.8</v>
      </c>
      <c r="H8" s="59">
        <v>0.8</v>
      </c>
      <c r="I8" s="59">
        <v>1</v>
      </c>
    </row>
    <row r="9" spans="1:23" x14ac:dyDescent="0.25">
      <c r="A9" s="42"/>
      <c r="B9" s="62"/>
      <c r="C9" s="60"/>
      <c r="D9" s="60"/>
      <c r="E9" s="42"/>
      <c r="F9" s="42"/>
      <c r="G9" s="60"/>
      <c r="H9" s="60"/>
      <c r="I9" s="60"/>
    </row>
    <row r="10" spans="1:23" x14ac:dyDescent="0.25">
      <c r="A10" s="41" t="s">
        <v>415</v>
      </c>
      <c r="B10" s="54">
        <f>SUM(B11:B12)/1</f>
        <v>1</v>
      </c>
      <c r="C10" s="55">
        <f>D10*B10</f>
        <v>0.2</v>
      </c>
      <c r="D10" s="56">
        <v>0.2</v>
      </c>
      <c r="E10" s="57"/>
      <c r="F10" s="57"/>
      <c r="G10" s="58"/>
      <c r="H10" s="58"/>
      <c r="I10" s="58"/>
    </row>
    <row r="11" spans="1:23" x14ac:dyDescent="0.25">
      <c r="A11" s="42" t="s">
        <v>916</v>
      </c>
      <c r="B11" s="59">
        <v>1</v>
      </c>
      <c r="C11" s="60"/>
      <c r="D11" s="60"/>
      <c r="E11" s="42" t="s">
        <v>917</v>
      </c>
      <c r="F11" s="42" t="s">
        <v>425</v>
      </c>
      <c r="G11" s="59">
        <v>1</v>
      </c>
      <c r="H11" s="59"/>
      <c r="I11" s="59"/>
    </row>
    <row r="12" spans="1:23" x14ac:dyDescent="0.25">
      <c r="A12" s="43"/>
      <c r="B12" s="62"/>
      <c r="C12" s="60"/>
      <c r="D12" s="60"/>
      <c r="E12" s="42"/>
      <c r="F12" s="61"/>
      <c r="G12" s="59"/>
      <c r="H12" s="59"/>
      <c r="I12" s="59"/>
    </row>
    <row r="13" spans="1:23" x14ac:dyDescent="0.25">
      <c r="A13" s="41" t="s">
        <v>385</v>
      </c>
      <c r="B13" s="54">
        <f>SUM(B14:B15)/2</f>
        <v>1</v>
      </c>
      <c r="C13" s="55">
        <f>D13*B13</f>
        <v>0.1</v>
      </c>
      <c r="D13" s="56">
        <v>0.1</v>
      </c>
      <c r="E13" s="57"/>
      <c r="F13" s="57"/>
      <c r="G13" s="58"/>
      <c r="H13" s="58"/>
      <c r="I13" s="58"/>
    </row>
    <row r="14" spans="1:23" x14ac:dyDescent="0.25">
      <c r="A14" s="42" t="s">
        <v>386</v>
      </c>
      <c r="B14" s="59">
        <v>1</v>
      </c>
      <c r="C14" s="60"/>
      <c r="D14" s="53"/>
      <c r="E14" s="42"/>
      <c r="F14" s="42" t="s">
        <v>425</v>
      </c>
      <c r="G14" s="59">
        <v>0.8</v>
      </c>
      <c r="H14" s="59">
        <v>0.8</v>
      </c>
      <c r="I14" s="59">
        <v>1</v>
      </c>
    </row>
    <row r="15" spans="1:23" x14ac:dyDescent="0.25">
      <c r="A15" s="42" t="s">
        <v>387</v>
      </c>
      <c r="B15" s="59">
        <v>1</v>
      </c>
      <c r="C15" s="60"/>
      <c r="D15" s="60"/>
      <c r="E15" s="42"/>
      <c r="F15" s="42" t="s">
        <v>419</v>
      </c>
      <c r="G15" s="59">
        <v>0.8</v>
      </c>
      <c r="H15" s="59">
        <v>0.8</v>
      </c>
      <c r="I15" s="59">
        <v>1</v>
      </c>
    </row>
    <row r="16" spans="1:23" x14ac:dyDescent="0.25">
      <c r="A16" s="42"/>
      <c r="B16" s="60"/>
      <c r="C16" s="64">
        <f t="shared" ref="C16:D16" si="0">SUM(C4+C10+C13)</f>
        <v>0.99999999999999989</v>
      </c>
      <c r="D16" s="64">
        <f t="shared" si="0"/>
        <v>0.99999999999999989</v>
      </c>
      <c r="E16" s="42"/>
      <c r="F16" s="42"/>
      <c r="G16" s="60"/>
      <c r="H16" s="60"/>
      <c r="I16" s="60"/>
    </row>
    <row r="17" spans="1:9" x14ac:dyDescent="0.25">
      <c r="A17" s="152" t="s">
        <v>918</v>
      </c>
      <c r="B17" s="142"/>
      <c r="C17" s="142"/>
      <c r="D17" s="142"/>
      <c r="E17" s="142"/>
      <c r="F17" s="142"/>
      <c r="G17" s="142"/>
      <c r="H17" s="142"/>
      <c r="I17" s="143"/>
    </row>
    <row r="18" spans="1:9" x14ac:dyDescent="0.25">
      <c r="A18" s="66" t="s">
        <v>919</v>
      </c>
      <c r="B18" s="67" t="s">
        <v>427</v>
      </c>
      <c r="C18" s="64"/>
      <c r="D18" s="64"/>
      <c r="E18" s="68" t="s">
        <v>99</v>
      </c>
      <c r="F18" s="42" t="s">
        <v>425</v>
      </c>
      <c r="G18" s="42"/>
      <c r="H18" s="60"/>
      <c r="I18" s="60"/>
    </row>
    <row r="19" spans="1:9" x14ac:dyDescent="0.25">
      <c r="A19" s="66"/>
      <c r="B19" s="67"/>
      <c r="C19" s="64"/>
      <c r="D19" s="64"/>
      <c r="E19" s="68"/>
      <c r="F19" s="42"/>
      <c r="G19" s="69"/>
      <c r="H19" s="60"/>
      <c r="I19" s="60"/>
    </row>
    <row r="20" spans="1:9" x14ac:dyDescent="0.25">
      <c r="A20" s="66"/>
      <c r="B20" s="67"/>
      <c r="C20" s="64"/>
      <c r="D20" s="64"/>
      <c r="E20" s="68"/>
      <c r="F20" s="42"/>
      <c r="G20" s="42"/>
      <c r="H20" s="60"/>
      <c r="I20" s="60"/>
    </row>
    <row r="21" spans="1:9" x14ac:dyDescent="0.25">
      <c r="A21" s="7"/>
      <c r="E21" s="7"/>
      <c r="F21" s="7"/>
    </row>
    <row r="22" spans="1:9" x14ac:dyDescent="0.25">
      <c r="A22" s="7"/>
      <c r="E22" s="7"/>
      <c r="F22" s="7"/>
    </row>
    <row r="23" spans="1:9" x14ac:dyDescent="0.25">
      <c r="A23" s="7"/>
      <c r="E23" s="7"/>
      <c r="F23" s="7"/>
    </row>
    <row r="24" spans="1:9" x14ac:dyDescent="0.25">
      <c r="A24" s="7"/>
      <c r="E24" s="7"/>
      <c r="F24" s="7"/>
    </row>
    <row r="25" spans="1:9" x14ac:dyDescent="0.25">
      <c r="A25" s="7"/>
      <c r="E25" s="7"/>
      <c r="F25" s="7"/>
    </row>
    <row r="26" spans="1:9" x14ac:dyDescent="0.25">
      <c r="A26" s="7"/>
      <c r="E26" s="7"/>
      <c r="F26" s="7"/>
    </row>
    <row r="27" spans="1:9" x14ac:dyDescent="0.25">
      <c r="A27" s="7"/>
      <c r="E27" s="7"/>
      <c r="F27" s="7"/>
    </row>
    <row r="28" spans="1:9" x14ac:dyDescent="0.25">
      <c r="A28" s="7"/>
      <c r="E28" s="7"/>
      <c r="F28" s="7"/>
    </row>
    <row r="29" spans="1:9" x14ac:dyDescent="0.25">
      <c r="A29" s="7"/>
      <c r="E29" s="7"/>
      <c r="F29" s="7"/>
    </row>
    <row r="30" spans="1:9" x14ac:dyDescent="0.25">
      <c r="A30" s="7"/>
      <c r="E30" s="7"/>
      <c r="F30" s="7"/>
    </row>
    <row r="31" spans="1:9" x14ac:dyDescent="0.25">
      <c r="A31" s="7"/>
      <c r="E31" s="7"/>
      <c r="F31" s="7"/>
    </row>
    <row r="32" spans="1:9" x14ac:dyDescent="0.25">
      <c r="A32" s="7"/>
      <c r="E32" s="7"/>
      <c r="F32" s="7"/>
    </row>
    <row r="33" spans="1:6" x14ac:dyDescent="0.25">
      <c r="A33" s="7"/>
      <c r="E33" s="7"/>
      <c r="F33" s="7"/>
    </row>
    <row r="34" spans="1:6" x14ac:dyDescent="0.25">
      <c r="A34" s="7"/>
      <c r="E34" s="7"/>
      <c r="F34" s="7"/>
    </row>
    <row r="35" spans="1:6" x14ac:dyDescent="0.25">
      <c r="A35" s="7"/>
      <c r="E35" s="7"/>
      <c r="F35" s="7"/>
    </row>
    <row r="36" spans="1:6" x14ac:dyDescent="0.25">
      <c r="A36" s="7"/>
      <c r="E36" s="7"/>
      <c r="F36" s="7"/>
    </row>
    <row r="37" spans="1:6" x14ac:dyDescent="0.25">
      <c r="A37" s="7"/>
      <c r="E37" s="7"/>
      <c r="F37" s="7"/>
    </row>
    <row r="38" spans="1:6" x14ac:dyDescent="0.25">
      <c r="A38" s="7"/>
      <c r="E38" s="7"/>
      <c r="F38" s="7"/>
    </row>
    <row r="39" spans="1:6" x14ac:dyDescent="0.25">
      <c r="A39" s="7"/>
      <c r="E39" s="7"/>
      <c r="F39" s="7"/>
    </row>
    <row r="40" spans="1:6" x14ac:dyDescent="0.25">
      <c r="A40" s="7"/>
      <c r="E40" s="7"/>
      <c r="F40" s="7"/>
    </row>
    <row r="41" spans="1:6" x14ac:dyDescent="0.25">
      <c r="A41" s="7"/>
      <c r="E41" s="7"/>
      <c r="F41" s="7"/>
    </row>
    <row r="42" spans="1:6" x14ac:dyDescent="0.25">
      <c r="A42" s="7"/>
      <c r="E42" s="7"/>
      <c r="F42" s="7"/>
    </row>
    <row r="43" spans="1:6" x14ac:dyDescent="0.25">
      <c r="A43" s="7"/>
      <c r="E43" s="7"/>
      <c r="F43" s="7"/>
    </row>
    <row r="44" spans="1:6" x14ac:dyDescent="0.25">
      <c r="A44" s="7"/>
      <c r="E44" s="7"/>
      <c r="F44" s="7"/>
    </row>
    <row r="45" spans="1:6" x14ac:dyDescent="0.25">
      <c r="A45" s="7"/>
      <c r="E45" s="7"/>
      <c r="F45" s="7"/>
    </row>
    <row r="46" spans="1:6" x14ac:dyDescent="0.25">
      <c r="A46" s="7"/>
      <c r="E46" s="7"/>
      <c r="F46" s="7"/>
    </row>
    <row r="47" spans="1:6" x14ac:dyDescent="0.25">
      <c r="A47" s="7"/>
      <c r="E47" s="7"/>
      <c r="F47" s="7"/>
    </row>
    <row r="48" spans="1:6" x14ac:dyDescent="0.25">
      <c r="A48" s="7"/>
      <c r="E48" s="7"/>
      <c r="F48" s="7"/>
    </row>
    <row r="49" spans="1:6" x14ac:dyDescent="0.25">
      <c r="A49" s="7"/>
      <c r="E49" s="7"/>
      <c r="F49" s="7"/>
    </row>
    <row r="50" spans="1:6" x14ac:dyDescent="0.25">
      <c r="A50" s="7"/>
      <c r="E50" s="7"/>
      <c r="F50" s="7"/>
    </row>
    <row r="51" spans="1:6" x14ac:dyDescent="0.25">
      <c r="A51" s="7"/>
      <c r="E51" s="7"/>
      <c r="F51" s="7"/>
    </row>
    <row r="52" spans="1:6" x14ac:dyDescent="0.25">
      <c r="A52" s="7"/>
      <c r="E52" s="7"/>
      <c r="F52" s="7"/>
    </row>
    <row r="53" spans="1:6" x14ac:dyDescent="0.25">
      <c r="A53" s="7"/>
      <c r="E53" s="7"/>
      <c r="F53" s="7"/>
    </row>
    <row r="54" spans="1:6" x14ac:dyDescent="0.25">
      <c r="A54" s="7"/>
      <c r="E54" s="7"/>
      <c r="F54" s="7"/>
    </row>
    <row r="55" spans="1:6" x14ac:dyDescent="0.25">
      <c r="A55" s="7"/>
      <c r="E55" s="7"/>
      <c r="F55" s="7"/>
    </row>
    <row r="56" spans="1:6" x14ac:dyDescent="0.25">
      <c r="A56" s="7"/>
      <c r="E56" s="7"/>
      <c r="F56" s="7"/>
    </row>
    <row r="57" spans="1:6" x14ac:dyDescent="0.25">
      <c r="A57" s="7"/>
      <c r="E57" s="7"/>
      <c r="F57" s="7"/>
    </row>
    <row r="58" spans="1:6" x14ac:dyDescent="0.25">
      <c r="A58" s="7"/>
      <c r="E58" s="7"/>
      <c r="F58" s="7"/>
    </row>
    <row r="59" spans="1:6" x14ac:dyDescent="0.25">
      <c r="A59" s="7"/>
      <c r="E59" s="7"/>
      <c r="F59" s="7"/>
    </row>
    <row r="60" spans="1:6" x14ac:dyDescent="0.25">
      <c r="A60" s="7"/>
      <c r="E60" s="7"/>
      <c r="F60" s="7"/>
    </row>
    <row r="61" spans="1:6" x14ac:dyDescent="0.25">
      <c r="A61" s="7"/>
      <c r="E61" s="7"/>
      <c r="F61" s="7"/>
    </row>
    <row r="62" spans="1:6" x14ac:dyDescent="0.25">
      <c r="A62" s="7"/>
      <c r="E62" s="7"/>
      <c r="F62" s="7"/>
    </row>
    <row r="63" spans="1:6" x14ac:dyDescent="0.25">
      <c r="A63" s="7"/>
      <c r="E63" s="7"/>
      <c r="F63" s="7"/>
    </row>
    <row r="64" spans="1:6" x14ac:dyDescent="0.25">
      <c r="A64" s="7"/>
      <c r="E64" s="7"/>
      <c r="F64" s="7"/>
    </row>
    <row r="65" spans="1:6" x14ac:dyDescent="0.25">
      <c r="A65" s="7"/>
      <c r="E65" s="7"/>
      <c r="F65" s="7"/>
    </row>
    <row r="66" spans="1:6" x14ac:dyDescent="0.25">
      <c r="A66" s="7"/>
      <c r="E66" s="7"/>
      <c r="F66" s="7"/>
    </row>
    <row r="67" spans="1:6" x14ac:dyDescent="0.25">
      <c r="A67" s="7"/>
      <c r="E67" s="7"/>
      <c r="F67" s="7"/>
    </row>
    <row r="68" spans="1:6" x14ac:dyDescent="0.25">
      <c r="A68" s="7"/>
      <c r="E68" s="7"/>
      <c r="F68" s="7"/>
    </row>
    <row r="69" spans="1:6" x14ac:dyDescent="0.25">
      <c r="A69" s="7"/>
      <c r="E69" s="7"/>
      <c r="F69" s="7"/>
    </row>
    <row r="70" spans="1:6" x14ac:dyDescent="0.25">
      <c r="A70" s="7"/>
      <c r="E70" s="7"/>
      <c r="F70" s="7"/>
    </row>
    <row r="71" spans="1:6" x14ac:dyDescent="0.25">
      <c r="A71" s="7"/>
      <c r="E71" s="7"/>
      <c r="F71" s="7"/>
    </row>
    <row r="72" spans="1:6" x14ac:dyDescent="0.25">
      <c r="A72" s="7"/>
      <c r="E72" s="7"/>
      <c r="F72" s="7"/>
    </row>
    <row r="73" spans="1:6" x14ac:dyDescent="0.25">
      <c r="A73" s="7"/>
      <c r="E73" s="7"/>
      <c r="F73" s="7"/>
    </row>
    <row r="74" spans="1:6" x14ac:dyDescent="0.25">
      <c r="A74" s="7"/>
      <c r="E74" s="7"/>
      <c r="F74" s="7"/>
    </row>
    <row r="75" spans="1:6" x14ac:dyDescent="0.25">
      <c r="A75" s="7"/>
      <c r="E75" s="7"/>
      <c r="F75" s="7"/>
    </row>
    <row r="76" spans="1:6" x14ac:dyDescent="0.25">
      <c r="A76" s="7"/>
      <c r="E76" s="7"/>
      <c r="F76" s="7"/>
    </row>
    <row r="77" spans="1:6" x14ac:dyDescent="0.25">
      <c r="A77" s="7"/>
      <c r="E77" s="7"/>
      <c r="F77" s="7"/>
    </row>
    <row r="78" spans="1:6" x14ac:dyDescent="0.25">
      <c r="A78" s="7"/>
      <c r="E78" s="7"/>
      <c r="F78" s="7"/>
    </row>
    <row r="79" spans="1:6" x14ac:dyDescent="0.25">
      <c r="A79" s="7"/>
      <c r="E79" s="7"/>
      <c r="F79" s="7"/>
    </row>
    <row r="80" spans="1:6" x14ac:dyDescent="0.25">
      <c r="A80" s="7"/>
      <c r="E80" s="7"/>
      <c r="F80" s="7"/>
    </row>
    <row r="81" spans="1:6" x14ac:dyDescent="0.25">
      <c r="A81" s="7"/>
      <c r="E81" s="7"/>
      <c r="F81" s="7"/>
    </row>
    <row r="82" spans="1:6" x14ac:dyDescent="0.25">
      <c r="A82" s="7"/>
      <c r="E82" s="7"/>
      <c r="F82" s="7"/>
    </row>
    <row r="83" spans="1:6" x14ac:dyDescent="0.25">
      <c r="A83" s="7"/>
      <c r="E83" s="7"/>
      <c r="F83" s="7"/>
    </row>
    <row r="84" spans="1:6" x14ac:dyDescent="0.25">
      <c r="A84" s="7"/>
      <c r="E84" s="7"/>
      <c r="F84" s="7"/>
    </row>
    <row r="85" spans="1:6" x14ac:dyDescent="0.25">
      <c r="A85" s="7"/>
      <c r="E85" s="7"/>
      <c r="F85" s="7"/>
    </row>
    <row r="86" spans="1:6" x14ac:dyDescent="0.25">
      <c r="A86" s="7"/>
      <c r="E86" s="7"/>
      <c r="F86" s="7"/>
    </row>
    <row r="87" spans="1:6" x14ac:dyDescent="0.25">
      <c r="A87" s="7"/>
      <c r="E87" s="7"/>
      <c r="F87" s="7"/>
    </row>
    <row r="88" spans="1:6" x14ac:dyDescent="0.25">
      <c r="A88" s="7"/>
      <c r="E88" s="7"/>
      <c r="F88" s="7"/>
    </row>
    <row r="89" spans="1:6" x14ac:dyDescent="0.25">
      <c r="A89" s="7"/>
      <c r="E89" s="7"/>
      <c r="F89" s="7"/>
    </row>
    <row r="90" spans="1:6" x14ac:dyDescent="0.25">
      <c r="A90" s="7"/>
      <c r="E90" s="7"/>
      <c r="F90" s="7"/>
    </row>
    <row r="91" spans="1:6" x14ac:dyDescent="0.25">
      <c r="A91" s="7"/>
      <c r="E91" s="7"/>
      <c r="F91" s="7"/>
    </row>
    <row r="92" spans="1:6" x14ac:dyDescent="0.25">
      <c r="A92" s="7"/>
      <c r="E92" s="7"/>
      <c r="F92" s="7"/>
    </row>
    <row r="93" spans="1:6" x14ac:dyDescent="0.25">
      <c r="A93" s="7"/>
      <c r="E93" s="7"/>
      <c r="F93" s="7"/>
    </row>
    <row r="94" spans="1:6" x14ac:dyDescent="0.25">
      <c r="A94" s="7"/>
      <c r="E94" s="7"/>
      <c r="F94" s="7"/>
    </row>
    <row r="95" spans="1:6" x14ac:dyDescent="0.25">
      <c r="A95" s="7"/>
      <c r="E95" s="7"/>
      <c r="F95" s="7"/>
    </row>
    <row r="96" spans="1:6" x14ac:dyDescent="0.25">
      <c r="A96" s="7"/>
      <c r="E96" s="7"/>
      <c r="F96" s="7"/>
    </row>
    <row r="97" spans="1:6" x14ac:dyDescent="0.25">
      <c r="A97" s="7"/>
      <c r="E97" s="7"/>
      <c r="F97" s="7"/>
    </row>
    <row r="98" spans="1:6" x14ac:dyDescent="0.25">
      <c r="A98" s="7"/>
      <c r="E98" s="7"/>
      <c r="F98" s="7"/>
    </row>
    <row r="99" spans="1:6" x14ac:dyDescent="0.25">
      <c r="A99" s="7"/>
      <c r="E99" s="7"/>
      <c r="F99" s="7"/>
    </row>
    <row r="100" spans="1:6" x14ac:dyDescent="0.25">
      <c r="A100" s="7"/>
      <c r="E100" s="7"/>
      <c r="F100" s="7"/>
    </row>
    <row r="101" spans="1:6" x14ac:dyDescent="0.25">
      <c r="A101" s="7"/>
      <c r="E101" s="7"/>
      <c r="F101" s="7"/>
    </row>
    <row r="102" spans="1:6" x14ac:dyDescent="0.25">
      <c r="A102" s="7"/>
      <c r="E102" s="7"/>
      <c r="F102" s="7"/>
    </row>
    <row r="103" spans="1:6" x14ac:dyDescent="0.25">
      <c r="A103" s="7"/>
      <c r="E103" s="7"/>
      <c r="F103" s="7"/>
    </row>
    <row r="104" spans="1:6" x14ac:dyDescent="0.25">
      <c r="A104" s="7"/>
      <c r="E104" s="7"/>
      <c r="F104" s="7"/>
    </row>
    <row r="105" spans="1:6" x14ac:dyDescent="0.25">
      <c r="A105" s="7"/>
      <c r="E105" s="7"/>
      <c r="F105" s="7"/>
    </row>
    <row r="106" spans="1:6" x14ac:dyDescent="0.25">
      <c r="A106" s="7"/>
      <c r="E106" s="7"/>
      <c r="F106" s="7"/>
    </row>
    <row r="107" spans="1:6" x14ac:dyDescent="0.25">
      <c r="A107" s="7"/>
      <c r="E107" s="7"/>
      <c r="F107" s="7"/>
    </row>
    <row r="108" spans="1:6" x14ac:dyDescent="0.25">
      <c r="A108" s="7"/>
      <c r="E108" s="7"/>
      <c r="F108" s="7"/>
    </row>
    <row r="109" spans="1:6" x14ac:dyDescent="0.25">
      <c r="A109" s="7"/>
      <c r="E109" s="7"/>
      <c r="F109" s="7"/>
    </row>
    <row r="110" spans="1:6" x14ac:dyDescent="0.25">
      <c r="A110" s="7"/>
      <c r="E110" s="7"/>
      <c r="F110" s="7"/>
    </row>
    <row r="111" spans="1:6" x14ac:dyDescent="0.25">
      <c r="A111" s="7"/>
      <c r="E111" s="7"/>
      <c r="F111" s="7"/>
    </row>
    <row r="112" spans="1:6" x14ac:dyDescent="0.25">
      <c r="A112" s="7"/>
      <c r="E112" s="7"/>
      <c r="F112" s="7"/>
    </row>
    <row r="113" spans="1:6" x14ac:dyDescent="0.25">
      <c r="A113" s="7"/>
      <c r="E113" s="7"/>
      <c r="F113" s="7"/>
    </row>
    <row r="114" spans="1:6" x14ac:dyDescent="0.25">
      <c r="A114" s="7"/>
      <c r="E114" s="7"/>
      <c r="F114" s="7"/>
    </row>
    <row r="115" spans="1:6" x14ac:dyDescent="0.25">
      <c r="A115" s="7"/>
      <c r="E115" s="7"/>
      <c r="F115" s="7"/>
    </row>
    <row r="116" spans="1:6" x14ac:dyDescent="0.25">
      <c r="A116" s="7"/>
      <c r="E116" s="7"/>
      <c r="F116" s="7"/>
    </row>
    <row r="117" spans="1:6" x14ac:dyDescent="0.25">
      <c r="A117" s="7"/>
      <c r="E117" s="7"/>
      <c r="F117" s="7"/>
    </row>
    <row r="118" spans="1:6" x14ac:dyDescent="0.25">
      <c r="A118" s="7"/>
      <c r="E118" s="7"/>
      <c r="F118" s="7"/>
    </row>
    <row r="119" spans="1:6" x14ac:dyDescent="0.25">
      <c r="A119" s="7"/>
      <c r="E119" s="7"/>
      <c r="F119" s="7"/>
    </row>
    <row r="120" spans="1:6" x14ac:dyDescent="0.25">
      <c r="A120" s="7"/>
      <c r="E120" s="7"/>
      <c r="F120" s="7"/>
    </row>
    <row r="121" spans="1:6" x14ac:dyDescent="0.25">
      <c r="A121" s="7"/>
      <c r="E121" s="7"/>
      <c r="F121" s="7"/>
    </row>
    <row r="122" spans="1:6" x14ac:dyDescent="0.25">
      <c r="A122" s="7"/>
      <c r="E122" s="7"/>
      <c r="F122" s="7"/>
    </row>
    <row r="123" spans="1:6" x14ac:dyDescent="0.25">
      <c r="A123" s="7"/>
      <c r="E123" s="7"/>
      <c r="F123" s="7"/>
    </row>
    <row r="124" spans="1:6" x14ac:dyDescent="0.25">
      <c r="A124" s="7"/>
      <c r="E124" s="7"/>
      <c r="F124" s="7"/>
    </row>
    <row r="125" spans="1:6" x14ac:dyDescent="0.25">
      <c r="A125" s="7"/>
      <c r="E125" s="7"/>
      <c r="F125" s="7"/>
    </row>
    <row r="126" spans="1:6" x14ac:dyDescent="0.25">
      <c r="A126" s="7"/>
      <c r="E126" s="7"/>
      <c r="F126" s="7"/>
    </row>
    <row r="127" spans="1:6" x14ac:dyDescent="0.25">
      <c r="A127" s="7"/>
      <c r="E127" s="7"/>
      <c r="F127" s="7"/>
    </row>
    <row r="128" spans="1:6" x14ac:dyDescent="0.25">
      <c r="A128" s="7"/>
      <c r="E128" s="7"/>
      <c r="F128" s="7"/>
    </row>
    <row r="129" spans="1:6" x14ac:dyDescent="0.25">
      <c r="A129" s="7"/>
      <c r="E129" s="7"/>
      <c r="F129" s="7"/>
    </row>
    <row r="130" spans="1:6" x14ac:dyDescent="0.25">
      <c r="A130" s="7"/>
      <c r="E130" s="7"/>
      <c r="F130" s="7"/>
    </row>
    <row r="131" spans="1:6" x14ac:dyDescent="0.25">
      <c r="A131" s="7"/>
      <c r="E131" s="7"/>
      <c r="F131" s="7"/>
    </row>
    <row r="132" spans="1:6" x14ac:dyDescent="0.25">
      <c r="A132" s="7"/>
      <c r="E132" s="7"/>
      <c r="F132" s="7"/>
    </row>
    <row r="133" spans="1:6" x14ac:dyDescent="0.25">
      <c r="A133" s="7"/>
      <c r="E133" s="7"/>
      <c r="F133" s="7"/>
    </row>
    <row r="134" spans="1:6" x14ac:dyDescent="0.25">
      <c r="A134" s="7"/>
      <c r="E134" s="7"/>
      <c r="F134" s="7"/>
    </row>
    <row r="135" spans="1:6" x14ac:dyDescent="0.25">
      <c r="A135" s="7"/>
      <c r="E135" s="7"/>
      <c r="F135" s="7"/>
    </row>
    <row r="136" spans="1:6" x14ac:dyDescent="0.25">
      <c r="A136" s="7"/>
      <c r="E136" s="7"/>
      <c r="F136" s="7"/>
    </row>
    <row r="137" spans="1:6" x14ac:dyDescent="0.25">
      <c r="A137" s="7"/>
      <c r="E137" s="7"/>
      <c r="F137" s="7"/>
    </row>
    <row r="138" spans="1:6" x14ac:dyDescent="0.25">
      <c r="A138" s="7"/>
      <c r="E138" s="7"/>
      <c r="F138" s="7"/>
    </row>
    <row r="139" spans="1:6" x14ac:dyDescent="0.25">
      <c r="A139" s="7"/>
      <c r="E139" s="7"/>
      <c r="F139" s="7"/>
    </row>
    <row r="140" spans="1:6" x14ac:dyDescent="0.25">
      <c r="A140" s="7"/>
      <c r="E140" s="7"/>
      <c r="F140" s="7"/>
    </row>
    <row r="141" spans="1:6" x14ac:dyDescent="0.25">
      <c r="A141" s="7"/>
      <c r="E141" s="7"/>
      <c r="F141" s="7"/>
    </row>
    <row r="142" spans="1:6" x14ac:dyDescent="0.25">
      <c r="A142" s="7"/>
      <c r="E142" s="7"/>
      <c r="F142" s="7"/>
    </row>
    <row r="143" spans="1:6" x14ac:dyDescent="0.25">
      <c r="A143" s="7"/>
      <c r="E143" s="7"/>
      <c r="F143" s="7"/>
    </row>
    <row r="144" spans="1:6" x14ac:dyDescent="0.25">
      <c r="A144" s="7"/>
      <c r="E144" s="7"/>
      <c r="F144" s="7"/>
    </row>
    <row r="145" spans="1:6" x14ac:dyDescent="0.25">
      <c r="A145" s="7"/>
      <c r="E145" s="7"/>
      <c r="F145" s="7"/>
    </row>
    <row r="146" spans="1:6" x14ac:dyDescent="0.25">
      <c r="A146" s="7"/>
      <c r="E146" s="7"/>
      <c r="F146" s="7"/>
    </row>
    <row r="147" spans="1:6" x14ac:dyDescent="0.25">
      <c r="A147" s="7"/>
      <c r="E147" s="7"/>
      <c r="F147" s="7"/>
    </row>
    <row r="148" spans="1:6" x14ac:dyDescent="0.25">
      <c r="A148" s="7"/>
      <c r="E148" s="7"/>
      <c r="F148" s="7"/>
    </row>
    <row r="149" spans="1:6" x14ac:dyDescent="0.25">
      <c r="A149" s="7"/>
      <c r="E149" s="7"/>
      <c r="F149" s="7"/>
    </row>
    <row r="150" spans="1:6" x14ac:dyDescent="0.25">
      <c r="A150" s="7"/>
      <c r="E150" s="7"/>
      <c r="F150" s="7"/>
    </row>
    <row r="151" spans="1:6" x14ac:dyDescent="0.25">
      <c r="A151" s="7"/>
      <c r="E151" s="7"/>
      <c r="F151" s="7"/>
    </row>
    <row r="152" spans="1:6" x14ac:dyDescent="0.25">
      <c r="A152" s="7"/>
      <c r="E152" s="7"/>
      <c r="F152" s="7"/>
    </row>
    <row r="153" spans="1:6" x14ac:dyDescent="0.25">
      <c r="A153" s="7"/>
      <c r="E153" s="7"/>
      <c r="F153" s="7"/>
    </row>
    <row r="154" spans="1:6" x14ac:dyDescent="0.25">
      <c r="A154" s="7"/>
      <c r="E154" s="7"/>
      <c r="F154" s="7"/>
    </row>
    <row r="155" spans="1:6" x14ac:dyDescent="0.25">
      <c r="A155" s="7"/>
      <c r="E155" s="7"/>
      <c r="F155" s="7"/>
    </row>
    <row r="156" spans="1:6" x14ac:dyDescent="0.25">
      <c r="A156" s="7"/>
      <c r="E156" s="7"/>
      <c r="F156" s="7"/>
    </row>
    <row r="157" spans="1:6" x14ac:dyDescent="0.25">
      <c r="A157" s="7"/>
      <c r="E157" s="7"/>
      <c r="F157" s="7"/>
    </row>
    <row r="158" spans="1:6" x14ac:dyDescent="0.25">
      <c r="A158" s="7"/>
      <c r="E158" s="7"/>
      <c r="F158" s="7"/>
    </row>
    <row r="159" spans="1:6" x14ac:dyDescent="0.25">
      <c r="A159" s="7"/>
      <c r="E159" s="7"/>
      <c r="F159" s="7"/>
    </row>
    <row r="160" spans="1:6" x14ac:dyDescent="0.25">
      <c r="A160" s="7"/>
      <c r="E160" s="7"/>
      <c r="F160" s="7"/>
    </row>
    <row r="161" spans="1:6" x14ac:dyDescent="0.25">
      <c r="A161" s="7"/>
      <c r="E161" s="7"/>
      <c r="F161" s="7"/>
    </row>
    <row r="162" spans="1:6" x14ac:dyDescent="0.25">
      <c r="A162" s="7"/>
      <c r="E162" s="7"/>
      <c r="F162" s="7"/>
    </row>
    <row r="163" spans="1:6" x14ac:dyDescent="0.25">
      <c r="A163" s="7"/>
      <c r="E163" s="7"/>
      <c r="F163" s="7"/>
    </row>
    <row r="164" spans="1:6" x14ac:dyDescent="0.25">
      <c r="A164" s="7"/>
      <c r="E164" s="7"/>
      <c r="F164" s="7"/>
    </row>
    <row r="165" spans="1:6" x14ac:dyDescent="0.25">
      <c r="A165" s="7"/>
      <c r="E165" s="7"/>
      <c r="F165" s="7"/>
    </row>
    <row r="166" spans="1:6" x14ac:dyDescent="0.25">
      <c r="A166" s="7"/>
      <c r="E166" s="7"/>
      <c r="F166" s="7"/>
    </row>
    <row r="167" spans="1:6" x14ac:dyDescent="0.25">
      <c r="A167" s="7"/>
      <c r="E167" s="7"/>
      <c r="F167" s="7"/>
    </row>
    <row r="168" spans="1:6" x14ac:dyDescent="0.25">
      <c r="A168" s="7"/>
      <c r="E168" s="7"/>
      <c r="F168" s="7"/>
    </row>
    <row r="169" spans="1:6" x14ac:dyDescent="0.25">
      <c r="A169" s="7"/>
      <c r="E169" s="7"/>
      <c r="F169" s="7"/>
    </row>
    <row r="170" spans="1:6" x14ac:dyDescent="0.25">
      <c r="A170" s="7"/>
      <c r="E170" s="7"/>
      <c r="F170" s="7"/>
    </row>
    <row r="171" spans="1:6" x14ac:dyDescent="0.25">
      <c r="A171" s="7"/>
      <c r="E171" s="7"/>
      <c r="F171" s="7"/>
    </row>
    <row r="172" spans="1:6" x14ac:dyDescent="0.25">
      <c r="A172" s="7"/>
      <c r="E172" s="7"/>
      <c r="F172" s="7"/>
    </row>
    <row r="173" spans="1:6" x14ac:dyDescent="0.25">
      <c r="A173" s="7"/>
      <c r="E173" s="7"/>
      <c r="F173" s="7"/>
    </row>
    <row r="174" spans="1:6" x14ac:dyDescent="0.25">
      <c r="A174" s="7"/>
      <c r="E174" s="7"/>
      <c r="F174" s="7"/>
    </row>
    <row r="175" spans="1:6" x14ac:dyDescent="0.25">
      <c r="A175" s="7"/>
      <c r="E175" s="7"/>
      <c r="F175" s="7"/>
    </row>
    <row r="176" spans="1:6" x14ac:dyDescent="0.25">
      <c r="A176" s="7"/>
      <c r="E176" s="7"/>
      <c r="F176" s="7"/>
    </row>
    <row r="177" spans="1:6" x14ac:dyDescent="0.25">
      <c r="A177" s="7"/>
      <c r="E177" s="7"/>
      <c r="F177" s="7"/>
    </row>
    <row r="178" spans="1:6" x14ac:dyDescent="0.25">
      <c r="A178" s="7"/>
      <c r="E178" s="7"/>
      <c r="F178" s="7"/>
    </row>
    <row r="179" spans="1:6" x14ac:dyDescent="0.25">
      <c r="A179" s="7"/>
      <c r="E179" s="7"/>
      <c r="F179" s="7"/>
    </row>
    <row r="180" spans="1:6" x14ac:dyDescent="0.25">
      <c r="A180" s="7"/>
      <c r="E180" s="7"/>
      <c r="F180" s="7"/>
    </row>
    <row r="181" spans="1:6" x14ac:dyDescent="0.25">
      <c r="A181" s="7"/>
      <c r="E181" s="7"/>
      <c r="F181" s="7"/>
    </row>
    <row r="182" spans="1:6" x14ac:dyDescent="0.25">
      <c r="A182" s="7"/>
      <c r="E182" s="7"/>
      <c r="F182" s="7"/>
    </row>
    <row r="183" spans="1:6" x14ac:dyDescent="0.25">
      <c r="A183" s="7"/>
      <c r="E183" s="7"/>
      <c r="F183" s="7"/>
    </row>
    <row r="184" spans="1:6" x14ac:dyDescent="0.25">
      <c r="A184" s="7"/>
      <c r="E184" s="7"/>
      <c r="F184" s="7"/>
    </row>
    <row r="185" spans="1:6" x14ac:dyDescent="0.25">
      <c r="A185" s="7"/>
      <c r="E185" s="7"/>
      <c r="F185" s="7"/>
    </row>
    <row r="186" spans="1:6" x14ac:dyDescent="0.25">
      <c r="A186" s="7"/>
      <c r="E186" s="7"/>
      <c r="F186" s="7"/>
    </row>
    <row r="187" spans="1:6" x14ac:dyDescent="0.25">
      <c r="A187" s="7"/>
      <c r="E187" s="7"/>
      <c r="F187" s="7"/>
    </row>
    <row r="188" spans="1:6" x14ac:dyDescent="0.25">
      <c r="A188" s="7"/>
      <c r="E188" s="7"/>
      <c r="F188" s="7"/>
    </row>
    <row r="189" spans="1:6" x14ac:dyDescent="0.25">
      <c r="A189" s="7"/>
      <c r="E189" s="7"/>
      <c r="F189" s="7"/>
    </row>
    <row r="190" spans="1:6" x14ac:dyDescent="0.25">
      <c r="A190" s="7"/>
      <c r="E190" s="7"/>
      <c r="F190" s="7"/>
    </row>
    <row r="191" spans="1:6" x14ac:dyDescent="0.25">
      <c r="A191" s="7"/>
      <c r="E191" s="7"/>
      <c r="F191" s="7"/>
    </row>
    <row r="192" spans="1:6" x14ac:dyDescent="0.25">
      <c r="A192" s="7"/>
      <c r="E192" s="7"/>
      <c r="F192" s="7"/>
    </row>
    <row r="193" spans="1:6" x14ac:dyDescent="0.25">
      <c r="A193" s="7"/>
      <c r="E193" s="7"/>
      <c r="F193" s="7"/>
    </row>
    <row r="194" spans="1:6" x14ac:dyDescent="0.25">
      <c r="A194" s="7"/>
      <c r="E194" s="7"/>
      <c r="F194" s="7"/>
    </row>
    <row r="195" spans="1:6" x14ac:dyDescent="0.25">
      <c r="A195" s="7"/>
      <c r="E195" s="7"/>
      <c r="F195" s="7"/>
    </row>
    <row r="196" spans="1:6" x14ac:dyDescent="0.25">
      <c r="A196" s="7"/>
      <c r="E196" s="7"/>
      <c r="F196" s="7"/>
    </row>
    <row r="197" spans="1:6" x14ac:dyDescent="0.25">
      <c r="A197" s="7"/>
      <c r="E197" s="7"/>
      <c r="F197" s="7"/>
    </row>
    <row r="198" spans="1:6" x14ac:dyDescent="0.25">
      <c r="A198" s="7"/>
      <c r="E198" s="7"/>
      <c r="F198" s="7"/>
    </row>
    <row r="199" spans="1:6" x14ac:dyDescent="0.25">
      <c r="A199" s="7"/>
      <c r="E199" s="7"/>
      <c r="F199" s="7"/>
    </row>
    <row r="200" spans="1:6" x14ac:dyDescent="0.25">
      <c r="A200" s="7"/>
      <c r="E200" s="7"/>
      <c r="F200" s="7"/>
    </row>
    <row r="201" spans="1:6" x14ac:dyDescent="0.25">
      <c r="A201" s="7"/>
      <c r="E201" s="7"/>
      <c r="F201" s="7"/>
    </row>
    <row r="202" spans="1:6" x14ac:dyDescent="0.25">
      <c r="A202" s="7"/>
      <c r="E202" s="7"/>
      <c r="F202" s="7"/>
    </row>
    <row r="203" spans="1:6" x14ac:dyDescent="0.25">
      <c r="A203" s="7"/>
      <c r="E203" s="7"/>
      <c r="F203" s="7"/>
    </row>
    <row r="204" spans="1:6" x14ac:dyDescent="0.25">
      <c r="A204" s="7"/>
      <c r="E204" s="7"/>
      <c r="F204" s="7"/>
    </row>
    <row r="205" spans="1:6" x14ac:dyDescent="0.25">
      <c r="A205" s="7"/>
      <c r="E205" s="7"/>
      <c r="F205" s="7"/>
    </row>
    <row r="206" spans="1:6" x14ac:dyDescent="0.25">
      <c r="A206" s="7"/>
      <c r="E206" s="7"/>
      <c r="F206" s="7"/>
    </row>
    <row r="207" spans="1:6" x14ac:dyDescent="0.25">
      <c r="A207" s="7"/>
      <c r="E207" s="7"/>
      <c r="F207" s="7"/>
    </row>
    <row r="208" spans="1:6" x14ac:dyDescent="0.25">
      <c r="A208" s="7"/>
      <c r="E208" s="7"/>
      <c r="F208" s="7"/>
    </row>
    <row r="209" spans="1:6" x14ac:dyDescent="0.25">
      <c r="A209" s="7"/>
      <c r="E209" s="7"/>
      <c r="F209" s="7"/>
    </row>
    <row r="210" spans="1:6" x14ac:dyDescent="0.25">
      <c r="A210" s="7"/>
      <c r="E210" s="7"/>
      <c r="F210" s="7"/>
    </row>
    <row r="211" spans="1:6" x14ac:dyDescent="0.25">
      <c r="A211" s="7"/>
      <c r="E211" s="7"/>
      <c r="F211" s="7"/>
    </row>
    <row r="212" spans="1:6" x14ac:dyDescent="0.25">
      <c r="A212" s="7"/>
      <c r="E212" s="7"/>
      <c r="F212" s="7"/>
    </row>
    <row r="213" spans="1:6" x14ac:dyDescent="0.25">
      <c r="A213" s="7"/>
      <c r="E213" s="7"/>
      <c r="F213" s="7"/>
    </row>
    <row r="214" spans="1:6" x14ac:dyDescent="0.25">
      <c r="A214" s="7"/>
      <c r="E214" s="7"/>
      <c r="F214" s="7"/>
    </row>
    <row r="215" spans="1:6" x14ac:dyDescent="0.25">
      <c r="A215" s="7"/>
      <c r="E215" s="7"/>
      <c r="F215" s="7"/>
    </row>
    <row r="216" spans="1:6" x14ac:dyDescent="0.25">
      <c r="A216" s="7"/>
      <c r="E216" s="7"/>
      <c r="F216" s="7"/>
    </row>
    <row r="217" spans="1:6" x14ac:dyDescent="0.25">
      <c r="A217" s="7"/>
      <c r="E217" s="7"/>
      <c r="F217" s="7"/>
    </row>
    <row r="218" spans="1:6" x14ac:dyDescent="0.25">
      <c r="A218" s="7"/>
      <c r="E218" s="7"/>
      <c r="F218" s="7"/>
    </row>
    <row r="219" spans="1:6" x14ac:dyDescent="0.25">
      <c r="A219" s="7"/>
      <c r="E219" s="7"/>
      <c r="F219" s="7"/>
    </row>
    <row r="220" spans="1:6" x14ac:dyDescent="0.25">
      <c r="A220" s="7"/>
      <c r="E220" s="7"/>
      <c r="F220" s="7"/>
    </row>
    <row r="221" spans="1:6" x14ac:dyDescent="0.25">
      <c r="A221" s="7"/>
      <c r="E221" s="7"/>
      <c r="F221" s="7"/>
    </row>
    <row r="222" spans="1:6" x14ac:dyDescent="0.25">
      <c r="A222" s="7"/>
      <c r="E222" s="7"/>
      <c r="F222" s="7"/>
    </row>
    <row r="223" spans="1:6" x14ac:dyDescent="0.25">
      <c r="A223" s="7"/>
      <c r="E223" s="7"/>
      <c r="F223" s="7"/>
    </row>
    <row r="224" spans="1:6" x14ac:dyDescent="0.25">
      <c r="A224" s="7"/>
      <c r="E224" s="7"/>
      <c r="F224" s="7"/>
    </row>
    <row r="225" spans="1:6" x14ac:dyDescent="0.25">
      <c r="A225" s="7"/>
      <c r="E225" s="7"/>
      <c r="F225" s="7"/>
    </row>
    <row r="226" spans="1:6" x14ac:dyDescent="0.25">
      <c r="A226" s="7"/>
      <c r="E226" s="7"/>
      <c r="F226" s="7"/>
    </row>
    <row r="227" spans="1:6" x14ac:dyDescent="0.25">
      <c r="A227" s="7"/>
      <c r="E227" s="7"/>
      <c r="F227" s="7"/>
    </row>
    <row r="228" spans="1:6" x14ac:dyDescent="0.25">
      <c r="A228" s="7"/>
      <c r="E228" s="7"/>
      <c r="F228" s="7"/>
    </row>
    <row r="229" spans="1:6" x14ac:dyDescent="0.25">
      <c r="A229" s="7"/>
      <c r="E229" s="7"/>
      <c r="F229" s="7"/>
    </row>
    <row r="230" spans="1:6" x14ac:dyDescent="0.25">
      <c r="A230" s="7"/>
      <c r="E230" s="7"/>
      <c r="F230" s="7"/>
    </row>
    <row r="231" spans="1:6" x14ac:dyDescent="0.25">
      <c r="A231" s="7"/>
      <c r="E231" s="7"/>
      <c r="F231" s="7"/>
    </row>
    <row r="232" spans="1:6" x14ac:dyDescent="0.25">
      <c r="A232" s="7"/>
      <c r="E232" s="7"/>
      <c r="F232" s="7"/>
    </row>
    <row r="233" spans="1:6" x14ac:dyDescent="0.25">
      <c r="A233" s="7"/>
      <c r="E233" s="7"/>
      <c r="F233" s="7"/>
    </row>
    <row r="234" spans="1:6" x14ac:dyDescent="0.25">
      <c r="A234" s="7"/>
      <c r="E234" s="7"/>
      <c r="F234" s="7"/>
    </row>
    <row r="235" spans="1:6" x14ac:dyDescent="0.25">
      <c r="A235" s="7"/>
      <c r="E235" s="7"/>
      <c r="F235" s="7"/>
    </row>
    <row r="236" spans="1:6" x14ac:dyDescent="0.25">
      <c r="A236" s="7"/>
      <c r="E236" s="7"/>
      <c r="F236" s="7"/>
    </row>
    <row r="237" spans="1:6" x14ac:dyDescent="0.25">
      <c r="A237" s="7"/>
      <c r="E237" s="7"/>
      <c r="F237" s="7"/>
    </row>
    <row r="238" spans="1:6" x14ac:dyDescent="0.25">
      <c r="A238" s="7"/>
      <c r="E238" s="7"/>
      <c r="F238" s="7"/>
    </row>
    <row r="239" spans="1:6" x14ac:dyDescent="0.25">
      <c r="A239" s="7"/>
      <c r="E239" s="7"/>
      <c r="F239" s="7"/>
    </row>
    <row r="240" spans="1:6" x14ac:dyDescent="0.25">
      <c r="A240" s="7"/>
      <c r="E240" s="7"/>
      <c r="F240" s="7"/>
    </row>
    <row r="241" spans="1:6" x14ac:dyDescent="0.25">
      <c r="A241" s="7"/>
      <c r="E241" s="7"/>
      <c r="F241" s="7"/>
    </row>
    <row r="242" spans="1:6" x14ac:dyDescent="0.25">
      <c r="A242" s="7"/>
      <c r="E242" s="7"/>
      <c r="F242" s="7"/>
    </row>
    <row r="243" spans="1:6" x14ac:dyDescent="0.25">
      <c r="A243" s="7"/>
      <c r="E243" s="7"/>
      <c r="F243" s="7"/>
    </row>
    <row r="244" spans="1:6" x14ac:dyDescent="0.25">
      <c r="A244" s="7"/>
      <c r="E244" s="7"/>
      <c r="F244" s="7"/>
    </row>
    <row r="245" spans="1:6" x14ac:dyDescent="0.25">
      <c r="A245" s="7"/>
      <c r="E245" s="7"/>
      <c r="F245" s="7"/>
    </row>
    <row r="246" spans="1:6" x14ac:dyDescent="0.25">
      <c r="A246" s="7"/>
      <c r="E246" s="7"/>
      <c r="F246" s="7"/>
    </row>
    <row r="247" spans="1:6" x14ac:dyDescent="0.25">
      <c r="A247" s="7"/>
      <c r="E247" s="7"/>
      <c r="F247" s="7"/>
    </row>
    <row r="248" spans="1:6" x14ac:dyDescent="0.25">
      <c r="A248" s="7"/>
      <c r="E248" s="7"/>
      <c r="F248" s="7"/>
    </row>
    <row r="249" spans="1:6" x14ac:dyDescent="0.25">
      <c r="A249" s="7"/>
      <c r="E249" s="7"/>
      <c r="F249" s="7"/>
    </row>
    <row r="250" spans="1:6" x14ac:dyDescent="0.25">
      <c r="A250" s="7"/>
      <c r="E250" s="7"/>
      <c r="F250" s="7"/>
    </row>
    <row r="251" spans="1:6" x14ac:dyDescent="0.25">
      <c r="A251" s="7"/>
      <c r="E251" s="7"/>
      <c r="F251" s="7"/>
    </row>
    <row r="252" spans="1:6" x14ac:dyDescent="0.25">
      <c r="A252" s="7"/>
      <c r="E252" s="7"/>
      <c r="F252" s="7"/>
    </row>
    <row r="253" spans="1:6" x14ac:dyDescent="0.25">
      <c r="A253" s="7"/>
      <c r="E253" s="7"/>
      <c r="F253" s="7"/>
    </row>
    <row r="254" spans="1:6" x14ac:dyDescent="0.25">
      <c r="A254" s="7"/>
      <c r="E254" s="7"/>
      <c r="F254" s="7"/>
    </row>
    <row r="255" spans="1:6" x14ac:dyDescent="0.25">
      <c r="A255" s="7"/>
      <c r="E255" s="7"/>
      <c r="F255" s="7"/>
    </row>
    <row r="256" spans="1:6" x14ac:dyDescent="0.25">
      <c r="A256" s="7"/>
      <c r="E256" s="7"/>
      <c r="F256" s="7"/>
    </row>
    <row r="257" spans="1:6" x14ac:dyDescent="0.25">
      <c r="A257" s="7"/>
      <c r="E257" s="7"/>
      <c r="F257" s="7"/>
    </row>
    <row r="258" spans="1:6" x14ac:dyDescent="0.25">
      <c r="A258" s="7"/>
      <c r="E258" s="7"/>
      <c r="F258" s="7"/>
    </row>
    <row r="259" spans="1:6" x14ac:dyDescent="0.25">
      <c r="A259" s="7"/>
      <c r="E259" s="7"/>
      <c r="F259" s="7"/>
    </row>
    <row r="260" spans="1:6" x14ac:dyDescent="0.25">
      <c r="A260" s="7"/>
      <c r="E260" s="7"/>
      <c r="F260" s="7"/>
    </row>
    <row r="261" spans="1:6" x14ac:dyDescent="0.25">
      <c r="A261" s="7"/>
      <c r="E261" s="7"/>
      <c r="F261" s="7"/>
    </row>
    <row r="262" spans="1:6" x14ac:dyDescent="0.25">
      <c r="A262" s="7"/>
      <c r="E262" s="7"/>
      <c r="F262" s="7"/>
    </row>
    <row r="263" spans="1:6" x14ac:dyDescent="0.25">
      <c r="A263" s="7"/>
      <c r="E263" s="7"/>
      <c r="F263" s="7"/>
    </row>
    <row r="264" spans="1:6" x14ac:dyDescent="0.25">
      <c r="A264" s="7"/>
      <c r="E264" s="7"/>
      <c r="F264" s="7"/>
    </row>
    <row r="265" spans="1:6" x14ac:dyDescent="0.25">
      <c r="A265" s="7"/>
      <c r="E265" s="7"/>
      <c r="F265" s="7"/>
    </row>
    <row r="266" spans="1:6" x14ac:dyDescent="0.25">
      <c r="A266" s="7"/>
      <c r="E266" s="7"/>
      <c r="F266" s="7"/>
    </row>
    <row r="267" spans="1:6" x14ac:dyDescent="0.25">
      <c r="A267" s="7"/>
      <c r="E267" s="7"/>
      <c r="F267" s="7"/>
    </row>
    <row r="268" spans="1:6" x14ac:dyDescent="0.25">
      <c r="A268" s="7"/>
      <c r="E268" s="7"/>
      <c r="F268" s="7"/>
    </row>
    <row r="269" spans="1:6" x14ac:dyDescent="0.25">
      <c r="A269" s="7"/>
      <c r="E269" s="7"/>
      <c r="F269" s="7"/>
    </row>
    <row r="270" spans="1:6" x14ac:dyDescent="0.25">
      <c r="A270" s="7"/>
      <c r="E270" s="7"/>
      <c r="F270" s="7"/>
    </row>
    <row r="271" spans="1:6" x14ac:dyDescent="0.25">
      <c r="A271" s="7"/>
      <c r="E271" s="7"/>
      <c r="F271" s="7"/>
    </row>
    <row r="272" spans="1:6" x14ac:dyDescent="0.25">
      <c r="A272" s="7"/>
      <c r="E272" s="7"/>
      <c r="F272" s="7"/>
    </row>
    <row r="273" spans="1:6" x14ac:dyDescent="0.25">
      <c r="A273" s="7"/>
      <c r="E273" s="7"/>
      <c r="F273" s="7"/>
    </row>
    <row r="274" spans="1:6" x14ac:dyDescent="0.25">
      <c r="A274" s="7"/>
      <c r="E274" s="7"/>
      <c r="F274" s="7"/>
    </row>
    <row r="275" spans="1:6" x14ac:dyDescent="0.25">
      <c r="A275" s="7"/>
      <c r="E275" s="7"/>
      <c r="F275" s="7"/>
    </row>
    <row r="276" spans="1:6" x14ac:dyDescent="0.25">
      <c r="A276" s="7"/>
      <c r="E276" s="7"/>
      <c r="F276" s="7"/>
    </row>
    <row r="277" spans="1:6" x14ac:dyDescent="0.25">
      <c r="A277" s="7"/>
      <c r="E277" s="7"/>
      <c r="F277" s="7"/>
    </row>
    <row r="278" spans="1:6" x14ac:dyDescent="0.25">
      <c r="A278" s="7"/>
      <c r="E278" s="7"/>
      <c r="F278" s="7"/>
    </row>
    <row r="279" spans="1:6" x14ac:dyDescent="0.25">
      <c r="A279" s="7"/>
      <c r="E279" s="7"/>
      <c r="F279" s="7"/>
    </row>
    <row r="280" spans="1:6" x14ac:dyDescent="0.25">
      <c r="A280" s="7"/>
      <c r="E280" s="7"/>
      <c r="F280" s="7"/>
    </row>
    <row r="281" spans="1:6" x14ac:dyDescent="0.25">
      <c r="A281" s="7"/>
      <c r="E281" s="7"/>
      <c r="F281" s="7"/>
    </row>
    <row r="282" spans="1:6" x14ac:dyDescent="0.25">
      <c r="A282" s="7"/>
      <c r="E282" s="7"/>
      <c r="F282" s="7"/>
    </row>
    <row r="283" spans="1:6" x14ac:dyDescent="0.25">
      <c r="A283" s="7"/>
      <c r="E283" s="7"/>
      <c r="F283" s="7"/>
    </row>
    <row r="284" spans="1:6" x14ac:dyDescent="0.25">
      <c r="A284" s="7"/>
      <c r="E284" s="7"/>
      <c r="F284" s="7"/>
    </row>
    <row r="285" spans="1:6" x14ac:dyDescent="0.25">
      <c r="A285" s="7"/>
      <c r="E285" s="7"/>
      <c r="F285" s="7"/>
    </row>
    <row r="286" spans="1:6" x14ac:dyDescent="0.25">
      <c r="A286" s="7"/>
      <c r="E286" s="7"/>
      <c r="F286" s="7"/>
    </row>
    <row r="287" spans="1:6" x14ac:dyDescent="0.25">
      <c r="A287" s="7"/>
      <c r="E287" s="7"/>
      <c r="F287" s="7"/>
    </row>
    <row r="288" spans="1:6" x14ac:dyDescent="0.25">
      <c r="A288" s="7"/>
      <c r="E288" s="7"/>
      <c r="F288" s="7"/>
    </row>
    <row r="289" spans="1:6" x14ac:dyDescent="0.25">
      <c r="A289" s="7"/>
      <c r="E289" s="7"/>
      <c r="F289" s="7"/>
    </row>
    <row r="290" spans="1:6" x14ac:dyDescent="0.25">
      <c r="A290" s="7"/>
      <c r="E290" s="7"/>
      <c r="F290" s="7"/>
    </row>
    <row r="291" spans="1:6" x14ac:dyDescent="0.25">
      <c r="A291" s="7"/>
      <c r="E291" s="7"/>
      <c r="F291" s="7"/>
    </row>
    <row r="292" spans="1:6" x14ac:dyDescent="0.25">
      <c r="A292" s="7"/>
      <c r="E292" s="7"/>
      <c r="F292" s="7"/>
    </row>
    <row r="293" spans="1:6" x14ac:dyDescent="0.25">
      <c r="A293" s="7"/>
      <c r="E293" s="7"/>
      <c r="F293" s="7"/>
    </row>
    <row r="294" spans="1:6" x14ac:dyDescent="0.25">
      <c r="A294" s="7"/>
      <c r="E294" s="7"/>
      <c r="F294" s="7"/>
    </row>
    <row r="295" spans="1:6" x14ac:dyDescent="0.25">
      <c r="A295" s="7"/>
      <c r="E295" s="7"/>
      <c r="F295" s="7"/>
    </row>
    <row r="296" spans="1:6" x14ac:dyDescent="0.25">
      <c r="A296" s="7"/>
      <c r="E296" s="7"/>
      <c r="F296" s="7"/>
    </row>
    <row r="297" spans="1:6" x14ac:dyDescent="0.25">
      <c r="A297" s="7"/>
      <c r="E297" s="7"/>
      <c r="F297" s="7"/>
    </row>
    <row r="298" spans="1:6" x14ac:dyDescent="0.25">
      <c r="A298" s="7"/>
      <c r="E298" s="7"/>
      <c r="F298" s="7"/>
    </row>
    <row r="299" spans="1:6" x14ac:dyDescent="0.25">
      <c r="A299" s="7"/>
      <c r="E299" s="7"/>
      <c r="F299" s="7"/>
    </row>
    <row r="300" spans="1:6" x14ac:dyDescent="0.25">
      <c r="A300" s="7"/>
      <c r="E300" s="7"/>
      <c r="F300" s="7"/>
    </row>
    <row r="301" spans="1:6" x14ac:dyDescent="0.25">
      <c r="A301" s="7"/>
      <c r="E301" s="7"/>
      <c r="F301" s="7"/>
    </row>
    <row r="302" spans="1:6" x14ac:dyDescent="0.25">
      <c r="A302" s="7"/>
      <c r="E302" s="7"/>
      <c r="F302" s="7"/>
    </row>
    <row r="303" spans="1:6" x14ac:dyDescent="0.25">
      <c r="A303" s="7"/>
      <c r="E303" s="7"/>
      <c r="F303" s="7"/>
    </row>
    <row r="304" spans="1:6" x14ac:dyDescent="0.25">
      <c r="A304" s="7"/>
      <c r="E304" s="7"/>
      <c r="F304" s="7"/>
    </row>
    <row r="305" spans="1:6" x14ac:dyDescent="0.25">
      <c r="A305" s="7"/>
      <c r="E305" s="7"/>
      <c r="F305" s="7"/>
    </row>
    <row r="306" spans="1:6" x14ac:dyDescent="0.25">
      <c r="A306" s="7"/>
      <c r="E306" s="7"/>
      <c r="F306" s="7"/>
    </row>
    <row r="307" spans="1:6" x14ac:dyDescent="0.25">
      <c r="A307" s="7"/>
      <c r="E307" s="7"/>
      <c r="F307" s="7"/>
    </row>
    <row r="308" spans="1:6" x14ac:dyDescent="0.25">
      <c r="A308" s="7"/>
      <c r="E308" s="7"/>
      <c r="F308" s="7"/>
    </row>
    <row r="309" spans="1:6" x14ac:dyDescent="0.25">
      <c r="A309" s="7"/>
      <c r="E309" s="7"/>
      <c r="F309" s="7"/>
    </row>
    <row r="310" spans="1:6" x14ac:dyDescent="0.25">
      <c r="A310" s="7"/>
      <c r="E310" s="7"/>
      <c r="F310" s="7"/>
    </row>
    <row r="311" spans="1:6" x14ac:dyDescent="0.25">
      <c r="A311" s="7"/>
      <c r="E311" s="7"/>
      <c r="F311" s="7"/>
    </row>
    <row r="312" spans="1:6" x14ac:dyDescent="0.25">
      <c r="A312" s="7"/>
      <c r="E312" s="7"/>
      <c r="F312" s="7"/>
    </row>
    <row r="313" spans="1:6" x14ac:dyDescent="0.25">
      <c r="A313" s="7"/>
      <c r="E313" s="7"/>
      <c r="F313" s="7"/>
    </row>
    <row r="314" spans="1:6" x14ac:dyDescent="0.25">
      <c r="A314" s="7"/>
      <c r="E314" s="7"/>
      <c r="F314" s="7"/>
    </row>
    <row r="315" spans="1:6" x14ac:dyDescent="0.25">
      <c r="A315" s="7"/>
      <c r="E315" s="7"/>
      <c r="F315" s="7"/>
    </row>
    <row r="316" spans="1:6" x14ac:dyDescent="0.25">
      <c r="A316" s="7"/>
      <c r="E316" s="7"/>
      <c r="F316" s="7"/>
    </row>
    <row r="317" spans="1:6" x14ac:dyDescent="0.25">
      <c r="A317" s="7"/>
      <c r="E317" s="7"/>
      <c r="F317" s="7"/>
    </row>
    <row r="318" spans="1:6" x14ac:dyDescent="0.25">
      <c r="A318" s="7"/>
      <c r="E318" s="7"/>
      <c r="F318" s="7"/>
    </row>
    <row r="319" spans="1:6" x14ac:dyDescent="0.25">
      <c r="A319" s="7"/>
      <c r="E319" s="7"/>
      <c r="F319" s="7"/>
    </row>
    <row r="320" spans="1:6" x14ac:dyDescent="0.25">
      <c r="A320" s="7"/>
      <c r="E320" s="7"/>
      <c r="F320" s="7"/>
    </row>
    <row r="321" spans="1:6" x14ac:dyDescent="0.25">
      <c r="A321" s="7"/>
      <c r="E321" s="7"/>
      <c r="F321" s="7"/>
    </row>
    <row r="322" spans="1:6" x14ac:dyDescent="0.25">
      <c r="A322" s="7"/>
      <c r="E322" s="7"/>
      <c r="F322" s="7"/>
    </row>
    <row r="323" spans="1:6" x14ac:dyDescent="0.25">
      <c r="A323" s="7"/>
      <c r="E323" s="7"/>
      <c r="F323" s="7"/>
    </row>
    <row r="324" spans="1:6" x14ac:dyDescent="0.25">
      <c r="A324" s="7"/>
      <c r="E324" s="7"/>
      <c r="F324" s="7"/>
    </row>
    <row r="325" spans="1:6" x14ac:dyDescent="0.25">
      <c r="A325" s="7"/>
      <c r="E325" s="7"/>
      <c r="F325" s="7"/>
    </row>
    <row r="326" spans="1:6" x14ac:dyDescent="0.25">
      <c r="A326" s="7"/>
      <c r="E326" s="7"/>
      <c r="F326" s="7"/>
    </row>
    <row r="327" spans="1:6" x14ac:dyDescent="0.25">
      <c r="A327" s="7"/>
      <c r="E327" s="7"/>
      <c r="F327" s="7"/>
    </row>
    <row r="328" spans="1:6" x14ac:dyDescent="0.25">
      <c r="A328" s="7"/>
      <c r="E328" s="7"/>
      <c r="F328" s="7"/>
    </row>
    <row r="329" spans="1:6" x14ac:dyDescent="0.25">
      <c r="A329" s="7"/>
      <c r="E329" s="7"/>
      <c r="F329" s="7"/>
    </row>
    <row r="330" spans="1:6" x14ac:dyDescent="0.25">
      <c r="A330" s="7"/>
      <c r="E330" s="7"/>
      <c r="F330" s="7"/>
    </row>
    <row r="331" spans="1:6" x14ac:dyDescent="0.25">
      <c r="A331" s="7"/>
      <c r="E331" s="7"/>
      <c r="F331" s="7"/>
    </row>
    <row r="332" spans="1:6" x14ac:dyDescent="0.25">
      <c r="A332" s="7"/>
      <c r="E332" s="7"/>
      <c r="F332" s="7"/>
    </row>
    <row r="333" spans="1:6" x14ac:dyDescent="0.25">
      <c r="A333" s="7"/>
      <c r="E333" s="7"/>
      <c r="F333" s="7"/>
    </row>
    <row r="334" spans="1:6" x14ac:dyDescent="0.25">
      <c r="A334" s="7"/>
      <c r="E334" s="7"/>
      <c r="F334" s="7"/>
    </row>
    <row r="335" spans="1:6" x14ac:dyDescent="0.25">
      <c r="A335" s="7"/>
      <c r="E335" s="7"/>
      <c r="F335" s="7"/>
    </row>
    <row r="336" spans="1:6" x14ac:dyDescent="0.25">
      <c r="A336" s="7"/>
      <c r="E336" s="7"/>
      <c r="F336" s="7"/>
    </row>
    <row r="337" spans="1:6" x14ac:dyDescent="0.25">
      <c r="A337" s="7"/>
      <c r="E337" s="7"/>
      <c r="F337" s="7"/>
    </row>
    <row r="338" spans="1:6" x14ac:dyDescent="0.25">
      <c r="A338" s="7"/>
      <c r="E338" s="7"/>
      <c r="F338" s="7"/>
    </row>
    <row r="339" spans="1:6" x14ac:dyDescent="0.25">
      <c r="A339" s="7"/>
      <c r="E339" s="7"/>
      <c r="F339" s="7"/>
    </row>
    <row r="340" spans="1:6" x14ac:dyDescent="0.25">
      <c r="A340" s="7"/>
      <c r="E340" s="7"/>
      <c r="F340" s="7"/>
    </row>
    <row r="341" spans="1:6" x14ac:dyDescent="0.25">
      <c r="A341" s="7"/>
      <c r="E341" s="7"/>
      <c r="F341" s="7"/>
    </row>
    <row r="342" spans="1:6" x14ac:dyDescent="0.25">
      <c r="A342" s="7"/>
      <c r="E342" s="7"/>
      <c r="F342" s="7"/>
    </row>
    <row r="343" spans="1:6" x14ac:dyDescent="0.25">
      <c r="A343" s="7"/>
      <c r="E343" s="7"/>
      <c r="F343" s="7"/>
    </row>
    <row r="344" spans="1:6" x14ac:dyDescent="0.25">
      <c r="A344" s="7"/>
      <c r="E344" s="7"/>
      <c r="F344" s="7"/>
    </row>
    <row r="345" spans="1:6" x14ac:dyDescent="0.25">
      <c r="A345" s="7"/>
      <c r="E345" s="7"/>
      <c r="F345" s="7"/>
    </row>
    <row r="346" spans="1:6" x14ac:dyDescent="0.25">
      <c r="A346" s="7"/>
      <c r="E346" s="7"/>
      <c r="F346" s="7"/>
    </row>
    <row r="347" spans="1:6" x14ac:dyDescent="0.25">
      <c r="A347" s="7"/>
      <c r="E347" s="7"/>
      <c r="F347" s="7"/>
    </row>
    <row r="348" spans="1:6" x14ac:dyDescent="0.25">
      <c r="A348" s="7"/>
      <c r="E348" s="7"/>
      <c r="F348" s="7"/>
    </row>
    <row r="349" spans="1:6" x14ac:dyDescent="0.25">
      <c r="A349" s="7"/>
      <c r="E349" s="7"/>
      <c r="F349" s="7"/>
    </row>
    <row r="350" spans="1:6" x14ac:dyDescent="0.25">
      <c r="A350" s="7"/>
      <c r="E350" s="7"/>
      <c r="F350" s="7"/>
    </row>
    <row r="351" spans="1:6" x14ac:dyDescent="0.25">
      <c r="A351" s="7"/>
      <c r="E351" s="7"/>
      <c r="F351" s="7"/>
    </row>
    <row r="352" spans="1:6" x14ac:dyDescent="0.25">
      <c r="A352" s="7"/>
      <c r="E352" s="7"/>
      <c r="F352" s="7"/>
    </row>
    <row r="353" spans="1:6" x14ac:dyDescent="0.25">
      <c r="A353" s="7"/>
      <c r="E353" s="7"/>
      <c r="F353" s="7"/>
    </row>
    <row r="354" spans="1:6" x14ac:dyDescent="0.25">
      <c r="A354" s="7"/>
      <c r="E354" s="7"/>
      <c r="F354" s="7"/>
    </row>
    <row r="355" spans="1:6" x14ac:dyDescent="0.25">
      <c r="A355" s="7"/>
      <c r="E355" s="7"/>
      <c r="F355" s="7"/>
    </row>
    <row r="356" spans="1:6" x14ac:dyDescent="0.25">
      <c r="A356" s="7"/>
      <c r="E356" s="7"/>
      <c r="F356" s="7"/>
    </row>
    <row r="357" spans="1:6" x14ac:dyDescent="0.25">
      <c r="A357" s="7"/>
      <c r="E357" s="7"/>
      <c r="F357" s="7"/>
    </row>
    <row r="358" spans="1:6" x14ac:dyDescent="0.25">
      <c r="A358" s="7"/>
      <c r="E358" s="7"/>
      <c r="F358" s="7"/>
    </row>
    <row r="359" spans="1:6" x14ac:dyDescent="0.25">
      <c r="A359" s="7"/>
      <c r="E359" s="7"/>
      <c r="F359" s="7"/>
    </row>
    <row r="360" spans="1:6" x14ac:dyDescent="0.25">
      <c r="A360" s="7"/>
      <c r="E360" s="7"/>
      <c r="F360" s="7"/>
    </row>
    <row r="361" spans="1:6" x14ac:dyDescent="0.25">
      <c r="A361" s="7"/>
      <c r="E361" s="7"/>
      <c r="F361" s="7"/>
    </row>
    <row r="362" spans="1:6" x14ac:dyDescent="0.25">
      <c r="A362" s="7"/>
      <c r="E362" s="7"/>
      <c r="F362" s="7"/>
    </row>
    <row r="363" spans="1:6" x14ac:dyDescent="0.25">
      <c r="A363" s="7"/>
      <c r="E363" s="7"/>
      <c r="F363" s="7"/>
    </row>
    <row r="364" spans="1:6" x14ac:dyDescent="0.25">
      <c r="A364" s="7"/>
      <c r="E364" s="7"/>
      <c r="F364" s="7"/>
    </row>
    <row r="365" spans="1:6" x14ac:dyDescent="0.25">
      <c r="A365" s="7"/>
      <c r="E365" s="7"/>
      <c r="F365" s="7"/>
    </row>
    <row r="366" spans="1:6" x14ac:dyDescent="0.25">
      <c r="A366" s="7"/>
      <c r="E366" s="7"/>
      <c r="F366" s="7"/>
    </row>
    <row r="367" spans="1:6" x14ac:dyDescent="0.25">
      <c r="A367" s="7"/>
      <c r="E367" s="7"/>
      <c r="F367" s="7"/>
    </row>
    <row r="368" spans="1:6" x14ac:dyDescent="0.25">
      <c r="A368" s="7"/>
      <c r="E368" s="7"/>
      <c r="F368" s="7"/>
    </row>
    <row r="369" spans="1:6" x14ac:dyDescent="0.25">
      <c r="A369" s="7"/>
      <c r="E369" s="7"/>
      <c r="F369" s="7"/>
    </row>
    <row r="370" spans="1:6" x14ac:dyDescent="0.25">
      <c r="A370" s="7"/>
      <c r="E370" s="7"/>
      <c r="F370" s="7"/>
    </row>
    <row r="371" spans="1:6" x14ac:dyDescent="0.25">
      <c r="A371" s="7"/>
      <c r="E371" s="7"/>
      <c r="F371" s="7"/>
    </row>
    <row r="372" spans="1:6" x14ac:dyDescent="0.25">
      <c r="A372" s="7"/>
      <c r="E372" s="7"/>
      <c r="F372" s="7"/>
    </row>
    <row r="373" spans="1:6" x14ac:dyDescent="0.25">
      <c r="A373" s="7"/>
      <c r="E373" s="7"/>
      <c r="F373" s="7"/>
    </row>
    <row r="374" spans="1:6" x14ac:dyDescent="0.25">
      <c r="A374" s="7"/>
      <c r="E374" s="7"/>
      <c r="F374" s="7"/>
    </row>
    <row r="375" spans="1:6" x14ac:dyDescent="0.25">
      <c r="A375" s="7"/>
      <c r="E375" s="7"/>
      <c r="F375" s="7"/>
    </row>
    <row r="376" spans="1:6" x14ac:dyDescent="0.25">
      <c r="A376" s="7"/>
      <c r="E376" s="7"/>
      <c r="F376" s="7"/>
    </row>
    <row r="377" spans="1:6" x14ac:dyDescent="0.25">
      <c r="A377" s="7"/>
      <c r="E377" s="7"/>
      <c r="F377" s="7"/>
    </row>
    <row r="378" spans="1:6" x14ac:dyDescent="0.25">
      <c r="A378" s="7"/>
      <c r="E378" s="7"/>
      <c r="F378" s="7"/>
    </row>
    <row r="379" spans="1:6" x14ac:dyDescent="0.25">
      <c r="A379" s="7"/>
      <c r="E379" s="7"/>
      <c r="F379" s="7"/>
    </row>
    <row r="380" spans="1:6" x14ac:dyDescent="0.25">
      <c r="A380" s="7"/>
      <c r="E380" s="7"/>
      <c r="F380" s="7"/>
    </row>
    <row r="381" spans="1:6" x14ac:dyDescent="0.25">
      <c r="A381" s="7"/>
      <c r="E381" s="7"/>
      <c r="F381" s="7"/>
    </row>
    <row r="382" spans="1:6" x14ac:dyDescent="0.25">
      <c r="A382" s="7"/>
      <c r="E382" s="7"/>
      <c r="F382" s="7"/>
    </row>
    <row r="383" spans="1:6" x14ac:dyDescent="0.25">
      <c r="A383" s="7"/>
      <c r="E383" s="7"/>
      <c r="F383" s="7"/>
    </row>
    <row r="384" spans="1:6" x14ac:dyDescent="0.25">
      <c r="A384" s="7"/>
      <c r="E384" s="7"/>
      <c r="F384" s="7"/>
    </row>
    <row r="385" spans="1:6" x14ac:dyDescent="0.25">
      <c r="A385" s="7"/>
      <c r="E385" s="7"/>
      <c r="F385" s="7"/>
    </row>
    <row r="386" spans="1:6" x14ac:dyDescent="0.25">
      <c r="A386" s="7"/>
      <c r="E386" s="7"/>
      <c r="F386" s="7"/>
    </row>
    <row r="387" spans="1:6" x14ac:dyDescent="0.25">
      <c r="A387" s="7"/>
      <c r="E387" s="7"/>
      <c r="F387" s="7"/>
    </row>
    <row r="388" spans="1:6" x14ac:dyDescent="0.25">
      <c r="A388" s="7"/>
      <c r="E388" s="7"/>
      <c r="F388" s="7"/>
    </row>
    <row r="389" spans="1:6" x14ac:dyDescent="0.25">
      <c r="A389" s="7"/>
      <c r="E389" s="7"/>
      <c r="F389" s="7"/>
    </row>
    <row r="390" spans="1:6" x14ac:dyDescent="0.25">
      <c r="A390" s="7"/>
      <c r="E390" s="7"/>
      <c r="F390" s="7"/>
    </row>
    <row r="391" spans="1:6" x14ac:dyDescent="0.25">
      <c r="A391" s="7"/>
      <c r="E391" s="7"/>
      <c r="F391" s="7"/>
    </row>
    <row r="392" spans="1:6" x14ac:dyDescent="0.25">
      <c r="A392" s="7"/>
      <c r="E392" s="7"/>
      <c r="F392" s="7"/>
    </row>
    <row r="393" spans="1:6" x14ac:dyDescent="0.25">
      <c r="A393" s="7"/>
      <c r="E393" s="7"/>
      <c r="F393" s="7"/>
    </row>
    <row r="394" spans="1:6" x14ac:dyDescent="0.25">
      <c r="A394" s="7"/>
      <c r="E394" s="7"/>
      <c r="F394" s="7"/>
    </row>
    <row r="395" spans="1:6" x14ac:dyDescent="0.25">
      <c r="A395" s="7"/>
      <c r="E395" s="7"/>
      <c r="F395" s="7"/>
    </row>
    <row r="396" spans="1:6" x14ac:dyDescent="0.25">
      <c r="A396" s="7"/>
      <c r="E396" s="7"/>
      <c r="F396" s="7"/>
    </row>
    <row r="397" spans="1:6" x14ac:dyDescent="0.25">
      <c r="A397" s="7"/>
      <c r="E397" s="7"/>
      <c r="F397" s="7"/>
    </row>
    <row r="398" spans="1:6" x14ac:dyDescent="0.25">
      <c r="A398" s="7"/>
      <c r="E398" s="7"/>
      <c r="F398" s="7"/>
    </row>
    <row r="399" spans="1:6" x14ac:dyDescent="0.25">
      <c r="A399" s="7"/>
      <c r="E399" s="7"/>
      <c r="F399" s="7"/>
    </row>
    <row r="400" spans="1:6" x14ac:dyDescent="0.25">
      <c r="A400" s="7"/>
      <c r="E400" s="7"/>
      <c r="F400" s="7"/>
    </row>
    <row r="401" spans="1:6" x14ac:dyDescent="0.25">
      <c r="A401" s="7"/>
      <c r="E401" s="7"/>
      <c r="F401" s="7"/>
    </row>
    <row r="402" spans="1:6" x14ac:dyDescent="0.25">
      <c r="A402" s="7"/>
      <c r="E402" s="7"/>
      <c r="F402" s="7"/>
    </row>
    <row r="403" spans="1:6" x14ac:dyDescent="0.25">
      <c r="A403" s="7"/>
      <c r="E403" s="7"/>
      <c r="F403" s="7"/>
    </row>
    <row r="404" spans="1:6" x14ac:dyDescent="0.25">
      <c r="A404" s="7"/>
      <c r="E404" s="7"/>
      <c r="F404" s="7"/>
    </row>
    <row r="405" spans="1:6" x14ac:dyDescent="0.25">
      <c r="A405" s="7"/>
      <c r="E405" s="7"/>
      <c r="F405" s="7"/>
    </row>
    <row r="406" spans="1:6" x14ac:dyDescent="0.25">
      <c r="A406" s="7"/>
      <c r="E406" s="7"/>
      <c r="F406" s="7"/>
    </row>
    <row r="407" spans="1:6" x14ac:dyDescent="0.25">
      <c r="A407" s="7"/>
      <c r="E407" s="7"/>
      <c r="F407" s="7"/>
    </row>
    <row r="408" spans="1:6" x14ac:dyDescent="0.25">
      <c r="A408" s="7"/>
      <c r="E408" s="7"/>
      <c r="F408" s="7"/>
    </row>
    <row r="409" spans="1:6" x14ac:dyDescent="0.25">
      <c r="A409" s="7"/>
      <c r="E409" s="7"/>
      <c r="F409" s="7"/>
    </row>
    <row r="410" spans="1:6" x14ac:dyDescent="0.25">
      <c r="A410" s="7"/>
      <c r="E410" s="7"/>
      <c r="F410" s="7"/>
    </row>
    <row r="411" spans="1:6" x14ac:dyDescent="0.25">
      <c r="A411" s="7"/>
      <c r="E411" s="7"/>
      <c r="F411" s="7"/>
    </row>
    <row r="412" spans="1:6" x14ac:dyDescent="0.25">
      <c r="A412" s="7"/>
      <c r="E412" s="7"/>
      <c r="F412" s="7"/>
    </row>
    <row r="413" spans="1:6" x14ac:dyDescent="0.25">
      <c r="A413" s="7"/>
      <c r="E413" s="7"/>
      <c r="F413" s="7"/>
    </row>
    <row r="414" spans="1:6" x14ac:dyDescent="0.25">
      <c r="A414" s="7"/>
      <c r="E414" s="7"/>
      <c r="F414" s="7"/>
    </row>
    <row r="415" spans="1:6" x14ac:dyDescent="0.25">
      <c r="A415" s="7"/>
      <c r="E415" s="7"/>
      <c r="F415" s="7"/>
    </row>
    <row r="416" spans="1:6" x14ac:dyDescent="0.25">
      <c r="A416" s="7"/>
      <c r="E416" s="7"/>
      <c r="F416" s="7"/>
    </row>
    <row r="417" spans="1:6" x14ac:dyDescent="0.25">
      <c r="A417" s="7"/>
      <c r="E417" s="7"/>
      <c r="F417" s="7"/>
    </row>
    <row r="418" spans="1:6" x14ac:dyDescent="0.25">
      <c r="A418" s="7"/>
      <c r="E418" s="7"/>
      <c r="F418" s="7"/>
    </row>
    <row r="419" spans="1:6" x14ac:dyDescent="0.25">
      <c r="A419" s="7"/>
      <c r="E419" s="7"/>
      <c r="F419" s="7"/>
    </row>
    <row r="420" spans="1:6" x14ac:dyDescent="0.25">
      <c r="A420" s="7"/>
      <c r="E420" s="7"/>
      <c r="F420" s="7"/>
    </row>
    <row r="421" spans="1:6" x14ac:dyDescent="0.25">
      <c r="A421" s="7"/>
      <c r="E421" s="7"/>
      <c r="F421" s="7"/>
    </row>
    <row r="422" spans="1:6" x14ac:dyDescent="0.25">
      <c r="A422" s="7"/>
      <c r="E422" s="7"/>
      <c r="F422" s="7"/>
    </row>
    <row r="423" spans="1:6" x14ac:dyDescent="0.25">
      <c r="A423" s="7"/>
      <c r="E423" s="7"/>
      <c r="F423" s="7"/>
    </row>
    <row r="424" spans="1:6" x14ac:dyDescent="0.25">
      <c r="A424" s="7"/>
      <c r="E424" s="7"/>
      <c r="F424" s="7"/>
    </row>
    <row r="425" spans="1:6" x14ac:dyDescent="0.25">
      <c r="A425" s="7"/>
      <c r="E425" s="7"/>
      <c r="F425" s="7"/>
    </row>
    <row r="426" spans="1:6" x14ac:dyDescent="0.25">
      <c r="A426" s="7"/>
      <c r="E426" s="7"/>
      <c r="F426" s="7"/>
    </row>
    <row r="427" spans="1:6" x14ac:dyDescent="0.25">
      <c r="A427" s="7"/>
      <c r="E427" s="7"/>
      <c r="F427" s="7"/>
    </row>
    <row r="428" spans="1:6" x14ac:dyDescent="0.25">
      <c r="A428" s="7"/>
      <c r="E428" s="7"/>
      <c r="F428" s="7"/>
    </row>
    <row r="429" spans="1:6" x14ac:dyDescent="0.25">
      <c r="A429" s="7"/>
      <c r="E429" s="7"/>
      <c r="F429" s="7"/>
    </row>
    <row r="430" spans="1:6" x14ac:dyDescent="0.25">
      <c r="A430" s="7"/>
      <c r="E430" s="7"/>
      <c r="F430" s="7"/>
    </row>
    <row r="431" spans="1:6" x14ac:dyDescent="0.25">
      <c r="A431" s="7"/>
      <c r="E431" s="7"/>
      <c r="F431" s="7"/>
    </row>
    <row r="432" spans="1:6" x14ac:dyDescent="0.25">
      <c r="A432" s="7"/>
      <c r="E432" s="7"/>
      <c r="F432" s="7"/>
    </row>
    <row r="433" spans="1:6" x14ac:dyDescent="0.25">
      <c r="A433" s="7"/>
      <c r="E433" s="7"/>
      <c r="F433" s="7"/>
    </row>
    <row r="434" spans="1:6" x14ac:dyDescent="0.25">
      <c r="A434" s="7"/>
      <c r="E434" s="7"/>
      <c r="F434" s="7"/>
    </row>
    <row r="435" spans="1:6" x14ac:dyDescent="0.25">
      <c r="A435" s="7"/>
      <c r="E435" s="7"/>
      <c r="F435" s="7"/>
    </row>
    <row r="436" spans="1:6" x14ac:dyDescent="0.25">
      <c r="A436" s="7"/>
      <c r="E436" s="7"/>
      <c r="F436" s="7"/>
    </row>
    <row r="437" spans="1:6" x14ac:dyDescent="0.25">
      <c r="A437" s="7"/>
      <c r="E437" s="7"/>
      <c r="F437" s="7"/>
    </row>
    <row r="438" spans="1:6" x14ac:dyDescent="0.25">
      <c r="A438" s="7"/>
      <c r="E438" s="7"/>
      <c r="F438" s="7"/>
    </row>
    <row r="439" spans="1:6" x14ac:dyDescent="0.25">
      <c r="A439" s="7"/>
      <c r="E439" s="7"/>
      <c r="F439" s="7"/>
    </row>
    <row r="440" spans="1:6" x14ac:dyDescent="0.25">
      <c r="A440" s="7"/>
      <c r="E440" s="7"/>
      <c r="F440" s="7"/>
    </row>
    <row r="441" spans="1:6" x14ac:dyDescent="0.25">
      <c r="A441" s="7"/>
      <c r="E441" s="7"/>
      <c r="F441" s="7"/>
    </row>
    <row r="442" spans="1:6" x14ac:dyDescent="0.25">
      <c r="A442" s="7"/>
      <c r="E442" s="7"/>
      <c r="F442" s="7"/>
    </row>
    <row r="443" spans="1:6" x14ac:dyDescent="0.25">
      <c r="A443" s="7"/>
      <c r="E443" s="7"/>
      <c r="F443" s="7"/>
    </row>
    <row r="444" spans="1:6" x14ac:dyDescent="0.25">
      <c r="A444" s="7"/>
      <c r="E444" s="7"/>
      <c r="F444" s="7"/>
    </row>
    <row r="445" spans="1:6" x14ac:dyDescent="0.25">
      <c r="A445" s="7"/>
      <c r="E445" s="7"/>
      <c r="F445" s="7"/>
    </row>
    <row r="446" spans="1:6" x14ac:dyDescent="0.25">
      <c r="A446" s="7"/>
      <c r="E446" s="7"/>
      <c r="F446" s="7"/>
    </row>
    <row r="447" spans="1:6" x14ac:dyDescent="0.25">
      <c r="A447" s="7"/>
      <c r="E447" s="7"/>
      <c r="F447" s="7"/>
    </row>
    <row r="448" spans="1:6" x14ac:dyDescent="0.25">
      <c r="A448" s="7"/>
      <c r="E448" s="7"/>
      <c r="F448" s="7"/>
    </row>
    <row r="449" spans="1:6" x14ac:dyDescent="0.25">
      <c r="A449" s="7"/>
      <c r="E449" s="7"/>
      <c r="F449" s="7"/>
    </row>
    <row r="450" spans="1:6" x14ac:dyDescent="0.25">
      <c r="A450" s="7"/>
      <c r="E450" s="7"/>
      <c r="F450" s="7"/>
    </row>
    <row r="451" spans="1:6" x14ac:dyDescent="0.25">
      <c r="A451" s="7"/>
      <c r="E451" s="7"/>
      <c r="F451" s="7"/>
    </row>
    <row r="452" spans="1:6" x14ac:dyDescent="0.25">
      <c r="A452" s="7"/>
      <c r="E452" s="7"/>
      <c r="F452" s="7"/>
    </row>
    <row r="453" spans="1:6" x14ac:dyDescent="0.25">
      <c r="A453" s="7"/>
      <c r="E453" s="7"/>
      <c r="F453" s="7"/>
    </row>
    <row r="454" spans="1:6" x14ac:dyDescent="0.25">
      <c r="A454" s="7"/>
      <c r="E454" s="7"/>
      <c r="F454" s="7"/>
    </row>
    <row r="455" spans="1:6" x14ac:dyDescent="0.25">
      <c r="A455" s="7"/>
      <c r="E455" s="7"/>
      <c r="F455" s="7"/>
    </row>
    <row r="456" spans="1:6" x14ac:dyDescent="0.25">
      <c r="A456" s="7"/>
      <c r="E456" s="7"/>
      <c r="F456" s="7"/>
    </row>
    <row r="457" spans="1:6" x14ac:dyDescent="0.25">
      <c r="A457" s="7"/>
      <c r="E457" s="7"/>
      <c r="F457" s="7"/>
    </row>
    <row r="458" spans="1:6" x14ac:dyDescent="0.25">
      <c r="A458" s="7"/>
      <c r="E458" s="7"/>
      <c r="F458" s="7"/>
    </row>
    <row r="459" spans="1:6" x14ac:dyDescent="0.25">
      <c r="A459" s="7"/>
      <c r="E459" s="7"/>
      <c r="F459" s="7"/>
    </row>
    <row r="460" spans="1:6" x14ac:dyDescent="0.25">
      <c r="A460" s="7"/>
      <c r="E460" s="7"/>
      <c r="F460" s="7"/>
    </row>
    <row r="461" spans="1:6" x14ac:dyDescent="0.25">
      <c r="A461" s="7"/>
      <c r="E461" s="7"/>
      <c r="F461" s="7"/>
    </row>
    <row r="462" spans="1:6" x14ac:dyDescent="0.25">
      <c r="A462" s="7"/>
      <c r="E462" s="7"/>
      <c r="F462" s="7"/>
    </row>
    <row r="463" spans="1:6" x14ac:dyDescent="0.25">
      <c r="A463" s="7"/>
      <c r="E463" s="7"/>
      <c r="F463" s="7"/>
    </row>
    <row r="464" spans="1:6" x14ac:dyDescent="0.25">
      <c r="A464" s="7"/>
      <c r="E464" s="7"/>
      <c r="F464" s="7"/>
    </row>
    <row r="465" spans="1:6" x14ac:dyDescent="0.25">
      <c r="A465" s="7"/>
      <c r="E465" s="7"/>
      <c r="F465" s="7"/>
    </row>
    <row r="466" spans="1:6" x14ac:dyDescent="0.25">
      <c r="A466" s="7"/>
      <c r="E466" s="7"/>
      <c r="F466" s="7"/>
    </row>
    <row r="467" spans="1:6" x14ac:dyDescent="0.25">
      <c r="A467" s="7"/>
      <c r="E467" s="7"/>
      <c r="F467" s="7"/>
    </row>
    <row r="468" spans="1:6" x14ac:dyDescent="0.25">
      <c r="A468" s="7"/>
      <c r="E468" s="7"/>
      <c r="F468" s="7"/>
    </row>
    <row r="469" spans="1:6" x14ac:dyDescent="0.25">
      <c r="A469" s="7"/>
      <c r="E469" s="7"/>
      <c r="F469" s="7"/>
    </row>
    <row r="470" spans="1:6" x14ac:dyDescent="0.25">
      <c r="A470" s="7"/>
      <c r="E470" s="7"/>
      <c r="F470" s="7"/>
    </row>
    <row r="471" spans="1:6" x14ac:dyDescent="0.25">
      <c r="A471" s="7"/>
      <c r="E471" s="7"/>
      <c r="F471" s="7"/>
    </row>
    <row r="472" spans="1:6" x14ac:dyDescent="0.25">
      <c r="A472" s="7"/>
      <c r="E472" s="7"/>
      <c r="F472" s="7"/>
    </row>
    <row r="473" spans="1:6" x14ac:dyDescent="0.25">
      <c r="A473" s="7"/>
      <c r="E473" s="7"/>
      <c r="F473" s="7"/>
    </row>
    <row r="474" spans="1:6" x14ac:dyDescent="0.25">
      <c r="A474" s="7"/>
      <c r="E474" s="7"/>
      <c r="F474" s="7"/>
    </row>
    <row r="475" spans="1:6" x14ac:dyDescent="0.25">
      <c r="A475" s="7"/>
      <c r="E475" s="7"/>
      <c r="F475" s="7"/>
    </row>
    <row r="476" spans="1:6" x14ac:dyDescent="0.25">
      <c r="A476" s="7"/>
      <c r="E476" s="7"/>
      <c r="F476" s="7"/>
    </row>
    <row r="477" spans="1:6" x14ac:dyDescent="0.25">
      <c r="A477" s="7"/>
      <c r="E477" s="7"/>
      <c r="F477" s="7"/>
    </row>
    <row r="478" spans="1:6" x14ac:dyDescent="0.25">
      <c r="A478" s="7"/>
      <c r="E478" s="7"/>
      <c r="F478" s="7"/>
    </row>
    <row r="479" spans="1:6" x14ac:dyDescent="0.25">
      <c r="A479" s="7"/>
      <c r="E479" s="7"/>
      <c r="F479" s="7"/>
    </row>
    <row r="480" spans="1:6" x14ac:dyDescent="0.25">
      <c r="A480" s="7"/>
      <c r="E480" s="7"/>
      <c r="F480" s="7"/>
    </row>
    <row r="481" spans="1:6" x14ac:dyDescent="0.25">
      <c r="A481" s="7"/>
      <c r="E481" s="7"/>
      <c r="F481" s="7"/>
    </row>
    <row r="482" spans="1:6" x14ac:dyDescent="0.25">
      <c r="A482" s="7"/>
      <c r="E482" s="7"/>
      <c r="F482" s="7"/>
    </row>
    <row r="483" spans="1:6" x14ac:dyDescent="0.25">
      <c r="A483" s="7"/>
      <c r="E483" s="7"/>
      <c r="F483" s="7"/>
    </row>
    <row r="484" spans="1:6" x14ac:dyDescent="0.25">
      <c r="A484" s="7"/>
      <c r="E484" s="7"/>
      <c r="F484" s="7"/>
    </row>
    <row r="485" spans="1:6" x14ac:dyDescent="0.25">
      <c r="A485" s="7"/>
      <c r="E485" s="7"/>
      <c r="F485" s="7"/>
    </row>
    <row r="486" spans="1:6" x14ac:dyDescent="0.25">
      <c r="A486" s="7"/>
      <c r="E486" s="7"/>
      <c r="F486" s="7"/>
    </row>
    <row r="487" spans="1:6" x14ac:dyDescent="0.25">
      <c r="A487" s="7"/>
      <c r="E487" s="7"/>
      <c r="F487" s="7"/>
    </row>
    <row r="488" spans="1:6" x14ac:dyDescent="0.25">
      <c r="A488" s="7"/>
      <c r="E488" s="7"/>
      <c r="F488" s="7"/>
    </row>
    <row r="489" spans="1:6" x14ac:dyDescent="0.25">
      <c r="A489" s="7"/>
      <c r="E489" s="7"/>
      <c r="F489" s="7"/>
    </row>
    <row r="490" spans="1:6" x14ac:dyDescent="0.25">
      <c r="A490" s="7"/>
      <c r="E490" s="7"/>
      <c r="F490" s="7"/>
    </row>
    <row r="491" spans="1:6" x14ac:dyDescent="0.25">
      <c r="A491" s="7"/>
      <c r="E491" s="7"/>
      <c r="F491" s="7"/>
    </row>
    <row r="492" spans="1:6" x14ac:dyDescent="0.25">
      <c r="A492" s="7"/>
      <c r="E492" s="7"/>
      <c r="F492" s="7"/>
    </row>
    <row r="493" spans="1:6" x14ac:dyDescent="0.25">
      <c r="A493" s="7"/>
      <c r="E493" s="7"/>
      <c r="F493" s="7"/>
    </row>
    <row r="494" spans="1:6" x14ac:dyDescent="0.25">
      <c r="A494" s="7"/>
      <c r="E494" s="7"/>
      <c r="F494" s="7"/>
    </row>
    <row r="495" spans="1:6" x14ac:dyDescent="0.25">
      <c r="A495" s="7"/>
      <c r="E495" s="7"/>
      <c r="F495" s="7"/>
    </row>
    <row r="496" spans="1:6" x14ac:dyDescent="0.25">
      <c r="A496" s="7"/>
      <c r="E496" s="7"/>
      <c r="F496" s="7"/>
    </row>
    <row r="497" spans="1:6" x14ac:dyDescent="0.25">
      <c r="A497" s="7"/>
      <c r="E497" s="7"/>
      <c r="F497" s="7"/>
    </row>
    <row r="498" spans="1:6" x14ac:dyDescent="0.25">
      <c r="A498" s="7"/>
      <c r="E498" s="7"/>
      <c r="F498" s="7"/>
    </row>
    <row r="499" spans="1:6" x14ac:dyDescent="0.25">
      <c r="A499" s="7"/>
      <c r="E499" s="7"/>
      <c r="F499" s="7"/>
    </row>
    <row r="500" spans="1:6" x14ac:dyDescent="0.25">
      <c r="A500" s="7"/>
      <c r="E500" s="7"/>
      <c r="F500" s="7"/>
    </row>
    <row r="501" spans="1:6" x14ac:dyDescent="0.25">
      <c r="A501" s="7"/>
      <c r="E501" s="7"/>
      <c r="F501" s="7"/>
    </row>
    <row r="502" spans="1:6" x14ac:dyDescent="0.25">
      <c r="A502" s="7"/>
      <c r="E502" s="7"/>
      <c r="F502" s="7"/>
    </row>
    <row r="503" spans="1:6" x14ac:dyDescent="0.25">
      <c r="A503" s="7"/>
      <c r="E503" s="7"/>
      <c r="F503" s="7"/>
    </row>
    <row r="504" spans="1:6" x14ac:dyDescent="0.25">
      <c r="A504" s="7"/>
      <c r="E504" s="7"/>
      <c r="F504" s="7"/>
    </row>
    <row r="505" spans="1:6" x14ac:dyDescent="0.25">
      <c r="A505" s="7"/>
      <c r="E505" s="7"/>
      <c r="F505" s="7"/>
    </row>
    <row r="506" spans="1:6" x14ac:dyDescent="0.25">
      <c r="A506" s="7"/>
      <c r="E506" s="7"/>
      <c r="F506" s="7"/>
    </row>
    <row r="507" spans="1:6" x14ac:dyDescent="0.25">
      <c r="A507" s="7"/>
      <c r="E507" s="7"/>
      <c r="F507" s="7"/>
    </row>
    <row r="508" spans="1:6" x14ac:dyDescent="0.25">
      <c r="A508" s="7"/>
      <c r="E508" s="7"/>
      <c r="F508" s="7"/>
    </row>
    <row r="509" spans="1:6" x14ac:dyDescent="0.25">
      <c r="A509" s="7"/>
      <c r="E509" s="7"/>
      <c r="F509" s="7"/>
    </row>
    <row r="510" spans="1:6" x14ac:dyDescent="0.25">
      <c r="A510" s="7"/>
      <c r="E510" s="7"/>
      <c r="F510" s="7"/>
    </row>
    <row r="511" spans="1:6" x14ac:dyDescent="0.25">
      <c r="A511" s="7"/>
      <c r="E511" s="7"/>
      <c r="F511" s="7"/>
    </row>
    <row r="512" spans="1:6" x14ac:dyDescent="0.25">
      <c r="A512" s="7"/>
      <c r="E512" s="7"/>
      <c r="F512" s="7"/>
    </row>
    <row r="513" spans="1:6" x14ac:dyDescent="0.25">
      <c r="A513" s="7"/>
      <c r="E513" s="7"/>
      <c r="F513" s="7"/>
    </row>
    <row r="514" spans="1:6" x14ac:dyDescent="0.25">
      <c r="A514" s="7"/>
      <c r="E514" s="7"/>
      <c r="F514" s="7"/>
    </row>
    <row r="515" spans="1:6" x14ac:dyDescent="0.25">
      <c r="A515" s="7"/>
      <c r="E515" s="7"/>
      <c r="F515" s="7"/>
    </row>
    <row r="516" spans="1:6" x14ac:dyDescent="0.25">
      <c r="A516" s="7"/>
      <c r="E516" s="7"/>
      <c r="F516" s="7"/>
    </row>
    <row r="517" spans="1:6" x14ac:dyDescent="0.25">
      <c r="A517" s="7"/>
      <c r="E517" s="7"/>
      <c r="F517" s="7"/>
    </row>
    <row r="518" spans="1:6" x14ac:dyDescent="0.25">
      <c r="A518" s="7"/>
      <c r="E518" s="7"/>
      <c r="F518" s="7"/>
    </row>
    <row r="519" spans="1:6" x14ac:dyDescent="0.25">
      <c r="A519" s="7"/>
      <c r="E519" s="7"/>
      <c r="F519" s="7"/>
    </row>
    <row r="520" spans="1:6" x14ac:dyDescent="0.25">
      <c r="A520" s="7"/>
      <c r="E520" s="7"/>
      <c r="F520" s="7"/>
    </row>
    <row r="521" spans="1:6" x14ac:dyDescent="0.25">
      <c r="A521" s="7"/>
      <c r="E521" s="7"/>
      <c r="F521" s="7"/>
    </row>
    <row r="522" spans="1:6" x14ac:dyDescent="0.25">
      <c r="A522" s="7"/>
      <c r="E522" s="7"/>
      <c r="F522" s="7"/>
    </row>
    <row r="523" spans="1:6" x14ac:dyDescent="0.25">
      <c r="A523" s="7"/>
      <c r="E523" s="7"/>
      <c r="F523" s="7"/>
    </row>
    <row r="524" spans="1:6" x14ac:dyDescent="0.25">
      <c r="A524" s="7"/>
      <c r="E524" s="7"/>
      <c r="F524" s="7"/>
    </row>
    <row r="525" spans="1:6" x14ac:dyDescent="0.25">
      <c r="A525" s="7"/>
      <c r="E525" s="7"/>
      <c r="F525" s="7"/>
    </row>
    <row r="526" spans="1:6" x14ac:dyDescent="0.25">
      <c r="A526" s="7"/>
      <c r="E526" s="7"/>
      <c r="F526" s="7"/>
    </row>
    <row r="527" spans="1:6" x14ac:dyDescent="0.25">
      <c r="A527" s="7"/>
      <c r="E527" s="7"/>
      <c r="F527" s="7"/>
    </row>
    <row r="528" spans="1:6" x14ac:dyDescent="0.25">
      <c r="A528" s="7"/>
      <c r="E528" s="7"/>
      <c r="F528" s="7"/>
    </row>
    <row r="529" spans="1:6" x14ac:dyDescent="0.25">
      <c r="A529" s="7"/>
      <c r="E529" s="7"/>
      <c r="F529" s="7"/>
    </row>
    <row r="530" spans="1:6" x14ac:dyDescent="0.25">
      <c r="A530" s="7"/>
      <c r="E530" s="7"/>
      <c r="F530" s="7"/>
    </row>
    <row r="531" spans="1:6" x14ac:dyDescent="0.25">
      <c r="A531" s="7"/>
      <c r="E531" s="7"/>
      <c r="F531" s="7"/>
    </row>
    <row r="532" spans="1:6" x14ac:dyDescent="0.25">
      <c r="A532" s="7"/>
      <c r="E532" s="7"/>
      <c r="F532" s="7"/>
    </row>
    <row r="533" spans="1:6" x14ac:dyDescent="0.25">
      <c r="A533" s="7"/>
      <c r="E533" s="7"/>
      <c r="F533" s="7"/>
    </row>
    <row r="534" spans="1:6" x14ac:dyDescent="0.25">
      <c r="A534" s="7"/>
      <c r="E534" s="7"/>
      <c r="F534" s="7"/>
    </row>
    <row r="535" spans="1:6" x14ac:dyDescent="0.25">
      <c r="A535" s="7"/>
      <c r="E535" s="7"/>
      <c r="F535" s="7"/>
    </row>
    <row r="536" spans="1:6" x14ac:dyDescent="0.25">
      <c r="A536" s="7"/>
      <c r="E536" s="7"/>
      <c r="F536" s="7"/>
    </row>
    <row r="537" spans="1:6" x14ac:dyDescent="0.25">
      <c r="A537" s="7"/>
      <c r="E537" s="7"/>
      <c r="F537" s="7"/>
    </row>
    <row r="538" spans="1:6" x14ac:dyDescent="0.25">
      <c r="A538" s="7"/>
      <c r="E538" s="7"/>
      <c r="F538" s="7"/>
    </row>
    <row r="539" spans="1:6" x14ac:dyDescent="0.25">
      <c r="A539" s="7"/>
      <c r="E539" s="7"/>
      <c r="F539" s="7"/>
    </row>
    <row r="540" spans="1:6" x14ac:dyDescent="0.25">
      <c r="A540" s="7"/>
      <c r="E540" s="7"/>
      <c r="F540" s="7"/>
    </row>
    <row r="541" spans="1:6" x14ac:dyDescent="0.25">
      <c r="A541" s="7"/>
      <c r="E541" s="7"/>
      <c r="F541" s="7"/>
    </row>
    <row r="542" spans="1:6" x14ac:dyDescent="0.25">
      <c r="A542" s="7"/>
      <c r="E542" s="7"/>
      <c r="F542" s="7"/>
    </row>
    <row r="543" spans="1:6" x14ac:dyDescent="0.25">
      <c r="A543" s="7"/>
      <c r="E543" s="7"/>
      <c r="F543" s="7"/>
    </row>
    <row r="544" spans="1:6" x14ac:dyDescent="0.25">
      <c r="A544" s="7"/>
      <c r="E544" s="7"/>
      <c r="F544" s="7"/>
    </row>
    <row r="545" spans="1:6" x14ac:dyDescent="0.25">
      <c r="A545" s="7"/>
      <c r="E545" s="7"/>
      <c r="F545" s="7"/>
    </row>
    <row r="546" spans="1:6" x14ac:dyDescent="0.25">
      <c r="A546" s="7"/>
      <c r="E546" s="7"/>
      <c r="F546" s="7"/>
    </row>
    <row r="547" spans="1:6" x14ac:dyDescent="0.25">
      <c r="A547" s="7"/>
      <c r="E547" s="7"/>
      <c r="F547" s="7"/>
    </row>
    <row r="548" spans="1:6" x14ac:dyDescent="0.25">
      <c r="A548" s="7"/>
      <c r="E548" s="7"/>
      <c r="F548" s="7"/>
    </row>
    <row r="549" spans="1:6" x14ac:dyDescent="0.25">
      <c r="A549" s="7"/>
      <c r="E549" s="7"/>
      <c r="F549" s="7"/>
    </row>
    <row r="550" spans="1:6" x14ac:dyDescent="0.25">
      <c r="A550" s="7"/>
      <c r="E550" s="7"/>
      <c r="F550" s="7"/>
    </row>
    <row r="551" spans="1:6" x14ac:dyDescent="0.25">
      <c r="A551" s="7"/>
      <c r="E551" s="7"/>
      <c r="F551" s="7"/>
    </row>
    <row r="552" spans="1:6" x14ac:dyDescent="0.25">
      <c r="A552" s="7"/>
      <c r="E552" s="7"/>
      <c r="F552" s="7"/>
    </row>
    <row r="553" spans="1:6" x14ac:dyDescent="0.25">
      <c r="A553" s="7"/>
      <c r="E553" s="7"/>
      <c r="F553" s="7"/>
    </row>
    <row r="554" spans="1:6" x14ac:dyDescent="0.25">
      <c r="A554" s="7"/>
      <c r="E554" s="7"/>
      <c r="F554" s="7"/>
    </row>
    <row r="555" spans="1:6" x14ac:dyDescent="0.25">
      <c r="A555" s="7"/>
      <c r="E555" s="7"/>
      <c r="F555" s="7"/>
    </row>
    <row r="556" spans="1:6" x14ac:dyDescent="0.25">
      <c r="A556" s="7"/>
      <c r="E556" s="7"/>
      <c r="F556" s="7"/>
    </row>
    <row r="557" spans="1:6" x14ac:dyDescent="0.25">
      <c r="A557" s="7"/>
      <c r="E557" s="7"/>
      <c r="F557" s="7"/>
    </row>
    <row r="558" spans="1:6" x14ac:dyDescent="0.25">
      <c r="A558" s="7"/>
      <c r="E558" s="7"/>
      <c r="F558" s="7"/>
    </row>
    <row r="559" spans="1:6" x14ac:dyDescent="0.25">
      <c r="A559" s="7"/>
      <c r="E559" s="7"/>
      <c r="F559" s="7"/>
    </row>
    <row r="560" spans="1:6" x14ac:dyDescent="0.25">
      <c r="A560" s="7"/>
      <c r="E560" s="7"/>
      <c r="F560" s="7"/>
    </row>
    <row r="561" spans="1:6" x14ac:dyDescent="0.25">
      <c r="A561" s="7"/>
      <c r="E561" s="7"/>
      <c r="F561" s="7"/>
    </row>
    <row r="562" spans="1:6" x14ac:dyDescent="0.25">
      <c r="A562" s="7"/>
      <c r="E562" s="7"/>
      <c r="F562" s="7"/>
    </row>
    <row r="563" spans="1:6" x14ac:dyDescent="0.25">
      <c r="A563" s="7"/>
      <c r="E563" s="7"/>
      <c r="F563" s="7"/>
    </row>
    <row r="564" spans="1:6" x14ac:dyDescent="0.25">
      <c r="A564" s="7"/>
      <c r="E564" s="7"/>
      <c r="F564" s="7"/>
    </row>
    <row r="565" spans="1:6" x14ac:dyDescent="0.25">
      <c r="A565" s="7"/>
      <c r="E565" s="7"/>
      <c r="F565" s="7"/>
    </row>
    <row r="566" spans="1:6" x14ac:dyDescent="0.25">
      <c r="A566" s="7"/>
      <c r="E566" s="7"/>
      <c r="F566" s="7"/>
    </row>
    <row r="567" spans="1:6" x14ac:dyDescent="0.25">
      <c r="A567" s="7"/>
      <c r="E567" s="7"/>
      <c r="F567" s="7"/>
    </row>
    <row r="568" spans="1:6" x14ac:dyDescent="0.25">
      <c r="A568" s="7"/>
      <c r="E568" s="7"/>
      <c r="F568" s="7"/>
    </row>
    <row r="569" spans="1:6" x14ac:dyDescent="0.25">
      <c r="A569" s="7"/>
      <c r="E569" s="7"/>
      <c r="F569" s="7"/>
    </row>
    <row r="570" spans="1:6" x14ac:dyDescent="0.25">
      <c r="A570" s="7"/>
      <c r="E570" s="7"/>
      <c r="F570" s="7"/>
    </row>
    <row r="571" spans="1:6" x14ac:dyDescent="0.25">
      <c r="A571" s="7"/>
      <c r="E571" s="7"/>
      <c r="F571" s="7"/>
    </row>
    <row r="572" spans="1:6" x14ac:dyDescent="0.25">
      <c r="A572" s="7"/>
      <c r="E572" s="7"/>
      <c r="F572" s="7"/>
    </row>
    <row r="573" spans="1:6" x14ac:dyDescent="0.25">
      <c r="A573" s="7"/>
      <c r="E573" s="7"/>
      <c r="F573" s="7"/>
    </row>
    <row r="574" spans="1:6" x14ac:dyDescent="0.25">
      <c r="A574" s="7"/>
      <c r="E574" s="7"/>
      <c r="F574" s="7"/>
    </row>
    <row r="575" spans="1:6" x14ac:dyDescent="0.25">
      <c r="A575" s="7"/>
      <c r="E575" s="7"/>
      <c r="F575" s="7"/>
    </row>
    <row r="576" spans="1:6" x14ac:dyDescent="0.25">
      <c r="A576" s="7"/>
      <c r="E576" s="7"/>
      <c r="F576" s="7"/>
    </row>
    <row r="577" spans="1:6" x14ac:dyDescent="0.25">
      <c r="A577" s="7"/>
      <c r="E577" s="7"/>
      <c r="F577" s="7"/>
    </row>
    <row r="578" spans="1:6" x14ac:dyDescent="0.25">
      <c r="A578" s="7"/>
      <c r="E578" s="7"/>
      <c r="F578" s="7"/>
    </row>
    <row r="579" spans="1:6" x14ac:dyDescent="0.25">
      <c r="A579" s="7"/>
      <c r="E579" s="7"/>
      <c r="F579" s="7"/>
    </row>
    <row r="580" spans="1:6" x14ac:dyDescent="0.25">
      <c r="A580" s="7"/>
      <c r="E580" s="7"/>
      <c r="F580" s="7"/>
    </row>
    <row r="581" spans="1:6" x14ac:dyDescent="0.25">
      <c r="A581" s="7"/>
      <c r="E581" s="7"/>
      <c r="F581" s="7"/>
    </row>
    <row r="582" spans="1:6" x14ac:dyDescent="0.25">
      <c r="A582" s="7"/>
      <c r="E582" s="7"/>
      <c r="F582" s="7"/>
    </row>
    <row r="583" spans="1:6" x14ac:dyDescent="0.25">
      <c r="A583" s="7"/>
      <c r="E583" s="7"/>
      <c r="F583" s="7"/>
    </row>
    <row r="584" spans="1:6" x14ac:dyDescent="0.25">
      <c r="A584" s="7"/>
      <c r="E584" s="7"/>
      <c r="F584" s="7"/>
    </row>
    <row r="585" spans="1:6" x14ac:dyDescent="0.25">
      <c r="A585" s="7"/>
      <c r="E585" s="7"/>
      <c r="F585" s="7"/>
    </row>
    <row r="586" spans="1:6" x14ac:dyDescent="0.25">
      <c r="A586" s="7"/>
      <c r="E586" s="7"/>
      <c r="F586" s="7"/>
    </row>
    <row r="587" spans="1:6" x14ac:dyDescent="0.25">
      <c r="A587" s="7"/>
      <c r="E587" s="7"/>
      <c r="F587" s="7"/>
    </row>
    <row r="588" spans="1:6" x14ac:dyDescent="0.25">
      <c r="A588" s="7"/>
      <c r="E588" s="7"/>
      <c r="F588" s="7"/>
    </row>
    <row r="589" spans="1:6" x14ac:dyDescent="0.25">
      <c r="A589" s="7"/>
      <c r="E589" s="7"/>
      <c r="F589" s="7"/>
    </row>
    <row r="590" spans="1:6" x14ac:dyDescent="0.25">
      <c r="A590" s="7"/>
      <c r="E590" s="7"/>
      <c r="F590" s="7"/>
    </row>
    <row r="591" spans="1:6" x14ac:dyDescent="0.25">
      <c r="A591" s="7"/>
      <c r="E591" s="7"/>
      <c r="F591" s="7"/>
    </row>
    <row r="592" spans="1:6" x14ac:dyDescent="0.25">
      <c r="A592" s="7"/>
      <c r="E592" s="7"/>
      <c r="F592" s="7"/>
    </row>
    <row r="593" spans="1:6" x14ac:dyDescent="0.25">
      <c r="A593" s="7"/>
      <c r="E593" s="7"/>
      <c r="F593" s="7"/>
    </row>
    <row r="594" spans="1:6" x14ac:dyDescent="0.25">
      <c r="A594" s="7"/>
      <c r="E594" s="7"/>
      <c r="F594" s="7"/>
    </row>
    <row r="595" spans="1:6" x14ac:dyDescent="0.25">
      <c r="A595" s="7"/>
      <c r="E595" s="7"/>
      <c r="F595" s="7"/>
    </row>
    <row r="596" spans="1:6" x14ac:dyDescent="0.25">
      <c r="A596" s="7"/>
      <c r="E596" s="7"/>
      <c r="F596" s="7"/>
    </row>
    <row r="597" spans="1:6" x14ac:dyDescent="0.25">
      <c r="A597" s="7"/>
      <c r="E597" s="7"/>
      <c r="F597" s="7"/>
    </row>
    <row r="598" spans="1:6" x14ac:dyDescent="0.25">
      <c r="A598" s="7"/>
      <c r="E598" s="7"/>
      <c r="F598" s="7"/>
    </row>
    <row r="599" spans="1:6" x14ac:dyDescent="0.25">
      <c r="A599" s="7"/>
      <c r="E599" s="7"/>
      <c r="F599" s="7"/>
    </row>
    <row r="600" spans="1:6" x14ac:dyDescent="0.25">
      <c r="A600" s="7"/>
      <c r="E600" s="7"/>
      <c r="F600" s="7"/>
    </row>
    <row r="601" spans="1:6" x14ac:dyDescent="0.25">
      <c r="A601" s="7"/>
      <c r="E601" s="7"/>
      <c r="F601" s="7"/>
    </row>
    <row r="602" spans="1:6" x14ac:dyDescent="0.25">
      <c r="A602" s="7"/>
      <c r="E602" s="7"/>
      <c r="F602" s="7"/>
    </row>
    <row r="603" spans="1:6" x14ac:dyDescent="0.25">
      <c r="A603" s="7"/>
      <c r="E603" s="7"/>
      <c r="F603" s="7"/>
    </row>
    <row r="604" spans="1:6" x14ac:dyDescent="0.25">
      <c r="A604" s="7"/>
      <c r="E604" s="7"/>
      <c r="F604" s="7"/>
    </row>
    <row r="605" spans="1:6" x14ac:dyDescent="0.25">
      <c r="A605" s="7"/>
      <c r="E605" s="7"/>
      <c r="F605" s="7"/>
    </row>
    <row r="606" spans="1:6" x14ac:dyDescent="0.25">
      <c r="A606" s="7"/>
      <c r="E606" s="7"/>
      <c r="F606" s="7"/>
    </row>
    <row r="607" spans="1:6" x14ac:dyDescent="0.25">
      <c r="A607" s="7"/>
      <c r="E607" s="7"/>
      <c r="F607" s="7"/>
    </row>
    <row r="608" spans="1:6" x14ac:dyDescent="0.25">
      <c r="A608" s="7"/>
      <c r="E608" s="7"/>
      <c r="F608" s="7"/>
    </row>
    <row r="609" spans="1:6" x14ac:dyDescent="0.25">
      <c r="A609" s="7"/>
      <c r="E609" s="7"/>
      <c r="F609" s="7"/>
    </row>
    <row r="610" spans="1:6" x14ac:dyDescent="0.25">
      <c r="A610" s="7"/>
      <c r="E610" s="7"/>
      <c r="F610" s="7"/>
    </row>
    <row r="611" spans="1:6" x14ac:dyDescent="0.25">
      <c r="A611" s="7"/>
      <c r="E611" s="7"/>
      <c r="F611" s="7"/>
    </row>
    <row r="612" spans="1:6" x14ac:dyDescent="0.25">
      <c r="A612" s="7"/>
      <c r="E612" s="7"/>
      <c r="F612" s="7"/>
    </row>
    <row r="613" spans="1:6" x14ac:dyDescent="0.25">
      <c r="A613" s="7"/>
      <c r="E613" s="7"/>
      <c r="F613" s="7"/>
    </row>
    <row r="614" spans="1:6" x14ac:dyDescent="0.25">
      <c r="A614" s="7"/>
      <c r="E614" s="7"/>
      <c r="F614" s="7"/>
    </row>
    <row r="615" spans="1:6" x14ac:dyDescent="0.25">
      <c r="A615" s="7"/>
      <c r="E615" s="7"/>
      <c r="F615" s="7"/>
    </row>
    <row r="616" spans="1:6" x14ac:dyDescent="0.25">
      <c r="A616" s="7"/>
      <c r="E616" s="7"/>
      <c r="F616" s="7"/>
    </row>
    <row r="617" spans="1:6" x14ac:dyDescent="0.25">
      <c r="A617" s="7"/>
      <c r="E617" s="7"/>
      <c r="F617" s="7"/>
    </row>
    <row r="618" spans="1:6" x14ac:dyDescent="0.25">
      <c r="A618" s="7"/>
      <c r="E618" s="7"/>
      <c r="F618" s="7"/>
    </row>
    <row r="619" spans="1:6" x14ac:dyDescent="0.25">
      <c r="A619" s="7"/>
      <c r="E619" s="7"/>
      <c r="F619" s="7"/>
    </row>
    <row r="620" spans="1:6" x14ac:dyDescent="0.25">
      <c r="A620" s="7"/>
      <c r="E620" s="7"/>
      <c r="F620" s="7"/>
    </row>
    <row r="621" spans="1:6" x14ac:dyDescent="0.25">
      <c r="A621" s="7"/>
      <c r="E621" s="7"/>
      <c r="F621" s="7"/>
    </row>
    <row r="622" spans="1:6" x14ac:dyDescent="0.25">
      <c r="A622" s="7"/>
      <c r="E622" s="7"/>
      <c r="F622" s="7"/>
    </row>
    <row r="623" spans="1:6" x14ac:dyDescent="0.25">
      <c r="A623" s="7"/>
      <c r="E623" s="7"/>
      <c r="F623" s="7"/>
    </row>
    <row r="624" spans="1:6" x14ac:dyDescent="0.25">
      <c r="A624" s="7"/>
      <c r="E624" s="7"/>
      <c r="F624" s="7"/>
    </row>
    <row r="625" spans="1:6" x14ac:dyDescent="0.25">
      <c r="A625" s="7"/>
      <c r="E625" s="7"/>
      <c r="F625" s="7"/>
    </row>
    <row r="626" spans="1:6" x14ac:dyDescent="0.25">
      <c r="A626" s="7"/>
      <c r="E626" s="7"/>
      <c r="F626" s="7"/>
    </row>
    <row r="627" spans="1:6" x14ac:dyDescent="0.25">
      <c r="A627" s="7"/>
      <c r="E627" s="7"/>
      <c r="F627" s="7"/>
    </row>
    <row r="628" spans="1:6" x14ac:dyDescent="0.25">
      <c r="A628" s="7"/>
      <c r="E628" s="7"/>
      <c r="F628" s="7"/>
    </row>
    <row r="629" spans="1:6" x14ac:dyDescent="0.25">
      <c r="A629" s="7"/>
      <c r="E629" s="7"/>
      <c r="F629" s="7"/>
    </row>
    <row r="630" spans="1:6" x14ac:dyDescent="0.25">
      <c r="A630" s="7"/>
      <c r="E630" s="7"/>
      <c r="F630" s="7"/>
    </row>
    <row r="631" spans="1:6" x14ac:dyDescent="0.25">
      <c r="A631" s="7"/>
      <c r="E631" s="7"/>
      <c r="F631" s="7"/>
    </row>
    <row r="632" spans="1:6" x14ac:dyDescent="0.25">
      <c r="A632" s="7"/>
      <c r="E632" s="7"/>
      <c r="F632" s="7"/>
    </row>
    <row r="633" spans="1:6" x14ac:dyDescent="0.25">
      <c r="A633" s="7"/>
      <c r="E633" s="7"/>
      <c r="F633" s="7"/>
    </row>
    <row r="634" spans="1:6" x14ac:dyDescent="0.25">
      <c r="A634" s="7"/>
      <c r="E634" s="7"/>
      <c r="F634" s="7"/>
    </row>
    <row r="635" spans="1:6" x14ac:dyDescent="0.25">
      <c r="A635" s="7"/>
      <c r="E635" s="7"/>
      <c r="F635" s="7"/>
    </row>
    <row r="636" spans="1:6" x14ac:dyDescent="0.25">
      <c r="A636" s="7"/>
      <c r="E636" s="7"/>
      <c r="F636" s="7"/>
    </row>
    <row r="637" spans="1:6" x14ac:dyDescent="0.25">
      <c r="A637" s="7"/>
      <c r="E637" s="7"/>
      <c r="F637" s="7"/>
    </row>
    <row r="638" spans="1:6" x14ac:dyDescent="0.25">
      <c r="A638" s="7"/>
      <c r="E638" s="7"/>
      <c r="F638" s="7"/>
    </row>
    <row r="639" spans="1:6" x14ac:dyDescent="0.25">
      <c r="A639" s="7"/>
      <c r="E639" s="7"/>
      <c r="F639" s="7"/>
    </row>
    <row r="640" spans="1:6" x14ac:dyDescent="0.25">
      <c r="A640" s="7"/>
      <c r="E640" s="7"/>
      <c r="F640" s="7"/>
    </row>
    <row r="641" spans="1:6" x14ac:dyDescent="0.25">
      <c r="A641" s="7"/>
      <c r="E641" s="7"/>
      <c r="F641" s="7"/>
    </row>
    <row r="642" spans="1:6" x14ac:dyDescent="0.25">
      <c r="A642" s="7"/>
      <c r="E642" s="7"/>
      <c r="F642" s="7"/>
    </row>
    <row r="643" spans="1:6" x14ac:dyDescent="0.25">
      <c r="A643" s="7"/>
      <c r="E643" s="7"/>
      <c r="F643" s="7"/>
    </row>
    <row r="644" spans="1:6" x14ac:dyDescent="0.25">
      <c r="A644" s="7"/>
      <c r="E644" s="7"/>
      <c r="F644" s="7"/>
    </row>
    <row r="645" spans="1:6" x14ac:dyDescent="0.25">
      <c r="A645" s="7"/>
      <c r="E645" s="7"/>
      <c r="F645" s="7"/>
    </row>
    <row r="646" spans="1:6" x14ac:dyDescent="0.25">
      <c r="A646" s="7"/>
      <c r="E646" s="7"/>
      <c r="F646" s="7"/>
    </row>
    <row r="647" spans="1:6" x14ac:dyDescent="0.25">
      <c r="A647" s="7"/>
      <c r="E647" s="7"/>
      <c r="F647" s="7"/>
    </row>
    <row r="648" spans="1:6" x14ac:dyDescent="0.25">
      <c r="A648" s="7"/>
      <c r="E648" s="7"/>
      <c r="F648" s="7"/>
    </row>
    <row r="649" spans="1:6" x14ac:dyDescent="0.25">
      <c r="A649" s="7"/>
      <c r="E649" s="7"/>
      <c r="F649" s="7"/>
    </row>
    <row r="650" spans="1:6" x14ac:dyDescent="0.25">
      <c r="A650" s="7"/>
      <c r="E650" s="7"/>
      <c r="F650" s="7"/>
    </row>
    <row r="651" spans="1:6" x14ac:dyDescent="0.25">
      <c r="A651" s="7"/>
      <c r="E651" s="7"/>
      <c r="F651" s="7"/>
    </row>
    <row r="652" spans="1:6" x14ac:dyDescent="0.25">
      <c r="A652" s="7"/>
      <c r="E652" s="7"/>
      <c r="F652" s="7"/>
    </row>
    <row r="653" spans="1:6" x14ac:dyDescent="0.25">
      <c r="A653" s="7"/>
      <c r="E653" s="7"/>
      <c r="F653" s="7"/>
    </row>
    <row r="654" spans="1:6" x14ac:dyDescent="0.25">
      <c r="A654" s="7"/>
      <c r="E654" s="7"/>
      <c r="F654" s="7"/>
    </row>
    <row r="655" spans="1:6" x14ac:dyDescent="0.25">
      <c r="A655" s="7"/>
      <c r="E655" s="7"/>
      <c r="F655" s="7"/>
    </row>
    <row r="656" spans="1:6" x14ac:dyDescent="0.25">
      <c r="A656" s="7"/>
      <c r="E656" s="7"/>
      <c r="F656" s="7"/>
    </row>
    <row r="657" spans="1:6" x14ac:dyDescent="0.25">
      <c r="A657" s="7"/>
      <c r="E657" s="7"/>
      <c r="F657" s="7"/>
    </row>
    <row r="658" spans="1:6" x14ac:dyDescent="0.25">
      <c r="A658" s="7"/>
      <c r="E658" s="7"/>
      <c r="F658" s="7"/>
    </row>
    <row r="659" spans="1:6" x14ac:dyDescent="0.25">
      <c r="A659" s="7"/>
      <c r="E659" s="7"/>
      <c r="F659" s="7"/>
    </row>
    <row r="660" spans="1:6" x14ac:dyDescent="0.25">
      <c r="A660" s="7"/>
      <c r="E660" s="7"/>
      <c r="F660" s="7"/>
    </row>
    <row r="661" spans="1:6" x14ac:dyDescent="0.25">
      <c r="A661" s="7"/>
      <c r="E661" s="7"/>
      <c r="F661" s="7"/>
    </row>
    <row r="662" spans="1:6" x14ac:dyDescent="0.25">
      <c r="A662" s="7"/>
      <c r="E662" s="7"/>
      <c r="F662" s="7"/>
    </row>
    <row r="663" spans="1:6" x14ac:dyDescent="0.25">
      <c r="A663" s="7"/>
      <c r="E663" s="7"/>
      <c r="F663" s="7"/>
    </row>
    <row r="664" spans="1:6" x14ac:dyDescent="0.25">
      <c r="A664" s="7"/>
      <c r="E664" s="7"/>
      <c r="F664" s="7"/>
    </row>
    <row r="665" spans="1:6" x14ac:dyDescent="0.25">
      <c r="A665" s="7"/>
      <c r="E665" s="7"/>
      <c r="F665" s="7"/>
    </row>
    <row r="666" spans="1:6" x14ac:dyDescent="0.25">
      <c r="A666" s="7"/>
      <c r="E666" s="7"/>
      <c r="F666" s="7"/>
    </row>
    <row r="667" spans="1:6" x14ac:dyDescent="0.25">
      <c r="A667" s="7"/>
      <c r="E667" s="7"/>
      <c r="F667" s="7"/>
    </row>
    <row r="668" spans="1:6" x14ac:dyDescent="0.25">
      <c r="A668" s="7"/>
      <c r="E668" s="7"/>
      <c r="F668" s="7"/>
    </row>
    <row r="669" spans="1:6" x14ac:dyDescent="0.25">
      <c r="A669" s="7"/>
      <c r="E669" s="7"/>
      <c r="F669" s="7"/>
    </row>
    <row r="670" spans="1:6" x14ac:dyDescent="0.25">
      <c r="A670" s="7"/>
      <c r="E670" s="7"/>
      <c r="F670" s="7"/>
    </row>
    <row r="671" spans="1:6" x14ac:dyDescent="0.25">
      <c r="A671" s="7"/>
      <c r="E671" s="7"/>
      <c r="F671" s="7"/>
    </row>
    <row r="672" spans="1:6" x14ac:dyDescent="0.25">
      <c r="A672" s="7"/>
      <c r="E672" s="7"/>
      <c r="F672" s="7"/>
    </row>
    <row r="673" spans="1:6" x14ac:dyDescent="0.25">
      <c r="A673" s="7"/>
      <c r="E673" s="7"/>
      <c r="F673" s="7"/>
    </row>
    <row r="674" spans="1:6" x14ac:dyDescent="0.25">
      <c r="A674" s="7"/>
      <c r="E674" s="7"/>
      <c r="F674" s="7"/>
    </row>
    <row r="675" spans="1:6" x14ac:dyDescent="0.25">
      <c r="A675" s="7"/>
      <c r="E675" s="7"/>
      <c r="F675" s="7"/>
    </row>
    <row r="676" spans="1:6" x14ac:dyDescent="0.25">
      <c r="A676" s="7"/>
      <c r="E676" s="7"/>
      <c r="F676" s="7"/>
    </row>
    <row r="677" spans="1:6" x14ac:dyDescent="0.25">
      <c r="A677" s="7"/>
      <c r="E677" s="7"/>
      <c r="F677" s="7"/>
    </row>
    <row r="678" spans="1:6" x14ac:dyDescent="0.25">
      <c r="A678" s="7"/>
      <c r="E678" s="7"/>
      <c r="F678" s="7"/>
    </row>
    <row r="679" spans="1:6" x14ac:dyDescent="0.25">
      <c r="A679" s="7"/>
      <c r="E679" s="7"/>
      <c r="F679" s="7"/>
    </row>
    <row r="680" spans="1:6" x14ac:dyDescent="0.25">
      <c r="A680" s="7"/>
      <c r="E680" s="7"/>
      <c r="F680" s="7"/>
    </row>
    <row r="681" spans="1:6" x14ac:dyDescent="0.25">
      <c r="A681" s="7"/>
      <c r="E681" s="7"/>
      <c r="F681" s="7"/>
    </row>
    <row r="682" spans="1:6" x14ac:dyDescent="0.25">
      <c r="A682" s="7"/>
      <c r="E682" s="7"/>
      <c r="F682" s="7"/>
    </row>
    <row r="683" spans="1:6" x14ac:dyDescent="0.25">
      <c r="A683" s="7"/>
      <c r="E683" s="7"/>
      <c r="F683" s="7"/>
    </row>
    <row r="684" spans="1:6" x14ac:dyDescent="0.25">
      <c r="A684" s="7"/>
      <c r="E684" s="7"/>
      <c r="F684" s="7"/>
    </row>
    <row r="685" spans="1:6" x14ac:dyDescent="0.25">
      <c r="A685" s="7"/>
      <c r="E685" s="7"/>
      <c r="F685" s="7"/>
    </row>
    <row r="686" spans="1:6" x14ac:dyDescent="0.25">
      <c r="A686" s="7"/>
      <c r="E686" s="7"/>
      <c r="F686" s="7"/>
    </row>
    <row r="687" spans="1:6" x14ac:dyDescent="0.25">
      <c r="A687" s="7"/>
      <c r="E687" s="7"/>
      <c r="F687" s="7"/>
    </row>
    <row r="688" spans="1:6" x14ac:dyDescent="0.25">
      <c r="A688" s="7"/>
      <c r="E688" s="7"/>
      <c r="F688" s="7"/>
    </row>
    <row r="689" spans="1:6" x14ac:dyDescent="0.25">
      <c r="A689" s="7"/>
      <c r="E689" s="7"/>
      <c r="F689" s="7"/>
    </row>
    <row r="690" spans="1:6" x14ac:dyDescent="0.25">
      <c r="A690" s="7"/>
      <c r="E690" s="7"/>
      <c r="F690" s="7"/>
    </row>
    <row r="691" spans="1:6" x14ac:dyDescent="0.25">
      <c r="A691" s="7"/>
      <c r="E691" s="7"/>
      <c r="F691" s="7"/>
    </row>
    <row r="692" spans="1:6" x14ac:dyDescent="0.25">
      <c r="A692" s="7"/>
      <c r="E692" s="7"/>
      <c r="F692" s="7"/>
    </row>
    <row r="693" spans="1:6" x14ac:dyDescent="0.25">
      <c r="A693" s="7"/>
      <c r="E693" s="7"/>
      <c r="F693" s="7"/>
    </row>
    <row r="694" spans="1:6" x14ac:dyDescent="0.25">
      <c r="A694" s="7"/>
      <c r="E694" s="7"/>
      <c r="F694" s="7"/>
    </row>
    <row r="695" spans="1:6" x14ac:dyDescent="0.25">
      <c r="A695" s="7"/>
      <c r="E695" s="7"/>
      <c r="F695" s="7"/>
    </row>
    <row r="696" spans="1:6" x14ac:dyDescent="0.25">
      <c r="A696" s="7"/>
      <c r="E696" s="7"/>
      <c r="F696" s="7"/>
    </row>
    <row r="697" spans="1:6" x14ac:dyDescent="0.25">
      <c r="A697" s="7"/>
      <c r="E697" s="7"/>
      <c r="F697" s="7"/>
    </row>
    <row r="698" spans="1:6" x14ac:dyDescent="0.25">
      <c r="A698" s="7"/>
      <c r="E698" s="7"/>
      <c r="F698" s="7"/>
    </row>
    <row r="699" spans="1:6" x14ac:dyDescent="0.25">
      <c r="A699" s="7"/>
      <c r="E699" s="7"/>
      <c r="F699" s="7"/>
    </row>
    <row r="700" spans="1:6" x14ac:dyDescent="0.25">
      <c r="A700" s="7"/>
      <c r="E700" s="7"/>
      <c r="F700" s="7"/>
    </row>
    <row r="701" spans="1:6" x14ac:dyDescent="0.25">
      <c r="A701" s="7"/>
      <c r="E701" s="7"/>
      <c r="F701" s="7"/>
    </row>
    <row r="702" spans="1:6" x14ac:dyDescent="0.25">
      <c r="A702" s="7"/>
      <c r="E702" s="7"/>
      <c r="F702" s="7"/>
    </row>
    <row r="703" spans="1:6" x14ac:dyDescent="0.25">
      <c r="A703" s="7"/>
      <c r="E703" s="7"/>
      <c r="F703" s="7"/>
    </row>
    <row r="704" spans="1:6" x14ac:dyDescent="0.25">
      <c r="A704" s="7"/>
      <c r="E704" s="7"/>
      <c r="F704" s="7"/>
    </row>
    <row r="705" spans="1:6" x14ac:dyDescent="0.25">
      <c r="A705" s="7"/>
      <c r="E705" s="7"/>
      <c r="F705" s="7"/>
    </row>
    <row r="706" spans="1:6" x14ac:dyDescent="0.25">
      <c r="A706" s="7"/>
      <c r="E706" s="7"/>
      <c r="F706" s="7"/>
    </row>
    <row r="707" spans="1:6" x14ac:dyDescent="0.25">
      <c r="A707" s="7"/>
      <c r="E707" s="7"/>
      <c r="F707" s="7"/>
    </row>
    <row r="708" spans="1:6" x14ac:dyDescent="0.25">
      <c r="A708" s="7"/>
      <c r="E708" s="7"/>
      <c r="F708" s="7"/>
    </row>
    <row r="709" spans="1:6" x14ac:dyDescent="0.25">
      <c r="A709" s="7"/>
      <c r="E709" s="7"/>
      <c r="F709" s="7"/>
    </row>
    <row r="710" spans="1:6" x14ac:dyDescent="0.25">
      <c r="A710" s="7"/>
      <c r="E710" s="7"/>
      <c r="F710" s="7"/>
    </row>
    <row r="711" spans="1:6" x14ac:dyDescent="0.25">
      <c r="A711" s="7"/>
      <c r="E711" s="7"/>
      <c r="F711" s="7"/>
    </row>
    <row r="712" spans="1:6" x14ac:dyDescent="0.25">
      <c r="A712" s="7"/>
      <c r="E712" s="7"/>
      <c r="F712" s="7"/>
    </row>
    <row r="713" spans="1:6" x14ac:dyDescent="0.25">
      <c r="A713" s="7"/>
      <c r="E713" s="7"/>
      <c r="F713" s="7"/>
    </row>
    <row r="714" spans="1:6" x14ac:dyDescent="0.25">
      <c r="A714" s="7"/>
      <c r="E714" s="7"/>
      <c r="F714" s="7"/>
    </row>
    <row r="715" spans="1:6" x14ac:dyDescent="0.25">
      <c r="A715" s="7"/>
      <c r="E715" s="7"/>
      <c r="F715" s="7"/>
    </row>
    <row r="716" spans="1:6" x14ac:dyDescent="0.25">
      <c r="A716" s="7"/>
      <c r="E716" s="7"/>
      <c r="F716" s="7"/>
    </row>
    <row r="717" spans="1:6" x14ac:dyDescent="0.25">
      <c r="A717" s="7"/>
      <c r="E717" s="7"/>
      <c r="F717" s="7"/>
    </row>
    <row r="718" spans="1:6" x14ac:dyDescent="0.25">
      <c r="A718" s="7"/>
      <c r="E718" s="7"/>
      <c r="F718" s="7"/>
    </row>
    <row r="719" spans="1:6" x14ac:dyDescent="0.25">
      <c r="A719" s="7"/>
      <c r="E719" s="7"/>
      <c r="F719" s="7"/>
    </row>
    <row r="720" spans="1:6" x14ac:dyDescent="0.25">
      <c r="A720" s="7"/>
      <c r="E720" s="7"/>
      <c r="F720" s="7"/>
    </row>
    <row r="721" spans="1:6" x14ac:dyDescent="0.25">
      <c r="A721" s="7"/>
      <c r="E721" s="7"/>
      <c r="F721" s="7"/>
    </row>
    <row r="722" spans="1:6" x14ac:dyDescent="0.25">
      <c r="A722" s="7"/>
      <c r="E722" s="7"/>
      <c r="F722" s="7"/>
    </row>
    <row r="723" spans="1:6" x14ac:dyDescent="0.25">
      <c r="A723" s="7"/>
      <c r="E723" s="7"/>
      <c r="F723" s="7"/>
    </row>
    <row r="724" spans="1:6" x14ac:dyDescent="0.25">
      <c r="A724" s="7"/>
      <c r="E724" s="7"/>
      <c r="F724" s="7"/>
    </row>
    <row r="725" spans="1:6" x14ac:dyDescent="0.25">
      <c r="A725" s="7"/>
      <c r="E725" s="7"/>
      <c r="F725" s="7"/>
    </row>
    <row r="726" spans="1:6" x14ac:dyDescent="0.25">
      <c r="A726" s="7"/>
      <c r="E726" s="7"/>
      <c r="F726" s="7"/>
    </row>
    <row r="727" spans="1:6" x14ac:dyDescent="0.25">
      <c r="A727" s="7"/>
      <c r="E727" s="7"/>
      <c r="F727" s="7"/>
    </row>
    <row r="728" spans="1:6" x14ac:dyDescent="0.25">
      <c r="A728" s="7"/>
      <c r="E728" s="7"/>
      <c r="F728" s="7"/>
    </row>
    <row r="729" spans="1:6" x14ac:dyDescent="0.25">
      <c r="A729" s="7"/>
      <c r="E729" s="7"/>
      <c r="F729" s="7"/>
    </row>
    <row r="730" spans="1:6" x14ac:dyDescent="0.25">
      <c r="A730" s="7"/>
      <c r="E730" s="7"/>
      <c r="F730" s="7"/>
    </row>
    <row r="731" spans="1:6" x14ac:dyDescent="0.25">
      <c r="A731" s="7"/>
      <c r="E731" s="7"/>
      <c r="F731" s="7"/>
    </row>
    <row r="732" spans="1:6" x14ac:dyDescent="0.25">
      <c r="A732" s="7"/>
      <c r="E732" s="7"/>
      <c r="F732" s="7"/>
    </row>
    <row r="733" spans="1:6" x14ac:dyDescent="0.25">
      <c r="A733" s="7"/>
      <c r="E733" s="7"/>
      <c r="F733" s="7"/>
    </row>
    <row r="734" spans="1:6" x14ac:dyDescent="0.25">
      <c r="A734" s="7"/>
      <c r="E734" s="7"/>
      <c r="F734" s="7"/>
    </row>
    <row r="735" spans="1:6" x14ac:dyDescent="0.25">
      <c r="A735" s="7"/>
      <c r="E735" s="7"/>
      <c r="F735" s="7"/>
    </row>
    <row r="736" spans="1:6" x14ac:dyDescent="0.25">
      <c r="A736" s="7"/>
      <c r="E736" s="7"/>
      <c r="F736" s="7"/>
    </row>
    <row r="737" spans="1:6" x14ac:dyDescent="0.25">
      <c r="A737" s="7"/>
      <c r="E737" s="7"/>
      <c r="F737" s="7"/>
    </row>
    <row r="738" spans="1:6" x14ac:dyDescent="0.25">
      <c r="A738" s="7"/>
      <c r="E738" s="7"/>
      <c r="F738" s="7"/>
    </row>
    <row r="739" spans="1:6" x14ac:dyDescent="0.25">
      <c r="A739" s="7"/>
      <c r="E739" s="7"/>
      <c r="F739" s="7"/>
    </row>
    <row r="740" spans="1:6" x14ac:dyDescent="0.25">
      <c r="A740" s="7"/>
      <c r="E740" s="7"/>
      <c r="F740" s="7"/>
    </row>
    <row r="741" spans="1:6" x14ac:dyDescent="0.25">
      <c r="A741" s="7"/>
      <c r="E741" s="7"/>
      <c r="F741" s="7"/>
    </row>
    <row r="742" spans="1:6" x14ac:dyDescent="0.25">
      <c r="A742" s="7"/>
      <c r="E742" s="7"/>
      <c r="F742" s="7"/>
    </row>
    <row r="743" spans="1:6" x14ac:dyDescent="0.25">
      <c r="A743" s="7"/>
      <c r="E743" s="7"/>
      <c r="F743" s="7"/>
    </row>
    <row r="744" spans="1:6" x14ac:dyDescent="0.25">
      <c r="A744" s="7"/>
      <c r="E744" s="7"/>
      <c r="F744" s="7"/>
    </row>
    <row r="745" spans="1:6" x14ac:dyDescent="0.25">
      <c r="A745" s="7"/>
      <c r="E745" s="7"/>
      <c r="F745" s="7"/>
    </row>
    <row r="746" spans="1:6" x14ac:dyDescent="0.25">
      <c r="A746" s="7"/>
      <c r="E746" s="7"/>
      <c r="F746" s="7"/>
    </row>
    <row r="747" spans="1:6" x14ac:dyDescent="0.25">
      <c r="A747" s="7"/>
      <c r="E747" s="7"/>
      <c r="F747" s="7"/>
    </row>
    <row r="748" spans="1:6" x14ac:dyDescent="0.25">
      <c r="A748" s="7"/>
      <c r="E748" s="7"/>
      <c r="F748" s="7"/>
    </row>
    <row r="749" spans="1:6" x14ac:dyDescent="0.25">
      <c r="A749" s="7"/>
      <c r="E749" s="7"/>
      <c r="F749" s="7"/>
    </row>
    <row r="750" spans="1:6" x14ac:dyDescent="0.25">
      <c r="A750" s="7"/>
      <c r="E750" s="7"/>
      <c r="F750" s="7"/>
    </row>
    <row r="751" spans="1:6" x14ac:dyDescent="0.25">
      <c r="A751" s="7"/>
      <c r="E751" s="7"/>
      <c r="F751" s="7"/>
    </row>
    <row r="752" spans="1:6" x14ac:dyDescent="0.25">
      <c r="A752" s="7"/>
      <c r="E752" s="7"/>
      <c r="F752" s="7"/>
    </row>
    <row r="753" spans="1:6" x14ac:dyDescent="0.25">
      <c r="A753" s="7"/>
      <c r="E753" s="7"/>
      <c r="F753" s="7"/>
    </row>
    <row r="754" spans="1:6" x14ac:dyDescent="0.25">
      <c r="A754" s="7"/>
      <c r="E754" s="7"/>
      <c r="F754" s="7"/>
    </row>
    <row r="755" spans="1:6" x14ac:dyDescent="0.25">
      <c r="A755" s="7"/>
      <c r="E755" s="7"/>
      <c r="F755" s="7"/>
    </row>
    <row r="756" spans="1:6" x14ac:dyDescent="0.25">
      <c r="A756" s="7"/>
      <c r="E756" s="7"/>
      <c r="F756" s="7"/>
    </row>
    <row r="757" spans="1:6" x14ac:dyDescent="0.25">
      <c r="A757" s="7"/>
      <c r="E757" s="7"/>
      <c r="F757" s="7"/>
    </row>
    <row r="758" spans="1:6" x14ac:dyDescent="0.25">
      <c r="A758" s="7"/>
      <c r="E758" s="7"/>
      <c r="F758" s="7"/>
    </row>
    <row r="759" spans="1:6" x14ac:dyDescent="0.25">
      <c r="A759" s="7"/>
      <c r="E759" s="7"/>
      <c r="F759" s="7"/>
    </row>
    <row r="760" spans="1:6" x14ac:dyDescent="0.25">
      <c r="A760" s="7"/>
      <c r="E760" s="7"/>
      <c r="F760" s="7"/>
    </row>
    <row r="761" spans="1:6" x14ac:dyDescent="0.25">
      <c r="A761" s="7"/>
      <c r="E761" s="7"/>
      <c r="F761" s="7"/>
    </row>
    <row r="762" spans="1:6" x14ac:dyDescent="0.25">
      <c r="A762" s="7"/>
      <c r="E762" s="7"/>
      <c r="F762" s="7"/>
    </row>
    <row r="763" spans="1:6" x14ac:dyDescent="0.25">
      <c r="A763" s="7"/>
      <c r="E763" s="7"/>
      <c r="F763" s="7"/>
    </row>
    <row r="764" spans="1:6" x14ac:dyDescent="0.25">
      <c r="A764" s="7"/>
      <c r="E764" s="7"/>
      <c r="F764" s="7"/>
    </row>
    <row r="765" spans="1:6" x14ac:dyDescent="0.25">
      <c r="A765" s="7"/>
      <c r="E765" s="7"/>
      <c r="F765" s="7"/>
    </row>
    <row r="766" spans="1:6" x14ac:dyDescent="0.25">
      <c r="A766" s="7"/>
      <c r="E766" s="7"/>
      <c r="F766" s="7"/>
    </row>
    <row r="767" spans="1:6" x14ac:dyDescent="0.25">
      <c r="A767" s="7"/>
      <c r="E767" s="7"/>
      <c r="F767" s="7"/>
    </row>
    <row r="768" spans="1:6" x14ac:dyDescent="0.25">
      <c r="A768" s="7"/>
      <c r="E768" s="7"/>
      <c r="F768" s="7"/>
    </row>
    <row r="769" spans="1:6" x14ac:dyDescent="0.25">
      <c r="A769" s="7"/>
      <c r="E769" s="7"/>
      <c r="F769" s="7"/>
    </row>
    <row r="770" spans="1:6" x14ac:dyDescent="0.25">
      <c r="A770" s="7"/>
      <c r="E770" s="7"/>
      <c r="F770" s="7"/>
    </row>
    <row r="771" spans="1:6" x14ac:dyDescent="0.25">
      <c r="A771" s="7"/>
      <c r="E771" s="7"/>
      <c r="F771" s="7"/>
    </row>
    <row r="772" spans="1:6" x14ac:dyDescent="0.25">
      <c r="A772" s="7"/>
      <c r="E772" s="7"/>
      <c r="F772" s="7"/>
    </row>
    <row r="773" spans="1:6" x14ac:dyDescent="0.25">
      <c r="A773" s="7"/>
      <c r="E773" s="7"/>
      <c r="F773" s="7"/>
    </row>
    <row r="774" spans="1:6" x14ac:dyDescent="0.25">
      <c r="A774" s="7"/>
      <c r="E774" s="7"/>
      <c r="F774" s="7"/>
    </row>
    <row r="775" spans="1:6" x14ac:dyDescent="0.25">
      <c r="A775" s="7"/>
      <c r="E775" s="7"/>
      <c r="F775" s="7"/>
    </row>
    <row r="776" spans="1:6" x14ac:dyDescent="0.25">
      <c r="A776" s="7"/>
      <c r="E776" s="7"/>
      <c r="F776" s="7"/>
    </row>
    <row r="777" spans="1:6" x14ac:dyDescent="0.25">
      <c r="A777" s="7"/>
      <c r="E777" s="7"/>
      <c r="F777" s="7"/>
    </row>
    <row r="778" spans="1:6" x14ac:dyDescent="0.25">
      <c r="A778" s="7"/>
      <c r="E778" s="7"/>
      <c r="F778" s="7"/>
    </row>
    <row r="779" spans="1:6" x14ac:dyDescent="0.25">
      <c r="A779" s="7"/>
      <c r="E779" s="7"/>
      <c r="F779" s="7"/>
    </row>
    <row r="780" spans="1:6" x14ac:dyDescent="0.25">
      <c r="A780" s="7"/>
      <c r="E780" s="7"/>
      <c r="F780" s="7"/>
    </row>
    <row r="781" spans="1:6" x14ac:dyDescent="0.25">
      <c r="A781" s="7"/>
      <c r="E781" s="7"/>
      <c r="F781" s="7"/>
    </row>
    <row r="782" spans="1:6" x14ac:dyDescent="0.25">
      <c r="A782" s="7"/>
      <c r="E782" s="7"/>
      <c r="F782" s="7"/>
    </row>
    <row r="783" spans="1:6" x14ac:dyDescent="0.25">
      <c r="A783" s="7"/>
      <c r="E783" s="7"/>
      <c r="F783" s="7"/>
    </row>
    <row r="784" spans="1:6" x14ac:dyDescent="0.25">
      <c r="A784" s="7"/>
      <c r="E784" s="7"/>
      <c r="F784" s="7"/>
    </row>
    <row r="785" spans="1:6" x14ac:dyDescent="0.25">
      <c r="A785" s="7"/>
      <c r="E785" s="7"/>
      <c r="F785" s="7"/>
    </row>
    <row r="786" spans="1:6" x14ac:dyDescent="0.25">
      <c r="A786" s="7"/>
      <c r="E786" s="7"/>
      <c r="F786" s="7"/>
    </row>
    <row r="787" spans="1:6" x14ac:dyDescent="0.25">
      <c r="A787" s="7"/>
      <c r="E787" s="7"/>
      <c r="F787" s="7"/>
    </row>
    <row r="788" spans="1:6" x14ac:dyDescent="0.25">
      <c r="A788" s="7"/>
      <c r="E788" s="7"/>
      <c r="F788" s="7"/>
    </row>
    <row r="789" spans="1:6" x14ac:dyDescent="0.25">
      <c r="A789" s="7"/>
      <c r="E789" s="7"/>
      <c r="F789" s="7"/>
    </row>
    <row r="790" spans="1:6" x14ac:dyDescent="0.25">
      <c r="A790" s="7"/>
      <c r="E790" s="7"/>
      <c r="F790" s="7"/>
    </row>
    <row r="791" spans="1:6" x14ac:dyDescent="0.25">
      <c r="A791" s="7"/>
      <c r="E791" s="7"/>
      <c r="F791" s="7"/>
    </row>
    <row r="792" spans="1:6" x14ac:dyDescent="0.25">
      <c r="A792" s="7"/>
      <c r="E792" s="7"/>
      <c r="F792" s="7"/>
    </row>
    <row r="793" spans="1:6" x14ac:dyDescent="0.25">
      <c r="A793" s="7"/>
      <c r="E793" s="7"/>
      <c r="F793" s="7"/>
    </row>
    <row r="794" spans="1:6" x14ac:dyDescent="0.25">
      <c r="A794" s="7"/>
      <c r="E794" s="7"/>
      <c r="F794" s="7"/>
    </row>
    <row r="795" spans="1:6" x14ac:dyDescent="0.25">
      <c r="A795" s="7"/>
      <c r="E795" s="7"/>
      <c r="F795" s="7"/>
    </row>
    <row r="796" spans="1:6" x14ac:dyDescent="0.25">
      <c r="A796" s="7"/>
      <c r="E796" s="7"/>
      <c r="F796" s="7"/>
    </row>
    <row r="797" spans="1:6" x14ac:dyDescent="0.25">
      <c r="A797" s="7"/>
      <c r="E797" s="7"/>
      <c r="F797" s="7"/>
    </row>
    <row r="798" spans="1:6" x14ac:dyDescent="0.25">
      <c r="A798" s="7"/>
      <c r="E798" s="7"/>
      <c r="F798" s="7"/>
    </row>
    <row r="799" spans="1:6" x14ac:dyDescent="0.25">
      <c r="A799" s="7"/>
      <c r="E799" s="7"/>
      <c r="F799" s="7"/>
    </row>
    <row r="800" spans="1:6" x14ac:dyDescent="0.25">
      <c r="A800" s="7"/>
      <c r="E800" s="7"/>
      <c r="F800" s="7"/>
    </row>
    <row r="801" spans="1:6" x14ac:dyDescent="0.25">
      <c r="A801" s="7"/>
      <c r="E801" s="7"/>
      <c r="F801" s="7"/>
    </row>
    <row r="802" spans="1:6" x14ac:dyDescent="0.25">
      <c r="A802" s="7"/>
      <c r="E802" s="7"/>
      <c r="F802" s="7"/>
    </row>
    <row r="803" spans="1:6" x14ac:dyDescent="0.25">
      <c r="A803" s="7"/>
      <c r="E803" s="7"/>
      <c r="F803" s="7"/>
    </row>
    <row r="804" spans="1:6" x14ac:dyDescent="0.25">
      <c r="A804" s="7"/>
      <c r="E804" s="7"/>
      <c r="F804" s="7"/>
    </row>
    <row r="805" spans="1:6" x14ac:dyDescent="0.25">
      <c r="A805" s="7"/>
      <c r="E805" s="7"/>
      <c r="F805" s="7"/>
    </row>
    <row r="806" spans="1:6" x14ac:dyDescent="0.25">
      <c r="A806" s="7"/>
      <c r="E806" s="7"/>
      <c r="F806" s="7"/>
    </row>
    <row r="807" spans="1:6" x14ac:dyDescent="0.25">
      <c r="A807" s="7"/>
      <c r="E807" s="7"/>
      <c r="F807" s="7"/>
    </row>
    <row r="808" spans="1:6" x14ac:dyDescent="0.25">
      <c r="A808" s="7"/>
      <c r="E808" s="7"/>
      <c r="F808" s="7"/>
    </row>
    <row r="809" spans="1:6" x14ac:dyDescent="0.25">
      <c r="A809" s="7"/>
      <c r="E809" s="7"/>
      <c r="F809" s="7"/>
    </row>
    <row r="810" spans="1:6" x14ac:dyDescent="0.25">
      <c r="A810" s="7"/>
      <c r="E810" s="7"/>
      <c r="F810" s="7"/>
    </row>
    <row r="811" spans="1:6" x14ac:dyDescent="0.25">
      <c r="A811" s="7"/>
      <c r="E811" s="7"/>
      <c r="F811" s="7"/>
    </row>
    <row r="812" spans="1:6" x14ac:dyDescent="0.25">
      <c r="A812" s="7"/>
      <c r="E812" s="7"/>
      <c r="F812" s="7"/>
    </row>
    <row r="813" spans="1:6" x14ac:dyDescent="0.25">
      <c r="A813" s="7"/>
      <c r="E813" s="7"/>
      <c r="F813" s="7"/>
    </row>
    <row r="814" spans="1:6" x14ac:dyDescent="0.25">
      <c r="A814" s="7"/>
      <c r="E814" s="7"/>
      <c r="F814" s="7"/>
    </row>
    <row r="815" spans="1:6" x14ac:dyDescent="0.25">
      <c r="A815" s="7"/>
      <c r="E815" s="7"/>
      <c r="F815" s="7"/>
    </row>
    <row r="816" spans="1:6" x14ac:dyDescent="0.25">
      <c r="A816" s="7"/>
      <c r="E816" s="7"/>
      <c r="F816" s="7"/>
    </row>
    <row r="817" spans="1:6" x14ac:dyDescent="0.25">
      <c r="A817" s="7"/>
      <c r="E817" s="7"/>
      <c r="F817" s="7"/>
    </row>
    <row r="818" spans="1:6" x14ac:dyDescent="0.25">
      <c r="A818" s="7"/>
      <c r="E818" s="7"/>
      <c r="F818" s="7"/>
    </row>
    <row r="819" spans="1:6" x14ac:dyDescent="0.25">
      <c r="A819" s="7"/>
      <c r="E819" s="7"/>
      <c r="F819" s="7"/>
    </row>
    <row r="820" spans="1:6" x14ac:dyDescent="0.25">
      <c r="A820" s="7"/>
      <c r="E820" s="7"/>
      <c r="F820" s="7"/>
    </row>
    <row r="821" spans="1:6" x14ac:dyDescent="0.25">
      <c r="A821" s="7"/>
      <c r="E821" s="7"/>
      <c r="F821" s="7"/>
    </row>
    <row r="822" spans="1:6" x14ac:dyDescent="0.25">
      <c r="A822" s="7"/>
      <c r="E822" s="7"/>
      <c r="F822" s="7"/>
    </row>
    <row r="823" spans="1:6" x14ac:dyDescent="0.25">
      <c r="A823" s="7"/>
      <c r="E823" s="7"/>
      <c r="F823" s="7"/>
    </row>
    <row r="824" spans="1:6" x14ac:dyDescent="0.25">
      <c r="A824" s="7"/>
      <c r="E824" s="7"/>
      <c r="F824" s="7"/>
    </row>
    <row r="825" spans="1:6" x14ac:dyDescent="0.25">
      <c r="A825" s="7"/>
      <c r="E825" s="7"/>
      <c r="F825" s="7"/>
    </row>
    <row r="826" spans="1:6" x14ac:dyDescent="0.25">
      <c r="A826" s="7"/>
      <c r="E826" s="7"/>
      <c r="F826" s="7"/>
    </row>
    <row r="827" spans="1:6" x14ac:dyDescent="0.25">
      <c r="A827" s="7"/>
      <c r="E827" s="7"/>
      <c r="F827" s="7"/>
    </row>
    <row r="828" spans="1:6" x14ac:dyDescent="0.25">
      <c r="A828" s="7"/>
      <c r="E828" s="7"/>
      <c r="F828" s="7"/>
    </row>
    <row r="829" spans="1:6" x14ac:dyDescent="0.25">
      <c r="A829" s="7"/>
      <c r="E829" s="7"/>
      <c r="F829" s="7"/>
    </row>
    <row r="830" spans="1:6" x14ac:dyDescent="0.25">
      <c r="A830" s="7"/>
      <c r="E830" s="7"/>
      <c r="F830" s="7"/>
    </row>
    <row r="831" spans="1:6" x14ac:dyDescent="0.25">
      <c r="A831" s="7"/>
      <c r="E831" s="7"/>
      <c r="F831" s="7"/>
    </row>
    <row r="832" spans="1:6" x14ac:dyDescent="0.25">
      <c r="A832" s="7"/>
      <c r="E832" s="7"/>
      <c r="F832" s="7"/>
    </row>
    <row r="833" spans="1:6" x14ac:dyDescent="0.25">
      <c r="A833" s="7"/>
      <c r="E833" s="7"/>
      <c r="F833" s="7"/>
    </row>
    <row r="834" spans="1:6" x14ac:dyDescent="0.25">
      <c r="A834" s="7"/>
      <c r="E834" s="7"/>
      <c r="F834" s="7"/>
    </row>
    <row r="835" spans="1:6" x14ac:dyDescent="0.25">
      <c r="A835" s="7"/>
      <c r="E835" s="7"/>
      <c r="F835" s="7"/>
    </row>
    <row r="836" spans="1:6" x14ac:dyDescent="0.25">
      <c r="A836" s="7"/>
      <c r="E836" s="7"/>
      <c r="F836" s="7"/>
    </row>
    <row r="837" spans="1:6" x14ac:dyDescent="0.25">
      <c r="A837" s="7"/>
      <c r="E837" s="7"/>
      <c r="F837" s="7"/>
    </row>
    <row r="838" spans="1:6" x14ac:dyDescent="0.25">
      <c r="A838" s="7"/>
      <c r="E838" s="7"/>
      <c r="F838" s="7"/>
    </row>
    <row r="839" spans="1:6" x14ac:dyDescent="0.25">
      <c r="A839" s="7"/>
      <c r="E839" s="7"/>
      <c r="F839" s="7"/>
    </row>
    <row r="840" spans="1:6" x14ac:dyDescent="0.25">
      <c r="A840" s="7"/>
      <c r="E840" s="7"/>
      <c r="F840" s="7"/>
    </row>
    <row r="841" spans="1:6" x14ac:dyDescent="0.25">
      <c r="A841" s="7"/>
      <c r="E841" s="7"/>
      <c r="F841" s="7"/>
    </row>
    <row r="842" spans="1:6" x14ac:dyDescent="0.25">
      <c r="A842" s="7"/>
      <c r="E842" s="7"/>
      <c r="F842" s="7"/>
    </row>
    <row r="843" spans="1:6" x14ac:dyDescent="0.25">
      <c r="A843" s="7"/>
      <c r="E843" s="7"/>
      <c r="F843" s="7"/>
    </row>
    <row r="844" spans="1:6" x14ac:dyDescent="0.25">
      <c r="A844" s="7"/>
      <c r="E844" s="7"/>
      <c r="F844" s="7"/>
    </row>
    <row r="845" spans="1:6" x14ac:dyDescent="0.25">
      <c r="A845" s="7"/>
      <c r="E845" s="7"/>
      <c r="F845" s="7"/>
    </row>
    <row r="846" spans="1:6" x14ac:dyDescent="0.25">
      <c r="A846" s="7"/>
      <c r="E846" s="7"/>
      <c r="F846" s="7"/>
    </row>
    <row r="847" spans="1:6" x14ac:dyDescent="0.25">
      <c r="A847" s="7"/>
      <c r="E847" s="7"/>
      <c r="F847" s="7"/>
    </row>
    <row r="848" spans="1:6" x14ac:dyDescent="0.25">
      <c r="A848" s="7"/>
      <c r="E848" s="7"/>
      <c r="F848" s="7"/>
    </row>
    <row r="849" spans="1:6" x14ac:dyDescent="0.25">
      <c r="A849" s="7"/>
      <c r="E849" s="7"/>
      <c r="F849" s="7"/>
    </row>
    <row r="850" spans="1:6" x14ac:dyDescent="0.25">
      <c r="A850" s="7"/>
      <c r="E850" s="7"/>
      <c r="F850" s="7"/>
    </row>
    <row r="851" spans="1:6" x14ac:dyDescent="0.25">
      <c r="A851" s="7"/>
      <c r="E851" s="7"/>
      <c r="F851" s="7"/>
    </row>
    <row r="852" spans="1:6" x14ac:dyDescent="0.25">
      <c r="A852" s="7"/>
      <c r="E852" s="7"/>
      <c r="F852" s="7"/>
    </row>
    <row r="853" spans="1:6" x14ac:dyDescent="0.25">
      <c r="A853" s="7"/>
      <c r="E853" s="7"/>
      <c r="F853" s="7"/>
    </row>
    <row r="854" spans="1:6" x14ac:dyDescent="0.25">
      <c r="A854" s="7"/>
      <c r="E854" s="7"/>
      <c r="F854" s="7"/>
    </row>
    <row r="855" spans="1:6" x14ac:dyDescent="0.25">
      <c r="A855" s="7"/>
      <c r="E855" s="7"/>
      <c r="F855" s="7"/>
    </row>
    <row r="856" spans="1:6" x14ac:dyDescent="0.25">
      <c r="A856" s="7"/>
      <c r="E856" s="7"/>
      <c r="F856" s="7"/>
    </row>
    <row r="857" spans="1:6" x14ac:dyDescent="0.25">
      <c r="A857" s="7"/>
      <c r="E857" s="7"/>
      <c r="F857" s="7"/>
    </row>
    <row r="858" spans="1:6" x14ac:dyDescent="0.25">
      <c r="A858" s="7"/>
      <c r="E858" s="7"/>
      <c r="F858" s="7"/>
    </row>
    <row r="859" spans="1:6" x14ac:dyDescent="0.25">
      <c r="A859" s="7"/>
      <c r="E859" s="7"/>
      <c r="F859" s="7"/>
    </row>
    <row r="860" spans="1:6" x14ac:dyDescent="0.25">
      <c r="A860" s="7"/>
      <c r="E860" s="7"/>
      <c r="F860" s="7"/>
    </row>
    <row r="861" spans="1:6" x14ac:dyDescent="0.25">
      <c r="A861" s="7"/>
      <c r="E861" s="7"/>
      <c r="F861" s="7"/>
    </row>
    <row r="862" spans="1:6" x14ac:dyDescent="0.25">
      <c r="A862" s="7"/>
      <c r="E862" s="7"/>
      <c r="F862" s="7"/>
    </row>
    <row r="863" spans="1:6" x14ac:dyDescent="0.25">
      <c r="A863" s="7"/>
      <c r="E863" s="7"/>
      <c r="F863" s="7"/>
    </row>
    <row r="864" spans="1:6" x14ac:dyDescent="0.25">
      <c r="A864" s="7"/>
      <c r="E864" s="7"/>
      <c r="F864" s="7"/>
    </row>
    <row r="865" spans="1:6" x14ac:dyDescent="0.25">
      <c r="A865" s="7"/>
      <c r="E865" s="7"/>
      <c r="F865" s="7"/>
    </row>
    <row r="866" spans="1:6" x14ac:dyDescent="0.25">
      <c r="A866" s="7"/>
      <c r="E866" s="7"/>
      <c r="F866" s="7"/>
    </row>
    <row r="867" spans="1:6" x14ac:dyDescent="0.25">
      <c r="A867" s="7"/>
      <c r="E867" s="7"/>
      <c r="F867" s="7"/>
    </row>
    <row r="868" spans="1:6" x14ac:dyDescent="0.25">
      <c r="A868" s="7"/>
      <c r="E868" s="7"/>
      <c r="F868" s="7"/>
    </row>
    <row r="869" spans="1:6" x14ac:dyDescent="0.25">
      <c r="A869" s="7"/>
      <c r="E869" s="7"/>
      <c r="F869" s="7"/>
    </row>
    <row r="870" spans="1:6" x14ac:dyDescent="0.25">
      <c r="A870" s="7"/>
      <c r="E870" s="7"/>
      <c r="F870" s="7"/>
    </row>
    <row r="871" spans="1:6" x14ac:dyDescent="0.25">
      <c r="A871" s="7"/>
      <c r="E871" s="7"/>
      <c r="F871" s="7"/>
    </row>
    <row r="872" spans="1:6" x14ac:dyDescent="0.25">
      <c r="A872" s="7"/>
      <c r="E872" s="7"/>
      <c r="F872" s="7"/>
    </row>
    <row r="873" spans="1:6" x14ac:dyDescent="0.25">
      <c r="A873" s="7"/>
      <c r="E873" s="7"/>
      <c r="F873" s="7"/>
    </row>
    <row r="874" spans="1:6" x14ac:dyDescent="0.25">
      <c r="A874" s="7"/>
      <c r="E874" s="7"/>
      <c r="F874" s="7"/>
    </row>
    <row r="875" spans="1:6" x14ac:dyDescent="0.25">
      <c r="A875" s="7"/>
      <c r="E875" s="7"/>
      <c r="F875" s="7"/>
    </row>
    <row r="876" spans="1:6" x14ac:dyDescent="0.25">
      <c r="A876" s="7"/>
      <c r="E876" s="7"/>
      <c r="F876" s="7"/>
    </row>
    <row r="877" spans="1:6" x14ac:dyDescent="0.25">
      <c r="A877" s="7"/>
      <c r="E877" s="7"/>
      <c r="F877" s="7"/>
    </row>
    <row r="878" spans="1:6" x14ac:dyDescent="0.25">
      <c r="A878" s="7"/>
      <c r="E878" s="7"/>
      <c r="F878" s="7"/>
    </row>
    <row r="879" spans="1:6" x14ac:dyDescent="0.25">
      <c r="A879" s="7"/>
      <c r="E879" s="7"/>
      <c r="F879" s="7"/>
    </row>
    <row r="880" spans="1:6" x14ac:dyDescent="0.25">
      <c r="A880" s="7"/>
      <c r="E880" s="7"/>
      <c r="F880" s="7"/>
    </row>
    <row r="881" spans="1:6" x14ac:dyDescent="0.25">
      <c r="A881" s="7"/>
      <c r="E881" s="7"/>
      <c r="F881" s="7"/>
    </row>
    <row r="882" spans="1:6" x14ac:dyDescent="0.25">
      <c r="A882" s="7"/>
      <c r="E882" s="7"/>
      <c r="F882" s="7"/>
    </row>
    <row r="883" spans="1:6" x14ac:dyDescent="0.25">
      <c r="A883" s="7"/>
      <c r="E883" s="7"/>
      <c r="F883" s="7"/>
    </row>
    <row r="884" spans="1:6" x14ac:dyDescent="0.25">
      <c r="A884" s="7"/>
      <c r="E884" s="7"/>
      <c r="F884" s="7"/>
    </row>
    <row r="885" spans="1:6" x14ac:dyDescent="0.25">
      <c r="A885" s="7"/>
      <c r="E885" s="7"/>
      <c r="F885" s="7"/>
    </row>
    <row r="886" spans="1:6" x14ac:dyDescent="0.25">
      <c r="A886" s="7"/>
      <c r="E886" s="7"/>
      <c r="F886" s="7"/>
    </row>
    <row r="887" spans="1:6" x14ac:dyDescent="0.25">
      <c r="A887" s="7"/>
      <c r="E887" s="7"/>
      <c r="F887" s="7"/>
    </row>
    <row r="888" spans="1:6" x14ac:dyDescent="0.25">
      <c r="A888" s="7"/>
      <c r="E888" s="7"/>
      <c r="F888" s="7"/>
    </row>
    <row r="889" spans="1:6" x14ac:dyDescent="0.25">
      <c r="A889" s="7"/>
      <c r="E889" s="7"/>
      <c r="F889" s="7"/>
    </row>
    <row r="890" spans="1:6" x14ac:dyDescent="0.25">
      <c r="A890" s="7"/>
      <c r="E890" s="7"/>
      <c r="F890" s="7"/>
    </row>
    <row r="891" spans="1:6" x14ac:dyDescent="0.25">
      <c r="A891" s="7"/>
      <c r="E891" s="7"/>
      <c r="F891" s="7"/>
    </row>
    <row r="892" spans="1:6" x14ac:dyDescent="0.25">
      <c r="A892" s="7"/>
      <c r="E892" s="7"/>
      <c r="F892" s="7"/>
    </row>
    <row r="893" spans="1:6" x14ac:dyDescent="0.25">
      <c r="A893" s="7"/>
      <c r="E893" s="7"/>
      <c r="F893" s="7"/>
    </row>
    <row r="894" spans="1:6" x14ac:dyDescent="0.25">
      <c r="A894" s="7"/>
      <c r="E894" s="7"/>
      <c r="F894" s="7"/>
    </row>
    <row r="895" spans="1:6" x14ac:dyDescent="0.25">
      <c r="A895" s="7"/>
      <c r="E895" s="7"/>
      <c r="F895" s="7"/>
    </row>
    <row r="896" spans="1:6" x14ac:dyDescent="0.25">
      <c r="A896" s="7"/>
      <c r="E896" s="7"/>
      <c r="F896" s="7"/>
    </row>
    <row r="897" spans="1:6" x14ac:dyDescent="0.25">
      <c r="A897" s="7"/>
      <c r="E897" s="7"/>
      <c r="F897" s="7"/>
    </row>
    <row r="898" spans="1:6" x14ac:dyDescent="0.25">
      <c r="A898" s="7"/>
      <c r="E898" s="7"/>
      <c r="F898" s="7"/>
    </row>
    <row r="899" spans="1:6" x14ac:dyDescent="0.25">
      <c r="A899" s="7"/>
      <c r="E899" s="7"/>
      <c r="F899" s="7"/>
    </row>
    <row r="900" spans="1:6" x14ac:dyDescent="0.25">
      <c r="A900" s="7"/>
      <c r="E900" s="7"/>
      <c r="F900" s="7"/>
    </row>
    <row r="901" spans="1:6" x14ac:dyDescent="0.25">
      <c r="A901" s="7"/>
      <c r="E901" s="7"/>
      <c r="F901" s="7"/>
    </row>
    <row r="902" spans="1:6" x14ac:dyDescent="0.25">
      <c r="A902" s="7"/>
      <c r="E902" s="7"/>
      <c r="F902" s="7"/>
    </row>
    <row r="903" spans="1:6" x14ac:dyDescent="0.25">
      <c r="A903" s="7"/>
      <c r="E903" s="7"/>
      <c r="F903" s="7"/>
    </row>
    <row r="904" spans="1:6" x14ac:dyDescent="0.25">
      <c r="A904" s="7"/>
      <c r="E904" s="7"/>
      <c r="F904" s="7"/>
    </row>
    <row r="905" spans="1:6" x14ac:dyDescent="0.25">
      <c r="A905" s="7"/>
      <c r="E905" s="7"/>
      <c r="F905" s="7"/>
    </row>
    <row r="906" spans="1:6" x14ac:dyDescent="0.25">
      <c r="A906" s="7"/>
      <c r="E906" s="7"/>
      <c r="F906" s="7"/>
    </row>
    <row r="907" spans="1:6" x14ac:dyDescent="0.25">
      <c r="A907" s="7"/>
      <c r="E907" s="7"/>
      <c r="F907" s="7"/>
    </row>
    <row r="908" spans="1:6" x14ac:dyDescent="0.25">
      <c r="A908" s="7"/>
      <c r="E908" s="7"/>
      <c r="F908" s="7"/>
    </row>
    <row r="909" spans="1:6" x14ac:dyDescent="0.25">
      <c r="A909" s="7"/>
      <c r="E909" s="7"/>
      <c r="F909" s="7"/>
    </row>
    <row r="910" spans="1:6" x14ac:dyDescent="0.25">
      <c r="A910" s="7"/>
      <c r="E910" s="7"/>
      <c r="F910" s="7"/>
    </row>
    <row r="911" spans="1:6" x14ac:dyDescent="0.25">
      <c r="A911" s="7"/>
      <c r="E911" s="7"/>
      <c r="F911" s="7"/>
    </row>
    <row r="912" spans="1:6" x14ac:dyDescent="0.25">
      <c r="A912" s="7"/>
      <c r="E912" s="7"/>
      <c r="F912" s="7"/>
    </row>
    <row r="913" spans="1:6" x14ac:dyDescent="0.25">
      <c r="A913" s="7"/>
      <c r="E913" s="7"/>
      <c r="F913" s="7"/>
    </row>
    <row r="914" spans="1:6" x14ac:dyDescent="0.25">
      <c r="A914" s="7"/>
      <c r="E914" s="7"/>
      <c r="F914" s="7"/>
    </row>
    <row r="915" spans="1:6" x14ac:dyDescent="0.25">
      <c r="A915" s="7"/>
      <c r="E915" s="7"/>
      <c r="F915" s="7"/>
    </row>
    <row r="916" spans="1:6" x14ac:dyDescent="0.25">
      <c r="A916" s="7"/>
      <c r="E916" s="7"/>
      <c r="F916" s="7"/>
    </row>
    <row r="917" spans="1:6" x14ac:dyDescent="0.25">
      <c r="A917" s="7"/>
      <c r="E917" s="7"/>
      <c r="F917" s="7"/>
    </row>
    <row r="918" spans="1:6" x14ac:dyDescent="0.25">
      <c r="A918" s="7"/>
      <c r="E918" s="7"/>
      <c r="F918" s="7"/>
    </row>
    <row r="919" spans="1:6" x14ac:dyDescent="0.25">
      <c r="A919" s="7"/>
      <c r="E919" s="7"/>
      <c r="F919" s="7"/>
    </row>
    <row r="920" spans="1:6" x14ac:dyDescent="0.25">
      <c r="A920" s="7"/>
      <c r="E920" s="7"/>
      <c r="F920" s="7"/>
    </row>
    <row r="921" spans="1:6" x14ac:dyDescent="0.25">
      <c r="A921" s="7"/>
      <c r="E921" s="7"/>
      <c r="F921" s="7"/>
    </row>
    <row r="922" spans="1:6" x14ac:dyDescent="0.25">
      <c r="A922" s="7"/>
      <c r="E922" s="7"/>
      <c r="F922" s="7"/>
    </row>
    <row r="923" spans="1:6" x14ac:dyDescent="0.25">
      <c r="A923" s="7"/>
      <c r="E923" s="7"/>
      <c r="F923" s="7"/>
    </row>
    <row r="924" spans="1:6" x14ac:dyDescent="0.25">
      <c r="A924" s="7"/>
      <c r="E924" s="7"/>
      <c r="F924" s="7"/>
    </row>
    <row r="925" spans="1:6" x14ac:dyDescent="0.25">
      <c r="A925" s="7"/>
      <c r="E925" s="7"/>
      <c r="F925" s="7"/>
    </row>
    <row r="926" spans="1:6" x14ac:dyDescent="0.25">
      <c r="A926" s="7"/>
      <c r="E926" s="7"/>
      <c r="F926" s="7"/>
    </row>
    <row r="927" spans="1:6" x14ac:dyDescent="0.25">
      <c r="A927" s="7"/>
      <c r="E927" s="7"/>
      <c r="F927" s="7"/>
    </row>
    <row r="928" spans="1:6" x14ac:dyDescent="0.25">
      <c r="A928" s="7"/>
      <c r="E928" s="7"/>
      <c r="F928" s="7"/>
    </row>
    <row r="929" spans="1:6" x14ac:dyDescent="0.25">
      <c r="A929" s="7"/>
      <c r="E929" s="7"/>
      <c r="F929" s="7"/>
    </row>
    <row r="930" spans="1:6" x14ac:dyDescent="0.25">
      <c r="A930" s="7"/>
      <c r="E930" s="7"/>
      <c r="F930" s="7"/>
    </row>
    <row r="931" spans="1:6" x14ac:dyDescent="0.25">
      <c r="A931" s="7"/>
      <c r="E931" s="7"/>
      <c r="F931" s="7"/>
    </row>
    <row r="932" spans="1:6" x14ac:dyDescent="0.25">
      <c r="A932" s="7"/>
      <c r="E932" s="7"/>
      <c r="F932" s="7"/>
    </row>
    <row r="933" spans="1:6" x14ac:dyDescent="0.25">
      <c r="A933" s="7"/>
      <c r="E933" s="7"/>
      <c r="F933" s="7"/>
    </row>
    <row r="934" spans="1:6" x14ac:dyDescent="0.25">
      <c r="A934" s="7"/>
      <c r="E934" s="7"/>
      <c r="F934" s="7"/>
    </row>
    <row r="935" spans="1:6" x14ac:dyDescent="0.25">
      <c r="A935" s="7"/>
      <c r="E935" s="7"/>
      <c r="F935" s="7"/>
    </row>
    <row r="936" spans="1:6" x14ac:dyDescent="0.25">
      <c r="A936" s="7"/>
      <c r="E936" s="7"/>
      <c r="F936" s="7"/>
    </row>
    <row r="937" spans="1:6" x14ac:dyDescent="0.25">
      <c r="A937" s="7"/>
      <c r="E937" s="7"/>
      <c r="F937" s="7"/>
    </row>
    <row r="938" spans="1:6" x14ac:dyDescent="0.25">
      <c r="A938" s="7"/>
      <c r="E938" s="7"/>
      <c r="F938" s="7"/>
    </row>
    <row r="939" spans="1:6" x14ac:dyDescent="0.25">
      <c r="A939" s="7"/>
      <c r="E939" s="7"/>
      <c r="F939" s="7"/>
    </row>
    <row r="940" spans="1:6" x14ac:dyDescent="0.25">
      <c r="A940" s="7"/>
      <c r="E940" s="7"/>
      <c r="F940" s="7"/>
    </row>
    <row r="941" spans="1:6" x14ac:dyDescent="0.25">
      <c r="A941" s="7"/>
      <c r="E941" s="7"/>
      <c r="F941" s="7"/>
    </row>
    <row r="942" spans="1:6" x14ac:dyDescent="0.25">
      <c r="A942" s="7"/>
      <c r="E942" s="7"/>
      <c r="F942" s="7"/>
    </row>
    <row r="943" spans="1:6" x14ac:dyDescent="0.25">
      <c r="A943" s="7"/>
      <c r="E943" s="7"/>
      <c r="F943" s="7"/>
    </row>
    <row r="944" spans="1:6" x14ac:dyDescent="0.25">
      <c r="A944" s="7"/>
      <c r="E944" s="7"/>
      <c r="F944" s="7"/>
    </row>
    <row r="945" spans="1:6" x14ac:dyDescent="0.25">
      <c r="A945" s="7"/>
      <c r="E945" s="7"/>
      <c r="F945" s="7"/>
    </row>
    <row r="946" spans="1:6" x14ac:dyDescent="0.25">
      <c r="A946" s="7"/>
      <c r="E946" s="7"/>
      <c r="F946" s="7"/>
    </row>
    <row r="947" spans="1:6" x14ac:dyDescent="0.25">
      <c r="A947" s="7"/>
      <c r="E947" s="7"/>
      <c r="F947" s="7"/>
    </row>
    <row r="948" spans="1:6" x14ac:dyDescent="0.25">
      <c r="A948" s="7"/>
      <c r="E948" s="7"/>
      <c r="F948" s="7"/>
    </row>
    <row r="949" spans="1:6" x14ac:dyDescent="0.25">
      <c r="A949" s="7"/>
      <c r="E949" s="7"/>
      <c r="F949" s="7"/>
    </row>
    <row r="950" spans="1:6" x14ac:dyDescent="0.25">
      <c r="A950" s="7"/>
      <c r="E950" s="7"/>
      <c r="F950" s="7"/>
    </row>
    <row r="951" spans="1:6" x14ac:dyDescent="0.25">
      <c r="A951" s="7"/>
      <c r="E951" s="7"/>
      <c r="F951" s="7"/>
    </row>
    <row r="952" spans="1:6" x14ac:dyDescent="0.25">
      <c r="A952" s="7"/>
      <c r="E952" s="7"/>
      <c r="F952" s="7"/>
    </row>
    <row r="953" spans="1:6" x14ac:dyDescent="0.25">
      <c r="A953" s="7"/>
      <c r="E953" s="7"/>
      <c r="F953" s="7"/>
    </row>
    <row r="954" spans="1:6" x14ac:dyDescent="0.25">
      <c r="A954" s="7"/>
      <c r="E954" s="7"/>
      <c r="F954" s="7"/>
    </row>
    <row r="955" spans="1:6" x14ac:dyDescent="0.25">
      <c r="A955" s="7"/>
      <c r="E955" s="7"/>
      <c r="F955" s="7"/>
    </row>
    <row r="956" spans="1:6" x14ac:dyDescent="0.25">
      <c r="A956" s="7"/>
      <c r="E956" s="7"/>
      <c r="F956" s="7"/>
    </row>
    <row r="957" spans="1:6" x14ac:dyDescent="0.25">
      <c r="A957" s="7"/>
      <c r="E957" s="7"/>
      <c r="F957" s="7"/>
    </row>
    <row r="958" spans="1:6" x14ac:dyDescent="0.25">
      <c r="A958" s="7"/>
      <c r="E958" s="7"/>
      <c r="F958" s="7"/>
    </row>
    <row r="959" spans="1:6" x14ac:dyDescent="0.25">
      <c r="A959" s="7"/>
      <c r="E959" s="7"/>
      <c r="F959" s="7"/>
    </row>
    <row r="960" spans="1:6" x14ac:dyDescent="0.25">
      <c r="A960" s="7"/>
      <c r="E960" s="7"/>
      <c r="F960" s="7"/>
    </row>
    <row r="961" spans="1:6" x14ac:dyDescent="0.25">
      <c r="A961" s="7"/>
      <c r="E961" s="7"/>
      <c r="F961" s="7"/>
    </row>
    <row r="962" spans="1:6" x14ac:dyDescent="0.25">
      <c r="A962" s="7"/>
      <c r="E962" s="7"/>
      <c r="F962" s="7"/>
    </row>
    <row r="963" spans="1:6" x14ac:dyDescent="0.25">
      <c r="A963" s="7"/>
      <c r="E963" s="7"/>
      <c r="F963" s="7"/>
    </row>
    <row r="964" spans="1:6" x14ac:dyDescent="0.25">
      <c r="A964" s="7"/>
      <c r="E964" s="7"/>
      <c r="F964" s="7"/>
    </row>
    <row r="965" spans="1:6" x14ac:dyDescent="0.25">
      <c r="A965" s="7"/>
      <c r="E965" s="7"/>
      <c r="F965" s="7"/>
    </row>
    <row r="966" spans="1:6" x14ac:dyDescent="0.25">
      <c r="A966" s="7"/>
      <c r="E966" s="7"/>
      <c r="F966" s="7"/>
    </row>
    <row r="967" spans="1:6" x14ac:dyDescent="0.25">
      <c r="A967" s="7"/>
      <c r="E967" s="7"/>
      <c r="F967" s="7"/>
    </row>
    <row r="968" spans="1:6" x14ac:dyDescent="0.25">
      <c r="A968" s="7"/>
      <c r="E968" s="7"/>
      <c r="F968" s="7"/>
    </row>
    <row r="969" spans="1:6" x14ac:dyDescent="0.25">
      <c r="A969" s="7"/>
      <c r="E969" s="7"/>
      <c r="F969" s="7"/>
    </row>
    <row r="970" spans="1:6" x14ac:dyDescent="0.25">
      <c r="A970" s="7"/>
      <c r="E970" s="7"/>
      <c r="F970" s="7"/>
    </row>
    <row r="971" spans="1:6" x14ac:dyDescent="0.25">
      <c r="A971" s="7"/>
      <c r="E971" s="7"/>
      <c r="F971" s="7"/>
    </row>
    <row r="972" spans="1:6" x14ac:dyDescent="0.25">
      <c r="A972" s="7"/>
      <c r="E972" s="7"/>
      <c r="F972" s="7"/>
    </row>
    <row r="973" spans="1:6" x14ac:dyDescent="0.25">
      <c r="A973" s="7"/>
      <c r="E973" s="7"/>
      <c r="F973" s="7"/>
    </row>
    <row r="974" spans="1:6" x14ac:dyDescent="0.25">
      <c r="A974" s="7"/>
      <c r="E974" s="7"/>
      <c r="F974" s="7"/>
    </row>
    <row r="975" spans="1:6" x14ac:dyDescent="0.25">
      <c r="A975" s="7"/>
      <c r="E975" s="7"/>
      <c r="F975" s="7"/>
    </row>
    <row r="976" spans="1:6" x14ac:dyDescent="0.25">
      <c r="A976" s="7"/>
      <c r="E976" s="7"/>
      <c r="F976" s="7"/>
    </row>
    <row r="977" spans="1:6" x14ac:dyDescent="0.25">
      <c r="A977" s="7"/>
      <c r="E977" s="7"/>
      <c r="F977" s="7"/>
    </row>
    <row r="978" spans="1:6" x14ac:dyDescent="0.25">
      <c r="A978" s="7"/>
      <c r="E978" s="7"/>
      <c r="F978" s="7"/>
    </row>
    <row r="979" spans="1:6" x14ac:dyDescent="0.25">
      <c r="A979" s="7"/>
      <c r="E979" s="7"/>
      <c r="F979" s="7"/>
    </row>
    <row r="980" spans="1:6" x14ac:dyDescent="0.25">
      <c r="A980" s="7"/>
      <c r="E980" s="7"/>
      <c r="F980" s="7"/>
    </row>
    <row r="981" spans="1:6" x14ac:dyDescent="0.25">
      <c r="A981" s="7"/>
      <c r="E981" s="7"/>
      <c r="F981" s="7"/>
    </row>
    <row r="982" spans="1:6" x14ac:dyDescent="0.25">
      <c r="A982" s="7"/>
      <c r="E982" s="7"/>
      <c r="F982" s="7"/>
    </row>
    <row r="983" spans="1:6" x14ac:dyDescent="0.25">
      <c r="A983" s="7"/>
      <c r="E983" s="7"/>
      <c r="F983" s="7"/>
    </row>
    <row r="984" spans="1:6" x14ac:dyDescent="0.25">
      <c r="A984" s="7"/>
      <c r="E984" s="7"/>
      <c r="F984" s="7"/>
    </row>
    <row r="985" spans="1:6" x14ac:dyDescent="0.25">
      <c r="A985" s="7"/>
      <c r="E985" s="7"/>
      <c r="F985" s="7"/>
    </row>
    <row r="986" spans="1:6" x14ac:dyDescent="0.25">
      <c r="A986" s="7"/>
      <c r="E986" s="7"/>
      <c r="F986" s="7"/>
    </row>
    <row r="987" spans="1:6" x14ac:dyDescent="0.25">
      <c r="A987" s="7"/>
      <c r="E987" s="7"/>
      <c r="F987" s="7"/>
    </row>
    <row r="988" spans="1:6" x14ac:dyDescent="0.25">
      <c r="A988" s="7"/>
      <c r="E988" s="7"/>
      <c r="F988" s="7"/>
    </row>
    <row r="989" spans="1:6" x14ac:dyDescent="0.25">
      <c r="A989" s="7"/>
      <c r="E989" s="7"/>
      <c r="F989" s="7"/>
    </row>
    <row r="990" spans="1:6" x14ac:dyDescent="0.25">
      <c r="A990" s="7"/>
      <c r="E990" s="7"/>
      <c r="F990" s="7"/>
    </row>
    <row r="991" spans="1:6" x14ac:dyDescent="0.25">
      <c r="A991" s="7"/>
      <c r="E991" s="7"/>
      <c r="F991" s="7"/>
    </row>
    <row r="992" spans="1:6" x14ac:dyDescent="0.25">
      <c r="A992" s="7"/>
      <c r="E992" s="7"/>
      <c r="F992" s="7"/>
    </row>
    <row r="993" spans="1:6" x14ac:dyDescent="0.25">
      <c r="A993" s="7"/>
      <c r="E993" s="7"/>
      <c r="F993" s="7"/>
    </row>
    <row r="994" spans="1:6" x14ac:dyDescent="0.25">
      <c r="A994" s="7"/>
      <c r="E994" s="7"/>
      <c r="F994" s="7"/>
    </row>
    <row r="995" spans="1:6" x14ac:dyDescent="0.25">
      <c r="A995" s="7"/>
      <c r="E995" s="7"/>
      <c r="F995" s="7"/>
    </row>
    <row r="996" spans="1:6" x14ac:dyDescent="0.25">
      <c r="A996" s="7"/>
      <c r="E996" s="7"/>
      <c r="F996" s="7"/>
    </row>
    <row r="997" spans="1:6" x14ac:dyDescent="0.25">
      <c r="A997" s="7"/>
      <c r="E997" s="7"/>
      <c r="F997" s="7"/>
    </row>
    <row r="998" spans="1:6" x14ac:dyDescent="0.25">
      <c r="A998" s="7"/>
      <c r="E998" s="7"/>
      <c r="F998" s="7"/>
    </row>
    <row r="999" spans="1:6" x14ac:dyDescent="0.25">
      <c r="A999" s="7"/>
      <c r="E999" s="7"/>
      <c r="F999" s="7"/>
    </row>
    <row r="1000" spans="1:6" x14ac:dyDescent="0.25">
      <c r="A1000" s="7"/>
      <c r="E1000" s="7"/>
      <c r="F1000" s="7"/>
    </row>
    <row r="1001" spans="1:6" x14ac:dyDescent="0.25">
      <c r="A1001" s="7"/>
      <c r="E1001" s="7"/>
      <c r="F1001" s="7"/>
    </row>
    <row r="1002" spans="1:6" x14ac:dyDescent="0.25">
      <c r="A1002" s="7"/>
      <c r="E1002" s="7"/>
      <c r="F1002" s="7"/>
    </row>
    <row r="1003" spans="1:6" x14ac:dyDescent="0.25">
      <c r="A1003" s="7"/>
      <c r="E1003" s="7"/>
      <c r="F1003" s="7"/>
    </row>
  </sheetData>
  <mergeCells count="4">
    <mergeCell ref="A1:I1"/>
    <mergeCell ref="A2:I2"/>
    <mergeCell ref="B3:C3"/>
    <mergeCell ref="A17:I17"/>
  </mergeCells>
  <printOptions horizontalCentered="1" verticalCentered="1" gridLines="1"/>
  <pageMargins left="0.25" right="0.25" top="0.75" bottom="0.75" header="0" footer="0"/>
  <pageSetup fitToHeight="0" pageOrder="overThenDown" orientation="landscape" cellComments="atEnd"/>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rgb="FFB6D7A8"/>
    <outlinePr summaryBelow="0" summaryRight="0"/>
    <pageSetUpPr fitToPage="1"/>
  </sheetPr>
  <dimension ref="A1:W1019"/>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46.33203125" customWidth="1"/>
    <col min="2" max="2" width="7.33203125" customWidth="1"/>
    <col min="3" max="4" width="7.88671875" customWidth="1"/>
    <col min="5" max="5" width="22.21875" customWidth="1"/>
    <col min="6" max="6" width="14.6640625" customWidth="1"/>
  </cols>
  <sheetData>
    <row r="1" spans="1:23" x14ac:dyDescent="0.25">
      <c r="A1" s="141" t="s">
        <v>920</v>
      </c>
      <c r="B1" s="142"/>
      <c r="C1" s="142"/>
      <c r="D1" s="142"/>
      <c r="E1" s="142"/>
      <c r="F1" s="142"/>
      <c r="G1" s="142"/>
      <c r="H1" s="142"/>
      <c r="I1" s="143"/>
    </row>
    <row r="2" spans="1:23" x14ac:dyDescent="0.25">
      <c r="A2" s="144" t="s">
        <v>921</v>
      </c>
      <c r="B2" s="142"/>
      <c r="C2" s="142"/>
      <c r="D2" s="142"/>
      <c r="E2" s="142"/>
      <c r="F2" s="142"/>
      <c r="G2" s="142"/>
      <c r="H2" s="142"/>
      <c r="I2" s="143"/>
    </row>
    <row r="3" spans="1:23" x14ac:dyDescent="0.25">
      <c r="A3" s="43" t="s">
        <v>374</v>
      </c>
      <c r="B3" s="145" t="s">
        <v>408</v>
      </c>
      <c r="C3" s="143"/>
      <c r="D3" s="49" t="s">
        <v>370</v>
      </c>
      <c r="E3" s="50" t="s">
        <v>371</v>
      </c>
      <c r="F3" s="51" t="s">
        <v>372</v>
      </c>
      <c r="G3" s="52" t="s">
        <v>373</v>
      </c>
      <c r="H3" s="53" t="s">
        <v>409</v>
      </c>
      <c r="I3" s="53" t="s">
        <v>410</v>
      </c>
      <c r="J3" s="7"/>
      <c r="K3" s="7"/>
      <c r="L3" s="7"/>
      <c r="M3" s="7"/>
      <c r="N3" s="7"/>
      <c r="O3" s="7"/>
      <c r="P3" s="7"/>
      <c r="Q3" s="7"/>
      <c r="R3" s="7"/>
      <c r="S3" s="7"/>
      <c r="T3" s="7"/>
      <c r="U3" s="7"/>
      <c r="V3" s="7"/>
      <c r="W3" s="7"/>
    </row>
    <row r="4" spans="1:23" x14ac:dyDescent="0.25">
      <c r="A4" s="41" t="s">
        <v>411</v>
      </c>
      <c r="B4" s="54">
        <f>SUM(B5:B9)/5</f>
        <v>1</v>
      </c>
      <c r="C4" s="55">
        <f>D4*B4</f>
        <v>0.7</v>
      </c>
      <c r="D4" s="56">
        <v>0.7</v>
      </c>
      <c r="E4" s="57"/>
      <c r="F4" s="57"/>
      <c r="G4" s="58"/>
      <c r="H4" s="58"/>
      <c r="I4" s="58"/>
    </row>
    <row r="5" spans="1:23" x14ac:dyDescent="0.25">
      <c r="A5" s="42" t="s">
        <v>922</v>
      </c>
      <c r="B5" s="59">
        <v>1</v>
      </c>
      <c r="C5" s="60"/>
      <c r="D5" s="60"/>
      <c r="E5" s="42"/>
      <c r="F5" s="61"/>
      <c r="G5" s="59">
        <v>0.8</v>
      </c>
      <c r="H5" s="59">
        <v>0.8</v>
      </c>
      <c r="I5" s="59">
        <v>1</v>
      </c>
    </row>
    <row r="6" spans="1:23" x14ac:dyDescent="0.25">
      <c r="A6" s="42" t="s">
        <v>923</v>
      </c>
      <c r="B6" s="59">
        <v>1</v>
      </c>
      <c r="C6" s="60"/>
      <c r="D6" s="60"/>
      <c r="E6" s="42"/>
      <c r="F6" s="61"/>
      <c r="G6" s="59">
        <v>0.8</v>
      </c>
      <c r="H6" s="59">
        <v>0.8</v>
      </c>
      <c r="I6" s="59">
        <v>1</v>
      </c>
    </row>
    <row r="7" spans="1:23" x14ac:dyDescent="0.25">
      <c r="A7" s="42" t="s">
        <v>924</v>
      </c>
      <c r="B7" s="59">
        <v>1</v>
      </c>
      <c r="C7" s="60"/>
      <c r="D7" s="60"/>
      <c r="E7" s="42"/>
      <c r="F7" s="61"/>
      <c r="G7" s="59">
        <v>0.8</v>
      </c>
      <c r="H7" s="59">
        <v>0.8</v>
      </c>
      <c r="I7" s="59">
        <v>1</v>
      </c>
    </row>
    <row r="8" spans="1:23" x14ac:dyDescent="0.25">
      <c r="A8" s="42" t="s">
        <v>925</v>
      </c>
      <c r="B8" s="59">
        <v>1</v>
      </c>
      <c r="C8" s="60"/>
      <c r="D8" s="60"/>
      <c r="E8" s="42"/>
      <c r="F8" s="42"/>
      <c r="G8" s="59">
        <v>0.8</v>
      </c>
      <c r="H8" s="59">
        <v>0.8</v>
      </c>
      <c r="I8" s="59">
        <v>1</v>
      </c>
    </row>
    <row r="9" spans="1:23" x14ac:dyDescent="0.25">
      <c r="A9" s="42" t="s">
        <v>926</v>
      </c>
      <c r="B9" s="59">
        <v>1</v>
      </c>
      <c r="C9" s="60"/>
      <c r="D9" s="60"/>
      <c r="E9" s="42"/>
      <c r="F9" s="42"/>
      <c r="G9" s="59">
        <v>0.8</v>
      </c>
      <c r="H9" s="59">
        <v>0.8</v>
      </c>
      <c r="I9" s="59">
        <v>1</v>
      </c>
    </row>
    <row r="10" spans="1:23" x14ac:dyDescent="0.25">
      <c r="A10" s="41" t="s">
        <v>415</v>
      </c>
      <c r="B10" s="54">
        <f>SUM(B11:B12)/1</f>
        <v>1</v>
      </c>
      <c r="C10" s="55">
        <f>D10*B10</f>
        <v>0.2</v>
      </c>
      <c r="D10" s="56">
        <v>0.2</v>
      </c>
      <c r="E10" s="57"/>
      <c r="F10" s="57"/>
      <c r="G10" s="58"/>
      <c r="H10" s="58"/>
      <c r="I10" s="58"/>
    </row>
    <row r="11" spans="1:23" x14ac:dyDescent="0.25">
      <c r="A11" s="42" t="s">
        <v>927</v>
      </c>
      <c r="B11" s="59">
        <v>1</v>
      </c>
      <c r="C11" s="60"/>
      <c r="D11" s="60"/>
      <c r="E11" s="42" t="s">
        <v>928</v>
      </c>
      <c r="F11" s="42" t="s">
        <v>425</v>
      </c>
      <c r="G11" s="59">
        <v>1</v>
      </c>
      <c r="H11" s="59"/>
      <c r="I11" s="59"/>
    </row>
    <row r="12" spans="1:23" x14ac:dyDescent="0.25">
      <c r="A12" s="43"/>
      <c r="B12" s="62"/>
      <c r="C12" s="59"/>
      <c r="D12" s="59"/>
      <c r="E12" s="42"/>
      <c r="F12" s="61"/>
      <c r="G12" s="59"/>
      <c r="H12" s="59"/>
      <c r="I12" s="59"/>
    </row>
    <row r="13" spans="1:23" x14ac:dyDescent="0.25">
      <c r="A13" s="41" t="s">
        <v>385</v>
      </c>
      <c r="B13" s="54">
        <f>SUM(B14:B16)/2</f>
        <v>1</v>
      </c>
      <c r="C13" s="55">
        <f>D13*B13</f>
        <v>0.1</v>
      </c>
      <c r="D13" s="56">
        <v>0.1</v>
      </c>
      <c r="E13" s="57"/>
      <c r="F13" s="57"/>
      <c r="G13" s="58"/>
      <c r="H13" s="58"/>
      <c r="I13" s="58"/>
    </row>
    <row r="14" spans="1:23" x14ac:dyDescent="0.25">
      <c r="A14" s="42" t="s">
        <v>386</v>
      </c>
      <c r="B14" s="59">
        <v>1</v>
      </c>
      <c r="C14" s="60"/>
      <c r="D14" s="53"/>
      <c r="E14" s="42"/>
      <c r="F14" s="42" t="s">
        <v>425</v>
      </c>
      <c r="G14" s="59">
        <v>0.8</v>
      </c>
      <c r="H14" s="59">
        <v>0.8</v>
      </c>
      <c r="I14" s="59">
        <v>1</v>
      </c>
    </row>
    <row r="15" spans="1:23" x14ac:dyDescent="0.25">
      <c r="A15" s="42" t="s">
        <v>387</v>
      </c>
      <c r="B15" s="59">
        <v>0.5</v>
      </c>
      <c r="C15" s="60"/>
      <c r="D15" s="53"/>
      <c r="E15" s="42"/>
      <c r="F15" s="42" t="s">
        <v>419</v>
      </c>
      <c r="G15" s="59">
        <v>0.8</v>
      </c>
      <c r="H15" s="59">
        <v>0.8</v>
      </c>
      <c r="I15" s="59">
        <v>1</v>
      </c>
    </row>
    <row r="16" spans="1:23" x14ac:dyDescent="0.25">
      <c r="A16" s="151" t="s">
        <v>506</v>
      </c>
      <c r="B16" s="148">
        <v>0.5</v>
      </c>
      <c r="C16" s="153"/>
      <c r="D16" s="153"/>
      <c r="E16" s="70" t="s">
        <v>929</v>
      </c>
      <c r="F16" s="70" t="s">
        <v>420</v>
      </c>
      <c r="G16" s="71">
        <v>1</v>
      </c>
      <c r="H16" s="71">
        <v>1</v>
      </c>
      <c r="I16" s="71">
        <v>1</v>
      </c>
    </row>
    <row r="17" spans="1:9" x14ac:dyDescent="0.25">
      <c r="A17" s="150"/>
      <c r="B17" s="150"/>
      <c r="C17" s="150"/>
      <c r="D17" s="150"/>
      <c r="E17" s="70" t="s">
        <v>930</v>
      </c>
      <c r="F17" s="70" t="s">
        <v>420</v>
      </c>
      <c r="G17" s="71">
        <v>1</v>
      </c>
      <c r="H17" s="74"/>
      <c r="I17" s="74"/>
    </row>
    <row r="18" spans="1:9" x14ac:dyDescent="0.25">
      <c r="A18" s="150"/>
      <c r="B18" s="150"/>
      <c r="C18" s="150"/>
      <c r="D18" s="150"/>
      <c r="E18" s="70" t="s">
        <v>931</v>
      </c>
      <c r="F18" s="70" t="s">
        <v>420</v>
      </c>
      <c r="G18" s="71">
        <v>1</v>
      </c>
      <c r="H18" s="74"/>
      <c r="I18" s="74"/>
    </row>
    <row r="19" spans="1:9" x14ac:dyDescent="0.25">
      <c r="A19" s="150"/>
      <c r="B19" s="150"/>
      <c r="C19" s="150"/>
      <c r="D19" s="150"/>
      <c r="E19" s="70" t="s">
        <v>932</v>
      </c>
      <c r="F19" s="70" t="s">
        <v>420</v>
      </c>
      <c r="G19" s="71">
        <v>1</v>
      </c>
      <c r="H19" s="74"/>
      <c r="I19" s="74"/>
    </row>
    <row r="20" spans="1:9" x14ac:dyDescent="0.25">
      <c r="A20" s="150"/>
      <c r="B20" s="150"/>
      <c r="C20" s="150"/>
      <c r="D20" s="150"/>
      <c r="E20" s="70" t="s">
        <v>933</v>
      </c>
      <c r="F20" s="70" t="s">
        <v>420</v>
      </c>
      <c r="G20" s="71">
        <v>1</v>
      </c>
      <c r="H20" s="74"/>
      <c r="I20" s="74"/>
    </row>
    <row r="21" spans="1:9" x14ac:dyDescent="0.25">
      <c r="A21" s="150"/>
      <c r="B21" s="150"/>
      <c r="C21" s="150"/>
      <c r="D21" s="150"/>
      <c r="E21" s="70" t="s">
        <v>934</v>
      </c>
      <c r="F21" s="70" t="s">
        <v>420</v>
      </c>
      <c r="G21" s="71">
        <v>1</v>
      </c>
      <c r="H21" s="74"/>
      <c r="I21" s="74"/>
    </row>
    <row r="22" spans="1:9" x14ac:dyDescent="0.25">
      <c r="A22" s="150"/>
      <c r="B22" s="150"/>
      <c r="C22" s="150"/>
      <c r="D22" s="150"/>
      <c r="E22" s="70" t="s">
        <v>935</v>
      </c>
      <c r="F22" s="70" t="s">
        <v>420</v>
      </c>
      <c r="G22" s="71">
        <v>1</v>
      </c>
      <c r="H22" s="74"/>
      <c r="I22" s="74"/>
    </row>
    <row r="23" spans="1:9" x14ac:dyDescent="0.25">
      <c r="A23" s="150"/>
      <c r="B23" s="150"/>
      <c r="C23" s="150"/>
      <c r="D23" s="150"/>
      <c r="E23" s="70" t="s">
        <v>936</v>
      </c>
      <c r="F23" s="70" t="s">
        <v>420</v>
      </c>
      <c r="G23" s="71">
        <v>1</v>
      </c>
      <c r="H23" s="74"/>
      <c r="I23" s="74"/>
    </row>
    <row r="24" spans="1:9" x14ac:dyDescent="0.25">
      <c r="A24" s="150"/>
      <c r="B24" s="150"/>
      <c r="C24" s="150"/>
      <c r="D24" s="150"/>
      <c r="E24" s="70" t="s">
        <v>937</v>
      </c>
      <c r="F24" s="70" t="s">
        <v>420</v>
      </c>
      <c r="G24" s="71">
        <v>1</v>
      </c>
      <c r="H24" s="74"/>
      <c r="I24" s="74"/>
    </row>
    <row r="25" spans="1:9" x14ac:dyDescent="0.25">
      <c r="A25" s="150"/>
      <c r="B25" s="150"/>
      <c r="C25" s="150"/>
      <c r="D25" s="150"/>
      <c r="E25" s="70" t="s">
        <v>938</v>
      </c>
      <c r="F25" s="70" t="s">
        <v>420</v>
      </c>
      <c r="G25" s="71">
        <v>1</v>
      </c>
      <c r="H25" s="74"/>
      <c r="I25" s="74"/>
    </row>
    <row r="26" spans="1:9" x14ac:dyDescent="0.25">
      <c r="A26" s="150"/>
      <c r="B26" s="150"/>
      <c r="C26" s="150"/>
      <c r="D26" s="150"/>
      <c r="E26" s="70" t="s">
        <v>939</v>
      </c>
      <c r="F26" s="70" t="s">
        <v>420</v>
      </c>
      <c r="G26" s="71">
        <v>1</v>
      </c>
      <c r="H26" s="74"/>
      <c r="I26" s="74"/>
    </row>
    <row r="27" spans="1:9" x14ac:dyDescent="0.25">
      <c r="A27" s="150"/>
      <c r="B27" s="150"/>
      <c r="C27" s="150"/>
      <c r="D27" s="150"/>
      <c r="E27" s="70" t="s">
        <v>940</v>
      </c>
      <c r="F27" s="70" t="s">
        <v>420</v>
      </c>
      <c r="G27" s="71">
        <v>1</v>
      </c>
      <c r="H27" s="74"/>
      <c r="I27" s="74"/>
    </row>
    <row r="28" spans="1:9" x14ac:dyDescent="0.25">
      <c r="A28" s="150"/>
      <c r="B28" s="150"/>
      <c r="C28" s="150"/>
      <c r="D28" s="150"/>
      <c r="E28" s="70" t="s">
        <v>941</v>
      </c>
      <c r="F28" s="70" t="s">
        <v>420</v>
      </c>
      <c r="G28" s="71">
        <v>1</v>
      </c>
      <c r="H28" s="74"/>
      <c r="I28" s="74"/>
    </row>
    <row r="29" spans="1:9" x14ac:dyDescent="0.25">
      <c r="A29" s="150"/>
      <c r="B29" s="150"/>
      <c r="C29" s="150"/>
      <c r="D29" s="150"/>
      <c r="E29" s="70" t="s">
        <v>942</v>
      </c>
      <c r="F29" s="70" t="s">
        <v>420</v>
      </c>
      <c r="G29" s="71">
        <v>1</v>
      </c>
      <c r="H29" s="74"/>
      <c r="I29" s="74"/>
    </row>
    <row r="30" spans="1:9" x14ac:dyDescent="0.25">
      <c r="A30" s="150"/>
      <c r="B30" s="150"/>
      <c r="C30" s="150"/>
      <c r="D30" s="150"/>
      <c r="E30" s="70" t="s">
        <v>943</v>
      </c>
      <c r="F30" s="70" t="s">
        <v>420</v>
      </c>
      <c r="G30" s="71">
        <v>1</v>
      </c>
      <c r="H30" s="74"/>
      <c r="I30" s="74"/>
    </row>
    <row r="31" spans="1:9" x14ac:dyDescent="0.25">
      <c r="A31" s="147"/>
      <c r="B31" s="147"/>
      <c r="C31" s="147"/>
      <c r="D31" s="147"/>
      <c r="E31" s="70" t="s">
        <v>944</v>
      </c>
      <c r="F31" s="70" t="s">
        <v>420</v>
      </c>
      <c r="G31" s="71">
        <v>0.75</v>
      </c>
      <c r="H31" s="74"/>
      <c r="I31" s="74"/>
    </row>
    <row r="32" spans="1:9" x14ac:dyDescent="0.25">
      <c r="A32" s="90"/>
      <c r="B32" s="71"/>
      <c r="C32" s="64">
        <f t="shared" ref="C32:D32" si="0">SUM(C4+C10+C13)</f>
        <v>0.99999999999999989</v>
      </c>
      <c r="D32" s="64">
        <f t="shared" si="0"/>
        <v>0.99999999999999989</v>
      </c>
      <c r="E32" s="70"/>
      <c r="F32" s="70"/>
      <c r="G32" s="71"/>
      <c r="H32" s="74"/>
      <c r="I32" s="74"/>
    </row>
    <row r="33" spans="1:9" x14ac:dyDescent="0.25">
      <c r="A33" s="152" t="s">
        <v>945</v>
      </c>
      <c r="B33" s="142"/>
      <c r="C33" s="142"/>
      <c r="D33" s="142"/>
      <c r="E33" s="142"/>
      <c r="F33" s="142"/>
      <c r="G33" s="142"/>
      <c r="H33" s="142"/>
      <c r="I33" s="143"/>
    </row>
    <row r="34" spans="1:9" x14ac:dyDescent="0.25">
      <c r="A34" s="66" t="s">
        <v>946</v>
      </c>
      <c r="B34" s="67" t="s">
        <v>423</v>
      </c>
      <c r="C34" s="64"/>
      <c r="D34" s="64"/>
      <c r="E34" s="68" t="s">
        <v>188</v>
      </c>
      <c r="F34" s="42" t="s">
        <v>425</v>
      </c>
      <c r="G34" s="42"/>
      <c r="H34" s="60"/>
      <c r="I34" s="60"/>
    </row>
    <row r="35" spans="1:9" x14ac:dyDescent="0.25">
      <c r="A35" s="66" t="s">
        <v>947</v>
      </c>
      <c r="B35" s="67" t="s">
        <v>427</v>
      </c>
      <c r="C35" s="64"/>
      <c r="D35" s="64"/>
      <c r="E35" s="68" t="s">
        <v>242</v>
      </c>
      <c r="F35" s="42" t="s">
        <v>425</v>
      </c>
      <c r="G35" s="42"/>
      <c r="H35" s="60"/>
      <c r="I35" s="60"/>
    </row>
    <row r="36" spans="1:9" x14ac:dyDescent="0.25">
      <c r="A36" s="66" t="s">
        <v>948</v>
      </c>
      <c r="B36" s="67" t="s">
        <v>427</v>
      </c>
      <c r="C36" s="64"/>
      <c r="D36" s="64"/>
      <c r="E36" s="68" t="s">
        <v>247</v>
      </c>
      <c r="F36" s="42" t="s">
        <v>425</v>
      </c>
      <c r="G36" s="42"/>
      <c r="H36" s="60"/>
      <c r="I36" s="60"/>
    </row>
    <row r="37" spans="1:9" x14ac:dyDescent="0.25">
      <c r="A37" s="66" t="s">
        <v>949</v>
      </c>
      <c r="B37" s="67" t="s">
        <v>427</v>
      </c>
      <c r="C37" s="64"/>
      <c r="D37" s="64"/>
      <c r="E37" s="68" t="s">
        <v>252</v>
      </c>
      <c r="F37" s="42" t="s">
        <v>425</v>
      </c>
      <c r="G37" s="42"/>
      <c r="H37" s="60"/>
      <c r="I37" s="60"/>
    </row>
    <row r="38" spans="1:9" x14ac:dyDescent="0.25">
      <c r="A38" s="7"/>
      <c r="E38" s="7"/>
      <c r="F38" s="7"/>
    </row>
    <row r="39" spans="1:9" x14ac:dyDescent="0.25">
      <c r="A39" s="7"/>
      <c r="E39" s="7"/>
      <c r="F39" s="7"/>
    </row>
    <row r="40" spans="1:9" x14ac:dyDescent="0.25">
      <c r="A40" s="7"/>
      <c r="E40" s="7"/>
      <c r="F40" s="7"/>
    </row>
    <row r="41" spans="1:9" x14ac:dyDescent="0.25">
      <c r="A41" s="7"/>
      <c r="E41" s="7"/>
      <c r="F41" s="7"/>
    </row>
    <row r="42" spans="1:9" x14ac:dyDescent="0.25">
      <c r="A42" s="7"/>
      <c r="E42" s="7"/>
      <c r="F42" s="7"/>
    </row>
    <row r="43" spans="1:9" x14ac:dyDescent="0.25">
      <c r="A43" s="7"/>
      <c r="E43" s="7"/>
      <c r="F43" s="7"/>
    </row>
    <row r="44" spans="1:9" x14ac:dyDescent="0.25">
      <c r="A44" s="7"/>
      <c r="E44" s="7"/>
      <c r="F44" s="7"/>
    </row>
    <row r="45" spans="1:9" x14ac:dyDescent="0.25">
      <c r="A45" s="7"/>
      <c r="E45" s="7"/>
      <c r="F45" s="7"/>
    </row>
    <row r="46" spans="1:9" x14ac:dyDescent="0.25">
      <c r="A46" s="7"/>
      <c r="E46" s="7"/>
      <c r="F46" s="7"/>
    </row>
    <row r="47" spans="1:9" x14ac:dyDescent="0.25">
      <c r="A47" s="7"/>
      <c r="E47" s="7"/>
      <c r="F47" s="7"/>
    </row>
    <row r="48" spans="1:9" x14ac:dyDescent="0.25">
      <c r="A48" s="7"/>
      <c r="E48" s="7"/>
      <c r="F48" s="7"/>
    </row>
    <row r="49" spans="1:6" x14ac:dyDescent="0.25">
      <c r="A49" s="7"/>
      <c r="E49" s="7"/>
      <c r="F49" s="7"/>
    </row>
    <row r="50" spans="1:6" x14ac:dyDescent="0.25">
      <c r="A50" s="7"/>
      <c r="E50" s="7"/>
      <c r="F50" s="7"/>
    </row>
    <row r="51" spans="1:6" x14ac:dyDescent="0.25">
      <c r="A51" s="7"/>
      <c r="E51" s="7"/>
      <c r="F51" s="7"/>
    </row>
    <row r="52" spans="1:6" x14ac:dyDescent="0.25">
      <c r="A52" s="7"/>
      <c r="E52" s="7"/>
      <c r="F52" s="7"/>
    </row>
    <row r="53" spans="1:6" x14ac:dyDescent="0.25">
      <c r="A53" s="7"/>
      <c r="E53" s="7"/>
      <c r="F53" s="7"/>
    </row>
    <row r="54" spans="1:6" x14ac:dyDescent="0.25">
      <c r="A54" s="7"/>
      <c r="E54" s="7"/>
      <c r="F54" s="7"/>
    </row>
    <row r="55" spans="1:6" x14ac:dyDescent="0.25">
      <c r="A55" s="7"/>
      <c r="E55" s="7"/>
      <c r="F55" s="7"/>
    </row>
    <row r="56" spans="1:6" x14ac:dyDescent="0.25">
      <c r="A56" s="7"/>
      <c r="E56" s="7"/>
      <c r="F56" s="7"/>
    </row>
    <row r="57" spans="1:6" x14ac:dyDescent="0.25">
      <c r="A57" s="7"/>
      <c r="E57" s="7"/>
      <c r="F57" s="7"/>
    </row>
    <row r="58" spans="1:6" x14ac:dyDescent="0.25">
      <c r="A58" s="7"/>
      <c r="E58" s="7"/>
      <c r="F58" s="7"/>
    </row>
    <row r="59" spans="1:6" x14ac:dyDescent="0.25">
      <c r="A59" s="7"/>
      <c r="E59" s="7"/>
      <c r="F59" s="7"/>
    </row>
    <row r="60" spans="1:6" x14ac:dyDescent="0.25">
      <c r="A60" s="7"/>
      <c r="E60" s="7"/>
      <c r="F60" s="7"/>
    </row>
    <row r="61" spans="1:6" x14ac:dyDescent="0.25">
      <c r="A61" s="7"/>
      <c r="E61" s="7"/>
      <c r="F61" s="7"/>
    </row>
    <row r="62" spans="1:6" x14ac:dyDescent="0.25">
      <c r="A62" s="7"/>
      <c r="E62" s="7"/>
      <c r="F62" s="7"/>
    </row>
    <row r="63" spans="1:6" x14ac:dyDescent="0.25">
      <c r="A63" s="7"/>
      <c r="E63" s="7"/>
      <c r="F63" s="7"/>
    </row>
    <row r="64" spans="1:6" x14ac:dyDescent="0.25">
      <c r="A64" s="7"/>
      <c r="E64" s="7"/>
      <c r="F64" s="7"/>
    </row>
    <row r="65" spans="1:6" x14ac:dyDescent="0.25">
      <c r="A65" s="7"/>
      <c r="E65" s="7"/>
      <c r="F65" s="7"/>
    </row>
    <row r="66" spans="1:6" x14ac:dyDescent="0.25">
      <c r="A66" s="7"/>
      <c r="E66" s="7"/>
      <c r="F66" s="7"/>
    </row>
    <row r="67" spans="1:6" x14ac:dyDescent="0.25">
      <c r="A67" s="7"/>
      <c r="E67" s="7"/>
      <c r="F67" s="7"/>
    </row>
    <row r="68" spans="1:6" x14ac:dyDescent="0.25">
      <c r="A68" s="7"/>
      <c r="E68" s="7"/>
      <c r="F68" s="7"/>
    </row>
    <row r="69" spans="1:6" x14ac:dyDescent="0.25">
      <c r="A69" s="7"/>
      <c r="E69" s="7"/>
      <c r="F69" s="7"/>
    </row>
    <row r="70" spans="1:6" x14ac:dyDescent="0.25">
      <c r="A70" s="7"/>
      <c r="E70" s="7"/>
      <c r="F70" s="7"/>
    </row>
    <row r="71" spans="1:6" x14ac:dyDescent="0.25">
      <c r="A71" s="7"/>
      <c r="E71" s="7"/>
      <c r="F71" s="7"/>
    </row>
    <row r="72" spans="1:6" x14ac:dyDescent="0.25">
      <c r="A72" s="7"/>
      <c r="E72" s="7"/>
      <c r="F72" s="7"/>
    </row>
    <row r="73" spans="1:6" x14ac:dyDescent="0.25">
      <c r="A73" s="7"/>
      <c r="E73" s="7"/>
      <c r="F73" s="7"/>
    </row>
    <row r="74" spans="1:6" x14ac:dyDescent="0.25">
      <c r="A74" s="7"/>
      <c r="E74" s="7"/>
      <c r="F74" s="7"/>
    </row>
    <row r="75" spans="1:6" x14ac:dyDescent="0.25">
      <c r="A75" s="7"/>
      <c r="E75" s="7"/>
      <c r="F75" s="7"/>
    </row>
    <row r="76" spans="1:6" x14ac:dyDescent="0.25">
      <c r="A76" s="7"/>
      <c r="E76" s="7"/>
      <c r="F76" s="7"/>
    </row>
    <row r="77" spans="1:6" x14ac:dyDescent="0.25">
      <c r="A77" s="7"/>
      <c r="E77" s="7"/>
      <c r="F77" s="7"/>
    </row>
    <row r="78" spans="1:6" x14ac:dyDescent="0.25">
      <c r="A78" s="7"/>
      <c r="E78" s="7"/>
      <c r="F78" s="7"/>
    </row>
    <row r="79" spans="1:6" x14ac:dyDescent="0.25">
      <c r="A79" s="7"/>
      <c r="E79" s="7"/>
      <c r="F79" s="7"/>
    </row>
    <row r="80" spans="1:6" x14ac:dyDescent="0.25">
      <c r="A80" s="7"/>
      <c r="E80" s="7"/>
      <c r="F80" s="7"/>
    </row>
    <row r="81" spans="1:6" x14ac:dyDescent="0.25">
      <c r="A81" s="7"/>
      <c r="E81" s="7"/>
      <c r="F81" s="7"/>
    </row>
    <row r="82" spans="1:6" x14ac:dyDescent="0.25">
      <c r="A82" s="7"/>
      <c r="E82" s="7"/>
      <c r="F82" s="7"/>
    </row>
    <row r="83" spans="1:6" x14ac:dyDescent="0.25">
      <c r="A83" s="7"/>
      <c r="E83" s="7"/>
      <c r="F83" s="7"/>
    </row>
    <row r="84" spans="1:6" x14ac:dyDescent="0.25">
      <c r="A84" s="7"/>
      <c r="E84" s="7"/>
      <c r="F84" s="7"/>
    </row>
    <row r="85" spans="1:6" x14ac:dyDescent="0.25">
      <c r="A85" s="7"/>
      <c r="E85" s="7"/>
      <c r="F85" s="7"/>
    </row>
    <row r="86" spans="1:6" x14ac:dyDescent="0.25">
      <c r="A86" s="7"/>
      <c r="E86" s="7"/>
      <c r="F86" s="7"/>
    </row>
    <row r="87" spans="1:6" x14ac:dyDescent="0.25">
      <c r="A87" s="7"/>
      <c r="E87" s="7"/>
      <c r="F87" s="7"/>
    </row>
    <row r="88" spans="1:6" x14ac:dyDescent="0.25">
      <c r="A88" s="7"/>
      <c r="E88" s="7"/>
      <c r="F88" s="7"/>
    </row>
    <row r="89" spans="1:6" x14ac:dyDescent="0.25">
      <c r="A89" s="7"/>
      <c r="E89" s="7"/>
      <c r="F89" s="7"/>
    </row>
    <row r="90" spans="1:6" x14ac:dyDescent="0.25">
      <c r="A90" s="7"/>
      <c r="E90" s="7"/>
      <c r="F90" s="7"/>
    </row>
    <row r="91" spans="1:6" x14ac:dyDescent="0.25">
      <c r="A91" s="7"/>
      <c r="E91" s="7"/>
      <c r="F91" s="7"/>
    </row>
    <row r="92" spans="1:6" x14ac:dyDescent="0.25">
      <c r="A92" s="7"/>
      <c r="E92" s="7"/>
      <c r="F92" s="7"/>
    </row>
    <row r="93" spans="1:6" x14ac:dyDescent="0.25">
      <c r="A93" s="7"/>
      <c r="E93" s="7"/>
      <c r="F93" s="7"/>
    </row>
    <row r="94" spans="1:6" x14ac:dyDescent="0.25">
      <c r="A94" s="7"/>
      <c r="E94" s="7"/>
      <c r="F94" s="7"/>
    </row>
    <row r="95" spans="1:6" x14ac:dyDescent="0.25">
      <c r="A95" s="7"/>
      <c r="E95" s="7"/>
      <c r="F95" s="7"/>
    </row>
    <row r="96" spans="1:6" x14ac:dyDescent="0.25">
      <c r="A96" s="7"/>
      <c r="E96" s="7"/>
      <c r="F96" s="7"/>
    </row>
    <row r="97" spans="1:6" x14ac:dyDescent="0.25">
      <c r="A97" s="7"/>
      <c r="E97" s="7"/>
      <c r="F97" s="7"/>
    </row>
    <row r="98" spans="1:6" x14ac:dyDescent="0.25">
      <c r="A98" s="7"/>
      <c r="E98" s="7"/>
      <c r="F98" s="7"/>
    </row>
    <row r="99" spans="1:6" x14ac:dyDescent="0.25">
      <c r="A99" s="7"/>
      <c r="E99" s="7"/>
      <c r="F99" s="7"/>
    </row>
    <row r="100" spans="1:6" x14ac:dyDescent="0.25">
      <c r="A100" s="7"/>
      <c r="E100" s="7"/>
      <c r="F100" s="7"/>
    </row>
    <row r="101" spans="1:6" x14ac:dyDescent="0.25">
      <c r="A101" s="7"/>
      <c r="E101" s="7"/>
      <c r="F101" s="7"/>
    </row>
    <row r="102" spans="1:6" x14ac:dyDescent="0.25">
      <c r="A102" s="7"/>
      <c r="E102" s="7"/>
      <c r="F102" s="7"/>
    </row>
    <row r="103" spans="1:6" x14ac:dyDescent="0.25">
      <c r="A103" s="7"/>
      <c r="E103" s="7"/>
      <c r="F103" s="7"/>
    </row>
    <row r="104" spans="1:6" x14ac:dyDescent="0.25">
      <c r="A104" s="7"/>
      <c r="E104" s="7"/>
      <c r="F104" s="7"/>
    </row>
    <row r="105" spans="1:6" x14ac:dyDescent="0.25">
      <c r="A105" s="7"/>
      <c r="E105" s="7"/>
      <c r="F105" s="7"/>
    </row>
    <row r="106" spans="1:6" x14ac:dyDescent="0.25">
      <c r="A106" s="7"/>
      <c r="E106" s="7"/>
      <c r="F106" s="7"/>
    </row>
    <row r="107" spans="1:6" x14ac:dyDescent="0.25">
      <c r="A107" s="7"/>
      <c r="E107" s="7"/>
      <c r="F107" s="7"/>
    </row>
    <row r="108" spans="1:6" x14ac:dyDescent="0.25">
      <c r="A108" s="7"/>
      <c r="E108" s="7"/>
      <c r="F108" s="7"/>
    </row>
    <row r="109" spans="1:6" x14ac:dyDescent="0.25">
      <c r="A109" s="7"/>
      <c r="E109" s="7"/>
      <c r="F109" s="7"/>
    </row>
    <row r="110" spans="1:6" x14ac:dyDescent="0.25">
      <c r="A110" s="7"/>
      <c r="E110" s="7"/>
      <c r="F110" s="7"/>
    </row>
    <row r="111" spans="1:6" x14ac:dyDescent="0.25">
      <c r="A111" s="7"/>
      <c r="E111" s="7"/>
      <c r="F111" s="7"/>
    </row>
    <row r="112" spans="1:6" x14ac:dyDescent="0.25">
      <c r="A112" s="7"/>
      <c r="E112" s="7"/>
      <c r="F112" s="7"/>
    </row>
    <row r="113" spans="1:6" x14ac:dyDescent="0.25">
      <c r="A113" s="7"/>
      <c r="E113" s="7"/>
      <c r="F113" s="7"/>
    </row>
    <row r="114" spans="1:6" x14ac:dyDescent="0.25">
      <c r="A114" s="7"/>
      <c r="E114" s="7"/>
      <c r="F114" s="7"/>
    </row>
    <row r="115" spans="1:6" x14ac:dyDescent="0.25">
      <c r="A115" s="7"/>
      <c r="E115" s="7"/>
      <c r="F115" s="7"/>
    </row>
    <row r="116" spans="1:6" x14ac:dyDescent="0.25">
      <c r="A116" s="7"/>
      <c r="E116" s="7"/>
      <c r="F116" s="7"/>
    </row>
    <row r="117" spans="1:6" x14ac:dyDescent="0.25">
      <c r="A117" s="7"/>
      <c r="E117" s="7"/>
      <c r="F117" s="7"/>
    </row>
    <row r="118" spans="1:6" x14ac:dyDescent="0.25">
      <c r="A118" s="7"/>
      <c r="E118" s="7"/>
      <c r="F118" s="7"/>
    </row>
    <row r="119" spans="1:6" x14ac:dyDescent="0.25">
      <c r="A119" s="7"/>
      <c r="E119" s="7"/>
      <c r="F119" s="7"/>
    </row>
    <row r="120" spans="1:6" x14ac:dyDescent="0.25">
      <c r="A120" s="7"/>
      <c r="E120" s="7"/>
      <c r="F120" s="7"/>
    </row>
    <row r="121" spans="1:6" x14ac:dyDescent="0.25">
      <c r="A121" s="7"/>
      <c r="E121" s="7"/>
      <c r="F121" s="7"/>
    </row>
    <row r="122" spans="1:6" x14ac:dyDescent="0.25">
      <c r="A122" s="7"/>
      <c r="E122" s="7"/>
      <c r="F122" s="7"/>
    </row>
    <row r="123" spans="1:6" x14ac:dyDescent="0.25">
      <c r="A123" s="7"/>
      <c r="E123" s="7"/>
      <c r="F123" s="7"/>
    </row>
    <row r="124" spans="1:6" x14ac:dyDescent="0.25">
      <c r="A124" s="7"/>
      <c r="E124" s="7"/>
      <c r="F124" s="7"/>
    </row>
    <row r="125" spans="1:6" x14ac:dyDescent="0.25">
      <c r="A125" s="7"/>
      <c r="E125" s="7"/>
      <c r="F125" s="7"/>
    </row>
    <row r="126" spans="1:6" x14ac:dyDescent="0.25">
      <c r="A126" s="7"/>
      <c r="E126" s="7"/>
      <c r="F126" s="7"/>
    </row>
    <row r="127" spans="1:6" x14ac:dyDescent="0.25">
      <c r="A127" s="7"/>
      <c r="E127" s="7"/>
      <c r="F127" s="7"/>
    </row>
    <row r="128" spans="1:6" x14ac:dyDescent="0.25">
      <c r="A128" s="7"/>
      <c r="E128" s="7"/>
      <c r="F128" s="7"/>
    </row>
    <row r="129" spans="1:6" x14ac:dyDescent="0.25">
      <c r="A129" s="7"/>
      <c r="E129" s="7"/>
      <c r="F129" s="7"/>
    </row>
    <row r="130" spans="1:6" x14ac:dyDescent="0.25">
      <c r="A130" s="7"/>
      <c r="E130" s="7"/>
      <c r="F130" s="7"/>
    </row>
    <row r="131" spans="1:6" x14ac:dyDescent="0.25">
      <c r="A131" s="7"/>
      <c r="E131" s="7"/>
      <c r="F131" s="7"/>
    </row>
    <row r="132" spans="1:6" x14ac:dyDescent="0.25">
      <c r="A132" s="7"/>
      <c r="E132" s="7"/>
      <c r="F132" s="7"/>
    </row>
    <row r="133" spans="1:6" x14ac:dyDescent="0.25">
      <c r="A133" s="7"/>
      <c r="E133" s="7"/>
      <c r="F133" s="7"/>
    </row>
    <row r="134" spans="1:6" x14ac:dyDescent="0.25">
      <c r="A134" s="7"/>
      <c r="E134" s="7"/>
      <c r="F134" s="7"/>
    </row>
    <row r="135" spans="1:6" x14ac:dyDescent="0.25">
      <c r="A135" s="7"/>
      <c r="E135" s="7"/>
      <c r="F135" s="7"/>
    </row>
    <row r="136" spans="1:6" x14ac:dyDescent="0.25">
      <c r="A136" s="7"/>
      <c r="E136" s="7"/>
      <c r="F136" s="7"/>
    </row>
    <row r="137" spans="1:6" x14ac:dyDescent="0.25">
      <c r="A137" s="7"/>
      <c r="E137" s="7"/>
      <c r="F137" s="7"/>
    </row>
    <row r="138" spans="1:6" x14ac:dyDescent="0.25">
      <c r="A138" s="7"/>
      <c r="E138" s="7"/>
      <c r="F138" s="7"/>
    </row>
    <row r="139" spans="1:6" x14ac:dyDescent="0.25">
      <c r="A139" s="7"/>
      <c r="E139" s="7"/>
      <c r="F139" s="7"/>
    </row>
    <row r="140" spans="1:6" x14ac:dyDescent="0.25">
      <c r="A140" s="7"/>
      <c r="E140" s="7"/>
      <c r="F140" s="7"/>
    </row>
    <row r="141" spans="1:6" x14ac:dyDescent="0.25">
      <c r="A141" s="7"/>
      <c r="E141" s="7"/>
      <c r="F141" s="7"/>
    </row>
    <row r="142" spans="1:6" x14ac:dyDescent="0.25">
      <c r="A142" s="7"/>
      <c r="E142" s="7"/>
      <c r="F142" s="7"/>
    </row>
    <row r="143" spans="1:6" x14ac:dyDescent="0.25">
      <c r="A143" s="7"/>
      <c r="E143" s="7"/>
      <c r="F143" s="7"/>
    </row>
    <row r="144" spans="1:6" x14ac:dyDescent="0.25">
      <c r="A144" s="7"/>
      <c r="E144" s="7"/>
      <c r="F144" s="7"/>
    </row>
    <row r="145" spans="1:6" x14ac:dyDescent="0.25">
      <c r="A145" s="7"/>
      <c r="E145" s="7"/>
      <c r="F145" s="7"/>
    </row>
    <row r="146" spans="1:6" x14ac:dyDescent="0.25">
      <c r="A146" s="7"/>
      <c r="E146" s="7"/>
      <c r="F146" s="7"/>
    </row>
    <row r="147" spans="1:6" x14ac:dyDescent="0.25">
      <c r="A147" s="7"/>
      <c r="E147" s="7"/>
      <c r="F147" s="7"/>
    </row>
    <row r="148" spans="1:6" x14ac:dyDescent="0.25">
      <c r="A148" s="7"/>
      <c r="E148" s="7"/>
      <c r="F148" s="7"/>
    </row>
    <row r="149" spans="1:6" x14ac:dyDescent="0.25">
      <c r="A149" s="7"/>
      <c r="E149" s="7"/>
      <c r="F149" s="7"/>
    </row>
    <row r="150" spans="1:6" x14ac:dyDescent="0.25">
      <c r="A150" s="7"/>
      <c r="E150" s="7"/>
      <c r="F150" s="7"/>
    </row>
    <row r="151" spans="1:6" x14ac:dyDescent="0.25">
      <c r="A151" s="7"/>
      <c r="E151" s="7"/>
      <c r="F151" s="7"/>
    </row>
    <row r="152" spans="1:6" x14ac:dyDescent="0.25">
      <c r="A152" s="7"/>
      <c r="E152" s="7"/>
      <c r="F152" s="7"/>
    </row>
    <row r="153" spans="1:6" x14ac:dyDescent="0.25">
      <c r="A153" s="7"/>
      <c r="E153" s="7"/>
      <c r="F153" s="7"/>
    </row>
    <row r="154" spans="1:6" x14ac:dyDescent="0.25">
      <c r="A154" s="7"/>
      <c r="E154" s="7"/>
      <c r="F154" s="7"/>
    </row>
    <row r="155" spans="1:6" x14ac:dyDescent="0.25">
      <c r="A155" s="7"/>
      <c r="E155" s="7"/>
      <c r="F155" s="7"/>
    </row>
    <row r="156" spans="1:6" x14ac:dyDescent="0.25">
      <c r="A156" s="7"/>
      <c r="E156" s="7"/>
      <c r="F156" s="7"/>
    </row>
    <row r="157" spans="1:6" x14ac:dyDescent="0.25">
      <c r="A157" s="7"/>
      <c r="E157" s="7"/>
      <c r="F157" s="7"/>
    </row>
    <row r="158" spans="1:6" x14ac:dyDescent="0.25">
      <c r="A158" s="7"/>
      <c r="E158" s="7"/>
      <c r="F158" s="7"/>
    </row>
    <row r="159" spans="1:6" x14ac:dyDescent="0.25">
      <c r="A159" s="7"/>
      <c r="E159" s="7"/>
      <c r="F159" s="7"/>
    </row>
    <row r="160" spans="1:6" x14ac:dyDescent="0.25">
      <c r="A160" s="7"/>
      <c r="E160" s="7"/>
      <c r="F160" s="7"/>
    </row>
    <row r="161" spans="1:6" x14ac:dyDescent="0.25">
      <c r="A161" s="7"/>
      <c r="E161" s="7"/>
      <c r="F161" s="7"/>
    </row>
    <row r="162" spans="1:6" x14ac:dyDescent="0.25">
      <c r="A162" s="7"/>
      <c r="E162" s="7"/>
      <c r="F162" s="7"/>
    </row>
    <row r="163" spans="1:6" x14ac:dyDescent="0.25">
      <c r="A163" s="7"/>
      <c r="E163" s="7"/>
      <c r="F163" s="7"/>
    </row>
    <row r="164" spans="1:6" x14ac:dyDescent="0.25">
      <c r="A164" s="7"/>
      <c r="E164" s="7"/>
      <c r="F164" s="7"/>
    </row>
    <row r="165" spans="1:6" x14ac:dyDescent="0.25">
      <c r="A165" s="7"/>
      <c r="E165" s="7"/>
      <c r="F165" s="7"/>
    </row>
    <row r="166" spans="1:6" x14ac:dyDescent="0.25">
      <c r="A166" s="7"/>
      <c r="E166" s="7"/>
      <c r="F166" s="7"/>
    </row>
    <row r="167" spans="1:6" x14ac:dyDescent="0.25">
      <c r="A167" s="7"/>
      <c r="E167" s="7"/>
      <c r="F167" s="7"/>
    </row>
    <row r="168" spans="1:6" x14ac:dyDescent="0.25">
      <c r="A168" s="7"/>
      <c r="E168" s="7"/>
      <c r="F168" s="7"/>
    </row>
    <row r="169" spans="1:6" x14ac:dyDescent="0.25">
      <c r="A169" s="7"/>
      <c r="E169" s="7"/>
      <c r="F169" s="7"/>
    </row>
    <row r="170" spans="1:6" x14ac:dyDescent="0.25">
      <c r="A170" s="7"/>
      <c r="E170" s="7"/>
      <c r="F170" s="7"/>
    </row>
    <row r="171" spans="1:6" x14ac:dyDescent="0.25">
      <c r="A171" s="7"/>
      <c r="E171" s="7"/>
      <c r="F171" s="7"/>
    </row>
    <row r="172" spans="1:6" x14ac:dyDescent="0.25">
      <c r="A172" s="7"/>
      <c r="E172" s="7"/>
      <c r="F172" s="7"/>
    </row>
    <row r="173" spans="1:6" x14ac:dyDescent="0.25">
      <c r="A173" s="7"/>
      <c r="E173" s="7"/>
      <c r="F173" s="7"/>
    </row>
    <row r="174" spans="1:6" x14ac:dyDescent="0.25">
      <c r="A174" s="7"/>
      <c r="E174" s="7"/>
      <c r="F174" s="7"/>
    </row>
    <row r="175" spans="1:6" x14ac:dyDescent="0.25">
      <c r="A175" s="7"/>
      <c r="E175" s="7"/>
      <c r="F175" s="7"/>
    </row>
    <row r="176" spans="1:6" x14ac:dyDescent="0.25">
      <c r="A176" s="7"/>
      <c r="E176" s="7"/>
      <c r="F176" s="7"/>
    </row>
    <row r="177" spans="1:6" x14ac:dyDescent="0.25">
      <c r="A177" s="7"/>
      <c r="E177" s="7"/>
      <c r="F177" s="7"/>
    </row>
    <row r="178" spans="1:6" x14ac:dyDescent="0.25">
      <c r="A178" s="7"/>
      <c r="E178" s="7"/>
      <c r="F178" s="7"/>
    </row>
    <row r="179" spans="1:6" x14ac:dyDescent="0.25">
      <c r="A179" s="7"/>
      <c r="E179" s="7"/>
      <c r="F179" s="7"/>
    </row>
    <row r="180" spans="1:6" x14ac:dyDescent="0.25">
      <c r="A180" s="7"/>
      <c r="E180" s="7"/>
      <c r="F180" s="7"/>
    </row>
    <row r="181" spans="1:6" x14ac:dyDescent="0.25">
      <c r="A181" s="7"/>
      <c r="E181" s="7"/>
      <c r="F181" s="7"/>
    </row>
    <row r="182" spans="1:6" x14ac:dyDescent="0.25">
      <c r="A182" s="7"/>
      <c r="E182" s="7"/>
      <c r="F182" s="7"/>
    </row>
    <row r="183" spans="1:6" x14ac:dyDescent="0.25">
      <c r="A183" s="7"/>
      <c r="E183" s="7"/>
      <c r="F183" s="7"/>
    </row>
    <row r="184" spans="1:6" x14ac:dyDescent="0.25">
      <c r="A184" s="7"/>
      <c r="E184" s="7"/>
      <c r="F184" s="7"/>
    </row>
    <row r="185" spans="1:6" x14ac:dyDescent="0.25">
      <c r="A185" s="7"/>
      <c r="E185" s="7"/>
      <c r="F185" s="7"/>
    </row>
    <row r="186" spans="1:6" x14ac:dyDescent="0.25">
      <c r="A186" s="7"/>
      <c r="E186" s="7"/>
      <c r="F186" s="7"/>
    </row>
    <row r="187" spans="1:6" x14ac:dyDescent="0.25">
      <c r="A187" s="7"/>
      <c r="E187" s="7"/>
      <c r="F187" s="7"/>
    </row>
    <row r="188" spans="1:6" x14ac:dyDescent="0.25">
      <c r="A188" s="7"/>
      <c r="E188" s="7"/>
      <c r="F188" s="7"/>
    </row>
    <row r="189" spans="1:6" x14ac:dyDescent="0.25">
      <c r="A189" s="7"/>
      <c r="E189" s="7"/>
      <c r="F189" s="7"/>
    </row>
    <row r="190" spans="1:6" x14ac:dyDescent="0.25">
      <c r="A190" s="7"/>
      <c r="E190" s="7"/>
      <c r="F190" s="7"/>
    </row>
    <row r="191" spans="1:6" x14ac:dyDescent="0.25">
      <c r="A191" s="7"/>
      <c r="E191" s="7"/>
      <c r="F191" s="7"/>
    </row>
    <row r="192" spans="1:6" x14ac:dyDescent="0.25">
      <c r="A192" s="7"/>
      <c r="E192" s="7"/>
      <c r="F192" s="7"/>
    </row>
    <row r="193" spans="1:6" x14ac:dyDescent="0.25">
      <c r="A193" s="7"/>
      <c r="E193" s="7"/>
      <c r="F193" s="7"/>
    </row>
    <row r="194" spans="1:6" x14ac:dyDescent="0.25">
      <c r="A194" s="7"/>
      <c r="E194" s="7"/>
      <c r="F194" s="7"/>
    </row>
    <row r="195" spans="1:6" x14ac:dyDescent="0.25">
      <c r="A195" s="7"/>
      <c r="E195" s="7"/>
      <c r="F195" s="7"/>
    </row>
    <row r="196" spans="1:6" x14ac:dyDescent="0.25">
      <c r="A196" s="7"/>
      <c r="E196" s="7"/>
      <c r="F196" s="7"/>
    </row>
    <row r="197" spans="1:6" x14ac:dyDescent="0.25">
      <c r="A197" s="7"/>
      <c r="E197" s="7"/>
      <c r="F197" s="7"/>
    </row>
    <row r="198" spans="1:6" x14ac:dyDescent="0.25">
      <c r="A198" s="7"/>
      <c r="E198" s="7"/>
      <c r="F198" s="7"/>
    </row>
    <row r="199" spans="1:6" x14ac:dyDescent="0.25">
      <c r="A199" s="7"/>
      <c r="E199" s="7"/>
      <c r="F199" s="7"/>
    </row>
    <row r="200" spans="1:6" x14ac:dyDescent="0.25">
      <c r="A200" s="7"/>
      <c r="E200" s="7"/>
      <c r="F200" s="7"/>
    </row>
    <row r="201" spans="1:6" x14ac:dyDescent="0.25">
      <c r="A201" s="7"/>
      <c r="E201" s="7"/>
      <c r="F201" s="7"/>
    </row>
    <row r="202" spans="1:6" x14ac:dyDescent="0.25">
      <c r="A202" s="7"/>
      <c r="E202" s="7"/>
      <c r="F202" s="7"/>
    </row>
    <row r="203" spans="1:6" x14ac:dyDescent="0.25">
      <c r="A203" s="7"/>
      <c r="E203" s="7"/>
      <c r="F203" s="7"/>
    </row>
    <row r="204" spans="1:6" x14ac:dyDescent="0.25">
      <c r="A204" s="7"/>
      <c r="E204" s="7"/>
      <c r="F204" s="7"/>
    </row>
    <row r="205" spans="1:6" x14ac:dyDescent="0.25">
      <c r="A205" s="7"/>
      <c r="E205" s="7"/>
      <c r="F205" s="7"/>
    </row>
    <row r="206" spans="1:6" x14ac:dyDescent="0.25">
      <c r="A206" s="7"/>
      <c r="E206" s="7"/>
      <c r="F206" s="7"/>
    </row>
    <row r="207" spans="1:6" x14ac:dyDescent="0.25">
      <c r="A207" s="7"/>
      <c r="E207" s="7"/>
      <c r="F207" s="7"/>
    </row>
    <row r="208" spans="1:6" x14ac:dyDescent="0.25">
      <c r="A208" s="7"/>
      <c r="E208" s="7"/>
      <c r="F208" s="7"/>
    </row>
    <row r="209" spans="1:6" x14ac:dyDescent="0.25">
      <c r="A209" s="7"/>
      <c r="E209" s="7"/>
      <c r="F209" s="7"/>
    </row>
    <row r="210" spans="1:6" x14ac:dyDescent="0.25">
      <c r="A210" s="7"/>
      <c r="E210" s="7"/>
      <c r="F210" s="7"/>
    </row>
    <row r="211" spans="1:6" x14ac:dyDescent="0.25">
      <c r="A211" s="7"/>
      <c r="E211" s="7"/>
      <c r="F211" s="7"/>
    </row>
    <row r="212" spans="1:6" x14ac:dyDescent="0.25">
      <c r="A212" s="7"/>
      <c r="E212" s="7"/>
      <c r="F212" s="7"/>
    </row>
    <row r="213" spans="1:6" x14ac:dyDescent="0.25">
      <c r="A213" s="7"/>
      <c r="E213" s="7"/>
      <c r="F213" s="7"/>
    </row>
    <row r="214" spans="1:6" x14ac:dyDescent="0.25">
      <c r="A214" s="7"/>
      <c r="E214" s="7"/>
      <c r="F214" s="7"/>
    </row>
    <row r="215" spans="1:6" x14ac:dyDescent="0.25">
      <c r="A215" s="7"/>
      <c r="E215" s="7"/>
      <c r="F215" s="7"/>
    </row>
    <row r="216" spans="1:6" x14ac:dyDescent="0.25">
      <c r="A216" s="7"/>
      <c r="E216" s="7"/>
      <c r="F216" s="7"/>
    </row>
    <row r="217" spans="1:6" x14ac:dyDescent="0.25">
      <c r="A217" s="7"/>
      <c r="E217" s="7"/>
      <c r="F217" s="7"/>
    </row>
    <row r="218" spans="1:6" x14ac:dyDescent="0.25">
      <c r="A218" s="7"/>
      <c r="E218" s="7"/>
      <c r="F218" s="7"/>
    </row>
    <row r="219" spans="1:6" x14ac:dyDescent="0.25">
      <c r="A219" s="7"/>
      <c r="E219" s="7"/>
      <c r="F219" s="7"/>
    </row>
    <row r="220" spans="1:6" x14ac:dyDescent="0.25">
      <c r="A220" s="7"/>
      <c r="E220" s="7"/>
      <c r="F220" s="7"/>
    </row>
    <row r="221" spans="1:6" x14ac:dyDescent="0.25">
      <c r="A221" s="7"/>
      <c r="E221" s="7"/>
      <c r="F221" s="7"/>
    </row>
    <row r="222" spans="1:6" x14ac:dyDescent="0.25">
      <c r="A222" s="7"/>
      <c r="E222" s="7"/>
      <c r="F222" s="7"/>
    </row>
    <row r="223" spans="1:6" x14ac:dyDescent="0.25">
      <c r="A223" s="7"/>
      <c r="E223" s="7"/>
      <c r="F223" s="7"/>
    </row>
    <row r="224" spans="1:6" x14ac:dyDescent="0.25">
      <c r="A224" s="7"/>
      <c r="E224" s="7"/>
      <c r="F224" s="7"/>
    </row>
    <row r="225" spans="1:6" x14ac:dyDescent="0.25">
      <c r="A225" s="7"/>
      <c r="E225" s="7"/>
      <c r="F225" s="7"/>
    </row>
    <row r="226" spans="1:6" x14ac:dyDescent="0.25">
      <c r="A226" s="7"/>
      <c r="E226" s="7"/>
      <c r="F226" s="7"/>
    </row>
    <row r="227" spans="1:6" x14ac:dyDescent="0.25">
      <c r="A227" s="7"/>
      <c r="E227" s="7"/>
      <c r="F227" s="7"/>
    </row>
    <row r="228" spans="1:6" x14ac:dyDescent="0.25">
      <c r="A228" s="7"/>
      <c r="E228" s="7"/>
      <c r="F228" s="7"/>
    </row>
    <row r="229" spans="1:6" x14ac:dyDescent="0.25">
      <c r="A229" s="7"/>
      <c r="E229" s="7"/>
      <c r="F229" s="7"/>
    </row>
    <row r="230" spans="1:6" x14ac:dyDescent="0.25">
      <c r="A230" s="7"/>
      <c r="E230" s="7"/>
      <c r="F230" s="7"/>
    </row>
    <row r="231" spans="1:6" x14ac:dyDescent="0.25">
      <c r="A231" s="7"/>
      <c r="E231" s="7"/>
      <c r="F231" s="7"/>
    </row>
    <row r="232" spans="1:6" x14ac:dyDescent="0.25">
      <c r="A232" s="7"/>
      <c r="E232" s="7"/>
      <c r="F232" s="7"/>
    </row>
    <row r="233" spans="1:6" x14ac:dyDescent="0.25">
      <c r="A233" s="7"/>
      <c r="E233" s="7"/>
      <c r="F233" s="7"/>
    </row>
    <row r="234" spans="1:6" x14ac:dyDescent="0.25">
      <c r="A234" s="7"/>
      <c r="E234" s="7"/>
      <c r="F234" s="7"/>
    </row>
    <row r="235" spans="1:6" x14ac:dyDescent="0.25">
      <c r="A235" s="7"/>
      <c r="E235" s="7"/>
      <c r="F235" s="7"/>
    </row>
    <row r="236" spans="1:6" x14ac:dyDescent="0.25">
      <c r="A236" s="7"/>
      <c r="E236" s="7"/>
      <c r="F236" s="7"/>
    </row>
    <row r="237" spans="1:6" x14ac:dyDescent="0.25">
      <c r="A237" s="7"/>
      <c r="E237" s="7"/>
      <c r="F237" s="7"/>
    </row>
    <row r="238" spans="1:6" x14ac:dyDescent="0.25">
      <c r="A238" s="7"/>
      <c r="E238" s="7"/>
      <c r="F238" s="7"/>
    </row>
    <row r="239" spans="1:6" x14ac:dyDescent="0.25">
      <c r="A239" s="7"/>
      <c r="E239" s="7"/>
      <c r="F239" s="7"/>
    </row>
    <row r="240" spans="1:6" x14ac:dyDescent="0.25">
      <c r="A240" s="7"/>
      <c r="E240" s="7"/>
      <c r="F240" s="7"/>
    </row>
    <row r="241" spans="1:6" x14ac:dyDescent="0.25">
      <c r="A241" s="7"/>
      <c r="E241" s="7"/>
      <c r="F241" s="7"/>
    </row>
    <row r="242" spans="1:6" x14ac:dyDescent="0.25">
      <c r="A242" s="7"/>
      <c r="E242" s="7"/>
      <c r="F242" s="7"/>
    </row>
    <row r="243" spans="1:6" x14ac:dyDescent="0.25">
      <c r="A243" s="7"/>
      <c r="E243" s="7"/>
      <c r="F243" s="7"/>
    </row>
    <row r="244" spans="1:6" x14ac:dyDescent="0.25">
      <c r="A244" s="7"/>
      <c r="E244" s="7"/>
      <c r="F244" s="7"/>
    </row>
    <row r="245" spans="1:6" x14ac:dyDescent="0.25">
      <c r="A245" s="7"/>
      <c r="E245" s="7"/>
      <c r="F245" s="7"/>
    </row>
    <row r="246" spans="1:6" x14ac:dyDescent="0.25">
      <c r="A246" s="7"/>
      <c r="E246" s="7"/>
      <c r="F246" s="7"/>
    </row>
    <row r="247" spans="1:6" x14ac:dyDescent="0.25">
      <c r="A247" s="7"/>
      <c r="E247" s="7"/>
      <c r="F247" s="7"/>
    </row>
    <row r="248" spans="1:6" x14ac:dyDescent="0.25">
      <c r="A248" s="7"/>
      <c r="E248" s="7"/>
      <c r="F248" s="7"/>
    </row>
    <row r="249" spans="1:6" x14ac:dyDescent="0.25">
      <c r="A249" s="7"/>
      <c r="E249" s="7"/>
      <c r="F249" s="7"/>
    </row>
    <row r="250" spans="1:6" x14ac:dyDescent="0.25">
      <c r="A250" s="7"/>
      <c r="E250" s="7"/>
      <c r="F250" s="7"/>
    </row>
    <row r="251" spans="1:6" x14ac:dyDescent="0.25">
      <c r="A251" s="7"/>
      <c r="E251" s="7"/>
      <c r="F251" s="7"/>
    </row>
    <row r="252" spans="1:6" x14ac:dyDescent="0.25">
      <c r="A252" s="7"/>
      <c r="E252" s="7"/>
      <c r="F252" s="7"/>
    </row>
    <row r="253" spans="1:6" x14ac:dyDescent="0.25">
      <c r="A253" s="7"/>
      <c r="E253" s="7"/>
      <c r="F253" s="7"/>
    </row>
    <row r="254" spans="1:6" x14ac:dyDescent="0.25">
      <c r="A254" s="7"/>
      <c r="E254" s="7"/>
      <c r="F254" s="7"/>
    </row>
    <row r="255" spans="1:6" x14ac:dyDescent="0.25">
      <c r="A255" s="7"/>
      <c r="E255" s="7"/>
      <c r="F255" s="7"/>
    </row>
    <row r="256" spans="1:6" x14ac:dyDescent="0.25">
      <c r="A256" s="7"/>
      <c r="E256" s="7"/>
      <c r="F256" s="7"/>
    </row>
    <row r="257" spans="1:6" x14ac:dyDescent="0.25">
      <c r="A257" s="7"/>
      <c r="E257" s="7"/>
      <c r="F257" s="7"/>
    </row>
    <row r="258" spans="1:6" x14ac:dyDescent="0.25">
      <c r="A258" s="7"/>
      <c r="E258" s="7"/>
      <c r="F258" s="7"/>
    </row>
    <row r="259" spans="1:6" x14ac:dyDescent="0.25">
      <c r="A259" s="7"/>
      <c r="E259" s="7"/>
      <c r="F259" s="7"/>
    </row>
    <row r="260" spans="1:6" x14ac:dyDescent="0.25">
      <c r="A260" s="7"/>
      <c r="E260" s="7"/>
      <c r="F260" s="7"/>
    </row>
    <row r="261" spans="1:6" x14ac:dyDescent="0.25">
      <c r="A261" s="7"/>
      <c r="E261" s="7"/>
      <c r="F261" s="7"/>
    </row>
    <row r="262" spans="1:6" x14ac:dyDescent="0.25">
      <c r="A262" s="7"/>
      <c r="E262" s="7"/>
      <c r="F262" s="7"/>
    </row>
    <row r="263" spans="1:6" x14ac:dyDescent="0.25">
      <c r="A263" s="7"/>
      <c r="E263" s="7"/>
      <c r="F263" s="7"/>
    </row>
    <row r="264" spans="1:6" x14ac:dyDescent="0.25">
      <c r="A264" s="7"/>
      <c r="E264" s="7"/>
      <c r="F264" s="7"/>
    </row>
    <row r="265" spans="1:6" x14ac:dyDescent="0.25">
      <c r="A265" s="7"/>
      <c r="E265" s="7"/>
      <c r="F265" s="7"/>
    </row>
    <row r="266" spans="1:6" x14ac:dyDescent="0.25">
      <c r="A266" s="7"/>
      <c r="E266" s="7"/>
      <c r="F266" s="7"/>
    </row>
    <row r="267" spans="1:6" x14ac:dyDescent="0.25">
      <c r="A267" s="7"/>
      <c r="E267" s="7"/>
      <c r="F267" s="7"/>
    </row>
    <row r="268" spans="1:6" x14ac:dyDescent="0.25">
      <c r="A268" s="7"/>
      <c r="E268" s="7"/>
      <c r="F268" s="7"/>
    </row>
    <row r="269" spans="1:6" x14ac:dyDescent="0.25">
      <c r="A269" s="7"/>
      <c r="E269" s="7"/>
      <c r="F269" s="7"/>
    </row>
    <row r="270" spans="1:6" x14ac:dyDescent="0.25">
      <c r="A270" s="7"/>
      <c r="E270" s="7"/>
      <c r="F270" s="7"/>
    </row>
    <row r="271" spans="1:6" x14ac:dyDescent="0.25">
      <c r="A271" s="7"/>
      <c r="E271" s="7"/>
      <c r="F271" s="7"/>
    </row>
    <row r="272" spans="1:6" x14ac:dyDescent="0.25">
      <c r="A272" s="7"/>
      <c r="E272" s="7"/>
      <c r="F272" s="7"/>
    </row>
    <row r="273" spans="1:6" x14ac:dyDescent="0.25">
      <c r="A273" s="7"/>
      <c r="E273" s="7"/>
      <c r="F273" s="7"/>
    </row>
    <row r="274" spans="1:6" x14ac:dyDescent="0.25">
      <c r="A274" s="7"/>
      <c r="E274" s="7"/>
      <c r="F274" s="7"/>
    </row>
    <row r="275" spans="1:6" x14ac:dyDescent="0.25">
      <c r="A275" s="7"/>
      <c r="E275" s="7"/>
      <c r="F275" s="7"/>
    </row>
    <row r="276" spans="1:6" x14ac:dyDescent="0.25">
      <c r="A276" s="7"/>
      <c r="E276" s="7"/>
      <c r="F276" s="7"/>
    </row>
    <row r="277" spans="1:6" x14ac:dyDescent="0.25">
      <c r="A277" s="7"/>
      <c r="E277" s="7"/>
      <c r="F277" s="7"/>
    </row>
    <row r="278" spans="1:6" x14ac:dyDescent="0.25">
      <c r="A278" s="7"/>
      <c r="E278" s="7"/>
      <c r="F278" s="7"/>
    </row>
    <row r="279" spans="1:6" x14ac:dyDescent="0.25">
      <c r="A279" s="7"/>
      <c r="E279" s="7"/>
      <c r="F279" s="7"/>
    </row>
    <row r="280" spans="1:6" x14ac:dyDescent="0.25">
      <c r="A280" s="7"/>
      <c r="E280" s="7"/>
      <c r="F280" s="7"/>
    </row>
    <row r="281" spans="1:6" x14ac:dyDescent="0.25">
      <c r="A281" s="7"/>
      <c r="E281" s="7"/>
      <c r="F281" s="7"/>
    </row>
    <row r="282" spans="1:6" x14ac:dyDescent="0.25">
      <c r="A282" s="7"/>
      <c r="E282" s="7"/>
      <c r="F282" s="7"/>
    </row>
    <row r="283" spans="1:6" x14ac:dyDescent="0.25">
      <c r="A283" s="7"/>
      <c r="E283" s="7"/>
      <c r="F283" s="7"/>
    </row>
    <row r="284" spans="1:6" x14ac:dyDescent="0.25">
      <c r="A284" s="7"/>
      <c r="E284" s="7"/>
      <c r="F284" s="7"/>
    </row>
    <row r="285" spans="1:6" x14ac:dyDescent="0.25">
      <c r="A285" s="7"/>
      <c r="E285" s="7"/>
      <c r="F285" s="7"/>
    </row>
    <row r="286" spans="1:6" x14ac:dyDescent="0.25">
      <c r="A286" s="7"/>
      <c r="E286" s="7"/>
      <c r="F286" s="7"/>
    </row>
    <row r="287" spans="1:6" x14ac:dyDescent="0.25">
      <c r="A287" s="7"/>
      <c r="E287" s="7"/>
      <c r="F287" s="7"/>
    </row>
    <row r="288" spans="1:6" x14ac:dyDescent="0.25">
      <c r="A288" s="7"/>
      <c r="E288" s="7"/>
      <c r="F288" s="7"/>
    </row>
    <row r="289" spans="1:6" x14ac:dyDescent="0.25">
      <c r="A289" s="7"/>
      <c r="E289" s="7"/>
      <c r="F289" s="7"/>
    </row>
    <row r="290" spans="1:6" x14ac:dyDescent="0.25">
      <c r="A290" s="7"/>
      <c r="E290" s="7"/>
      <c r="F290" s="7"/>
    </row>
    <row r="291" spans="1:6" x14ac:dyDescent="0.25">
      <c r="A291" s="7"/>
      <c r="E291" s="7"/>
      <c r="F291" s="7"/>
    </row>
    <row r="292" spans="1:6" x14ac:dyDescent="0.25">
      <c r="A292" s="7"/>
      <c r="E292" s="7"/>
      <c r="F292" s="7"/>
    </row>
    <row r="293" spans="1:6" x14ac:dyDescent="0.25">
      <c r="A293" s="7"/>
      <c r="E293" s="7"/>
      <c r="F293" s="7"/>
    </row>
    <row r="294" spans="1:6" x14ac:dyDescent="0.25">
      <c r="A294" s="7"/>
      <c r="E294" s="7"/>
      <c r="F294" s="7"/>
    </row>
    <row r="295" spans="1:6" x14ac:dyDescent="0.25">
      <c r="A295" s="7"/>
      <c r="E295" s="7"/>
      <c r="F295" s="7"/>
    </row>
    <row r="296" spans="1:6" x14ac:dyDescent="0.25">
      <c r="A296" s="7"/>
      <c r="E296" s="7"/>
      <c r="F296" s="7"/>
    </row>
    <row r="297" spans="1:6" x14ac:dyDescent="0.25">
      <c r="A297" s="7"/>
      <c r="E297" s="7"/>
      <c r="F297" s="7"/>
    </row>
    <row r="298" spans="1:6" x14ac:dyDescent="0.25">
      <c r="A298" s="7"/>
      <c r="E298" s="7"/>
      <c r="F298" s="7"/>
    </row>
    <row r="299" spans="1:6" x14ac:dyDescent="0.25">
      <c r="A299" s="7"/>
      <c r="E299" s="7"/>
      <c r="F299" s="7"/>
    </row>
    <row r="300" spans="1:6" x14ac:dyDescent="0.25">
      <c r="A300" s="7"/>
      <c r="E300" s="7"/>
      <c r="F300" s="7"/>
    </row>
    <row r="301" spans="1:6" x14ac:dyDescent="0.25">
      <c r="A301" s="7"/>
      <c r="E301" s="7"/>
      <c r="F301" s="7"/>
    </row>
    <row r="302" spans="1:6" x14ac:dyDescent="0.25">
      <c r="A302" s="7"/>
      <c r="E302" s="7"/>
      <c r="F302" s="7"/>
    </row>
    <row r="303" spans="1:6" x14ac:dyDescent="0.25">
      <c r="A303" s="7"/>
      <c r="E303" s="7"/>
      <c r="F303" s="7"/>
    </row>
    <row r="304" spans="1:6" x14ac:dyDescent="0.25">
      <c r="A304" s="7"/>
      <c r="E304" s="7"/>
      <c r="F304" s="7"/>
    </row>
    <row r="305" spans="1:6" x14ac:dyDescent="0.25">
      <c r="A305" s="7"/>
      <c r="E305" s="7"/>
      <c r="F305" s="7"/>
    </row>
    <row r="306" spans="1:6" x14ac:dyDescent="0.25">
      <c r="A306" s="7"/>
      <c r="E306" s="7"/>
      <c r="F306" s="7"/>
    </row>
    <row r="307" spans="1:6" x14ac:dyDescent="0.25">
      <c r="A307" s="7"/>
      <c r="E307" s="7"/>
      <c r="F307" s="7"/>
    </row>
    <row r="308" spans="1:6" x14ac:dyDescent="0.25">
      <c r="A308" s="7"/>
      <c r="E308" s="7"/>
      <c r="F308" s="7"/>
    </row>
    <row r="309" spans="1:6" x14ac:dyDescent="0.25">
      <c r="A309" s="7"/>
      <c r="E309" s="7"/>
      <c r="F309" s="7"/>
    </row>
    <row r="310" spans="1:6" x14ac:dyDescent="0.25">
      <c r="A310" s="7"/>
      <c r="E310" s="7"/>
      <c r="F310" s="7"/>
    </row>
    <row r="311" spans="1:6" x14ac:dyDescent="0.25">
      <c r="A311" s="7"/>
      <c r="E311" s="7"/>
      <c r="F311" s="7"/>
    </row>
    <row r="312" spans="1:6" x14ac:dyDescent="0.25">
      <c r="A312" s="7"/>
      <c r="E312" s="7"/>
      <c r="F312" s="7"/>
    </row>
    <row r="313" spans="1:6" x14ac:dyDescent="0.25">
      <c r="A313" s="7"/>
      <c r="E313" s="7"/>
      <c r="F313" s="7"/>
    </row>
    <row r="314" spans="1:6" x14ac:dyDescent="0.25">
      <c r="A314" s="7"/>
      <c r="E314" s="7"/>
      <c r="F314" s="7"/>
    </row>
    <row r="315" spans="1:6" x14ac:dyDescent="0.25">
      <c r="A315" s="7"/>
      <c r="E315" s="7"/>
      <c r="F315" s="7"/>
    </row>
    <row r="316" spans="1:6" x14ac:dyDescent="0.25">
      <c r="A316" s="7"/>
      <c r="E316" s="7"/>
      <c r="F316" s="7"/>
    </row>
    <row r="317" spans="1:6" x14ac:dyDescent="0.25">
      <c r="A317" s="7"/>
      <c r="E317" s="7"/>
      <c r="F317" s="7"/>
    </row>
    <row r="318" spans="1:6" x14ac:dyDescent="0.25">
      <c r="A318" s="7"/>
      <c r="E318" s="7"/>
      <c r="F318" s="7"/>
    </row>
    <row r="319" spans="1:6" x14ac:dyDescent="0.25">
      <c r="A319" s="7"/>
      <c r="E319" s="7"/>
      <c r="F319" s="7"/>
    </row>
    <row r="320" spans="1:6" x14ac:dyDescent="0.25">
      <c r="A320" s="7"/>
      <c r="E320" s="7"/>
      <c r="F320" s="7"/>
    </row>
    <row r="321" spans="1:6" x14ac:dyDescent="0.25">
      <c r="A321" s="7"/>
      <c r="E321" s="7"/>
      <c r="F321" s="7"/>
    </row>
    <row r="322" spans="1:6" x14ac:dyDescent="0.25">
      <c r="A322" s="7"/>
      <c r="E322" s="7"/>
      <c r="F322" s="7"/>
    </row>
    <row r="323" spans="1:6" x14ac:dyDescent="0.25">
      <c r="A323" s="7"/>
      <c r="E323" s="7"/>
      <c r="F323" s="7"/>
    </row>
    <row r="324" spans="1:6" x14ac:dyDescent="0.25">
      <c r="A324" s="7"/>
      <c r="E324" s="7"/>
      <c r="F324" s="7"/>
    </row>
    <row r="325" spans="1:6" x14ac:dyDescent="0.25">
      <c r="A325" s="7"/>
      <c r="E325" s="7"/>
      <c r="F325" s="7"/>
    </row>
    <row r="326" spans="1:6" x14ac:dyDescent="0.25">
      <c r="A326" s="7"/>
      <c r="E326" s="7"/>
      <c r="F326" s="7"/>
    </row>
    <row r="327" spans="1:6" x14ac:dyDescent="0.25">
      <c r="A327" s="7"/>
      <c r="E327" s="7"/>
      <c r="F327" s="7"/>
    </row>
    <row r="328" spans="1:6" x14ac:dyDescent="0.25">
      <c r="A328" s="7"/>
      <c r="E328" s="7"/>
      <c r="F328" s="7"/>
    </row>
    <row r="329" spans="1:6" x14ac:dyDescent="0.25">
      <c r="A329" s="7"/>
      <c r="E329" s="7"/>
      <c r="F329" s="7"/>
    </row>
    <row r="330" spans="1:6" x14ac:dyDescent="0.25">
      <c r="A330" s="7"/>
      <c r="E330" s="7"/>
      <c r="F330" s="7"/>
    </row>
    <row r="331" spans="1:6" x14ac:dyDescent="0.25">
      <c r="A331" s="7"/>
      <c r="E331" s="7"/>
      <c r="F331" s="7"/>
    </row>
    <row r="332" spans="1:6" x14ac:dyDescent="0.25">
      <c r="A332" s="7"/>
      <c r="E332" s="7"/>
      <c r="F332" s="7"/>
    </row>
    <row r="333" spans="1:6" x14ac:dyDescent="0.25">
      <c r="A333" s="7"/>
      <c r="E333" s="7"/>
      <c r="F333" s="7"/>
    </row>
    <row r="334" spans="1:6" x14ac:dyDescent="0.25">
      <c r="A334" s="7"/>
      <c r="E334" s="7"/>
      <c r="F334" s="7"/>
    </row>
    <row r="335" spans="1:6" x14ac:dyDescent="0.25">
      <c r="A335" s="7"/>
      <c r="E335" s="7"/>
      <c r="F335" s="7"/>
    </row>
    <row r="336" spans="1:6" x14ac:dyDescent="0.25">
      <c r="A336" s="7"/>
      <c r="E336" s="7"/>
      <c r="F336" s="7"/>
    </row>
    <row r="337" spans="1:6" x14ac:dyDescent="0.25">
      <c r="A337" s="7"/>
      <c r="E337" s="7"/>
      <c r="F337" s="7"/>
    </row>
    <row r="338" spans="1:6" x14ac:dyDescent="0.25">
      <c r="A338" s="7"/>
      <c r="E338" s="7"/>
      <c r="F338" s="7"/>
    </row>
    <row r="339" spans="1:6" x14ac:dyDescent="0.25">
      <c r="A339" s="7"/>
      <c r="E339" s="7"/>
      <c r="F339" s="7"/>
    </row>
    <row r="340" spans="1:6" x14ac:dyDescent="0.25">
      <c r="A340" s="7"/>
      <c r="E340" s="7"/>
      <c r="F340" s="7"/>
    </row>
    <row r="341" spans="1:6" x14ac:dyDescent="0.25">
      <c r="A341" s="7"/>
      <c r="E341" s="7"/>
      <c r="F341" s="7"/>
    </row>
    <row r="342" spans="1:6" x14ac:dyDescent="0.25">
      <c r="A342" s="7"/>
      <c r="E342" s="7"/>
      <c r="F342" s="7"/>
    </row>
    <row r="343" spans="1:6" x14ac:dyDescent="0.25">
      <c r="A343" s="7"/>
      <c r="E343" s="7"/>
      <c r="F343" s="7"/>
    </row>
    <row r="344" spans="1:6" x14ac:dyDescent="0.25">
      <c r="A344" s="7"/>
      <c r="E344" s="7"/>
      <c r="F344" s="7"/>
    </row>
    <row r="345" spans="1:6" x14ac:dyDescent="0.25">
      <c r="A345" s="7"/>
      <c r="E345" s="7"/>
      <c r="F345" s="7"/>
    </row>
    <row r="346" spans="1:6" x14ac:dyDescent="0.25">
      <c r="A346" s="7"/>
      <c r="E346" s="7"/>
      <c r="F346" s="7"/>
    </row>
    <row r="347" spans="1:6" x14ac:dyDescent="0.25">
      <c r="A347" s="7"/>
      <c r="E347" s="7"/>
      <c r="F347" s="7"/>
    </row>
    <row r="348" spans="1:6" x14ac:dyDescent="0.25">
      <c r="A348" s="7"/>
      <c r="E348" s="7"/>
      <c r="F348" s="7"/>
    </row>
    <row r="349" spans="1:6" x14ac:dyDescent="0.25">
      <c r="A349" s="7"/>
      <c r="E349" s="7"/>
      <c r="F349" s="7"/>
    </row>
    <row r="350" spans="1:6" x14ac:dyDescent="0.25">
      <c r="A350" s="7"/>
      <c r="E350" s="7"/>
      <c r="F350" s="7"/>
    </row>
    <row r="351" spans="1:6" x14ac:dyDescent="0.25">
      <c r="A351" s="7"/>
      <c r="E351" s="7"/>
      <c r="F351" s="7"/>
    </row>
    <row r="352" spans="1:6" x14ac:dyDescent="0.25">
      <c r="A352" s="7"/>
      <c r="E352" s="7"/>
      <c r="F352" s="7"/>
    </row>
    <row r="353" spans="1:6" x14ac:dyDescent="0.25">
      <c r="A353" s="7"/>
      <c r="E353" s="7"/>
      <c r="F353" s="7"/>
    </row>
    <row r="354" spans="1:6" x14ac:dyDescent="0.25">
      <c r="A354" s="7"/>
      <c r="E354" s="7"/>
      <c r="F354" s="7"/>
    </row>
    <row r="355" spans="1:6" x14ac:dyDescent="0.25">
      <c r="A355" s="7"/>
      <c r="E355" s="7"/>
      <c r="F355" s="7"/>
    </row>
    <row r="356" spans="1:6" x14ac:dyDescent="0.25">
      <c r="A356" s="7"/>
      <c r="E356" s="7"/>
      <c r="F356" s="7"/>
    </row>
    <row r="357" spans="1:6" x14ac:dyDescent="0.25">
      <c r="A357" s="7"/>
      <c r="E357" s="7"/>
      <c r="F357" s="7"/>
    </row>
    <row r="358" spans="1:6" x14ac:dyDescent="0.25">
      <c r="A358" s="7"/>
      <c r="E358" s="7"/>
      <c r="F358" s="7"/>
    </row>
    <row r="359" spans="1:6" x14ac:dyDescent="0.25">
      <c r="A359" s="7"/>
      <c r="E359" s="7"/>
      <c r="F359" s="7"/>
    </row>
    <row r="360" spans="1:6" x14ac:dyDescent="0.25">
      <c r="A360" s="7"/>
      <c r="E360" s="7"/>
      <c r="F360" s="7"/>
    </row>
    <row r="361" spans="1:6" x14ac:dyDescent="0.25">
      <c r="A361" s="7"/>
      <c r="E361" s="7"/>
      <c r="F361" s="7"/>
    </row>
    <row r="362" spans="1:6" x14ac:dyDescent="0.25">
      <c r="A362" s="7"/>
      <c r="E362" s="7"/>
      <c r="F362" s="7"/>
    </row>
    <row r="363" spans="1:6" x14ac:dyDescent="0.25">
      <c r="A363" s="7"/>
      <c r="E363" s="7"/>
      <c r="F363" s="7"/>
    </row>
    <row r="364" spans="1:6" x14ac:dyDescent="0.25">
      <c r="A364" s="7"/>
      <c r="E364" s="7"/>
      <c r="F364" s="7"/>
    </row>
    <row r="365" spans="1:6" x14ac:dyDescent="0.25">
      <c r="A365" s="7"/>
      <c r="E365" s="7"/>
      <c r="F365" s="7"/>
    </row>
    <row r="366" spans="1:6" x14ac:dyDescent="0.25">
      <c r="A366" s="7"/>
      <c r="E366" s="7"/>
      <c r="F366" s="7"/>
    </row>
    <row r="367" spans="1:6" x14ac:dyDescent="0.25">
      <c r="A367" s="7"/>
      <c r="E367" s="7"/>
      <c r="F367" s="7"/>
    </row>
    <row r="368" spans="1:6" x14ac:dyDescent="0.25">
      <c r="A368" s="7"/>
      <c r="E368" s="7"/>
      <c r="F368" s="7"/>
    </row>
    <row r="369" spans="1:6" x14ac:dyDescent="0.25">
      <c r="A369" s="7"/>
      <c r="E369" s="7"/>
      <c r="F369" s="7"/>
    </row>
    <row r="370" spans="1:6" x14ac:dyDescent="0.25">
      <c r="A370" s="7"/>
      <c r="E370" s="7"/>
      <c r="F370" s="7"/>
    </row>
    <row r="371" spans="1:6" x14ac:dyDescent="0.25">
      <c r="A371" s="7"/>
      <c r="E371" s="7"/>
      <c r="F371" s="7"/>
    </row>
    <row r="372" spans="1:6" x14ac:dyDescent="0.25">
      <c r="A372" s="7"/>
      <c r="E372" s="7"/>
      <c r="F372" s="7"/>
    </row>
    <row r="373" spans="1:6" x14ac:dyDescent="0.25">
      <c r="A373" s="7"/>
      <c r="E373" s="7"/>
      <c r="F373" s="7"/>
    </row>
    <row r="374" spans="1:6" x14ac:dyDescent="0.25">
      <c r="A374" s="7"/>
      <c r="E374" s="7"/>
      <c r="F374" s="7"/>
    </row>
    <row r="375" spans="1:6" x14ac:dyDescent="0.25">
      <c r="A375" s="7"/>
      <c r="E375" s="7"/>
      <c r="F375" s="7"/>
    </row>
    <row r="376" spans="1:6" x14ac:dyDescent="0.25">
      <c r="A376" s="7"/>
      <c r="E376" s="7"/>
      <c r="F376" s="7"/>
    </row>
    <row r="377" spans="1:6" x14ac:dyDescent="0.25">
      <c r="A377" s="7"/>
      <c r="E377" s="7"/>
      <c r="F377" s="7"/>
    </row>
    <row r="378" spans="1:6" x14ac:dyDescent="0.25">
      <c r="A378" s="7"/>
      <c r="E378" s="7"/>
      <c r="F378" s="7"/>
    </row>
    <row r="379" spans="1:6" x14ac:dyDescent="0.25">
      <c r="A379" s="7"/>
      <c r="E379" s="7"/>
      <c r="F379" s="7"/>
    </row>
    <row r="380" spans="1:6" x14ac:dyDescent="0.25">
      <c r="A380" s="7"/>
      <c r="E380" s="7"/>
      <c r="F380" s="7"/>
    </row>
    <row r="381" spans="1:6" x14ac:dyDescent="0.25">
      <c r="A381" s="7"/>
      <c r="E381" s="7"/>
      <c r="F381" s="7"/>
    </row>
    <row r="382" spans="1:6" x14ac:dyDescent="0.25">
      <c r="A382" s="7"/>
      <c r="E382" s="7"/>
      <c r="F382" s="7"/>
    </row>
    <row r="383" spans="1:6" x14ac:dyDescent="0.25">
      <c r="A383" s="7"/>
      <c r="E383" s="7"/>
      <c r="F383" s="7"/>
    </row>
    <row r="384" spans="1:6" x14ac:dyDescent="0.25">
      <c r="A384" s="7"/>
      <c r="E384" s="7"/>
      <c r="F384" s="7"/>
    </row>
    <row r="385" spans="1:6" x14ac:dyDescent="0.25">
      <c r="A385" s="7"/>
      <c r="E385" s="7"/>
      <c r="F385" s="7"/>
    </row>
    <row r="386" spans="1:6" x14ac:dyDescent="0.25">
      <c r="A386" s="7"/>
      <c r="E386" s="7"/>
      <c r="F386" s="7"/>
    </row>
    <row r="387" spans="1:6" x14ac:dyDescent="0.25">
      <c r="A387" s="7"/>
      <c r="E387" s="7"/>
      <c r="F387" s="7"/>
    </row>
    <row r="388" spans="1:6" x14ac:dyDescent="0.25">
      <c r="A388" s="7"/>
      <c r="E388" s="7"/>
      <c r="F388" s="7"/>
    </row>
    <row r="389" spans="1:6" x14ac:dyDescent="0.25">
      <c r="A389" s="7"/>
      <c r="E389" s="7"/>
      <c r="F389" s="7"/>
    </row>
    <row r="390" spans="1:6" x14ac:dyDescent="0.25">
      <c r="A390" s="7"/>
      <c r="E390" s="7"/>
      <c r="F390" s="7"/>
    </row>
    <row r="391" spans="1:6" x14ac:dyDescent="0.25">
      <c r="A391" s="7"/>
      <c r="E391" s="7"/>
      <c r="F391" s="7"/>
    </row>
    <row r="392" spans="1:6" x14ac:dyDescent="0.25">
      <c r="A392" s="7"/>
      <c r="E392" s="7"/>
      <c r="F392" s="7"/>
    </row>
    <row r="393" spans="1:6" x14ac:dyDescent="0.25">
      <c r="A393" s="7"/>
      <c r="E393" s="7"/>
      <c r="F393" s="7"/>
    </row>
    <row r="394" spans="1:6" x14ac:dyDescent="0.25">
      <c r="A394" s="7"/>
      <c r="E394" s="7"/>
      <c r="F394" s="7"/>
    </row>
    <row r="395" spans="1:6" x14ac:dyDescent="0.25">
      <c r="A395" s="7"/>
      <c r="E395" s="7"/>
      <c r="F395" s="7"/>
    </row>
    <row r="396" spans="1:6" x14ac:dyDescent="0.25">
      <c r="A396" s="7"/>
      <c r="E396" s="7"/>
      <c r="F396" s="7"/>
    </row>
    <row r="397" spans="1:6" x14ac:dyDescent="0.25">
      <c r="A397" s="7"/>
      <c r="E397" s="7"/>
      <c r="F397" s="7"/>
    </row>
    <row r="398" spans="1:6" x14ac:dyDescent="0.25">
      <c r="A398" s="7"/>
      <c r="E398" s="7"/>
      <c r="F398" s="7"/>
    </row>
    <row r="399" spans="1:6" x14ac:dyDescent="0.25">
      <c r="A399" s="7"/>
      <c r="E399" s="7"/>
      <c r="F399" s="7"/>
    </row>
    <row r="400" spans="1:6" x14ac:dyDescent="0.25">
      <c r="A400" s="7"/>
      <c r="E400" s="7"/>
      <c r="F400" s="7"/>
    </row>
    <row r="401" spans="1:6" x14ac:dyDescent="0.25">
      <c r="A401" s="7"/>
      <c r="E401" s="7"/>
      <c r="F401" s="7"/>
    </row>
    <row r="402" spans="1:6" x14ac:dyDescent="0.25">
      <c r="A402" s="7"/>
      <c r="E402" s="7"/>
      <c r="F402" s="7"/>
    </row>
    <row r="403" spans="1:6" x14ac:dyDescent="0.25">
      <c r="A403" s="7"/>
      <c r="E403" s="7"/>
      <c r="F403" s="7"/>
    </row>
    <row r="404" spans="1:6" x14ac:dyDescent="0.25">
      <c r="A404" s="7"/>
      <c r="E404" s="7"/>
      <c r="F404" s="7"/>
    </row>
    <row r="405" spans="1:6" x14ac:dyDescent="0.25">
      <c r="A405" s="7"/>
      <c r="E405" s="7"/>
      <c r="F405" s="7"/>
    </row>
    <row r="406" spans="1:6" x14ac:dyDescent="0.25">
      <c r="A406" s="7"/>
      <c r="E406" s="7"/>
      <c r="F406" s="7"/>
    </row>
    <row r="407" spans="1:6" x14ac:dyDescent="0.25">
      <c r="A407" s="7"/>
      <c r="E407" s="7"/>
      <c r="F407" s="7"/>
    </row>
    <row r="408" spans="1:6" x14ac:dyDescent="0.25">
      <c r="A408" s="7"/>
      <c r="E408" s="7"/>
      <c r="F408" s="7"/>
    </row>
    <row r="409" spans="1:6" x14ac:dyDescent="0.25">
      <c r="A409" s="7"/>
      <c r="E409" s="7"/>
      <c r="F409" s="7"/>
    </row>
    <row r="410" spans="1:6" x14ac:dyDescent="0.25">
      <c r="A410" s="7"/>
      <c r="E410" s="7"/>
      <c r="F410" s="7"/>
    </row>
    <row r="411" spans="1:6" x14ac:dyDescent="0.25">
      <c r="A411" s="7"/>
      <c r="E411" s="7"/>
      <c r="F411" s="7"/>
    </row>
    <row r="412" spans="1:6" x14ac:dyDescent="0.25">
      <c r="A412" s="7"/>
      <c r="E412" s="7"/>
      <c r="F412" s="7"/>
    </row>
    <row r="413" spans="1:6" x14ac:dyDescent="0.25">
      <c r="A413" s="7"/>
      <c r="E413" s="7"/>
      <c r="F413" s="7"/>
    </row>
    <row r="414" spans="1:6" x14ac:dyDescent="0.25">
      <c r="A414" s="7"/>
      <c r="E414" s="7"/>
      <c r="F414" s="7"/>
    </row>
    <row r="415" spans="1:6" x14ac:dyDescent="0.25">
      <c r="A415" s="7"/>
      <c r="E415" s="7"/>
      <c r="F415" s="7"/>
    </row>
    <row r="416" spans="1:6" x14ac:dyDescent="0.25">
      <c r="A416" s="7"/>
      <c r="E416" s="7"/>
      <c r="F416" s="7"/>
    </row>
    <row r="417" spans="1:6" x14ac:dyDescent="0.25">
      <c r="A417" s="7"/>
      <c r="E417" s="7"/>
      <c r="F417" s="7"/>
    </row>
    <row r="418" spans="1:6" x14ac:dyDescent="0.25">
      <c r="A418" s="7"/>
      <c r="E418" s="7"/>
      <c r="F418" s="7"/>
    </row>
    <row r="419" spans="1:6" x14ac:dyDescent="0.25">
      <c r="A419" s="7"/>
      <c r="E419" s="7"/>
      <c r="F419" s="7"/>
    </row>
    <row r="420" spans="1:6" x14ac:dyDescent="0.25">
      <c r="A420" s="7"/>
      <c r="E420" s="7"/>
      <c r="F420" s="7"/>
    </row>
    <row r="421" spans="1:6" x14ac:dyDescent="0.25">
      <c r="A421" s="7"/>
      <c r="E421" s="7"/>
      <c r="F421" s="7"/>
    </row>
    <row r="422" spans="1:6" x14ac:dyDescent="0.25">
      <c r="A422" s="7"/>
      <c r="E422" s="7"/>
      <c r="F422" s="7"/>
    </row>
    <row r="423" spans="1:6" x14ac:dyDescent="0.25">
      <c r="A423" s="7"/>
      <c r="E423" s="7"/>
      <c r="F423" s="7"/>
    </row>
    <row r="424" spans="1:6" x14ac:dyDescent="0.25">
      <c r="A424" s="7"/>
      <c r="E424" s="7"/>
      <c r="F424" s="7"/>
    </row>
    <row r="425" spans="1:6" x14ac:dyDescent="0.25">
      <c r="A425" s="7"/>
      <c r="E425" s="7"/>
      <c r="F425" s="7"/>
    </row>
    <row r="426" spans="1:6" x14ac:dyDescent="0.25">
      <c r="A426" s="7"/>
      <c r="E426" s="7"/>
      <c r="F426" s="7"/>
    </row>
    <row r="427" spans="1:6" x14ac:dyDescent="0.25">
      <c r="A427" s="7"/>
      <c r="E427" s="7"/>
      <c r="F427" s="7"/>
    </row>
    <row r="428" spans="1:6" x14ac:dyDescent="0.25">
      <c r="A428" s="7"/>
      <c r="E428" s="7"/>
      <c r="F428" s="7"/>
    </row>
    <row r="429" spans="1:6" x14ac:dyDescent="0.25">
      <c r="A429" s="7"/>
      <c r="E429" s="7"/>
      <c r="F429" s="7"/>
    </row>
    <row r="430" spans="1:6" x14ac:dyDescent="0.25">
      <c r="A430" s="7"/>
      <c r="E430" s="7"/>
      <c r="F430" s="7"/>
    </row>
    <row r="431" spans="1:6" x14ac:dyDescent="0.25">
      <c r="A431" s="7"/>
      <c r="E431" s="7"/>
      <c r="F431" s="7"/>
    </row>
    <row r="432" spans="1:6" x14ac:dyDescent="0.25">
      <c r="A432" s="7"/>
      <c r="E432" s="7"/>
      <c r="F432" s="7"/>
    </row>
    <row r="433" spans="1:6" x14ac:dyDescent="0.25">
      <c r="A433" s="7"/>
      <c r="E433" s="7"/>
      <c r="F433" s="7"/>
    </row>
    <row r="434" spans="1:6" x14ac:dyDescent="0.25">
      <c r="A434" s="7"/>
      <c r="E434" s="7"/>
      <c r="F434" s="7"/>
    </row>
    <row r="435" spans="1:6" x14ac:dyDescent="0.25">
      <c r="A435" s="7"/>
      <c r="E435" s="7"/>
      <c r="F435" s="7"/>
    </row>
    <row r="436" spans="1:6" x14ac:dyDescent="0.25">
      <c r="A436" s="7"/>
      <c r="E436" s="7"/>
      <c r="F436" s="7"/>
    </row>
    <row r="437" spans="1:6" x14ac:dyDescent="0.25">
      <c r="A437" s="7"/>
      <c r="E437" s="7"/>
      <c r="F437" s="7"/>
    </row>
    <row r="438" spans="1:6" x14ac:dyDescent="0.25">
      <c r="A438" s="7"/>
      <c r="E438" s="7"/>
      <c r="F438" s="7"/>
    </row>
    <row r="439" spans="1:6" x14ac:dyDescent="0.25">
      <c r="A439" s="7"/>
      <c r="E439" s="7"/>
      <c r="F439" s="7"/>
    </row>
    <row r="440" spans="1:6" x14ac:dyDescent="0.25">
      <c r="A440" s="7"/>
      <c r="E440" s="7"/>
      <c r="F440" s="7"/>
    </row>
    <row r="441" spans="1:6" x14ac:dyDescent="0.25">
      <c r="A441" s="7"/>
      <c r="E441" s="7"/>
      <c r="F441" s="7"/>
    </row>
    <row r="442" spans="1:6" x14ac:dyDescent="0.25">
      <c r="A442" s="7"/>
      <c r="E442" s="7"/>
      <c r="F442" s="7"/>
    </row>
    <row r="443" spans="1:6" x14ac:dyDescent="0.25">
      <c r="A443" s="7"/>
      <c r="E443" s="7"/>
      <c r="F443" s="7"/>
    </row>
    <row r="444" spans="1:6" x14ac:dyDescent="0.25">
      <c r="A444" s="7"/>
      <c r="E444" s="7"/>
      <c r="F444" s="7"/>
    </row>
    <row r="445" spans="1:6" x14ac:dyDescent="0.25">
      <c r="A445" s="7"/>
      <c r="E445" s="7"/>
      <c r="F445" s="7"/>
    </row>
    <row r="446" spans="1:6" x14ac:dyDescent="0.25">
      <c r="A446" s="7"/>
      <c r="E446" s="7"/>
      <c r="F446" s="7"/>
    </row>
    <row r="447" spans="1:6" x14ac:dyDescent="0.25">
      <c r="A447" s="7"/>
      <c r="E447" s="7"/>
      <c r="F447" s="7"/>
    </row>
    <row r="448" spans="1:6" x14ac:dyDescent="0.25">
      <c r="A448" s="7"/>
      <c r="E448" s="7"/>
      <c r="F448" s="7"/>
    </row>
    <row r="449" spans="1:6" x14ac:dyDescent="0.25">
      <c r="A449" s="7"/>
      <c r="E449" s="7"/>
      <c r="F449" s="7"/>
    </row>
    <row r="450" spans="1:6" x14ac:dyDescent="0.25">
      <c r="A450" s="7"/>
      <c r="E450" s="7"/>
      <c r="F450" s="7"/>
    </row>
    <row r="451" spans="1:6" x14ac:dyDescent="0.25">
      <c r="A451" s="7"/>
      <c r="E451" s="7"/>
      <c r="F451" s="7"/>
    </row>
    <row r="452" spans="1:6" x14ac:dyDescent="0.25">
      <c r="A452" s="7"/>
      <c r="E452" s="7"/>
      <c r="F452" s="7"/>
    </row>
    <row r="453" spans="1:6" x14ac:dyDescent="0.25">
      <c r="A453" s="7"/>
      <c r="E453" s="7"/>
      <c r="F453" s="7"/>
    </row>
    <row r="454" spans="1:6" x14ac:dyDescent="0.25">
      <c r="A454" s="7"/>
      <c r="E454" s="7"/>
      <c r="F454" s="7"/>
    </row>
    <row r="455" spans="1:6" x14ac:dyDescent="0.25">
      <c r="A455" s="7"/>
      <c r="E455" s="7"/>
      <c r="F455" s="7"/>
    </row>
    <row r="456" spans="1:6" x14ac:dyDescent="0.25">
      <c r="A456" s="7"/>
      <c r="E456" s="7"/>
      <c r="F456" s="7"/>
    </row>
    <row r="457" spans="1:6" x14ac:dyDescent="0.25">
      <c r="A457" s="7"/>
      <c r="E457" s="7"/>
      <c r="F457" s="7"/>
    </row>
    <row r="458" spans="1:6" x14ac:dyDescent="0.25">
      <c r="A458" s="7"/>
      <c r="E458" s="7"/>
      <c r="F458" s="7"/>
    </row>
    <row r="459" spans="1:6" x14ac:dyDescent="0.25">
      <c r="A459" s="7"/>
      <c r="E459" s="7"/>
      <c r="F459" s="7"/>
    </row>
    <row r="460" spans="1:6" x14ac:dyDescent="0.25">
      <c r="A460" s="7"/>
      <c r="E460" s="7"/>
      <c r="F460" s="7"/>
    </row>
    <row r="461" spans="1:6" x14ac:dyDescent="0.25">
      <c r="A461" s="7"/>
      <c r="E461" s="7"/>
      <c r="F461" s="7"/>
    </row>
    <row r="462" spans="1:6" x14ac:dyDescent="0.25">
      <c r="A462" s="7"/>
      <c r="E462" s="7"/>
      <c r="F462" s="7"/>
    </row>
    <row r="463" spans="1:6" x14ac:dyDescent="0.25">
      <c r="A463" s="7"/>
      <c r="E463" s="7"/>
      <c r="F463" s="7"/>
    </row>
    <row r="464" spans="1:6" x14ac:dyDescent="0.25">
      <c r="A464" s="7"/>
      <c r="E464" s="7"/>
      <c r="F464" s="7"/>
    </row>
    <row r="465" spans="1:6" x14ac:dyDescent="0.25">
      <c r="A465" s="7"/>
      <c r="E465" s="7"/>
      <c r="F465" s="7"/>
    </row>
    <row r="466" spans="1:6" x14ac:dyDescent="0.25">
      <c r="A466" s="7"/>
      <c r="E466" s="7"/>
      <c r="F466" s="7"/>
    </row>
    <row r="467" spans="1:6" x14ac:dyDescent="0.25">
      <c r="A467" s="7"/>
      <c r="E467" s="7"/>
      <c r="F467" s="7"/>
    </row>
    <row r="468" spans="1:6" x14ac:dyDescent="0.25">
      <c r="A468" s="7"/>
      <c r="E468" s="7"/>
      <c r="F468" s="7"/>
    </row>
    <row r="469" spans="1:6" x14ac:dyDescent="0.25">
      <c r="A469" s="7"/>
      <c r="E469" s="7"/>
      <c r="F469" s="7"/>
    </row>
    <row r="470" spans="1:6" x14ac:dyDescent="0.25">
      <c r="A470" s="7"/>
      <c r="E470" s="7"/>
      <c r="F470" s="7"/>
    </row>
    <row r="471" spans="1:6" x14ac:dyDescent="0.25">
      <c r="A471" s="7"/>
      <c r="E471" s="7"/>
      <c r="F471" s="7"/>
    </row>
    <row r="472" spans="1:6" x14ac:dyDescent="0.25">
      <c r="A472" s="7"/>
      <c r="E472" s="7"/>
      <c r="F472" s="7"/>
    </row>
    <row r="473" spans="1:6" x14ac:dyDescent="0.25">
      <c r="A473" s="7"/>
      <c r="E473" s="7"/>
      <c r="F473" s="7"/>
    </row>
    <row r="474" spans="1:6" x14ac:dyDescent="0.25">
      <c r="A474" s="7"/>
      <c r="E474" s="7"/>
      <c r="F474" s="7"/>
    </row>
    <row r="475" spans="1:6" x14ac:dyDescent="0.25">
      <c r="A475" s="7"/>
      <c r="E475" s="7"/>
      <c r="F475" s="7"/>
    </row>
    <row r="476" spans="1:6" x14ac:dyDescent="0.25">
      <c r="A476" s="7"/>
      <c r="E476" s="7"/>
      <c r="F476" s="7"/>
    </row>
    <row r="477" spans="1:6" x14ac:dyDescent="0.25">
      <c r="A477" s="7"/>
      <c r="E477" s="7"/>
      <c r="F477" s="7"/>
    </row>
    <row r="478" spans="1:6" x14ac:dyDescent="0.25">
      <c r="A478" s="7"/>
      <c r="E478" s="7"/>
      <c r="F478" s="7"/>
    </row>
    <row r="479" spans="1:6" x14ac:dyDescent="0.25">
      <c r="A479" s="7"/>
      <c r="E479" s="7"/>
      <c r="F479" s="7"/>
    </row>
    <row r="480" spans="1:6" x14ac:dyDescent="0.25">
      <c r="A480" s="7"/>
      <c r="E480" s="7"/>
      <c r="F480" s="7"/>
    </row>
    <row r="481" spans="1:6" x14ac:dyDescent="0.25">
      <c r="A481" s="7"/>
      <c r="E481" s="7"/>
      <c r="F481" s="7"/>
    </row>
    <row r="482" spans="1:6" x14ac:dyDescent="0.25">
      <c r="A482" s="7"/>
      <c r="E482" s="7"/>
      <c r="F482" s="7"/>
    </row>
    <row r="483" spans="1:6" x14ac:dyDescent="0.25">
      <c r="A483" s="7"/>
      <c r="E483" s="7"/>
      <c r="F483" s="7"/>
    </row>
    <row r="484" spans="1:6" x14ac:dyDescent="0.25">
      <c r="A484" s="7"/>
      <c r="E484" s="7"/>
      <c r="F484" s="7"/>
    </row>
    <row r="485" spans="1:6" x14ac:dyDescent="0.25">
      <c r="A485" s="7"/>
      <c r="E485" s="7"/>
      <c r="F485" s="7"/>
    </row>
    <row r="486" spans="1:6" x14ac:dyDescent="0.25">
      <c r="A486" s="7"/>
      <c r="E486" s="7"/>
      <c r="F486" s="7"/>
    </row>
    <row r="487" spans="1:6" x14ac:dyDescent="0.25">
      <c r="A487" s="7"/>
      <c r="E487" s="7"/>
      <c r="F487" s="7"/>
    </row>
    <row r="488" spans="1:6" x14ac:dyDescent="0.25">
      <c r="A488" s="7"/>
      <c r="E488" s="7"/>
      <c r="F488" s="7"/>
    </row>
    <row r="489" spans="1:6" x14ac:dyDescent="0.25">
      <c r="A489" s="7"/>
      <c r="E489" s="7"/>
      <c r="F489" s="7"/>
    </row>
    <row r="490" spans="1:6" x14ac:dyDescent="0.25">
      <c r="A490" s="7"/>
      <c r="E490" s="7"/>
      <c r="F490" s="7"/>
    </row>
    <row r="491" spans="1:6" x14ac:dyDescent="0.25">
      <c r="A491" s="7"/>
      <c r="E491" s="7"/>
      <c r="F491" s="7"/>
    </row>
    <row r="492" spans="1:6" x14ac:dyDescent="0.25">
      <c r="A492" s="7"/>
      <c r="E492" s="7"/>
      <c r="F492" s="7"/>
    </row>
    <row r="493" spans="1:6" x14ac:dyDescent="0.25">
      <c r="A493" s="7"/>
      <c r="E493" s="7"/>
      <c r="F493" s="7"/>
    </row>
    <row r="494" spans="1:6" x14ac:dyDescent="0.25">
      <c r="A494" s="7"/>
      <c r="E494" s="7"/>
      <c r="F494" s="7"/>
    </row>
    <row r="495" spans="1:6" x14ac:dyDescent="0.25">
      <c r="A495" s="7"/>
      <c r="E495" s="7"/>
      <c r="F495" s="7"/>
    </row>
    <row r="496" spans="1:6" x14ac:dyDescent="0.25">
      <c r="A496" s="7"/>
      <c r="E496" s="7"/>
      <c r="F496" s="7"/>
    </row>
    <row r="497" spans="1:6" x14ac:dyDescent="0.25">
      <c r="A497" s="7"/>
      <c r="E497" s="7"/>
      <c r="F497" s="7"/>
    </row>
    <row r="498" spans="1:6" x14ac:dyDescent="0.25">
      <c r="A498" s="7"/>
      <c r="E498" s="7"/>
      <c r="F498" s="7"/>
    </row>
    <row r="499" spans="1:6" x14ac:dyDescent="0.25">
      <c r="A499" s="7"/>
      <c r="E499" s="7"/>
      <c r="F499" s="7"/>
    </row>
    <row r="500" spans="1:6" x14ac:dyDescent="0.25">
      <c r="A500" s="7"/>
      <c r="E500" s="7"/>
      <c r="F500" s="7"/>
    </row>
    <row r="501" spans="1:6" x14ac:dyDescent="0.25">
      <c r="A501" s="7"/>
      <c r="E501" s="7"/>
      <c r="F501" s="7"/>
    </row>
    <row r="502" spans="1:6" x14ac:dyDescent="0.25">
      <c r="A502" s="7"/>
      <c r="E502" s="7"/>
      <c r="F502" s="7"/>
    </row>
    <row r="503" spans="1:6" x14ac:dyDescent="0.25">
      <c r="A503" s="7"/>
      <c r="E503" s="7"/>
      <c r="F503" s="7"/>
    </row>
    <row r="504" spans="1:6" x14ac:dyDescent="0.25">
      <c r="A504" s="7"/>
      <c r="E504" s="7"/>
      <c r="F504" s="7"/>
    </row>
    <row r="505" spans="1:6" x14ac:dyDescent="0.25">
      <c r="A505" s="7"/>
      <c r="E505" s="7"/>
      <c r="F505" s="7"/>
    </row>
    <row r="506" spans="1:6" x14ac:dyDescent="0.25">
      <c r="A506" s="7"/>
      <c r="E506" s="7"/>
      <c r="F506" s="7"/>
    </row>
    <row r="507" spans="1:6" x14ac:dyDescent="0.25">
      <c r="A507" s="7"/>
      <c r="E507" s="7"/>
      <c r="F507" s="7"/>
    </row>
    <row r="508" spans="1:6" x14ac:dyDescent="0.25">
      <c r="A508" s="7"/>
      <c r="E508" s="7"/>
      <c r="F508" s="7"/>
    </row>
    <row r="509" spans="1:6" x14ac:dyDescent="0.25">
      <c r="A509" s="7"/>
      <c r="E509" s="7"/>
      <c r="F509" s="7"/>
    </row>
    <row r="510" spans="1:6" x14ac:dyDescent="0.25">
      <c r="A510" s="7"/>
      <c r="E510" s="7"/>
      <c r="F510" s="7"/>
    </row>
    <row r="511" spans="1:6" x14ac:dyDescent="0.25">
      <c r="A511" s="7"/>
      <c r="E511" s="7"/>
      <c r="F511" s="7"/>
    </row>
    <row r="512" spans="1:6" x14ac:dyDescent="0.25">
      <c r="A512" s="7"/>
      <c r="E512" s="7"/>
      <c r="F512" s="7"/>
    </row>
    <row r="513" spans="1:6" x14ac:dyDescent="0.25">
      <c r="A513" s="7"/>
      <c r="E513" s="7"/>
      <c r="F513" s="7"/>
    </row>
    <row r="514" spans="1:6" x14ac:dyDescent="0.25">
      <c r="A514" s="7"/>
      <c r="E514" s="7"/>
      <c r="F514" s="7"/>
    </row>
    <row r="515" spans="1:6" x14ac:dyDescent="0.25">
      <c r="A515" s="7"/>
      <c r="E515" s="7"/>
      <c r="F515" s="7"/>
    </row>
    <row r="516" spans="1:6" x14ac:dyDescent="0.25">
      <c r="A516" s="7"/>
      <c r="E516" s="7"/>
      <c r="F516" s="7"/>
    </row>
    <row r="517" spans="1:6" x14ac:dyDescent="0.25">
      <c r="A517" s="7"/>
      <c r="E517" s="7"/>
      <c r="F517" s="7"/>
    </row>
    <row r="518" spans="1:6" x14ac:dyDescent="0.25">
      <c r="A518" s="7"/>
      <c r="E518" s="7"/>
      <c r="F518" s="7"/>
    </row>
    <row r="519" spans="1:6" x14ac:dyDescent="0.25">
      <c r="A519" s="7"/>
      <c r="E519" s="7"/>
      <c r="F519" s="7"/>
    </row>
    <row r="520" spans="1:6" x14ac:dyDescent="0.25">
      <c r="A520" s="7"/>
      <c r="E520" s="7"/>
      <c r="F520" s="7"/>
    </row>
    <row r="521" spans="1:6" x14ac:dyDescent="0.25">
      <c r="A521" s="7"/>
      <c r="E521" s="7"/>
      <c r="F521" s="7"/>
    </row>
    <row r="522" spans="1:6" x14ac:dyDescent="0.25">
      <c r="A522" s="7"/>
      <c r="E522" s="7"/>
      <c r="F522" s="7"/>
    </row>
    <row r="523" spans="1:6" x14ac:dyDescent="0.25">
      <c r="A523" s="7"/>
      <c r="E523" s="7"/>
      <c r="F523" s="7"/>
    </row>
    <row r="524" spans="1:6" x14ac:dyDescent="0.25">
      <c r="A524" s="7"/>
      <c r="E524" s="7"/>
      <c r="F524" s="7"/>
    </row>
    <row r="525" spans="1:6" x14ac:dyDescent="0.25">
      <c r="A525" s="7"/>
      <c r="E525" s="7"/>
      <c r="F525" s="7"/>
    </row>
    <row r="526" spans="1:6" x14ac:dyDescent="0.25">
      <c r="A526" s="7"/>
      <c r="E526" s="7"/>
      <c r="F526" s="7"/>
    </row>
    <row r="527" spans="1:6" x14ac:dyDescent="0.25">
      <c r="A527" s="7"/>
      <c r="E527" s="7"/>
      <c r="F527" s="7"/>
    </row>
    <row r="528" spans="1:6" x14ac:dyDescent="0.25">
      <c r="A528" s="7"/>
      <c r="E528" s="7"/>
      <c r="F528" s="7"/>
    </row>
    <row r="529" spans="1:6" x14ac:dyDescent="0.25">
      <c r="A529" s="7"/>
      <c r="E529" s="7"/>
      <c r="F529" s="7"/>
    </row>
    <row r="530" spans="1:6" x14ac:dyDescent="0.25">
      <c r="A530" s="7"/>
      <c r="E530" s="7"/>
      <c r="F530" s="7"/>
    </row>
    <row r="531" spans="1:6" x14ac:dyDescent="0.25">
      <c r="A531" s="7"/>
      <c r="E531" s="7"/>
      <c r="F531" s="7"/>
    </row>
    <row r="532" spans="1:6" x14ac:dyDescent="0.25">
      <c r="A532" s="7"/>
      <c r="E532" s="7"/>
      <c r="F532" s="7"/>
    </row>
    <row r="533" spans="1:6" x14ac:dyDescent="0.25">
      <c r="A533" s="7"/>
      <c r="E533" s="7"/>
      <c r="F533" s="7"/>
    </row>
    <row r="534" spans="1:6" x14ac:dyDescent="0.25">
      <c r="A534" s="7"/>
      <c r="E534" s="7"/>
      <c r="F534" s="7"/>
    </row>
    <row r="535" spans="1:6" x14ac:dyDescent="0.25">
      <c r="A535" s="7"/>
      <c r="E535" s="7"/>
      <c r="F535" s="7"/>
    </row>
    <row r="536" spans="1:6" x14ac:dyDescent="0.25">
      <c r="A536" s="7"/>
      <c r="E536" s="7"/>
      <c r="F536" s="7"/>
    </row>
    <row r="537" spans="1:6" x14ac:dyDescent="0.25">
      <c r="A537" s="7"/>
      <c r="E537" s="7"/>
      <c r="F537" s="7"/>
    </row>
    <row r="538" spans="1:6" x14ac:dyDescent="0.25">
      <c r="A538" s="7"/>
      <c r="E538" s="7"/>
      <c r="F538" s="7"/>
    </row>
    <row r="539" spans="1:6" x14ac:dyDescent="0.25">
      <c r="A539" s="7"/>
      <c r="E539" s="7"/>
      <c r="F539" s="7"/>
    </row>
    <row r="540" spans="1:6" x14ac:dyDescent="0.25">
      <c r="A540" s="7"/>
      <c r="E540" s="7"/>
      <c r="F540" s="7"/>
    </row>
    <row r="541" spans="1:6" x14ac:dyDescent="0.25">
      <c r="A541" s="7"/>
      <c r="E541" s="7"/>
      <c r="F541" s="7"/>
    </row>
    <row r="542" spans="1:6" x14ac:dyDescent="0.25">
      <c r="A542" s="7"/>
      <c r="E542" s="7"/>
      <c r="F542" s="7"/>
    </row>
    <row r="543" spans="1:6" x14ac:dyDescent="0.25">
      <c r="A543" s="7"/>
      <c r="E543" s="7"/>
      <c r="F543" s="7"/>
    </row>
    <row r="544" spans="1:6" x14ac:dyDescent="0.25">
      <c r="A544" s="7"/>
      <c r="E544" s="7"/>
      <c r="F544" s="7"/>
    </row>
    <row r="545" spans="1:6" x14ac:dyDescent="0.25">
      <c r="A545" s="7"/>
      <c r="E545" s="7"/>
      <c r="F545" s="7"/>
    </row>
    <row r="546" spans="1:6" x14ac:dyDescent="0.25">
      <c r="A546" s="7"/>
      <c r="E546" s="7"/>
      <c r="F546" s="7"/>
    </row>
    <row r="547" spans="1:6" x14ac:dyDescent="0.25">
      <c r="A547" s="7"/>
      <c r="E547" s="7"/>
      <c r="F547" s="7"/>
    </row>
    <row r="548" spans="1:6" x14ac:dyDescent="0.25">
      <c r="A548" s="7"/>
      <c r="E548" s="7"/>
      <c r="F548" s="7"/>
    </row>
    <row r="549" spans="1:6" x14ac:dyDescent="0.25">
      <c r="A549" s="7"/>
      <c r="E549" s="7"/>
      <c r="F549" s="7"/>
    </row>
    <row r="550" spans="1:6" x14ac:dyDescent="0.25">
      <c r="A550" s="7"/>
      <c r="E550" s="7"/>
      <c r="F550" s="7"/>
    </row>
    <row r="551" spans="1:6" x14ac:dyDescent="0.25">
      <c r="A551" s="7"/>
      <c r="E551" s="7"/>
      <c r="F551" s="7"/>
    </row>
    <row r="552" spans="1:6" x14ac:dyDescent="0.25">
      <c r="A552" s="7"/>
      <c r="E552" s="7"/>
      <c r="F552" s="7"/>
    </row>
    <row r="553" spans="1:6" x14ac:dyDescent="0.25">
      <c r="A553" s="7"/>
      <c r="E553" s="7"/>
      <c r="F553" s="7"/>
    </row>
    <row r="554" spans="1:6" x14ac:dyDescent="0.25">
      <c r="A554" s="7"/>
      <c r="E554" s="7"/>
      <c r="F554" s="7"/>
    </row>
    <row r="555" spans="1:6" x14ac:dyDescent="0.25">
      <c r="A555" s="7"/>
      <c r="E555" s="7"/>
      <c r="F555" s="7"/>
    </row>
    <row r="556" spans="1:6" x14ac:dyDescent="0.25">
      <c r="A556" s="7"/>
      <c r="E556" s="7"/>
      <c r="F556" s="7"/>
    </row>
    <row r="557" spans="1:6" x14ac:dyDescent="0.25">
      <c r="A557" s="7"/>
      <c r="E557" s="7"/>
      <c r="F557" s="7"/>
    </row>
    <row r="558" spans="1:6" x14ac:dyDescent="0.25">
      <c r="A558" s="7"/>
      <c r="E558" s="7"/>
      <c r="F558" s="7"/>
    </row>
    <row r="559" spans="1:6" x14ac:dyDescent="0.25">
      <c r="A559" s="7"/>
      <c r="E559" s="7"/>
      <c r="F559" s="7"/>
    </row>
    <row r="560" spans="1:6" x14ac:dyDescent="0.25">
      <c r="A560" s="7"/>
      <c r="E560" s="7"/>
      <c r="F560" s="7"/>
    </row>
    <row r="561" spans="1:6" x14ac:dyDescent="0.25">
      <c r="A561" s="7"/>
      <c r="E561" s="7"/>
      <c r="F561" s="7"/>
    </row>
    <row r="562" spans="1:6" x14ac:dyDescent="0.25">
      <c r="A562" s="7"/>
      <c r="E562" s="7"/>
      <c r="F562" s="7"/>
    </row>
    <row r="563" spans="1:6" x14ac:dyDescent="0.25">
      <c r="A563" s="7"/>
      <c r="E563" s="7"/>
      <c r="F563" s="7"/>
    </row>
    <row r="564" spans="1:6" x14ac:dyDescent="0.25">
      <c r="A564" s="7"/>
      <c r="E564" s="7"/>
      <c r="F564" s="7"/>
    </row>
    <row r="565" spans="1:6" x14ac:dyDescent="0.25">
      <c r="A565" s="7"/>
      <c r="E565" s="7"/>
      <c r="F565" s="7"/>
    </row>
    <row r="566" spans="1:6" x14ac:dyDescent="0.25">
      <c r="A566" s="7"/>
      <c r="E566" s="7"/>
      <c r="F566" s="7"/>
    </row>
    <row r="567" spans="1:6" x14ac:dyDescent="0.25">
      <c r="A567" s="7"/>
      <c r="E567" s="7"/>
      <c r="F567" s="7"/>
    </row>
    <row r="568" spans="1:6" x14ac:dyDescent="0.25">
      <c r="A568" s="7"/>
      <c r="E568" s="7"/>
      <c r="F568" s="7"/>
    </row>
    <row r="569" spans="1:6" x14ac:dyDescent="0.25">
      <c r="A569" s="7"/>
      <c r="E569" s="7"/>
      <c r="F569" s="7"/>
    </row>
    <row r="570" spans="1:6" x14ac:dyDescent="0.25">
      <c r="A570" s="7"/>
      <c r="E570" s="7"/>
      <c r="F570" s="7"/>
    </row>
    <row r="571" spans="1:6" x14ac:dyDescent="0.25">
      <c r="A571" s="7"/>
      <c r="E571" s="7"/>
      <c r="F571" s="7"/>
    </row>
    <row r="572" spans="1:6" x14ac:dyDescent="0.25">
      <c r="A572" s="7"/>
      <c r="E572" s="7"/>
      <c r="F572" s="7"/>
    </row>
    <row r="573" spans="1:6" x14ac:dyDescent="0.25">
      <c r="A573" s="7"/>
      <c r="E573" s="7"/>
      <c r="F573" s="7"/>
    </row>
    <row r="574" spans="1:6" x14ac:dyDescent="0.25">
      <c r="A574" s="7"/>
      <c r="E574" s="7"/>
      <c r="F574" s="7"/>
    </row>
    <row r="575" spans="1:6" x14ac:dyDescent="0.25">
      <c r="A575" s="7"/>
      <c r="E575" s="7"/>
      <c r="F575" s="7"/>
    </row>
    <row r="576" spans="1:6" x14ac:dyDescent="0.25">
      <c r="A576" s="7"/>
      <c r="E576" s="7"/>
      <c r="F576" s="7"/>
    </row>
    <row r="577" spans="1:6" x14ac:dyDescent="0.25">
      <c r="A577" s="7"/>
      <c r="E577" s="7"/>
      <c r="F577" s="7"/>
    </row>
    <row r="578" spans="1:6" x14ac:dyDescent="0.25">
      <c r="A578" s="7"/>
      <c r="E578" s="7"/>
      <c r="F578" s="7"/>
    </row>
    <row r="579" spans="1:6" x14ac:dyDescent="0.25">
      <c r="A579" s="7"/>
      <c r="E579" s="7"/>
      <c r="F579" s="7"/>
    </row>
    <row r="580" spans="1:6" x14ac:dyDescent="0.25">
      <c r="A580" s="7"/>
      <c r="E580" s="7"/>
      <c r="F580" s="7"/>
    </row>
    <row r="581" spans="1:6" x14ac:dyDescent="0.25">
      <c r="A581" s="7"/>
      <c r="E581" s="7"/>
      <c r="F581" s="7"/>
    </row>
    <row r="582" spans="1:6" x14ac:dyDescent="0.25">
      <c r="A582" s="7"/>
      <c r="E582" s="7"/>
      <c r="F582" s="7"/>
    </row>
    <row r="583" spans="1:6" x14ac:dyDescent="0.25">
      <c r="A583" s="7"/>
      <c r="E583" s="7"/>
      <c r="F583" s="7"/>
    </row>
    <row r="584" spans="1:6" x14ac:dyDescent="0.25">
      <c r="A584" s="7"/>
      <c r="E584" s="7"/>
      <c r="F584" s="7"/>
    </row>
    <row r="585" spans="1:6" x14ac:dyDescent="0.25">
      <c r="A585" s="7"/>
      <c r="E585" s="7"/>
      <c r="F585" s="7"/>
    </row>
    <row r="586" spans="1:6" x14ac:dyDescent="0.25">
      <c r="A586" s="7"/>
      <c r="E586" s="7"/>
      <c r="F586" s="7"/>
    </row>
    <row r="587" spans="1:6" x14ac:dyDescent="0.25">
      <c r="A587" s="7"/>
      <c r="E587" s="7"/>
      <c r="F587" s="7"/>
    </row>
    <row r="588" spans="1:6" x14ac:dyDescent="0.25">
      <c r="A588" s="7"/>
      <c r="E588" s="7"/>
      <c r="F588" s="7"/>
    </row>
    <row r="589" spans="1:6" x14ac:dyDescent="0.25">
      <c r="A589" s="7"/>
      <c r="E589" s="7"/>
      <c r="F589" s="7"/>
    </row>
    <row r="590" spans="1:6" x14ac:dyDescent="0.25">
      <c r="A590" s="7"/>
      <c r="E590" s="7"/>
      <c r="F590" s="7"/>
    </row>
    <row r="591" spans="1:6" x14ac:dyDescent="0.25">
      <c r="A591" s="7"/>
      <c r="E591" s="7"/>
      <c r="F591" s="7"/>
    </row>
    <row r="592" spans="1:6" x14ac:dyDescent="0.25">
      <c r="A592" s="7"/>
      <c r="E592" s="7"/>
      <c r="F592" s="7"/>
    </row>
    <row r="593" spans="1:6" x14ac:dyDescent="0.25">
      <c r="A593" s="7"/>
      <c r="E593" s="7"/>
      <c r="F593" s="7"/>
    </row>
    <row r="594" spans="1:6" x14ac:dyDescent="0.25">
      <c r="A594" s="7"/>
      <c r="E594" s="7"/>
      <c r="F594" s="7"/>
    </row>
    <row r="595" spans="1:6" x14ac:dyDescent="0.25">
      <c r="A595" s="7"/>
      <c r="E595" s="7"/>
      <c r="F595" s="7"/>
    </row>
    <row r="596" spans="1:6" x14ac:dyDescent="0.25">
      <c r="A596" s="7"/>
      <c r="E596" s="7"/>
      <c r="F596" s="7"/>
    </row>
    <row r="597" spans="1:6" x14ac:dyDescent="0.25">
      <c r="A597" s="7"/>
      <c r="E597" s="7"/>
      <c r="F597" s="7"/>
    </row>
    <row r="598" spans="1:6" x14ac:dyDescent="0.25">
      <c r="A598" s="7"/>
      <c r="E598" s="7"/>
      <c r="F598" s="7"/>
    </row>
    <row r="599" spans="1:6" x14ac:dyDescent="0.25">
      <c r="A599" s="7"/>
      <c r="E599" s="7"/>
      <c r="F599" s="7"/>
    </row>
    <row r="600" spans="1:6" x14ac:dyDescent="0.25">
      <c r="A600" s="7"/>
      <c r="E600" s="7"/>
      <c r="F600" s="7"/>
    </row>
    <row r="601" spans="1:6" x14ac:dyDescent="0.25">
      <c r="A601" s="7"/>
      <c r="E601" s="7"/>
      <c r="F601" s="7"/>
    </row>
    <row r="602" spans="1:6" x14ac:dyDescent="0.25">
      <c r="A602" s="7"/>
      <c r="E602" s="7"/>
      <c r="F602" s="7"/>
    </row>
    <row r="603" spans="1:6" x14ac:dyDescent="0.25">
      <c r="A603" s="7"/>
      <c r="E603" s="7"/>
      <c r="F603" s="7"/>
    </row>
    <row r="604" spans="1:6" x14ac:dyDescent="0.25">
      <c r="A604" s="7"/>
      <c r="E604" s="7"/>
      <c r="F604" s="7"/>
    </row>
    <row r="605" spans="1:6" x14ac:dyDescent="0.25">
      <c r="A605" s="7"/>
      <c r="E605" s="7"/>
      <c r="F605" s="7"/>
    </row>
    <row r="606" spans="1:6" x14ac:dyDescent="0.25">
      <c r="A606" s="7"/>
      <c r="E606" s="7"/>
      <c r="F606" s="7"/>
    </row>
    <row r="607" spans="1:6" x14ac:dyDescent="0.25">
      <c r="A607" s="7"/>
      <c r="E607" s="7"/>
      <c r="F607" s="7"/>
    </row>
    <row r="608" spans="1:6" x14ac:dyDescent="0.25">
      <c r="A608" s="7"/>
      <c r="E608" s="7"/>
      <c r="F608" s="7"/>
    </row>
    <row r="609" spans="1:6" x14ac:dyDescent="0.25">
      <c r="A609" s="7"/>
      <c r="E609" s="7"/>
      <c r="F609" s="7"/>
    </row>
    <row r="610" spans="1:6" x14ac:dyDescent="0.25">
      <c r="A610" s="7"/>
      <c r="E610" s="7"/>
      <c r="F610" s="7"/>
    </row>
    <row r="611" spans="1:6" x14ac:dyDescent="0.25">
      <c r="A611" s="7"/>
      <c r="E611" s="7"/>
      <c r="F611" s="7"/>
    </row>
    <row r="612" spans="1:6" x14ac:dyDescent="0.25">
      <c r="A612" s="7"/>
      <c r="E612" s="7"/>
      <c r="F612" s="7"/>
    </row>
    <row r="613" spans="1:6" x14ac:dyDescent="0.25">
      <c r="A613" s="7"/>
      <c r="E613" s="7"/>
      <c r="F613" s="7"/>
    </row>
    <row r="614" spans="1:6" x14ac:dyDescent="0.25">
      <c r="A614" s="7"/>
      <c r="E614" s="7"/>
      <c r="F614" s="7"/>
    </row>
    <row r="615" spans="1:6" x14ac:dyDescent="0.25">
      <c r="A615" s="7"/>
      <c r="E615" s="7"/>
      <c r="F615" s="7"/>
    </row>
    <row r="616" spans="1:6" x14ac:dyDescent="0.25">
      <c r="A616" s="7"/>
      <c r="E616" s="7"/>
      <c r="F616" s="7"/>
    </row>
    <row r="617" spans="1:6" x14ac:dyDescent="0.25">
      <c r="A617" s="7"/>
      <c r="E617" s="7"/>
      <c r="F617" s="7"/>
    </row>
    <row r="618" spans="1:6" x14ac:dyDescent="0.25">
      <c r="A618" s="7"/>
      <c r="E618" s="7"/>
      <c r="F618" s="7"/>
    </row>
    <row r="619" spans="1:6" x14ac:dyDescent="0.25">
      <c r="A619" s="7"/>
      <c r="E619" s="7"/>
      <c r="F619" s="7"/>
    </row>
    <row r="620" spans="1:6" x14ac:dyDescent="0.25">
      <c r="A620" s="7"/>
      <c r="E620" s="7"/>
      <c r="F620" s="7"/>
    </row>
    <row r="621" spans="1:6" x14ac:dyDescent="0.25">
      <c r="A621" s="7"/>
      <c r="E621" s="7"/>
      <c r="F621" s="7"/>
    </row>
    <row r="622" spans="1:6" x14ac:dyDescent="0.25">
      <c r="A622" s="7"/>
      <c r="E622" s="7"/>
      <c r="F622" s="7"/>
    </row>
    <row r="623" spans="1:6" x14ac:dyDescent="0.25">
      <c r="A623" s="7"/>
      <c r="E623" s="7"/>
      <c r="F623" s="7"/>
    </row>
    <row r="624" spans="1:6" x14ac:dyDescent="0.25">
      <c r="A624" s="7"/>
      <c r="E624" s="7"/>
      <c r="F624" s="7"/>
    </row>
    <row r="625" spans="1:6" x14ac:dyDescent="0.25">
      <c r="A625" s="7"/>
      <c r="E625" s="7"/>
      <c r="F625" s="7"/>
    </row>
    <row r="626" spans="1:6" x14ac:dyDescent="0.25">
      <c r="A626" s="7"/>
      <c r="E626" s="7"/>
      <c r="F626" s="7"/>
    </row>
    <row r="627" spans="1:6" x14ac:dyDescent="0.25">
      <c r="A627" s="7"/>
      <c r="E627" s="7"/>
      <c r="F627" s="7"/>
    </row>
    <row r="628" spans="1:6" x14ac:dyDescent="0.25">
      <c r="A628" s="7"/>
      <c r="E628" s="7"/>
      <c r="F628" s="7"/>
    </row>
    <row r="629" spans="1:6" x14ac:dyDescent="0.25">
      <c r="A629" s="7"/>
      <c r="E629" s="7"/>
      <c r="F629" s="7"/>
    </row>
    <row r="630" spans="1:6" x14ac:dyDescent="0.25">
      <c r="A630" s="7"/>
      <c r="E630" s="7"/>
      <c r="F630" s="7"/>
    </row>
    <row r="631" spans="1:6" x14ac:dyDescent="0.25">
      <c r="A631" s="7"/>
      <c r="E631" s="7"/>
      <c r="F631" s="7"/>
    </row>
    <row r="632" spans="1:6" x14ac:dyDescent="0.25">
      <c r="A632" s="7"/>
      <c r="E632" s="7"/>
      <c r="F632" s="7"/>
    </row>
    <row r="633" spans="1:6" x14ac:dyDescent="0.25">
      <c r="A633" s="7"/>
      <c r="E633" s="7"/>
      <c r="F633" s="7"/>
    </row>
    <row r="634" spans="1:6" x14ac:dyDescent="0.25">
      <c r="A634" s="7"/>
      <c r="E634" s="7"/>
      <c r="F634" s="7"/>
    </row>
    <row r="635" spans="1:6" x14ac:dyDescent="0.25">
      <c r="A635" s="7"/>
      <c r="E635" s="7"/>
      <c r="F635" s="7"/>
    </row>
    <row r="636" spans="1:6" x14ac:dyDescent="0.25">
      <c r="A636" s="7"/>
      <c r="E636" s="7"/>
      <c r="F636" s="7"/>
    </row>
    <row r="637" spans="1:6" x14ac:dyDescent="0.25">
      <c r="A637" s="7"/>
      <c r="E637" s="7"/>
      <c r="F637" s="7"/>
    </row>
    <row r="638" spans="1:6" x14ac:dyDescent="0.25">
      <c r="A638" s="7"/>
      <c r="E638" s="7"/>
      <c r="F638" s="7"/>
    </row>
    <row r="639" spans="1:6" x14ac:dyDescent="0.25">
      <c r="A639" s="7"/>
      <c r="E639" s="7"/>
      <c r="F639" s="7"/>
    </row>
    <row r="640" spans="1:6" x14ac:dyDescent="0.25">
      <c r="A640" s="7"/>
      <c r="E640" s="7"/>
      <c r="F640" s="7"/>
    </row>
    <row r="641" spans="1:6" x14ac:dyDescent="0.25">
      <c r="A641" s="7"/>
      <c r="E641" s="7"/>
      <c r="F641" s="7"/>
    </row>
    <row r="642" spans="1:6" x14ac:dyDescent="0.25">
      <c r="A642" s="7"/>
      <c r="E642" s="7"/>
      <c r="F642" s="7"/>
    </row>
    <row r="643" spans="1:6" x14ac:dyDescent="0.25">
      <c r="A643" s="7"/>
      <c r="E643" s="7"/>
      <c r="F643" s="7"/>
    </row>
    <row r="644" spans="1:6" x14ac:dyDescent="0.25">
      <c r="A644" s="7"/>
      <c r="E644" s="7"/>
      <c r="F644" s="7"/>
    </row>
    <row r="645" spans="1:6" x14ac:dyDescent="0.25">
      <c r="A645" s="7"/>
      <c r="E645" s="7"/>
      <c r="F645" s="7"/>
    </row>
    <row r="646" spans="1:6" x14ac:dyDescent="0.25">
      <c r="A646" s="7"/>
      <c r="E646" s="7"/>
      <c r="F646" s="7"/>
    </row>
    <row r="647" spans="1:6" x14ac:dyDescent="0.25">
      <c r="A647" s="7"/>
      <c r="E647" s="7"/>
      <c r="F647" s="7"/>
    </row>
    <row r="648" spans="1:6" x14ac:dyDescent="0.25">
      <c r="A648" s="7"/>
      <c r="E648" s="7"/>
      <c r="F648" s="7"/>
    </row>
    <row r="649" spans="1:6" x14ac:dyDescent="0.25">
      <c r="A649" s="7"/>
      <c r="E649" s="7"/>
      <c r="F649" s="7"/>
    </row>
    <row r="650" spans="1:6" x14ac:dyDescent="0.25">
      <c r="A650" s="7"/>
      <c r="E650" s="7"/>
      <c r="F650" s="7"/>
    </row>
    <row r="651" spans="1:6" x14ac:dyDescent="0.25">
      <c r="A651" s="7"/>
      <c r="E651" s="7"/>
      <c r="F651" s="7"/>
    </row>
    <row r="652" spans="1:6" x14ac:dyDescent="0.25">
      <c r="A652" s="7"/>
      <c r="E652" s="7"/>
      <c r="F652" s="7"/>
    </row>
    <row r="653" spans="1:6" x14ac:dyDescent="0.25">
      <c r="A653" s="7"/>
      <c r="E653" s="7"/>
      <c r="F653" s="7"/>
    </row>
    <row r="654" spans="1:6" x14ac:dyDescent="0.25">
      <c r="A654" s="7"/>
      <c r="E654" s="7"/>
      <c r="F654" s="7"/>
    </row>
    <row r="655" spans="1:6" x14ac:dyDescent="0.25">
      <c r="A655" s="7"/>
      <c r="E655" s="7"/>
      <c r="F655" s="7"/>
    </row>
    <row r="656" spans="1:6" x14ac:dyDescent="0.25">
      <c r="A656" s="7"/>
      <c r="E656" s="7"/>
      <c r="F656" s="7"/>
    </row>
    <row r="657" spans="1:6" x14ac:dyDescent="0.25">
      <c r="A657" s="7"/>
      <c r="E657" s="7"/>
      <c r="F657" s="7"/>
    </row>
    <row r="658" spans="1:6" x14ac:dyDescent="0.25">
      <c r="A658" s="7"/>
      <c r="E658" s="7"/>
      <c r="F658" s="7"/>
    </row>
    <row r="659" spans="1:6" x14ac:dyDescent="0.25">
      <c r="A659" s="7"/>
      <c r="E659" s="7"/>
      <c r="F659" s="7"/>
    </row>
    <row r="660" spans="1:6" x14ac:dyDescent="0.25">
      <c r="A660" s="7"/>
      <c r="E660" s="7"/>
      <c r="F660" s="7"/>
    </row>
    <row r="661" spans="1:6" x14ac:dyDescent="0.25">
      <c r="A661" s="7"/>
      <c r="E661" s="7"/>
      <c r="F661" s="7"/>
    </row>
    <row r="662" spans="1:6" x14ac:dyDescent="0.25">
      <c r="A662" s="7"/>
      <c r="E662" s="7"/>
      <c r="F662" s="7"/>
    </row>
    <row r="663" spans="1:6" x14ac:dyDescent="0.25">
      <c r="A663" s="7"/>
      <c r="E663" s="7"/>
      <c r="F663" s="7"/>
    </row>
    <row r="664" spans="1:6" x14ac:dyDescent="0.25">
      <c r="A664" s="7"/>
      <c r="E664" s="7"/>
      <c r="F664" s="7"/>
    </row>
    <row r="665" spans="1:6" x14ac:dyDescent="0.25">
      <c r="A665" s="7"/>
      <c r="E665" s="7"/>
      <c r="F665" s="7"/>
    </row>
    <row r="666" spans="1:6" x14ac:dyDescent="0.25">
      <c r="A666" s="7"/>
      <c r="E666" s="7"/>
      <c r="F666" s="7"/>
    </row>
    <row r="667" spans="1:6" x14ac:dyDescent="0.25">
      <c r="A667" s="7"/>
      <c r="E667" s="7"/>
      <c r="F667" s="7"/>
    </row>
    <row r="668" spans="1:6" x14ac:dyDescent="0.25">
      <c r="A668" s="7"/>
      <c r="E668" s="7"/>
      <c r="F668" s="7"/>
    </row>
    <row r="669" spans="1:6" x14ac:dyDescent="0.25">
      <c r="A669" s="7"/>
      <c r="E669" s="7"/>
      <c r="F669" s="7"/>
    </row>
    <row r="670" spans="1:6" x14ac:dyDescent="0.25">
      <c r="A670" s="7"/>
      <c r="E670" s="7"/>
      <c r="F670" s="7"/>
    </row>
    <row r="671" spans="1:6" x14ac:dyDescent="0.25">
      <c r="A671" s="7"/>
      <c r="E671" s="7"/>
      <c r="F671" s="7"/>
    </row>
    <row r="672" spans="1:6" x14ac:dyDescent="0.25">
      <c r="A672" s="7"/>
      <c r="E672" s="7"/>
      <c r="F672" s="7"/>
    </row>
    <row r="673" spans="1:6" x14ac:dyDescent="0.25">
      <c r="A673" s="7"/>
      <c r="E673" s="7"/>
      <c r="F673" s="7"/>
    </row>
    <row r="674" spans="1:6" x14ac:dyDescent="0.25">
      <c r="A674" s="7"/>
      <c r="E674" s="7"/>
      <c r="F674" s="7"/>
    </row>
    <row r="675" spans="1:6" x14ac:dyDescent="0.25">
      <c r="A675" s="7"/>
      <c r="E675" s="7"/>
      <c r="F675" s="7"/>
    </row>
    <row r="676" spans="1:6" x14ac:dyDescent="0.25">
      <c r="A676" s="7"/>
      <c r="E676" s="7"/>
      <c r="F676" s="7"/>
    </row>
    <row r="677" spans="1:6" x14ac:dyDescent="0.25">
      <c r="A677" s="7"/>
      <c r="E677" s="7"/>
      <c r="F677" s="7"/>
    </row>
    <row r="678" spans="1:6" x14ac:dyDescent="0.25">
      <c r="A678" s="7"/>
      <c r="E678" s="7"/>
      <c r="F678" s="7"/>
    </row>
    <row r="679" spans="1:6" x14ac:dyDescent="0.25">
      <c r="A679" s="7"/>
      <c r="E679" s="7"/>
      <c r="F679" s="7"/>
    </row>
    <row r="680" spans="1:6" x14ac:dyDescent="0.25">
      <c r="A680" s="7"/>
      <c r="E680" s="7"/>
      <c r="F680" s="7"/>
    </row>
    <row r="681" spans="1:6" x14ac:dyDescent="0.25">
      <c r="A681" s="7"/>
      <c r="E681" s="7"/>
      <c r="F681" s="7"/>
    </row>
    <row r="682" spans="1:6" x14ac:dyDescent="0.25">
      <c r="A682" s="7"/>
      <c r="E682" s="7"/>
      <c r="F682" s="7"/>
    </row>
    <row r="683" spans="1:6" x14ac:dyDescent="0.25">
      <c r="A683" s="7"/>
      <c r="E683" s="7"/>
      <c r="F683" s="7"/>
    </row>
    <row r="684" spans="1:6" x14ac:dyDescent="0.25">
      <c r="A684" s="7"/>
      <c r="E684" s="7"/>
      <c r="F684" s="7"/>
    </row>
    <row r="685" spans="1:6" x14ac:dyDescent="0.25">
      <c r="A685" s="7"/>
      <c r="E685" s="7"/>
      <c r="F685" s="7"/>
    </row>
    <row r="686" spans="1:6" x14ac:dyDescent="0.25">
      <c r="A686" s="7"/>
      <c r="E686" s="7"/>
      <c r="F686" s="7"/>
    </row>
    <row r="687" spans="1:6" x14ac:dyDescent="0.25">
      <c r="A687" s="7"/>
      <c r="E687" s="7"/>
      <c r="F687" s="7"/>
    </row>
    <row r="688" spans="1:6" x14ac:dyDescent="0.25">
      <c r="A688" s="7"/>
      <c r="E688" s="7"/>
      <c r="F688" s="7"/>
    </row>
    <row r="689" spans="1:6" x14ac:dyDescent="0.25">
      <c r="A689" s="7"/>
      <c r="E689" s="7"/>
      <c r="F689" s="7"/>
    </row>
    <row r="690" spans="1:6" x14ac:dyDescent="0.25">
      <c r="A690" s="7"/>
      <c r="E690" s="7"/>
      <c r="F690" s="7"/>
    </row>
    <row r="691" spans="1:6" x14ac:dyDescent="0.25">
      <c r="A691" s="7"/>
      <c r="E691" s="7"/>
      <c r="F691" s="7"/>
    </row>
    <row r="692" spans="1:6" x14ac:dyDescent="0.25">
      <c r="A692" s="7"/>
      <c r="E692" s="7"/>
      <c r="F692" s="7"/>
    </row>
    <row r="693" spans="1:6" x14ac:dyDescent="0.25">
      <c r="A693" s="7"/>
      <c r="E693" s="7"/>
      <c r="F693" s="7"/>
    </row>
    <row r="694" spans="1:6" x14ac:dyDescent="0.25">
      <c r="A694" s="7"/>
      <c r="E694" s="7"/>
      <c r="F694" s="7"/>
    </row>
    <row r="695" spans="1:6" x14ac:dyDescent="0.25">
      <c r="A695" s="7"/>
      <c r="E695" s="7"/>
      <c r="F695" s="7"/>
    </row>
    <row r="696" spans="1:6" x14ac:dyDescent="0.25">
      <c r="A696" s="7"/>
      <c r="E696" s="7"/>
      <c r="F696" s="7"/>
    </row>
    <row r="697" spans="1:6" x14ac:dyDescent="0.25">
      <c r="A697" s="7"/>
      <c r="E697" s="7"/>
      <c r="F697" s="7"/>
    </row>
    <row r="698" spans="1:6" x14ac:dyDescent="0.25">
      <c r="A698" s="7"/>
      <c r="E698" s="7"/>
      <c r="F698" s="7"/>
    </row>
    <row r="699" spans="1:6" x14ac:dyDescent="0.25">
      <c r="A699" s="7"/>
      <c r="E699" s="7"/>
      <c r="F699" s="7"/>
    </row>
    <row r="700" spans="1:6" x14ac:dyDescent="0.25">
      <c r="A700" s="7"/>
      <c r="E700" s="7"/>
      <c r="F700" s="7"/>
    </row>
    <row r="701" spans="1:6" x14ac:dyDescent="0.25">
      <c r="A701" s="7"/>
      <c r="E701" s="7"/>
      <c r="F701" s="7"/>
    </row>
    <row r="702" spans="1:6" x14ac:dyDescent="0.25">
      <c r="A702" s="7"/>
      <c r="E702" s="7"/>
      <c r="F702" s="7"/>
    </row>
    <row r="703" spans="1:6" x14ac:dyDescent="0.25">
      <c r="A703" s="7"/>
      <c r="E703" s="7"/>
      <c r="F703" s="7"/>
    </row>
    <row r="704" spans="1:6" x14ac:dyDescent="0.25">
      <c r="A704" s="7"/>
      <c r="E704" s="7"/>
      <c r="F704" s="7"/>
    </row>
    <row r="705" spans="1:6" x14ac:dyDescent="0.25">
      <c r="A705" s="7"/>
      <c r="E705" s="7"/>
      <c r="F705" s="7"/>
    </row>
    <row r="706" spans="1:6" x14ac:dyDescent="0.25">
      <c r="A706" s="7"/>
      <c r="E706" s="7"/>
      <c r="F706" s="7"/>
    </row>
    <row r="707" spans="1:6" x14ac:dyDescent="0.25">
      <c r="A707" s="7"/>
      <c r="E707" s="7"/>
      <c r="F707" s="7"/>
    </row>
    <row r="708" spans="1:6" x14ac:dyDescent="0.25">
      <c r="A708" s="7"/>
      <c r="E708" s="7"/>
      <c r="F708" s="7"/>
    </row>
    <row r="709" spans="1:6" x14ac:dyDescent="0.25">
      <c r="A709" s="7"/>
      <c r="E709" s="7"/>
      <c r="F709" s="7"/>
    </row>
    <row r="710" spans="1:6" x14ac:dyDescent="0.25">
      <c r="A710" s="7"/>
      <c r="E710" s="7"/>
      <c r="F710" s="7"/>
    </row>
    <row r="711" spans="1:6" x14ac:dyDescent="0.25">
      <c r="A711" s="7"/>
      <c r="E711" s="7"/>
      <c r="F711" s="7"/>
    </row>
    <row r="712" spans="1:6" x14ac:dyDescent="0.25">
      <c r="A712" s="7"/>
      <c r="E712" s="7"/>
      <c r="F712" s="7"/>
    </row>
    <row r="713" spans="1:6" x14ac:dyDescent="0.25">
      <c r="A713" s="7"/>
      <c r="E713" s="7"/>
      <c r="F713" s="7"/>
    </row>
    <row r="714" spans="1:6" x14ac:dyDescent="0.25">
      <c r="A714" s="7"/>
      <c r="E714" s="7"/>
      <c r="F714" s="7"/>
    </row>
    <row r="715" spans="1:6" x14ac:dyDescent="0.25">
      <c r="A715" s="7"/>
      <c r="E715" s="7"/>
      <c r="F715" s="7"/>
    </row>
    <row r="716" spans="1:6" x14ac:dyDescent="0.25">
      <c r="A716" s="7"/>
      <c r="E716" s="7"/>
      <c r="F716" s="7"/>
    </row>
    <row r="717" spans="1:6" x14ac:dyDescent="0.25">
      <c r="A717" s="7"/>
      <c r="E717" s="7"/>
      <c r="F717" s="7"/>
    </row>
    <row r="718" spans="1:6" x14ac:dyDescent="0.25">
      <c r="A718" s="7"/>
      <c r="E718" s="7"/>
      <c r="F718" s="7"/>
    </row>
    <row r="719" spans="1:6" x14ac:dyDescent="0.25">
      <c r="A719" s="7"/>
      <c r="E719" s="7"/>
      <c r="F719" s="7"/>
    </row>
    <row r="720" spans="1:6" x14ac:dyDescent="0.25">
      <c r="A720" s="7"/>
      <c r="E720" s="7"/>
      <c r="F720" s="7"/>
    </row>
    <row r="721" spans="1:6" x14ac:dyDescent="0.25">
      <c r="A721" s="7"/>
      <c r="E721" s="7"/>
      <c r="F721" s="7"/>
    </row>
    <row r="722" spans="1:6" x14ac:dyDescent="0.25">
      <c r="A722" s="7"/>
      <c r="E722" s="7"/>
      <c r="F722" s="7"/>
    </row>
    <row r="723" spans="1:6" x14ac:dyDescent="0.25">
      <c r="A723" s="7"/>
      <c r="E723" s="7"/>
      <c r="F723" s="7"/>
    </row>
    <row r="724" spans="1:6" x14ac:dyDescent="0.25">
      <c r="A724" s="7"/>
      <c r="E724" s="7"/>
      <c r="F724" s="7"/>
    </row>
    <row r="725" spans="1:6" x14ac:dyDescent="0.25">
      <c r="A725" s="7"/>
      <c r="E725" s="7"/>
      <c r="F725" s="7"/>
    </row>
    <row r="726" spans="1:6" x14ac:dyDescent="0.25">
      <c r="A726" s="7"/>
      <c r="E726" s="7"/>
      <c r="F726" s="7"/>
    </row>
    <row r="727" spans="1:6" x14ac:dyDescent="0.25">
      <c r="A727" s="7"/>
      <c r="E727" s="7"/>
      <c r="F727" s="7"/>
    </row>
    <row r="728" spans="1:6" x14ac:dyDescent="0.25">
      <c r="A728" s="7"/>
      <c r="E728" s="7"/>
      <c r="F728" s="7"/>
    </row>
    <row r="729" spans="1:6" x14ac:dyDescent="0.25">
      <c r="A729" s="7"/>
      <c r="E729" s="7"/>
      <c r="F729" s="7"/>
    </row>
    <row r="730" spans="1:6" x14ac:dyDescent="0.25">
      <c r="A730" s="7"/>
      <c r="E730" s="7"/>
      <c r="F730" s="7"/>
    </row>
    <row r="731" spans="1:6" x14ac:dyDescent="0.25">
      <c r="A731" s="7"/>
      <c r="E731" s="7"/>
      <c r="F731" s="7"/>
    </row>
    <row r="732" spans="1:6" x14ac:dyDescent="0.25">
      <c r="A732" s="7"/>
      <c r="E732" s="7"/>
      <c r="F732" s="7"/>
    </row>
    <row r="733" spans="1:6" x14ac:dyDescent="0.25">
      <c r="A733" s="7"/>
      <c r="E733" s="7"/>
      <c r="F733" s="7"/>
    </row>
    <row r="734" spans="1:6" x14ac:dyDescent="0.25">
      <c r="A734" s="7"/>
      <c r="E734" s="7"/>
      <c r="F734" s="7"/>
    </row>
    <row r="735" spans="1:6" x14ac:dyDescent="0.25">
      <c r="A735" s="7"/>
      <c r="E735" s="7"/>
      <c r="F735" s="7"/>
    </row>
    <row r="736" spans="1:6" x14ac:dyDescent="0.25">
      <c r="A736" s="7"/>
      <c r="E736" s="7"/>
      <c r="F736" s="7"/>
    </row>
    <row r="737" spans="1:6" x14ac:dyDescent="0.25">
      <c r="A737" s="7"/>
      <c r="E737" s="7"/>
      <c r="F737" s="7"/>
    </row>
    <row r="738" spans="1:6" x14ac:dyDescent="0.25">
      <c r="A738" s="7"/>
      <c r="E738" s="7"/>
      <c r="F738" s="7"/>
    </row>
    <row r="739" spans="1:6" x14ac:dyDescent="0.25">
      <c r="A739" s="7"/>
      <c r="E739" s="7"/>
      <c r="F739" s="7"/>
    </row>
    <row r="740" spans="1:6" x14ac:dyDescent="0.25">
      <c r="A740" s="7"/>
      <c r="E740" s="7"/>
      <c r="F740" s="7"/>
    </row>
    <row r="741" spans="1:6" x14ac:dyDescent="0.25">
      <c r="A741" s="7"/>
      <c r="E741" s="7"/>
      <c r="F741" s="7"/>
    </row>
    <row r="742" spans="1:6" x14ac:dyDescent="0.25">
      <c r="A742" s="7"/>
      <c r="E742" s="7"/>
      <c r="F742" s="7"/>
    </row>
    <row r="743" spans="1:6" x14ac:dyDescent="0.25">
      <c r="A743" s="7"/>
      <c r="E743" s="7"/>
      <c r="F743" s="7"/>
    </row>
    <row r="744" spans="1:6" x14ac:dyDescent="0.25">
      <c r="A744" s="7"/>
      <c r="E744" s="7"/>
      <c r="F744" s="7"/>
    </row>
    <row r="745" spans="1:6" x14ac:dyDescent="0.25">
      <c r="A745" s="7"/>
      <c r="E745" s="7"/>
      <c r="F745" s="7"/>
    </row>
    <row r="746" spans="1:6" x14ac:dyDescent="0.25">
      <c r="A746" s="7"/>
      <c r="E746" s="7"/>
      <c r="F746" s="7"/>
    </row>
    <row r="747" spans="1:6" x14ac:dyDescent="0.25">
      <c r="A747" s="7"/>
      <c r="E747" s="7"/>
      <c r="F747" s="7"/>
    </row>
    <row r="748" spans="1:6" x14ac:dyDescent="0.25">
      <c r="A748" s="7"/>
      <c r="E748" s="7"/>
      <c r="F748" s="7"/>
    </row>
    <row r="749" spans="1:6" x14ac:dyDescent="0.25">
      <c r="A749" s="7"/>
      <c r="E749" s="7"/>
      <c r="F749" s="7"/>
    </row>
    <row r="750" spans="1:6" x14ac:dyDescent="0.25">
      <c r="A750" s="7"/>
      <c r="E750" s="7"/>
      <c r="F750" s="7"/>
    </row>
    <row r="751" spans="1:6" x14ac:dyDescent="0.25">
      <c r="A751" s="7"/>
      <c r="E751" s="7"/>
      <c r="F751" s="7"/>
    </row>
    <row r="752" spans="1:6" x14ac:dyDescent="0.25">
      <c r="A752" s="7"/>
      <c r="E752" s="7"/>
      <c r="F752" s="7"/>
    </row>
    <row r="753" spans="1:6" x14ac:dyDescent="0.25">
      <c r="A753" s="7"/>
      <c r="E753" s="7"/>
      <c r="F753" s="7"/>
    </row>
    <row r="754" spans="1:6" x14ac:dyDescent="0.25">
      <c r="A754" s="7"/>
      <c r="E754" s="7"/>
      <c r="F754" s="7"/>
    </row>
    <row r="755" spans="1:6" x14ac:dyDescent="0.25">
      <c r="A755" s="7"/>
      <c r="E755" s="7"/>
      <c r="F755" s="7"/>
    </row>
    <row r="756" spans="1:6" x14ac:dyDescent="0.25">
      <c r="A756" s="7"/>
      <c r="E756" s="7"/>
      <c r="F756" s="7"/>
    </row>
    <row r="757" spans="1:6" x14ac:dyDescent="0.25">
      <c r="A757" s="7"/>
      <c r="E757" s="7"/>
      <c r="F757" s="7"/>
    </row>
    <row r="758" spans="1:6" x14ac:dyDescent="0.25">
      <c r="A758" s="7"/>
      <c r="E758" s="7"/>
      <c r="F758" s="7"/>
    </row>
    <row r="759" spans="1:6" x14ac:dyDescent="0.25">
      <c r="A759" s="7"/>
      <c r="E759" s="7"/>
      <c r="F759" s="7"/>
    </row>
    <row r="760" spans="1:6" x14ac:dyDescent="0.25">
      <c r="A760" s="7"/>
      <c r="E760" s="7"/>
      <c r="F760" s="7"/>
    </row>
    <row r="761" spans="1:6" x14ac:dyDescent="0.25">
      <c r="A761" s="7"/>
      <c r="E761" s="7"/>
      <c r="F761" s="7"/>
    </row>
    <row r="762" spans="1:6" x14ac:dyDescent="0.25">
      <c r="A762" s="7"/>
      <c r="E762" s="7"/>
      <c r="F762" s="7"/>
    </row>
    <row r="763" spans="1:6" x14ac:dyDescent="0.25">
      <c r="A763" s="7"/>
      <c r="E763" s="7"/>
      <c r="F763" s="7"/>
    </row>
    <row r="764" spans="1:6" x14ac:dyDescent="0.25">
      <c r="A764" s="7"/>
      <c r="E764" s="7"/>
      <c r="F764" s="7"/>
    </row>
    <row r="765" spans="1:6" x14ac:dyDescent="0.25">
      <c r="A765" s="7"/>
      <c r="E765" s="7"/>
      <c r="F765" s="7"/>
    </row>
    <row r="766" spans="1:6" x14ac:dyDescent="0.25">
      <c r="A766" s="7"/>
      <c r="E766" s="7"/>
      <c r="F766" s="7"/>
    </row>
    <row r="767" spans="1:6" x14ac:dyDescent="0.25">
      <c r="A767" s="7"/>
      <c r="E767" s="7"/>
      <c r="F767" s="7"/>
    </row>
    <row r="768" spans="1:6" x14ac:dyDescent="0.25">
      <c r="A768" s="7"/>
      <c r="E768" s="7"/>
      <c r="F768" s="7"/>
    </row>
    <row r="769" spans="1:6" x14ac:dyDescent="0.25">
      <c r="A769" s="7"/>
      <c r="E769" s="7"/>
      <c r="F769" s="7"/>
    </row>
    <row r="770" spans="1:6" x14ac:dyDescent="0.25">
      <c r="A770" s="7"/>
      <c r="E770" s="7"/>
      <c r="F770" s="7"/>
    </row>
    <row r="771" spans="1:6" x14ac:dyDescent="0.25">
      <c r="A771" s="7"/>
      <c r="E771" s="7"/>
      <c r="F771" s="7"/>
    </row>
    <row r="772" spans="1:6" x14ac:dyDescent="0.25">
      <c r="A772" s="7"/>
      <c r="E772" s="7"/>
      <c r="F772" s="7"/>
    </row>
    <row r="773" spans="1:6" x14ac:dyDescent="0.25">
      <c r="A773" s="7"/>
      <c r="E773" s="7"/>
      <c r="F773" s="7"/>
    </row>
    <row r="774" spans="1:6" x14ac:dyDescent="0.25">
      <c r="A774" s="7"/>
      <c r="E774" s="7"/>
      <c r="F774" s="7"/>
    </row>
    <row r="775" spans="1:6" x14ac:dyDescent="0.25">
      <c r="A775" s="7"/>
      <c r="E775" s="7"/>
      <c r="F775" s="7"/>
    </row>
    <row r="776" spans="1:6" x14ac:dyDescent="0.25">
      <c r="A776" s="7"/>
      <c r="E776" s="7"/>
      <c r="F776" s="7"/>
    </row>
    <row r="777" spans="1:6" x14ac:dyDescent="0.25">
      <c r="A777" s="7"/>
      <c r="E777" s="7"/>
      <c r="F777" s="7"/>
    </row>
    <row r="778" spans="1:6" x14ac:dyDescent="0.25">
      <c r="A778" s="7"/>
      <c r="E778" s="7"/>
      <c r="F778" s="7"/>
    </row>
    <row r="779" spans="1:6" x14ac:dyDescent="0.25">
      <c r="A779" s="7"/>
      <c r="E779" s="7"/>
      <c r="F779" s="7"/>
    </row>
    <row r="780" spans="1:6" x14ac:dyDescent="0.25">
      <c r="A780" s="7"/>
      <c r="E780" s="7"/>
      <c r="F780" s="7"/>
    </row>
    <row r="781" spans="1:6" x14ac:dyDescent="0.25">
      <c r="A781" s="7"/>
      <c r="E781" s="7"/>
      <c r="F781" s="7"/>
    </row>
    <row r="782" spans="1:6" x14ac:dyDescent="0.25">
      <c r="A782" s="7"/>
      <c r="E782" s="7"/>
      <c r="F782" s="7"/>
    </row>
    <row r="783" spans="1:6" x14ac:dyDescent="0.25">
      <c r="A783" s="7"/>
      <c r="E783" s="7"/>
      <c r="F783" s="7"/>
    </row>
    <row r="784" spans="1:6" x14ac:dyDescent="0.25">
      <c r="A784" s="7"/>
      <c r="E784" s="7"/>
      <c r="F784" s="7"/>
    </row>
    <row r="785" spans="1:6" x14ac:dyDescent="0.25">
      <c r="A785" s="7"/>
      <c r="E785" s="7"/>
      <c r="F785" s="7"/>
    </row>
    <row r="786" spans="1:6" x14ac:dyDescent="0.25">
      <c r="A786" s="7"/>
      <c r="E786" s="7"/>
      <c r="F786" s="7"/>
    </row>
    <row r="787" spans="1:6" x14ac:dyDescent="0.25">
      <c r="A787" s="7"/>
      <c r="E787" s="7"/>
      <c r="F787" s="7"/>
    </row>
    <row r="788" spans="1:6" x14ac:dyDescent="0.25">
      <c r="A788" s="7"/>
      <c r="E788" s="7"/>
      <c r="F788" s="7"/>
    </row>
    <row r="789" spans="1:6" x14ac:dyDescent="0.25">
      <c r="A789" s="7"/>
      <c r="E789" s="7"/>
      <c r="F789" s="7"/>
    </row>
    <row r="790" spans="1:6" x14ac:dyDescent="0.25">
      <c r="A790" s="7"/>
      <c r="E790" s="7"/>
      <c r="F790" s="7"/>
    </row>
    <row r="791" spans="1:6" x14ac:dyDescent="0.25">
      <c r="A791" s="7"/>
      <c r="E791" s="7"/>
      <c r="F791" s="7"/>
    </row>
    <row r="792" spans="1:6" x14ac:dyDescent="0.25">
      <c r="A792" s="7"/>
      <c r="E792" s="7"/>
      <c r="F792" s="7"/>
    </row>
    <row r="793" spans="1:6" x14ac:dyDescent="0.25">
      <c r="A793" s="7"/>
      <c r="E793" s="7"/>
      <c r="F793" s="7"/>
    </row>
    <row r="794" spans="1:6" x14ac:dyDescent="0.25">
      <c r="A794" s="7"/>
      <c r="E794" s="7"/>
      <c r="F794" s="7"/>
    </row>
    <row r="795" spans="1:6" x14ac:dyDescent="0.25">
      <c r="A795" s="7"/>
      <c r="E795" s="7"/>
      <c r="F795" s="7"/>
    </row>
    <row r="796" spans="1:6" x14ac:dyDescent="0.25">
      <c r="A796" s="7"/>
      <c r="E796" s="7"/>
      <c r="F796" s="7"/>
    </row>
    <row r="797" spans="1:6" x14ac:dyDescent="0.25">
      <c r="A797" s="7"/>
      <c r="E797" s="7"/>
      <c r="F797" s="7"/>
    </row>
    <row r="798" spans="1:6" x14ac:dyDescent="0.25">
      <c r="A798" s="7"/>
      <c r="E798" s="7"/>
      <c r="F798" s="7"/>
    </row>
    <row r="799" spans="1:6" x14ac:dyDescent="0.25">
      <c r="A799" s="7"/>
      <c r="E799" s="7"/>
      <c r="F799" s="7"/>
    </row>
    <row r="800" spans="1:6" x14ac:dyDescent="0.25">
      <c r="A800" s="7"/>
      <c r="E800" s="7"/>
      <c r="F800" s="7"/>
    </row>
    <row r="801" spans="1:6" x14ac:dyDescent="0.25">
      <c r="A801" s="7"/>
      <c r="E801" s="7"/>
      <c r="F801" s="7"/>
    </row>
    <row r="802" spans="1:6" x14ac:dyDescent="0.25">
      <c r="A802" s="7"/>
      <c r="E802" s="7"/>
      <c r="F802" s="7"/>
    </row>
    <row r="803" spans="1:6" x14ac:dyDescent="0.25">
      <c r="A803" s="7"/>
      <c r="E803" s="7"/>
      <c r="F803" s="7"/>
    </row>
    <row r="804" spans="1:6" x14ac:dyDescent="0.25">
      <c r="A804" s="7"/>
      <c r="E804" s="7"/>
      <c r="F804" s="7"/>
    </row>
    <row r="805" spans="1:6" x14ac:dyDescent="0.25">
      <c r="A805" s="7"/>
      <c r="E805" s="7"/>
      <c r="F805" s="7"/>
    </row>
    <row r="806" spans="1:6" x14ac:dyDescent="0.25">
      <c r="A806" s="7"/>
      <c r="E806" s="7"/>
      <c r="F806" s="7"/>
    </row>
    <row r="807" spans="1:6" x14ac:dyDescent="0.25">
      <c r="A807" s="7"/>
      <c r="E807" s="7"/>
      <c r="F807" s="7"/>
    </row>
    <row r="808" spans="1:6" x14ac:dyDescent="0.25">
      <c r="A808" s="7"/>
      <c r="E808" s="7"/>
      <c r="F808" s="7"/>
    </row>
    <row r="809" spans="1:6" x14ac:dyDescent="0.25">
      <c r="A809" s="7"/>
      <c r="E809" s="7"/>
      <c r="F809" s="7"/>
    </row>
    <row r="810" spans="1:6" x14ac:dyDescent="0.25">
      <c r="A810" s="7"/>
      <c r="E810" s="7"/>
      <c r="F810" s="7"/>
    </row>
    <row r="811" spans="1:6" x14ac:dyDescent="0.25">
      <c r="A811" s="7"/>
      <c r="E811" s="7"/>
      <c r="F811" s="7"/>
    </row>
    <row r="812" spans="1:6" x14ac:dyDescent="0.25">
      <c r="A812" s="7"/>
      <c r="E812" s="7"/>
      <c r="F812" s="7"/>
    </row>
    <row r="813" spans="1:6" x14ac:dyDescent="0.25">
      <c r="A813" s="7"/>
      <c r="E813" s="7"/>
      <c r="F813" s="7"/>
    </row>
    <row r="814" spans="1:6" x14ac:dyDescent="0.25">
      <c r="A814" s="7"/>
      <c r="E814" s="7"/>
      <c r="F814" s="7"/>
    </row>
    <row r="815" spans="1:6" x14ac:dyDescent="0.25">
      <c r="A815" s="7"/>
      <c r="E815" s="7"/>
      <c r="F815" s="7"/>
    </row>
    <row r="816" spans="1:6" x14ac:dyDescent="0.25">
      <c r="A816" s="7"/>
      <c r="E816" s="7"/>
      <c r="F816" s="7"/>
    </row>
    <row r="817" spans="1:6" x14ac:dyDescent="0.25">
      <c r="A817" s="7"/>
      <c r="E817" s="7"/>
      <c r="F817" s="7"/>
    </row>
    <row r="818" spans="1:6" x14ac:dyDescent="0.25">
      <c r="A818" s="7"/>
      <c r="E818" s="7"/>
      <c r="F818" s="7"/>
    </row>
    <row r="819" spans="1:6" x14ac:dyDescent="0.25">
      <c r="A819" s="7"/>
      <c r="E819" s="7"/>
      <c r="F819" s="7"/>
    </row>
    <row r="820" spans="1:6" x14ac:dyDescent="0.25">
      <c r="A820" s="7"/>
      <c r="E820" s="7"/>
      <c r="F820" s="7"/>
    </row>
    <row r="821" spans="1:6" x14ac:dyDescent="0.25">
      <c r="A821" s="7"/>
      <c r="E821" s="7"/>
      <c r="F821" s="7"/>
    </row>
    <row r="822" spans="1:6" x14ac:dyDescent="0.25">
      <c r="A822" s="7"/>
      <c r="E822" s="7"/>
      <c r="F822" s="7"/>
    </row>
    <row r="823" spans="1:6" x14ac:dyDescent="0.25">
      <c r="A823" s="7"/>
      <c r="E823" s="7"/>
      <c r="F823" s="7"/>
    </row>
    <row r="824" spans="1:6" x14ac:dyDescent="0.25">
      <c r="A824" s="7"/>
      <c r="E824" s="7"/>
      <c r="F824" s="7"/>
    </row>
    <row r="825" spans="1:6" x14ac:dyDescent="0.25">
      <c r="A825" s="7"/>
      <c r="E825" s="7"/>
      <c r="F825" s="7"/>
    </row>
    <row r="826" spans="1:6" x14ac:dyDescent="0.25">
      <c r="A826" s="7"/>
      <c r="E826" s="7"/>
      <c r="F826" s="7"/>
    </row>
    <row r="827" spans="1:6" x14ac:dyDescent="0.25">
      <c r="A827" s="7"/>
      <c r="E827" s="7"/>
      <c r="F827" s="7"/>
    </row>
    <row r="828" spans="1:6" x14ac:dyDescent="0.25">
      <c r="A828" s="7"/>
      <c r="E828" s="7"/>
      <c r="F828" s="7"/>
    </row>
    <row r="829" spans="1:6" x14ac:dyDescent="0.25">
      <c r="A829" s="7"/>
      <c r="E829" s="7"/>
      <c r="F829" s="7"/>
    </row>
    <row r="830" spans="1:6" x14ac:dyDescent="0.25">
      <c r="A830" s="7"/>
      <c r="E830" s="7"/>
      <c r="F830" s="7"/>
    </row>
    <row r="831" spans="1:6" x14ac:dyDescent="0.25">
      <c r="A831" s="7"/>
      <c r="E831" s="7"/>
      <c r="F831" s="7"/>
    </row>
    <row r="832" spans="1:6" x14ac:dyDescent="0.25">
      <c r="A832" s="7"/>
      <c r="E832" s="7"/>
      <c r="F832" s="7"/>
    </row>
    <row r="833" spans="1:6" x14ac:dyDescent="0.25">
      <c r="A833" s="7"/>
      <c r="E833" s="7"/>
      <c r="F833" s="7"/>
    </row>
    <row r="834" spans="1:6" x14ac:dyDescent="0.25">
      <c r="A834" s="7"/>
      <c r="E834" s="7"/>
      <c r="F834" s="7"/>
    </row>
    <row r="835" spans="1:6" x14ac:dyDescent="0.25">
      <c r="A835" s="7"/>
      <c r="E835" s="7"/>
      <c r="F835" s="7"/>
    </row>
    <row r="836" spans="1:6" x14ac:dyDescent="0.25">
      <c r="A836" s="7"/>
      <c r="E836" s="7"/>
      <c r="F836" s="7"/>
    </row>
    <row r="837" spans="1:6" x14ac:dyDescent="0.25">
      <c r="A837" s="7"/>
      <c r="E837" s="7"/>
      <c r="F837" s="7"/>
    </row>
    <row r="838" spans="1:6" x14ac:dyDescent="0.25">
      <c r="A838" s="7"/>
      <c r="E838" s="7"/>
      <c r="F838" s="7"/>
    </row>
    <row r="839" spans="1:6" x14ac:dyDescent="0.25">
      <c r="A839" s="7"/>
      <c r="E839" s="7"/>
      <c r="F839" s="7"/>
    </row>
    <row r="840" spans="1:6" x14ac:dyDescent="0.25">
      <c r="A840" s="7"/>
      <c r="E840" s="7"/>
      <c r="F840" s="7"/>
    </row>
    <row r="841" spans="1:6" x14ac:dyDescent="0.25">
      <c r="A841" s="7"/>
      <c r="E841" s="7"/>
      <c r="F841" s="7"/>
    </row>
    <row r="842" spans="1:6" x14ac:dyDescent="0.25">
      <c r="A842" s="7"/>
      <c r="E842" s="7"/>
      <c r="F842" s="7"/>
    </row>
    <row r="843" spans="1:6" x14ac:dyDescent="0.25">
      <c r="A843" s="7"/>
      <c r="E843" s="7"/>
      <c r="F843" s="7"/>
    </row>
    <row r="844" spans="1:6" x14ac:dyDescent="0.25">
      <c r="A844" s="7"/>
      <c r="E844" s="7"/>
      <c r="F844" s="7"/>
    </row>
    <row r="845" spans="1:6" x14ac:dyDescent="0.25">
      <c r="A845" s="7"/>
      <c r="E845" s="7"/>
      <c r="F845" s="7"/>
    </row>
    <row r="846" spans="1:6" x14ac:dyDescent="0.25">
      <c r="A846" s="7"/>
      <c r="E846" s="7"/>
      <c r="F846" s="7"/>
    </row>
    <row r="847" spans="1:6" x14ac:dyDescent="0.25">
      <c r="A847" s="7"/>
      <c r="E847" s="7"/>
      <c r="F847" s="7"/>
    </row>
    <row r="848" spans="1:6" x14ac:dyDescent="0.25">
      <c r="A848" s="7"/>
      <c r="E848" s="7"/>
      <c r="F848" s="7"/>
    </row>
    <row r="849" spans="1:6" x14ac:dyDescent="0.25">
      <c r="A849" s="7"/>
      <c r="E849" s="7"/>
      <c r="F849" s="7"/>
    </row>
    <row r="850" spans="1:6" x14ac:dyDescent="0.25">
      <c r="A850" s="7"/>
      <c r="E850" s="7"/>
      <c r="F850" s="7"/>
    </row>
    <row r="851" spans="1:6" x14ac:dyDescent="0.25">
      <c r="A851" s="7"/>
      <c r="E851" s="7"/>
      <c r="F851" s="7"/>
    </row>
    <row r="852" spans="1:6" x14ac:dyDescent="0.25">
      <c r="A852" s="7"/>
      <c r="E852" s="7"/>
      <c r="F852" s="7"/>
    </row>
    <row r="853" spans="1:6" x14ac:dyDescent="0.25">
      <c r="A853" s="7"/>
      <c r="E853" s="7"/>
      <c r="F853" s="7"/>
    </row>
    <row r="854" spans="1:6" x14ac:dyDescent="0.25">
      <c r="A854" s="7"/>
      <c r="E854" s="7"/>
      <c r="F854" s="7"/>
    </row>
    <row r="855" spans="1:6" x14ac:dyDescent="0.25">
      <c r="A855" s="7"/>
      <c r="E855" s="7"/>
      <c r="F855" s="7"/>
    </row>
    <row r="856" spans="1:6" x14ac:dyDescent="0.25">
      <c r="A856" s="7"/>
      <c r="E856" s="7"/>
      <c r="F856" s="7"/>
    </row>
    <row r="857" spans="1:6" x14ac:dyDescent="0.25">
      <c r="A857" s="7"/>
      <c r="E857" s="7"/>
      <c r="F857" s="7"/>
    </row>
    <row r="858" spans="1:6" x14ac:dyDescent="0.25">
      <c r="A858" s="7"/>
      <c r="E858" s="7"/>
      <c r="F858" s="7"/>
    </row>
    <row r="859" spans="1:6" x14ac:dyDescent="0.25">
      <c r="A859" s="7"/>
      <c r="E859" s="7"/>
      <c r="F859" s="7"/>
    </row>
    <row r="860" spans="1:6" x14ac:dyDescent="0.25">
      <c r="A860" s="7"/>
      <c r="E860" s="7"/>
      <c r="F860" s="7"/>
    </row>
    <row r="861" spans="1:6" x14ac:dyDescent="0.25">
      <c r="A861" s="7"/>
      <c r="E861" s="7"/>
      <c r="F861" s="7"/>
    </row>
    <row r="862" spans="1:6" x14ac:dyDescent="0.25">
      <c r="A862" s="7"/>
      <c r="E862" s="7"/>
      <c r="F862" s="7"/>
    </row>
    <row r="863" spans="1:6" x14ac:dyDescent="0.25">
      <c r="A863" s="7"/>
      <c r="E863" s="7"/>
      <c r="F863" s="7"/>
    </row>
    <row r="864" spans="1:6" x14ac:dyDescent="0.25">
      <c r="A864" s="7"/>
      <c r="E864" s="7"/>
      <c r="F864" s="7"/>
    </row>
    <row r="865" spans="1:6" x14ac:dyDescent="0.25">
      <c r="A865" s="7"/>
      <c r="E865" s="7"/>
      <c r="F865" s="7"/>
    </row>
    <row r="866" spans="1:6" x14ac:dyDescent="0.25">
      <c r="A866" s="7"/>
      <c r="E866" s="7"/>
      <c r="F866" s="7"/>
    </row>
    <row r="867" spans="1:6" x14ac:dyDescent="0.25">
      <c r="A867" s="7"/>
      <c r="E867" s="7"/>
      <c r="F867" s="7"/>
    </row>
    <row r="868" spans="1:6" x14ac:dyDescent="0.25">
      <c r="A868" s="7"/>
      <c r="E868" s="7"/>
      <c r="F868" s="7"/>
    </row>
    <row r="869" spans="1:6" x14ac:dyDescent="0.25">
      <c r="A869" s="7"/>
      <c r="E869" s="7"/>
      <c r="F869" s="7"/>
    </row>
    <row r="870" spans="1:6" x14ac:dyDescent="0.25">
      <c r="A870" s="7"/>
      <c r="E870" s="7"/>
      <c r="F870" s="7"/>
    </row>
    <row r="871" spans="1:6" x14ac:dyDescent="0.25">
      <c r="A871" s="7"/>
      <c r="E871" s="7"/>
      <c r="F871" s="7"/>
    </row>
    <row r="872" spans="1:6" x14ac:dyDescent="0.25">
      <c r="A872" s="7"/>
      <c r="E872" s="7"/>
      <c r="F872" s="7"/>
    </row>
    <row r="873" spans="1:6" x14ac:dyDescent="0.25">
      <c r="A873" s="7"/>
      <c r="E873" s="7"/>
      <c r="F873" s="7"/>
    </row>
    <row r="874" spans="1:6" x14ac:dyDescent="0.25">
      <c r="A874" s="7"/>
      <c r="E874" s="7"/>
      <c r="F874" s="7"/>
    </row>
    <row r="875" spans="1:6" x14ac:dyDescent="0.25">
      <c r="A875" s="7"/>
      <c r="E875" s="7"/>
      <c r="F875" s="7"/>
    </row>
    <row r="876" spans="1:6" x14ac:dyDescent="0.25">
      <c r="A876" s="7"/>
      <c r="E876" s="7"/>
      <c r="F876" s="7"/>
    </row>
    <row r="877" spans="1:6" x14ac:dyDescent="0.25">
      <c r="A877" s="7"/>
      <c r="E877" s="7"/>
      <c r="F877" s="7"/>
    </row>
    <row r="878" spans="1:6" x14ac:dyDescent="0.25">
      <c r="A878" s="7"/>
      <c r="E878" s="7"/>
      <c r="F878" s="7"/>
    </row>
    <row r="879" spans="1:6" x14ac:dyDescent="0.25">
      <c r="A879" s="7"/>
      <c r="E879" s="7"/>
      <c r="F879" s="7"/>
    </row>
    <row r="880" spans="1:6" x14ac:dyDescent="0.25">
      <c r="A880" s="7"/>
      <c r="E880" s="7"/>
      <c r="F880" s="7"/>
    </row>
    <row r="881" spans="1:6" x14ac:dyDescent="0.25">
      <c r="A881" s="7"/>
      <c r="E881" s="7"/>
      <c r="F881" s="7"/>
    </row>
    <row r="882" spans="1:6" x14ac:dyDescent="0.25">
      <c r="A882" s="7"/>
      <c r="E882" s="7"/>
      <c r="F882" s="7"/>
    </row>
    <row r="883" spans="1:6" x14ac:dyDescent="0.25">
      <c r="A883" s="7"/>
      <c r="E883" s="7"/>
      <c r="F883" s="7"/>
    </row>
    <row r="884" spans="1:6" x14ac:dyDescent="0.25">
      <c r="A884" s="7"/>
      <c r="E884" s="7"/>
      <c r="F884" s="7"/>
    </row>
    <row r="885" spans="1:6" x14ac:dyDescent="0.25">
      <c r="A885" s="7"/>
      <c r="E885" s="7"/>
      <c r="F885" s="7"/>
    </row>
    <row r="886" spans="1:6" x14ac:dyDescent="0.25">
      <c r="A886" s="7"/>
      <c r="E886" s="7"/>
      <c r="F886" s="7"/>
    </row>
    <row r="887" spans="1:6" x14ac:dyDescent="0.25">
      <c r="A887" s="7"/>
      <c r="E887" s="7"/>
      <c r="F887" s="7"/>
    </row>
    <row r="888" spans="1:6" x14ac:dyDescent="0.25">
      <c r="A888" s="7"/>
      <c r="E888" s="7"/>
      <c r="F888" s="7"/>
    </row>
    <row r="889" spans="1:6" x14ac:dyDescent="0.25">
      <c r="A889" s="7"/>
      <c r="E889" s="7"/>
      <c r="F889" s="7"/>
    </row>
    <row r="890" spans="1:6" x14ac:dyDescent="0.25">
      <c r="A890" s="7"/>
      <c r="E890" s="7"/>
      <c r="F890" s="7"/>
    </row>
    <row r="891" spans="1:6" x14ac:dyDescent="0.25">
      <c r="A891" s="7"/>
      <c r="E891" s="7"/>
      <c r="F891" s="7"/>
    </row>
    <row r="892" spans="1:6" x14ac:dyDescent="0.25">
      <c r="A892" s="7"/>
      <c r="E892" s="7"/>
      <c r="F892" s="7"/>
    </row>
    <row r="893" spans="1:6" x14ac:dyDescent="0.25">
      <c r="A893" s="7"/>
      <c r="E893" s="7"/>
      <c r="F893" s="7"/>
    </row>
    <row r="894" spans="1:6" x14ac:dyDescent="0.25">
      <c r="A894" s="7"/>
      <c r="E894" s="7"/>
      <c r="F894" s="7"/>
    </row>
    <row r="895" spans="1:6" x14ac:dyDescent="0.25">
      <c r="A895" s="7"/>
      <c r="E895" s="7"/>
      <c r="F895" s="7"/>
    </row>
    <row r="896" spans="1:6" x14ac:dyDescent="0.25">
      <c r="A896" s="7"/>
      <c r="E896" s="7"/>
      <c r="F896" s="7"/>
    </row>
    <row r="897" spans="1:6" x14ac:dyDescent="0.25">
      <c r="A897" s="7"/>
      <c r="E897" s="7"/>
      <c r="F897" s="7"/>
    </row>
    <row r="898" spans="1:6" x14ac:dyDescent="0.25">
      <c r="A898" s="7"/>
      <c r="E898" s="7"/>
      <c r="F898" s="7"/>
    </row>
    <row r="899" spans="1:6" x14ac:dyDescent="0.25">
      <c r="A899" s="7"/>
      <c r="E899" s="7"/>
      <c r="F899" s="7"/>
    </row>
    <row r="900" spans="1:6" x14ac:dyDescent="0.25">
      <c r="A900" s="7"/>
      <c r="E900" s="7"/>
      <c r="F900" s="7"/>
    </row>
    <row r="901" spans="1:6" x14ac:dyDescent="0.25">
      <c r="A901" s="7"/>
      <c r="E901" s="7"/>
      <c r="F901" s="7"/>
    </row>
    <row r="902" spans="1:6" x14ac:dyDescent="0.25">
      <c r="A902" s="7"/>
      <c r="E902" s="7"/>
      <c r="F902" s="7"/>
    </row>
    <row r="903" spans="1:6" x14ac:dyDescent="0.25">
      <c r="A903" s="7"/>
      <c r="E903" s="7"/>
      <c r="F903" s="7"/>
    </row>
    <row r="904" spans="1:6" x14ac:dyDescent="0.25">
      <c r="A904" s="7"/>
      <c r="E904" s="7"/>
      <c r="F904" s="7"/>
    </row>
    <row r="905" spans="1:6" x14ac:dyDescent="0.25">
      <c r="A905" s="7"/>
      <c r="E905" s="7"/>
      <c r="F905" s="7"/>
    </row>
    <row r="906" spans="1:6" x14ac:dyDescent="0.25">
      <c r="A906" s="7"/>
      <c r="E906" s="7"/>
      <c r="F906" s="7"/>
    </row>
    <row r="907" spans="1:6" x14ac:dyDescent="0.25">
      <c r="A907" s="7"/>
      <c r="E907" s="7"/>
      <c r="F907" s="7"/>
    </row>
    <row r="908" spans="1:6" x14ac:dyDescent="0.25">
      <c r="A908" s="7"/>
      <c r="E908" s="7"/>
      <c r="F908" s="7"/>
    </row>
    <row r="909" spans="1:6" x14ac:dyDescent="0.25">
      <c r="A909" s="7"/>
      <c r="E909" s="7"/>
      <c r="F909" s="7"/>
    </row>
    <row r="910" spans="1:6" x14ac:dyDescent="0.25">
      <c r="A910" s="7"/>
      <c r="E910" s="7"/>
      <c r="F910" s="7"/>
    </row>
    <row r="911" spans="1:6" x14ac:dyDescent="0.25">
      <c r="A911" s="7"/>
      <c r="E911" s="7"/>
      <c r="F911" s="7"/>
    </row>
    <row r="912" spans="1:6" x14ac:dyDescent="0.25">
      <c r="A912" s="7"/>
      <c r="E912" s="7"/>
      <c r="F912" s="7"/>
    </row>
    <row r="913" spans="1:6" x14ac:dyDescent="0.25">
      <c r="A913" s="7"/>
      <c r="E913" s="7"/>
      <c r="F913" s="7"/>
    </row>
    <row r="914" spans="1:6" x14ac:dyDescent="0.25">
      <c r="A914" s="7"/>
      <c r="E914" s="7"/>
      <c r="F914" s="7"/>
    </row>
    <row r="915" spans="1:6" x14ac:dyDescent="0.25">
      <c r="A915" s="7"/>
      <c r="E915" s="7"/>
      <c r="F915" s="7"/>
    </row>
    <row r="916" spans="1:6" x14ac:dyDescent="0.25">
      <c r="A916" s="7"/>
      <c r="E916" s="7"/>
      <c r="F916" s="7"/>
    </row>
    <row r="917" spans="1:6" x14ac:dyDescent="0.25">
      <c r="A917" s="7"/>
      <c r="E917" s="7"/>
      <c r="F917" s="7"/>
    </row>
    <row r="918" spans="1:6" x14ac:dyDescent="0.25">
      <c r="A918" s="7"/>
      <c r="E918" s="7"/>
      <c r="F918" s="7"/>
    </row>
    <row r="919" spans="1:6" x14ac:dyDescent="0.25">
      <c r="A919" s="7"/>
      <c r="E919" s="7"/>
      <c r="F919" s="7"/>
    </row>
    <row r="920" spans="1:6" x14ac:dyDescent="0.25">
      <c r="A920" s="7"/>
      <c r="E920" s="7"/>
      <c r="F920" s="7"/>
    </row>
    <row r="921" spans="1:6" x14ac:dyDescent="0.25">
      <c r="A921" s="7"/>
      <c r="E921" s="7"/>
      <c r="F921" s="7"/>
    </row>
    <row r="922" spans="1:6" x14ac:dyDescent="0.25">
      <c r="A922" s="7"/>
      <c r="E922" s="7"/>
      <c r="F922" s="7"/>
    </row>
    <row r="923" spans="1:6" x14ac:dyDescent="0.25">
      <c r="A923" s="7"/>
      <c r="E923" s="7"/>
      <c r="F923" s="7"/>
    </row>
    <row r="924" spans="1:6" x14ac:dyDescent="0.25">
      <c r="A924" s="7"/>
      <c r="E924" s="7"/>
      <c r="F924" s="7"/>
    </row>
    <row r="925" spans="1:6" x14ac:dyDescent="0.25">
      <c r="A925" s="7"/>
      <c r="E925" s="7"/>
      <c r="F925" s="7"/>
    </row>
    <row r="926" spans="1:6" x14ac:dyDescent="0.25">
      <c r="A926" s="7"/>
      <c r="E926" s="7"/>
      <c r="F926" s="7"/>
    </row>
    <row r="927" spans="1:6" x14ac:dyDescent="0.25">
      <c r="A927" s="7"/>
      <c r="E927" s="7"/>
      <c r="F927" s="7"/>
    </row>
    <row r="928" spans="1:6" x14ac:dyDescent="0.25">
      <c r="A928" s="7"/>
      <c r="E928" s="7"/>
      <c r="F928" s="7"/>
    </row>
    <row r="929" spans="1:6" x14ac:dyDescent="0.25">
      <c r="A929" s="7"/>
      <c r="E929" s="7"/>
      <c r="F929" s="7"/>
    </row>
    <row r="930" spans="1:6" x14ac:dyDescent="0.25">
      <c r="A930" s="7"/>
      <c r="E930" s="7"/>
      <c r="F930" s="7"/>
    </row>
    <row r="931" spans="1:6" x14ac:dyDescent="0.25">
      <c r="A931" s="7"/>
      <c r="E931" s="7"/>
      <c r="F931" s="7"/>
    </row>
    <row r="932" spans="1:6" x14ac:dyDescent="0.25">
      <c r="A932" s="7"/>
      <c r="E932" s="7"/>
      <c r="F932" s="7"/>
    </row>
    <row r="933" spans="1:6" x14ac:dyDescent="0.25">
      <c r="A933" s="7"/>
      <c r="E933" s="7"/>
      <c r="F933" s="7"/>
    </row>
    <row r="934" spans="1:6" x14ac:dyDescent="0.25">
      <c r="A934" s="7"/>
      <c r="E934" s="7"/>
      <c r="F934" s="7"/>
    </row>
    <row r="935" spans="1:6" x14ac:dyDescent="0.25">
      <c r="A935" s="7"/>
      <c r="E935" s="7"/>
      <c r="F935" s="7"/>
    </row>
    <row r="936" spans="1:6" x14ac:dyDescent="0.25">
      <c r="A936" s="7"/>
      <c r="E936" s="7"/>
      <c r="F936" s="7"/>
    </row>
    <row r="937" spans="1:6" x14ac:dyDescent="0.25">
      <c r="A937" s="7"/>
      <c r="E937" s="7"/>
      <c r="F937" s="7"/>
    </row>
    <row r="938" spans="1:6" x14ac:dyDescent="0.25">
      <c r="A938" s="7"/>
      <c r="E938" s="7"/>
      <c r="F938" s="7"/>
    </row>
    <row r="939" spans="1:6" x14ac:dyDescent="0.25">
      <c r="A939" s="7"/>
      <c r="E939" s="7"/>
      <c r="F939" s="7"/>
    </row>
    <row r="940" spans="1:6" x14ac:dyDescent="0.25">
      <c r="A940" s="7"/>
      <c r="E940" s="7"/>
      <c r="F940" s="7"/>
    </row>
    <row r="941" spans="1:6" x14ac:dyDescent="0.25">
      <c r="A941" s="7"/>
      <c r="E941" s="7"/>
      <c r="F941" s="7"/>
    </row>
    <row r="942" spans="1:6" x14ac:dyDescent="0.25">
      <c r="A942" s="7"/>
      <c r="E942" s="7"/>
      <c r="F942" s="7"/>
    </row>
    <row r="943" spans="1:6" x14ac:dyDescent="0.25">
      <c r="A943" s="7"/>
      <c r="E943" s="7"/>
      <c r="F943" s="7"/>
    </row>
    <row r="944" spans="1:6" x14ac:dyDescent="0.25">
      <c r="A944" s="7"/>
      <c r="E944" s="7"/>
      <c r="F944" s="7"/>
    </row>
    <row r="945" spans="1:6" x14ac:dyDescent="0.25">
      <c r="A945" s="7"/>
      <c r="E945" s="7"/>
      <c r="F945" s="7"/>
    </row>
    <row r="946" spans="1:6" x14ac:dyDescent="0.25">
      <c r="A946" s="7"/>
      <c r="E946" s="7"/>
      <c r="F946" s="7"/>
    </row>
    <row r="947" spans="1:6" x14ac:dyDescent="0.25">
      <c r="A947" s="7"/>
      <c r="E947" s="7"/>
      <c r="F947" s="7"/>
    </row>
    <row r="948" spans="1:6" x14ac:dyDescent="0.25">
      <c r="A948" s="7"/>
      <c r="E948" s="7"/>
      <c r="F948" s="7"/>
    </row>
    <row r="949" spans="1:6" x14ac:dyDescent="0.25">
      <c r="A949" s="7"/>
      <c r="E949" s="7"/>
      <c r="F949" s="7"/>
    </row>
    <row r="950" spans="1:6" x14ac:dyDescent="0.25">
      <c r="A950" s="7"/>
      <c r="E950" s="7"/>
      <c r="F950" s="7"/>
    </row>
    <row r="951" spans="1:6" x14ac:dyDescent="0.25">
      <c r="A951" s="7"/>
      <c r="E951" s="7"/>
      <c r="F951" s="7"/>
    </row>
    <row r="952" spans="1:6" x14ac:dyDescent="0.25">
      <c r="A952" s="7"/>
      <c r="E952" s="7"/>
      <c r="F952" s="7"/>
    </row>
    <row r="953" spans="1:6" x14ac:dyDescent="0.25">
      <c r="A953" s="7"/>
      <c r="E953" s="7"/>
      <c r="F953" s="7"/>
    </row>
    <row r="954" spans="1:6" x14ac:dyDescent="0.25">
      <c r="A954" s="7"/>
      <c r="E954" s="7"/>
      <c r="F954" s="7"/>
    </row>
    <row r="955" spans="1:6" x14ac:dyDescent="0.25">
      <c r="A955" s="7"/>
      <c r="E955" s="7"/>
      <c r="F955" s="7"/>
    </row>
    <row r="956" spans="1:6" x14ac:dyDescent="0.25">
      <c r="A956" s="7"/>
      <c r="E956" s="7"/>
      <c r="F956" s="7"/>
    </row>
    <row r="957" spans="1:6" x14ac:dyDescent="0.25">
      <c r="A957" s="7"/>
      <c r="E957" s="7"/>
      <c r="F957" s="7"/>
    </row>
    <row r="958" spans="1:6" x14ac:dyDescent="0.25">
      <c r="A958" s="7"/>
      <c r="E958" s="7"/>
      <c r="F958" s="7"/>
    </row>
    <row r="959" spans="1:6" x14ac:dyDescent="0.25">
      <c r="A959" s="7"/>
      <c r="E959" s="7"/>
      <c r="F959" s="7"/>
    </row>
    <row r="960" spans="1:6" x14ac:dyDescent="0.25">
      <c r="A960" s="7"/>
      <c r="E960" s="7"/>
      <c r="F960" s="7"/>
    </row>
    <row r="961" spans="1:6" x14ac:dyDescent="0.25">
      <c r="A961" s="7"/>
      <c r="E961" s="7"/>
      <c r="F961" s="7"/>
    </row>
    <row r="962" spans="1:6" x14ac:dyDescent="0.25">
      <c r="A962" s="7"/>
      <c r="E962" s="7"/>
      <c r="F962" s="7"/>
    </row>
    <row r="963" spans="1:6" x14ac:dyDescent="0.25">
      <c r="A963" s="7"/>
      <c r="E963" s="7"/>
      <c r="F963" s="7"/>
    </row>
    <row r="964" spans="1:6" x14ac:dyDescent="0.25">
      <c r="A964" s="7"/>
      <c r="E964" s="7"/>
      <c r="F964" s="7"/>
    </row>
    <row r="965" spans="1:6" x14ac:dyDescent="0.25">
      <c r="A965" s="7"/>
      <c r="E965" s="7"/>
      <c r="F965" s="7"/>
    </row>
    <row r="966" spans="1:6" x14ac:dyDescent="0.25">
      <c r="A966" s="7"/>
      <c r="E966" s="7"/>
      <c r="F966" s="7"/>
    </row>
    <row r="967" spans="1:6" x14ac:dyDescent="0.25">
      <c r="A967" s="7"/>
      <c r="E967" s="7"/>
      <c r="F967" s="7"/>
    </row>
    <row r="968" spans="1:6" x14ac:dyDescent="0.25">
      <c r="A968" s="7"/>
      <c r="E968" s="7"/>
      <c r="F968" s="7"/>
    </row>
    <row r="969" spans="1:6" x14ac:dyDescent="0.25">
      <c r="A969" s="7"/>
      <c r="E969" s="7"/>
      <c r="F969" s="7"/>
    </row>
    <row r="970" spans="1:6" x14ac:dyDescent="0.25">
      <c r="A970" s="7"/>
      <c r="E970" s="7"/>
      <c r="F970" s="7"/>
    </row>
    <row r="971" spans="1:6" x14ac:dyDescent="0.25">
      <c r="A971" s="7"/>
      <c r="E971" s="7"/>
      <c r="F971" s="7"/>
    </row>
    <row r="972" spans="1:6" x14ac:dyDescent="0.25">
      <c r="A972" s="7"/>
      <c r="E972" s="7"/>
      <c r="F972" s="7"/>
    </row>
    <row r="973" spans="1:6" x14ac:dyDescent="0.25">
      <c r="A973" s="7"/>
      <c r="E973" s="7"/>
      <c r="F973" s="7"/>
    </row>
    <row r="974" spans="1:6" x14ac:dyDescent="0.25">
      <c r="A974" s="7"/>
      <c r="E974" s="7"/>
      <c r="F974" s="7"/>
    </row>
    <row r="975" spans="1:6" x14ac:dyDescent="0.25">
      <c r="A975" s="7"/>
      <c r="E975" s="7"/>
      <c r="F975" s="7"/>
    </row>
    <row r="976" spans="1:6" x14ac:dyDescent="0.25">
      <c r="A976" s="7"/>
      <c r="E976" s="7"/>
      <c r="F976" s="7"/>
    </row>
    <row r="977" spans="1:6" x14ac:dyDescent="0.25">
      <c r="A977" s="7"/>
      <c r="E977" s="7"/>
      <c r="F977" s="7"/>
    </row>
    <row r="978" spans="1:6" x14ac:dyDescent="0.25">
      <c r="A978" s="7"/>
      <c r="E978" s="7"/>
      <c r="F978" s="7"/>
    </row>
    <row r="979" spans="1:6" x14ac:dyDescent="0.25">
      <c r="A979" s="7"/>
      <c r="E979" s="7"/>
      <c r="F979" s="7"/>
    </row>
    <row r="980" spans="1:6" x14ac:dyDescent="0.25">
      <c r="A980" s="7"/>
      <c r="E980" s="7"/>
      <c r="F980" s="7"/>
    </row>
    <row r="981" spans="1:6" x14ac:dyDescent="0.25">
      <c r="A981" s="7"/>
      <c r="E981" s="7"/>
      <c r="F981" s="7"/>
    </row>
    <row r="982" spans="1:6" x14ac:dyDescent="0.25">
      <c r="A982" s="7"/>
      <c r="E982" s="7"/>
      <c r="F982" s="7"/>
    </row>
    <row r="983" spans="1:6" x14ac:dyDescent="0.25">
      <c r="A983" s="7"/>
      <c r="E983" s="7"/>
      <c r="F983" s="7"/>
    </row>
    <row r="984" spans="1:6" x14ac:dyDescent="0.25">
      <c r="A984" s="7"/>
      <c r="E984" s="7"/>
      <c r="F984" s="7"/>
    </row>
    <row r="985" spans="1:6" x14ac:dyDescent="0.25">
      <c r="A985" s="7"/>
      <c r="E985" s="7"/>
      <c r="F985" s="7"/>
    </row>
    <row r="986" spans="1:6" x14ac:dyDescent="0.25">
      <c r="A986" s="7"/>
      <c r="E986" s="7"/>
      <c r="F986" s="7"/>
    </row>
    <row r="987" spans="1:6" x14ac:dyDescent="0.25">
      <c r="A987" s="7"/>
      <c r="E987" s="7"/>
      <c r="F987" s="7"/>
    </row>
    <row r="988" spans="1:6" x14ac:dyDescent="0.25">
      <c r="A988" s="7"/>
      <c r="E988" s="7"/>
      <c r="F988" s="7"/>
    </row>
    <row r="989" spans="1:6" x14ac:dyDescent="0.25">
      <c r="A989" s="7"/>
      <c r="E989" s="7"/>
      <c r="F989" s="7"/>
    </row>
    <row r="990" spans="1:6" x14ac:dyDescent="0.25">
      <c r="A990" s="7"/>
      <c r="E990" s="7"/>
      <c r="F990" s="7"/>
    </row>
    <row r="991" spans="1:6" x14ac:dyDescent="0.25">
      <c r="A991" s="7"/>
      <c r="E991" s="7"/>
      <c r="F991" s="7"/>
    </row>
    <row r="992" spans="1:6" x14ac:dyDescent="0.25">
      <c r="A992" s="7"/>
      <c r="E992" s="7"/>
      <c r="F992" s="7"/>
    </row>
    <row r="993" spans="1:6" x14ac:dyDescent="0.25">
      <c r="A993" s="7"/>
      <c r="E993" s="7"/>
      <c r="F993" s="7"/>
    </row>
    <row r="994" spans="1:6" x14ac:dyDescent="0.25">
      <c r="A994" s="7"/>
      <c r="E994" s="7"/>
      <c r="F994" s="7"/>
    </row>
    <row r="995" spans="1:6" x14ac:dyDescent="0.25">
      <c r="A995" s="7"/>
      <c r="E995" s="7"/>
      <c r="F995" s="7"/>
    </row>
    <row r="996" spans="1:6" x14ac:dyDescent="0.25">
      <c r="A996" s="7"/>
      <c r="E996" s="7"/>
      <c r="F996" s="7"/>
    </row>
    <row r="997" spans="1:6" x14ac:dyDescent="0.25">
      <c r="A997" s="7"/>
      <c r="E997" s="7"/>
      <c r="F997" s="7"/>
    </row>
    <row r="998" spans="1:6" x14ac:dyDescent="0.25">
      <c r="A998" s="7"/>
      <c r="E998" s="7"/>
      <c r="F998" s="7"/>
    </row>
    <row r="999" spans="1:6" x14ac:dyDescent="0.25">
      <c r="A999" s="7"/>
      <c r="E999" s="7"/>
      <c r="F999" s="7"/>
    </row>
    <row r="1000" spans="1:6" x14ac:dyDescent="0.25">
      <c r="A1000" s="7"/>
      <c r="E1000" s="7"/>
      <c r="F1000" s="7"/>
    </row>
    <row r="1001" spans="1:6" x14ac:dyDescent="0.25">
      <c r="A1001" s="7"/>
      <c r="E1001" s="7"/>
      <c r="F1001" s="7"/>
    </row>
    <row r="1002" spans="1:6" x14ac:dyDescent="0.25">
      <c r="A1002" s="7"/>
      <c r="E1002" s="7"/>
      <c r="F1002" s="7"/>
    </row>
    <row r="1003" spans="1:6" x14ac:dyDescent="0.25">
      <c r="A1003" s="7"/>
      <c r="E1003" s="7"/>
      <c r="F1003" s="7"/>
    </row>
    <row r="1004" spans="1:6" x14ac:dyDescent="0.25">
      <c r="A1004" s="7"/>
      <c r="E1004" s="7"/>
      <c r="F1004" s="7"/>
    </row>
    <row r="1005" spans="1:6" x14ac:dyDescent="0.25">
      <c r="A1005" s="7"/>
      <c r="E1005" s="7"/>
      <c r="F1005" s="7"/>
    </row>
    <row r="1006" spans="1:6" x14ac:dyDescent="0.25">
      <c r="A1006" s="7"/>
      <c r="E1006" s="7"/>
      <c r="F1006" s="7"/>
    </row>
    <row r="1007" spans="1:6" x14ac:dyDescent="0.25">
      <c r="A1007" s="7"/>
      <c r="E1007" s="7"/>
      <c r="F1007" s="7"/>
    </row>
    <row r="1008" spans="1:6" x14ac:dyDescent="0.25">
      <c r="A1008" s="7"/>
      <c r="E1008" s="7"/>
      <c r="F1008" s="7"/>
    </row>
    <row r="1009" spans="1:6" x14ac:dyDescent="0.25">
      <c r="A1009" s="7"/>
      <c r="E1009" s="7"/>
      <c r="F1009" s="7"/>
    </row>
    <row r="1010" spans="1:6" x14ac:dyDescent="0.25">
      <c r="A1010" s="7"/>
      <c r="E1010" s="7"/>
      <c r="F1010" s="7"/>
    </row>
    <row r="1011" spans="1:6" x14ac:dyDescent="0.25">
      <c r="A1011" s="7"/>
      <c r="E1011" s="7"/>
      <c r="F1011" s="7"/>
    </row>
    <row r="1012" spans="1:6" x14ac:dyDescent="0.25">
      <c r="A1012" s="7"/>
      <c r="E1012" s="7"/>
      <c r="F1012" s="7"/>
    </row>
    <row r="1013" spans="1:6" x14ac:dyDescent="0.25">
      <c r="A1013" s="7"/>
      <c r="E1013" s="7"/>
      <c r="F1013" s="7"/>
    </row>
    <row r="1014" spans="1:6" x14ac:dyDescent="0.25">
      <c r="A1014" s="7"/>
      <c r="E1014" s="7"/>
      <c r="F1014" s="7"/>
    </row>
    <row r="1015" spans="1:6" x14ac:dyDescent="0.25">
      <c r="A1015" s="7"/>
      <c r="E1015" s="7"/>
      <c r="F1015" s="7"/>
    </row>
    <row r="1016" spans="1:6" x14ac:dyDescent="0.25">
      <c r="A1016" s="7"/>
      <c r="E1016" s="7"/>
      <c r="F1016" s="7"/>
    </row>
    <row r="1017" spans="1:6" x14ac:dyDescent="0.25">
      <c r="A1017" s="7"/>
      <c r="E1017" s="7"/>
      <c r="F1017" s="7"/>
    </row>
    <row r="1018" spans="1:6" x14ac:dyDescent="0.25">
      <c r="A1018" s="7"/>
      <c r="E1018" s="7"/>
      <c r="F1018" s="7"/>
    </row>
    <row r="1019" spans="1:6" x14ac:dyDescent="0.25">
      <c r="A1019" s="7"/>
      <c r="E1019" s="7"/>
      <c r="F1019" s="7"/>
    </row>
  </sheetData>
  <mergeCells count="8">
    <mergeCell ref="A33:I33"/>
    <mergeCell ref="A1:I1"/>
    <mergeCell ref="A2:I2"/>
    <mergeCell ref="B3:C3"/>
    <mergeCell ref="A16:A31"/>
    <mergeCell ref="B16:B31"/>
    <mergeCell ref="C16:C31"/>
    <mergeCell ref="D16:D31"/>
  </mergeCells>
  <printOptions horizontalCentered="1" gridLines="1"/>
  <pageMargins left="0.7" right="0.7" top="0.75" bottom="0.75" header="0" footer="0"/>
  <pageSetup fitToHeight="0" pageOrder="overThenDown" orientation="landscape" cellComments="atEnd"/>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rgb="FFB6D7A8"/>
    <outlinePr summaryBelow="0" summaryRight="0"/>
    <pageSetUpPr fitToPage="1"/>
  </sheetPr>
  <dimension ref="A1:W1009"/>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46.33203125" customWidth="1"/>
    <col min="2" max="2" width="7.33203125" customWidth="1"/>
    <col min="3" max="4" width="7.88671875" customWidth="1"/>
    <col min="5" max="5" width="22.21875" customWidth="1"/>
    <col min="6" max="6" width="14.6640625" customWidth="1"/>
  </cols>
  <sheetData>
    <row r="1" spans="1:23" x14ac:dyDescent="0.25">
      <c r="A1" s="141" t="s">
        <v>950</v>
      </c>
      <c r="B1" s="142"/>
      <c r="C1" s="142"/>
      <c r="D1" s="142"/>
      <c r="E1" s="142"/>
      <c r="F1" s="142"/>
      <c r="G1" s="142"/>
      <c r="H1" s="142"/>
      <c r="I1" s="143"/>
    </row>
    <row r="2" spans="1:23" x14ac:dyDescent="0.25">
      <c r="A2" s="144" t="s">
        <v>951</v>
      </c>
      <c r="B2" s="142"/>
      <c r="C2" s="142"/>
      <c r="D2" s="142"/>
      <c r="E2" s="142"/>
      <c r="F2" s="142"/>
      <c r="G2" s="142"/>
      <c r="H2" s="142"/>
      <c r="I2" s="143"/>
    </row>
    <row r="3" spans="1:23" x14ac:dyDescent="0.25">
      <c r="A3" s="43" t="s">
        <v>374</v>
      </c>
      <c r="B3" s="145" t="s">
        <v>408</v>
      </c>
      <c r="C3" s="143"/>
      <c r="D3" s="49" t="s">
        <v>370</v>
      </c>
      <c r="E3" s="122" t="s">
        <v>371</v>
      </c>
      <c r="F3" s="123" t="s">
        <v>372</v>
      </c>
      <c r="G3" s="52" t="s">
        <v>373</v>
      </c>
      <c r="H3" s="53" t="s">
        <v>409</v>
      </c>
      <c r="I3" s="53" t="s">
        <v>410</v>
      </c>
      <c r="J3" s="7"/>
      <c r="K3" s="7"/>
      <c r="L3" s="7"/>
      <c r="M3" s="7"/>
      <c r="N3" s="7"/>
      <c r="O3" s="7"/>
      <c r="P3" s="7"/>
      <c r="Q3" s="7"/>
      <c r="R3" s="7"/>
      <c r="S3" s="7"/>
      <c r="T3" s="7"/>
      <c r="U3" s="7"/>
      <c r="V3" s="7"/>
      <c r="W3" s="7"/>
    </row>
    <row r="4" spans="1:23" x14ac:dyDescent="0.25">
      <c r="A4" s="41" t="s">
        <v>411</v>
      </c>
      <c r="B4" s="54">
        <f>SUM(B5:B8)/4</f>
        <v>1</v>
      </c>
      <c r="C4" s="55">
        <f>D4*B4</f>
        <v>0.7</v>
      </c>
      <c r="D4" s="56">
        <v>0.7</v>
      </c>
      <c r="E4" s="57"/>
      <c r="F4" s="57"/>
      <c r="G4" s="58"/>
      <c r="H4" s="58"/>
      <c r="I4" s="58"/>
    </row>
    <row r="5" spans="1:23" x14ac:dyDescent="0.25">
      <c r="A5" s="79" t="s">
        <v>952</v>
      </c>
      <c r="B5" s="80">
        <v>1</v>
      </c>
      <c r="C5" s="60"/>
      <c r="D5" s="60"/>
      <c r="E5" s="42" t="s">
        <v>953</v>
      </c>
      <c r="F5" s="79" t="s">
        <v>954</v>
      </c>
      <c r="G5" s="124">
        <v>0.8</v>
      </c>
      <c r="H5" s="124">
        <v>0.8</v>
      </c>
      <c r="I5" s="124">
        <v>1</v>
      </c>
    </row>
    <row r="6" spans="1:23" x14ac:dyDescent="0.25">
      <c r="A6" s="79" t="s">
        <v>955</v>
      </c>
      <c r="B6" s="80">
        <v>1</v>
      </c>
      <c r="C6" s="60"/>
      <c r="D6" s="60"/>
      <c r="E6" s="42" t="s">
        <v>956</v>
      </c>
      <c r="F6" s="79" t="s">
        <v>957</v>
      </c>
      <c r="G6" s="124">
        <v>0.8</v>
      </c>
      <c r="H6" s="124">
        <v>0.8</v>
      </c>
      <c r="I6" s="124">
        <v>1</v>
      </c>
    </row>
    <row r="7" spans="1:23" x14ac:dyDescent="0.25">
      <c r="A7" s="79" t="s">
        <v>958</v>
      </c>
      <c r="B7" s="59">
        <v>1</v>
      </c>
      <c r="C7" s="60"/>
      <c r="D7" s="60"/>
      <c r="E7" s="42" t="s">
        <v>959</v>
      </c>
      <c r="F7" s="79" t="s">
        <v>960</v>
      </c>
      <c r="G7" s="59">
        <v>0.8</v>
      </c>
      <c r="H7" s="59">
        <v>0.8</v>
      </c>
      <c r="I7" s="59">
        <v>1</v>
      </c>
    </row>
    <row r="8" spans="1:23" x14ac:dyDescent="0.25">
      <c r="A8" s="125" t="s">
        <v>961</v>
      </c>
      <c r="B8" s="59">
        <v>1</v>
      </c>
      <c r="C8" s="60"/>
      <c r="D8" s="60"/>
      <c r="E8" s="79" t="s">
        <v>962</v>
      </c>
      <c r="F8" s="42" t="s">
        <v>963</v>
      </c>
      <c r="G8" s="60"/>
      <c r="H8" s="60"/>
      <c r="I8" s="60"/>
    </row>
    <row r="9" spans="1:23" x14ac:dyDescent="0.25">
      <c r="A9" s="41" t="s">
        <v>415</v>
      </c>
      <c r="B9" s="54">
        <f>SUM(B10:B11)/2</f>
        <v>1</v>
      </c>
      <c r="C9" s="55">
        <f>D9*B9</f>
        <v>0.2</v>
      </c>
      <c r="D9" s="56">
        <v>0.2</v>
      </c>
      <c r="E9" s="57"/>
      <c r="F9" s="57"/>
      <c r="G9" s="58"/>
      <c r="H9" s="58"/>
      <c r="I9" s="58"/>
    </row>
    <row r="10" spans="1:23" x14ac:dyDescent="0.25">
      <c r="A10" s="42" t="s">
        <v>964</v>
      </c>
      <c r="B10" s="59">
        <v>1</v>
      </c>
      <c r="C10" s="60"/>
      <c r="D10" s="60"/>
      <c r="E10" s="42" t="s">
        <v>965</v>
      </c>
      <c r="F10" s="103" t="s">
        <v>425</v>
      </c>
      <c r="G10" s="59">
        <v>1</v>
      </c>
      <c r="H10" s="59"/>
      <c r="I10" s="59"/>
    </row>
    <row r="11" spans="1:23" x14ac:dyDescent="0.25">
      <c r="A11" s="42" t="s">
        <v>966</v>
      </c>
      <c r="B11" s="59">
        <v>1</v>
      </c>
      <c r="C11" s="60"/>
      <c r="D11" s="60"/>
      <c r="E11" s="42" t="s">
        <v>967</v>
      </c>
      <c r="F11" s="103" t="s">
        <v>425</v>
      </c>
      <c r="G11" s="59">
        <v>1</v>
      </c>
      <c r="H11" s="59"/>
      <c r="I11" s="59"/>
    </row>
    <row r="12" spans="1:23" x14ac:dyDescent="0.25">
      <c r="A12" s="41" t="s">
        <v>385</v>
      </c>
      <c r="B12" s="54">
        <f>SUM(B13:B15)/2</f>
        <v>1</v>
      </c>
      <c r="C12" s="55">
        <f>D12*B12</f>
        <v>0.1</v>
      </c>
      <c r="D12" s="56">
        <v>0.1</v>
      </c>
      <c r="E12" s="57"/>
      <c r="F12" s="57"/>
      <c r="G12" s="58"/>
      <c r="H12" s="58"/>
      <c r="I12" s="58"/>
    </row>
    <row r="13" spans="1:23" x14ac:dyDescent="0.25">
      <c r="A13" s="42" t="s">
        <v>386</v>
      </c>
      <c r="B13" s="59">
        <v>1</v>
      </c>
      <c r="C13" s="60"/>
      <c r="D13" s="53"/>
      <c r="E13" s="42"/>
      <c r="F13" s="42" t="s">
        <v>425</v>
      </c>
      <c r="G13" s="59">
        <v>0.8</v>
      </c>
      <c r="H13" s="59">
        <v>0.8</v>
      </c>
      <c r="I13" s="59">
        <v>1</v>
      </c>
    </row>
    <row r="14" spans="1:23" x14ac:dyDescent="0.25">
      <c r="A14" s="42" t="s">
        <v>387</v>
      </c>
      <c r="B14" s="59">
        <v>0.5</v>
      </c>
      <c r="C14" s="60"/>
      <c r="D14" s="53"/>
      <c r="E14" s="42"/>
      <c r="F14" s="42" t="s">
        <v>419</v>
      </c>
      <c r="G14" s="59">
        <v>0.8</v>
      </c>
      <c r="H14" s="59">
        <v>0.8</v>
      </c>
      <c r="I14" s="59">
        <v>1</v>
      </c>
    </row>
    <row r="15" spans="1:23" x14ac:dyDescent="0.25">
      <c r="A15" s="151" t="s">
        <v>506</v>
      </c>
      <c r="B15" s="148">
        <v>0.5</v>
      </c>
      <c r="C15" s="153"/>
      <c r="D15" s="153"/>
      <c r="E15" s="70" t="s">
        <v>968</v>
      </c>
      <c r="F15" s="70"/>
      <c r="G15" s="74"/>
      <c r="H15" s="74"/>
      <c r="I15" s="74"/>
    </row>
    <row r="16" spans="1:23" x14ac:dyDescent="0.25">
      <c r="A16" s="150"/>
      <c r="B16" s="150"/>
      <c r="C16" s="150"/>
      <c r="D16" s="150"/>
      <c r="E16" s="70" t="s">
        <v>969</v>
      </c>
      <c r="F16" s="70"/>
      <c r="G16" s="74"/>
      <c r="H16" s="74"/>
      <c r="I16" s="74"/>
    </row>
    <row r="17" spans="1:10" x14ac:dyDescent="0.25">
      <c r="A17" s="150"/>
      <c r="B17" s="150"/>
      <c r="C17" s="150"/>
      <c r="D17" s="150"/>
      <c r="E17" s="70" t="s">
        <v>970</v>
      </c>
      <c r="F17" s="70"/>
      <c r="G17" s="74"/>
      <c r="H17" s="74"/>
      <c r="I17" s="74"/>
    </row>
    <row r="18" spans="1:10" x14ac:dyDescent="0.25">
      <c r="A18" s="150"/>
      <c r="B18" s="150"/>
      <c r="C18" s="150"/>
      <c r="D18" s="150"/>
      <c r="E18" s="70" t="s">
        <v>971</v>
      </c>
      <c r="F18" s="70"/>
      <c r="G18" s="74"/>
      <c r="H18" s="74"/>
      <c r="I18" s="74"/>
    </row>
    <row r="19" spans="1:10" x14ac:dyDescent="0.25">
      <c r="A19" s="150"/>
      <c r="B19" s="150"/>
      <c r="C19" s="150"/>
      <c r="D19" s="150"/>
      <c r="E19" s="70" t="s">
        <v>972</v>
      </c>
      <c r="F19" s="70"/>
      <c r="G19" s="74"/>
      <c r="H19" s="74"/>
      <c r="I19" s="74"/>
    </row>
    <row r="20" spans="1:10" x14ac:dyDescent="0.25">
      <c r="A20" s="150"/>
      <c r="B20" s="150"/>
      <c r="C20" s="150"/>
      <c r="D20" s="150"/>
      <c r="E20" s="70" t="s">
        <v>973</v>
      </c>
      <c r="F20" s="70"/>
      <c r="G20" s="74"/>
      <c r="H20" s="74"/>
      <c r="I20" s="74"/>
    </row>
    <row r="21" spans="1:10" x14ac:dyDescent="0.25">
      <c r="A21" s="150"/>
      <c r="B21" s="150"/>
      <c r="C21" s="150"/>
      <c r="D21" s="150"/>
      <c r="E21" s="70" t="s">
        <v>974</v>
      </c>
      <c r="F21" s="70"/>
      <c r="G21" s="74"/>
      <c r="H21" s="74"/>
      <c r="I21" s="74"/>
    </row>
    <row r="22" spans="1:10" x14ac:dyDescent="0.25">
      <c r="A22" s="147"/>
      <c r="B22" s="147"/>
      <c r="C22" s="147"/>
      <c r="D22" s="147"/>
      <c r="E22" s="70" t="s">
        <v>975</v>
      </c>
      <c r="F22" s="70"/>
      <c r="G22" s="74"/>
      <c r="H22" s="74"/>
      <c r="I22" s="74"/>
    </row>
    <row r="23" spans="1:10" x14ac:dyDescent="0.25">
      <c r="A23" s="90"/>
      <c r="B23" s="71"/>
      <c r="C23" s="64">
        <f t="shared" ref="C23:D23" si="0">SUM(C4+C9+C12)</f>
        <v>0.99999999999999989</v>
      </c>
      <c r="D23" s="64">
        <f t="shared" si="0"/>
        <v>0.99999999999999989</v>
      </c>
      <c r="E23" s="70"/>
      <c r="F23" s="70"/>
      <c r="G23" s="74"/>
      <c r="H23" s="74"/>
      <c r="I23" s="74"/>
    </row>
    <row r="24" spans="1:10" x14ac:dyDescent="0.25">
      <c r="A24" s="152" t="s">
        <v>976</v>
      </c>
      <c r="B24" s="142"/>
      <c r="C24" s="142"/>
      <c r="D24" s="142"/>
      <c r="E24" s="142"/>
      <c r="F24" s="142"/>
      <c r="G24" s="142"/>
      <c r="H24" s="142"/>
      <c r="I24" s="143"/>
    </row>
    <row r="25" spans="1:10" x14ac:dyDescent="0.25">
      <c r="A25" s="66" t="s">
        <v>977</v>
      </c>
      <c r="B25" s="67" t="s">
        <v>423</v>
      </c>
      <c r="C25" s="64"/>
      <c r="D25" s="64"/>
      <c r="E25" s="68" t="s">
        <v>978</v>
      </c>
      <c r="F25" s="42" t="s">
        <v>425</v>
      </c>
      <c r="G25" s="42"/>
      <c r="H25" s="60"/>
      <c r="I25" s="60"/>
      <c r="J25" s="126"/>
    </row>
    <row r="26" spans="1:10" x14ac:dyDescent="0.25">
      <c r="A26" s="66" t="s">
        <v>979</v>
      </c>
      <c r="B26" s="67" t="s">
        <v>423</v>
      </c>
      <c r="C26" s="64"/>
      <c r="D26" s="64"/>
      <c r="E26" s="68" t="s">
        <v>980</v>
      </c>
      <c r="F26" s="42" t="s">
        <v>425</v>
      </c>
      <c r="G26" s="42"/>
      <c r="H26" s="60"/>
      <c r="I26" s="60"/>
      <c r="J26" s="7"/>
    </row>
    <row r="27" spans="1:10" x14ac:dyDescent="0.25">
      <c r="A27" s="66" t="s">
        <v>981</v>
      </c>
      <c r="B27" s="67" t="s">
        <v>427</v>
      </c>
      <c r="C27" s="64"/>
      <c r="D27" s="64"/>
      <c r="E27" s="68" t="s">
        <v>982</v>
      </c>
      <c r="F27" s="42" t="s">
        <v>425</v>
      </c>
      <c r="G27" s="42"/>
      <c r="H27" s="60"/>
      <c r="I27" s="60"/>
      <c r="J27" s="7"/>
    </row>
    <row r="28" spans="1:10" x14ac:dyDescent="0.25">
      <c r="A28" s="66" t="s">
        <v>983</v>
      </c>
      <c r="B28" s="67" t="s">
        <v>427</v>
      </c>
      <c r="C28" s="64"/>
      <c r="D28" s="64"/>
      <c r="E28" s="68" t="s">
        <v>984</v>
      </c>
      <c r="F28" s="42" t="s">
        <v>425</v>
      </c>
      <c r="G28" s="42"/>
      <c r="H28" s="60"/>
      <c r="I28" s="60"/>
      <c r="J28" s="7"/>
    </row>
    <row r="29" spans="1:10" x14ac:dyDescent="0.25">
      <c r="A29" s="7"/>
      <c r="E29" s="7"/>
      <c r="F29" s="7"/>
    </row>
    <row r="30" spans="1:10" x14ac:dyDescent="0.25">
      <c r="A30" s="7"/>
      <c r="E30" s="7"/>
      <c r="F30" s="7"/>
    </row>
    <row r="31" spans="1:10" x14ac:dyDescent="0.25">
      <c r="A31" s="7"/>
      <c r="E31" s="7"/>
      <c r="F31" s="7"/>
    </row>
    <row r="32" spans="1:10" x14ac:dyDescent="0.25">
      <c r="A32" s="7"/>
      <c r="E32" s="7"/>
      <c r="F32" s="7"/>
    </row>
    <row r="33" spans="1:6" x14ac:dyDescent="0.25">
      <c r="A33" s="7"/>
      <c r="E33" s="7"/>
      <c r="F33" s="7"/>
    </row>
    <row r="34" spans="1:6" x14ac:dyDescent="0.25">
      <c r="A34" s="7"/>
      <c r="E34" s="7"/>
      <c r="F34" s="7"/>
    </row>
    <row r="35" spans="1:6" x14ac:dyDescent="0.25">
      <c r="A35" s="7"/>
      <c r="E35" s="7"/>
      <c r="F35" s="7"/>
    </row>
    <row r="36" spans="1:6" x14ac:dyDescent="0.25">
      <c r="A36" s="7"/>
      <c r="F36" s="7"/>
    </row>
    <row r="37" spans="1:6" x14ac:dyDescent="0.25">
      <c r="A37" s="7"/>
      <c r="F37" s="7"/>
    </row>
    <row r="38" spans="1:6" x14ac:dyDescent="0.25">
      <c r="A38" s="7"/>
      <c r="F38" s="7"/>
    </row>
    <row r="39" spans="1:6" x14ac:dyDescent="0.25">
      <c r="A39" s="7"/>
      <c r="F39" s="7"/>
    </row>
    <row r="40" spans="1:6" x14ac:dyDescent="0.25">
      <c r="A40" s="7"/>
      <c r="F40" s="7"/>
    </row>
    <row r="41" spans="1:6" x14ac:dyDescent="0.25">
      <c r="A41" s="7"/>
      <c r="F41" s="7"/>
    </row>
    <row r="42" spans="1:6" x14ac:dyDescent="0.25">
      <c r="A42" s="7"/>
      <c r="F42" s="7"/>
    </row>
    <row r="43" spans="1:6" x14ac:dyDescent="0.25">
      <c r="A43" s="7"/>
      <c r="F43" s="7"/>
    </row>
    <row r="44" spans="1:6" x14ac:dyDescent="0.25">
      <c r="A44" s="7"/>
      <c r="F44" s="7"/>
    </row>
    <row r="45" spans="1:6" x14ac:dyDescent="0.25">
      <c r="A45" s="7"/>
      <c r="F45" s="7"/>
    </row>
    <row r="46" spans="1:6" x14ac:dyDescent="0.25">
      <c r="A46" s="7"/>
      <c r="F46" s="7"/>
    </row>
    <row r="47" spans="1:6" x14ac:dyDescent="0.25">
      <c r="A47" s="7"/>
      <c r="F47" s="7"/>
    </row>
    <row r="48" spans="1:6" x14ac:dyDescent="0.25">
      <c r="A48" s="7"/>
      <c r="F48" s="7"/>
    </row>
    <row r="49" spans="1:6" x14ac:dyDescent="0.25">
      <c r="A49" s="7"/>
      <c r="E49" s="7"/>
      <c r="F49" s="7"/>
    </row>
    <row r="50" spans="1:6" x14ac:dyDescent="0.25">
      <c r="A50" s="7"/>
      <c r="E50" s="7"/>
      <c r="F50" s="7"/>
    </row>
    <row r="51" spans="1:6" x14ac:dyDescent="0.25">
      <c r="A51" s="7"/>
      <c r="E51" s="7"/>
      <c r="F51" s="7"/>
    </row>
    <row r="52" spans="1:6" x14ac:dyDescent="0.25">
      <c r="A52" s="7"/>
      <c r="E52" s="7"/>
      <c r="F52" s="7"/>
    </row>
    <row r="53" spans="1:6" x14ac:dyDescent="0.25">
      <c r="A53" s="7"/>
      <c r="E53" s="7"/>
      <c r="F53" s="7"/>
    </row>
    <row r="54" spans="1:6" x14ac:dyDescent="0.25">
      <c r="A54" s="7"/>
      <c r="E54" s="7"/>
      <c r="F54" s="7"/>
    </row>
    <row r="55" spans="1:6" x14ac:dyDescent="0.25">
      <c r="A55" s="7"/>
      <c r="E55" s="7"/>
      <c r="F55" s="7"/>
    </row>
    <row r="56" spans="1:6" x14ac:dyDescent="0.25">
      <c r="A56" s="7"/>
      <c r="E56" s="7"/>
      <c r="F56" s="7"/>
    </row>
    <row r="57" spans="1:6" x14ac:dyDescent="0.25">
      <c r="A57" s="7"/>
      <c r="E57" s="7"/>
      <c r="F57" s="7"/>
    </row>
    <row r="58" spans="1:6" x14ac:dyDescent="0.25">
      <c r="A58" s="7"/>
      <c r="E58" s="7"/>
      <c r="F58" s="7"/>
    </row>
    <row r="59" spans="1:6" x14ac:dyDescent="0.25">
      <c r="A59" s="7"/>
      <c r="E59" s="7"/>
      <c r="F59" s="7"/>
    </row>
    <row r="60" spans="1:6" x14ac:dyDescent="0.25">
      <c r="A60" s="7"/>
      <c r="E60" s="7"/>
      <c r="F60" s="7"/>
    </row>
    <row r="61" spans="1:6" x14ac:dyDescent="0.25">
      <c r="A61" s="7"/>
      <c r="E61" s="7"/>
      <c r="F61" s="7"/>
    </row>
    <row r="62" spans="1:6" x14ac:dyDescent="0.25">
      <c r="A62" s="7"/>
      <c r="E62" s="7"/>
      <c r="F62" s="7"/>
    </row>
    <row r="63" spans="1:6" x14ac:dyDescent="0.25">
      <c r="A63" s="7"/>
      <c r="E63" s="7"/>
      <c r="F63" s="7"/>
    </row>
    <row r="64" spans="1:6" x14ac:dyDescent="0.25">
      <c r="A64" s="7"/>
      <c r="E64" s="7"/>
      <c r="F64" s="7"/>
    </row>
    <row r="65" spans="1:6" x14ac:dyDescent="0.25">
      <c r="A65" s="7"/>
      <c r="E65" s="7"/>
      <c r="F65" s="7"/>
    </row>
    <row r="66" spans="1:6" x14ac:dyDescent="0.25">
      <c r="A66" s="7"/>
      <c r="E66" s="7"/>
      <c r="F66" s="7"/>
    </row>
    <row r="67" spans="1:6" x14ac:dyDescent="0.25">
      <c r="A67" s="7"/>
      <c r="E67" s="7"/>
      <c r="F67" s="7"/>
    </row>
    <row r="68" spans="1:6" x14ac:dyDescent="0.25">
      <c r="A68" s="7"/>
      <c r="E68" s="7"/>
      <c r="F68" s="7"/>
    </row>
    <row r="69" spans="1:6" x14ac:dyDescent="0.25">
      <c r="A69" s="7"/>
      <c r="E69" s="7"/>
      <c r="F69" s="7"/>
    </row>
    <row r="70" spans="1:6" x14ac:dyDescent="0.25">
      <c r="A70" s="7"/>
      <c r="E70" s="7"/>
      <c r="F70" s="7"/>
    </row>
    <row r="71" spans="1:6" x14ac:dyDescent="0.25">
      <c r="A71" s="7"/>
      <c r="E71" s="7"/>
      <c r="F71" s="7"/>
    </row>
    <row r="72" spans="1:6" x14ac:dyDescent="0.25">
      <c r="A72" s="7"/>
      <c r="E72" s="7"/>
      <c r="F72" s="7"/>
    </row>
    <row r="73" spans="1:6" x14ac:dyDescent="0.25">
      <c r="A73" s="7"/>
      <c r="E73" s="7"/>
      <c r="F73" s="7"/>
    </row>
    <row r="74" spans="1:6" x14ac:dyDescent="0.25">
      <c r="A74" s="7"/>
      <c r="E74" s="7"/>
      <c r="F74" s="7"/>
    </row>
    <row r="75" spans="1:6" x14ac:dyDescent="0.25">
      <c r="A75" s="7"/>
      <c r="E75" s="7"/>
      <c r="F75" s="7"/>
    </row>
    <row r="76" spans="1:6" x14ac:dyDescent="0.25">
      <c r="A76" s="7"/>
      <c r="E76" s="7"/>
      <c r="F76" s="7"/>
    </row>
    <row r="77" spans="1:6" x14ac:dyDescent="0.25">
      <c r="A77" s="7"/>
      <c r="E77" s="7"/>
      <c r="F77" s="7"/>
    </row>
    <row r="78" spans="1:6" x14ac:dyDescent="0.25">
      <c r="A78" s="7"/>
      <c r="E78" s="7"/>
      <c r="F78" s="7"/>
    </row>
    <row r="79" spans="1:6" x14ac:dyDescent="0.25">
      <c r="A79" s="7"/>
      <c r="E79" s="7"/>
      <c r="F79" s="7"/>
    </row>
    <row r="80" spans="1:6" x14ac:dyDescent="0.25">
      <c r="A80" s="7"/>
      <c r="E80" s="7"/>
      <c r="F80" s="7"/>
    </row>
    <row r="81" spans="1:6" x14ac:dyDescent="0.25">
      <c r="A81" s="7"/>
      <c r="E81" s="7"/>
      <c r="F81" s="7"/>
    </row>
    <row r="82" spans="1:6" x14ac:dyDescent="0.25">
      <c r="A82" s="7"/>
      <c r="E82" s="7"/>
      <c r="F82" s="7"/>
    </row>
    <row r="83" spans="1:6" x14ac:dyDescent="0.25">
      <c r="A83" s="7"/>
      <c r="E83" s="7"/>
      <c r="F83" s="7"/>
    </row>
    <row r="84" spans="1:6" x14ac:dyDescent="0.25">
      <c r="A84" s="7"/>
      <c r="E84" s="7"/>
      <c r="F84" s="7"/>
    </row>
    <row r="85" spans="1:6" x14ac:dyDescent="0.25">
      <c r="A85" s="7"/>
      <c r="E85" s="7"/>
      <c r="F85" s="7"/>
    </row>
    <row r="86" spans="1:6" x14ac:dyDescent="0.25">
      <c r="A86" s="7"/>
      <c r="E86" s="7"/>
      <c r="F86" s="7"/>
    </row>
    <row r="87" spans="1:6" x14ac:dyDescent="0.25">
      <c r="A87" s="7"/>
      <c r="E87" s="7"/>
      <c r="F87" s="7"/>
    </row>
    <row r="88" spans="1:6" x14ac:dyDescent="0.25">
      <c r="A88" s="7"/>
      <c r="E88" s="7"/>
      <c r="F88" s="7"/>
    </row>
    <row r="89" spans="1:6" x14ac:dyDescent="0.25">
      <c r="A89" s="7"/>
      <c r="E89" s="7"/>
      <c r="F89" s="7"/>
    </row>
    <row r="90" spans="1:6" x14ac:dyDescent="0.25">
      <c r="A90" s="7"/>
      <c r="E90" s="7"/>
      <c r="F90" s="7"/>
    </row>
    <row r="91" spans="1:6" x14ac:dyDescent="0.25">
      <c r="A91" s="7"/>
      <c r="E91" s="7"/>
      <c r="F91" s="7"/>
    </row>
    <row r="92" spans="1:6" x14ac:dyDescent="0.25">
      <c r="A92" s="7"/>
      <c r="E92" s="7"/>
      <c r="F92" s="7"/>
    </row>
    <row r="93" spans="1:6" x14ac:dyDescent="0.25">
      <c r="A93" s="7"/>
      <c r="E93" s="7"/>
      <c r="F93" s="7"/>
    </row>
    <row r="94" spans="1:6" x14ac:dyDescent="0.25">
      <c r="A94" s="7"/>
      <c r="E94" s="7"/>
      <c r="F94" s="7"/>
    </row>
    <row r="95" spans="1:6" x14ac:dyDescent="0.25">
      <c r="A95" s="7"/>
      <c r="E95" s="7"/>
      <c r="F95" s="7"/>
    </row>
    <row r="96" spans="1:6" x14ac:dyDescent="0.25">
      <c r="A96" s="7"/>
      <c r="E96" s="7"/>
      <c r="F96" s="7"/>
    </row>
    <row r="97" spans="1:6" x14ac:dyDescent="0.25">
      <c r="A97" s="7"/>
      <c r="E97" s="7"/>
      <c r="F97" s="7"/>
    </row>
    <row r="98" spans="1:6" x14ac:dyDescent="0.25">
      <c r="A98" s="7"/>
      <c r="E98" s="7"/>
      <c r="F98" s="7"/>
    </row>
    <row r="99" spans="1:6" x14ac:dyDescent="0.25">
      <c r="A99" s="7"/>
      <c r="E99" s="7"/>
      <c r="F99" s="7"/>
    </row>
    <row r="100" spans="1:6" x14ac:dyDescent="0.25">
      <c r="A100" s="7"/>
      <c r="E100" s="7"/>
      <c r="F100" s="7"/>
    </row>
    <row r="101" spans="1:6" x14ac:dyDescent="0.25">
      <c r="A101" s="7"/>
      <c r="E101" s="7"/>
      <c r="F101" s="7"/>
    </row>
    <row r="102" spans="1:6" x14ac:dyDescent="0.25">
      <c r="A102" s="7"/>
      <c r="E102" s="7"/>
      <c r="F102" s="7"/>
    </row>
    <row r="103" spans="1:6" x14ac:dyDescent="0.25">
      <c r="A103" s="7"/>
      <c r="E103" s="7"/>
      <c r="F103" s="7"/>
    </row>
    <row r="104" spans="1:6" x14ac:dyDescent="0.25">
      <c r="A104" s="7"/>
      <c r="E104" s="7"/>
      <c r="F104" s="7"/>
    </row>
    <row r="105" spans="1:6" x14ac:dyDescent="0.25">
      <c r="A105" s="7"/>
      <c r="E105" s="7"/>
      <c r="F105" s="7"/>
    </row>
    <row r="106" spans="1:6" x14ac:dyDescent="0.25">
      <c r="A106" s="7"/>
      <c r="E106" s="7"/>
      <c r="F106" s="7"/>
    </row>
    <row r="107" spans="1:6" x14ac:dyDescent="0.25">
      <c r="A107" s="7"/>
      <c r="E107" s="7"/>
      <c r="F107" s="7"/>
    </row>
    <row r="108" spans="1:6" x14ac:dyDescent="0.25">
      <c r="A108" s="7"/>
      <c r="E108" s="7"/>
      <c r="F108" s="7"/>
    </row>
    <row r="109" spans="1:6" x14ac:dyDescent="0.25">
      <c r="A109" s="7"/>
      <c r="E109" s="7"/>
      <c r="F109" s="7"/>
    </row>
    <row r="110" spans="1:6" x14ac:dyDescent="0.25">
      <c r="A110" s="7"/>
      <c r="E110" s="7"/>
      <c r="F110" s="7"/>
    </row>
    <row r="111" spans="1:6" x14ac:dyDescent="0.25">
      <c r="A111" s="7"/>
      <c r="E111" s="7"/>
      <c r="F111" s="7"/>
    </row>
    <row r="112" spans="1:6" x14ac:dyDescent="0.25">
      <c r="A112" s="7"/>
      <c r="E112" s="7"/>
      <c r="F112" s="7"/>
    </row>
    <row r="113" spans="1:6" x14ac:dyDescent="0.25">
      <c r="A113" s="7"/>
      <c r="E113" s="7"/>
      <c r="F113" s="7"/>
    </row>
    <row r="114" spans="1:6" x14ac:dyDescent="0.25">
      <c r="A114" s="7"/>
      <c r="E114" s="7"/>
      <c r="F114" s="7"/>
    </row>
    <row r="115" spans="1:6" x14ac:dyDescent="0.25">
      <c r="A115" s="7"/>
      <c r="E115" s="7"/>
      <c r="F115" s="7"/>
    </row>
    <row r="116" spans="1:6" x14ac:dyDescent="0.25">
      <c r="A116" s="7"/>
      <c r="E116" s="7"/>
      <c r="F116" s="7"/>
    </row>
    <row r="117" spans="1:6" x14ac:dyDescent="0.25">
      <c r="A117" s="7"/>
      <c r="E117" s="7"/>
      <c r="F117" s="7"/>
    </row>
    <row r="118" spans="1:6" x14ac:dyDescent="0.25">
      <c r="A118" s="7"/>
      <c r="E118" s="7"/>
      <c r="F118" s="7"/>
    </row>
    <row r="119" spans="1:6" x14ac:dyDescent="0.25">
      <c r="A119" s="7"/>
      <c r="E119" s="7"/>
      <c r="F119" s="7"/>
    </row>
    <row r="120" spans="1:6" x14ac:dyDescent="0.25">
      <c r="A120" s="7"/>
      <c r="E120" s="7"/>
      <c r="F120" s="7"/>
    </row>
    <row r="121" spans="1:6" x14ac:dyDescent="0.25">
      <c r="A121" s="7"/>
      <c r="E121" s="7"/>
      <c r="F121" s="7"/>
    </row>
    <row r="122" spans="1:6" x14ac:dyDescent="0.25">
      <c r="A122" s="7"/>
      <c r="E122" s="7"/>
      <c r="F122" s="7"/>
    </row>
    <row r="123" spans="1:6" x14ac:dyDescent="0.25">
      <c r="A123" s="7"/>
      <c r="E123" s="7"/>
      <c r="F123" s="7"/>
    </row>
    <row r="124" spans="1:6" x14ac:dyDescent="0.25">
      <c r="A124" s="7"/>
      <c r="E124" s="7"/>
      <c r="F124" s="7"/>
    </row>
    <row r="125" spans="1:6" x14ac:dyDescent="0.25">
      <c r="A125" s="7"/>
      <c r="E125" s="7"/>
      <c r="F125" s="7"/>
    </row>
    <row r="126" spans="1:6" x14ac:dyDescent="0.25">
      <c r="A126" s="7"/>
      <c r="E126" s="7"/>
      <c r="F126" s="7"/>
    </row>
    <row r="127" spans="1:6" x14ac:dyDescent="0.25">
      <c r="A127" s="7"/>
      <c r="E127" s="7"/>
      <c r="F127" s="7"/>
    </row>
    <row r="128" spans="1:6" x14ac:dyDescent="0.25">
      <c r="A128" s="7"/>
      <c r="E128" s="7"/>
      <c r="F128" s="7"/>
    </row>
    <row r="129" spans="1:6" x14ac:dyDescent="0.25">
      <c r="A129" s="7"/>
      <c r="E129" s="7"/>
      <c r="F129" s="7"/>
    </row>
    <row r="130" spans="1:6" x14ac:dyDescent="0.25">
      <c r="A130" s="7"/>
      <c r="E130" s="7"/>
      <c r="F130" s="7"/>
    </row>
    <row r="131" spans="1:6" x14ac:dyDescent="0.25">
      <c r="A131" s="7"/>
      <c r="E131" s="7"/>
      <c r="F131" s="7"/>
    </row>
    <row r="132" spans="1:6" x14ac:dyDescent="0.25">
      <c r="A132" s="7"/>
      <c r="E132" s="7"/>
      <c r="F132" s="7"/>
    </row>
    <row r="133" spans="1:6" x14ac:dyDescent="0.25">
      <c r="A133" s="7"/>
      <c r="E133" s="7"/>
      <c r="F133" s="7"/>
    </row>
    <row r="134" spans="1:6" x14ac:dyDescent="0.25">
      <c r="A134" s="7"/>
      <c r="E134" s="7"/>
      <c r="F134" s="7"/>
    </row>
    <row r="135" spans="1:6" x14ac:dyDescent="0.25">
      <c r="A135" s="7"/>
      <c r="E135" s="7"/>
      <c r="F135" s="7"/>
    </row>
    <row r="136" spans="1:6" x14ac:dyDescent="0.25">
      <c r="A136" s="7"/>
      <c r="E136" s="7"/>
      <c r="F136" s="7"/>
    </row>
    <row r="137" spans="1:6" x14ac:dyDescent="0.25">
      <c r="A137" s="7"/>
      <c r="E137" s="7"/>
      <c r="F137" s="7"/>
    </row>
    <row r="138" spans="1:6" x14ac:dyDescent="0.25">
      <c r="A138" s="7"/>
      <c r="E138" s="7"/>
      <c r="F138" s="7"/>
    </row>
    <row r="139" spans="1:6" x14ac:dyDescent="0.25">
      <c r="A139" s="7"/>
      <c r="E139" s="7"/>
      <c r="F139" s="7"/>
    </row>
    <row r="140" spans="1:6" x14ac:dyDescent="0.25">
      <c r="A140" s="7"/>
      <c r="E140" s="7"/>
      <c r="F140" s="7"/>
    </row>
    <row r="141" spans="1:6" x14ac:dyDescent="0.25">
      <c r="A141" s="7"/>
      <c r="E141" s="7"/>
      <c r="F141" s="7"/>
    </row>
    <row r="142" spans="1:6" x14ac:dyDescent="0.25">
      <c r="A142" s="7"/>
      <c r="E142" s="7"/>
      <c r="F142" s="7"/>
    </row>
    <row r="143" spans="1:6" x14ac:dyDescent="0.25">
      <c r="A143" s="7"/>
      <c r="E143" s="7"/>
      <c r="F143" s="7"/>
    </row>
    <row r="144" spans="1:6" x14ac:dyDescent="0.25">
      <c r="A144" s="7"/>
      <c r="E144" s="7"/>
      <c r="F144" s="7"/>
    </row>
    <row r="145" spans="1:6" x14ac:dyDescent="0.25">
      <c r="A145" s="7"/>
      <c r="E145" s="7"/>
      <c r="F145" s="7"/>
    </row>
    <row r="146" spans="1:6" x14ac:dyDescent="0.25">
      <c r="A146" s="7"/>
      <c r="E146" s="7"/>
      <c r="F146" s="7"/>
    </row>
    <row r="147" spans="1:6" x14ac:dyDescent="0.25">
      <c r="A147" s="7"/>
      <c r="E147" s="7"/>
      <c r="F147" s="7"/>
    </row>
    <row r="148" spans="1:6" x14ac:dyDescent="0.25">
      <c r="A148" s="7"/>
      <c r="E148" s="7"/>
      <c r="F148" s="7"/>
    </row>
    <row r="149" spans="1:6" x14ac:dyDescent="0.25">
      <c r="A149" s="7"/>
      <c r="E149" s="7"/>
      <c r="F149" s="7"/>
    </row>
    <row r="150" spans="1:6" x14ac:dyDescent="0.25">
      <c r="A150" s="7"/>
      <c r="E150" s="7"/>
      <c r="F150" s="7"/>
    </row>
    <row r="151" spans="1:6" x14ac:dyDescent="0.25">
      <c r="A151" s="7"/>
      <c r="E151" s="7"/>
      <c r="F151" s="7"/>
    </row>
    <row r="152" spans="1:6" x14ac:dyDescent="0.25">
      <c r="A152" s="7"/>
      <c r="E152" s="7"/>
      <c r="F152" s="7"/>
    </row>
    <row r="153" spans="1:6" x14ac:dyDescent="0.25">
      <c r="A153" s="7"/>
      <c r="E153" s="7"/>
      <c r="F153" s="7"/>
    </row>
    <row r="154" spans="1:6" x14ac:dyDescent="0.25">
      <c r="A154" s="7"/>
      <c r="E154" s="7"/>
      <c r="F154" s="7"/>
    </row>
    <row r="155" spans="1:6" x14ac:dyDescent="0.25">
      <c r="A155" s="7"/>
      <c r="E155" s="7"/>
      <c r="F155" s="7"/>
    </row>
    <row r="156" spans="1:6" x14ac:dyDescent="0.25">
      <c r="A156" s="7"/>
      <c r="E156" s="7"/>
      <c r="F156" s="7"/>
    </row>
    <row r="157" spans="1:6" x14ac:dyDescent="0.25">
      <c r="A157" s="7"/>
      <c r="E157" s="7"/>
      <c r="F157" s="7"/>
    </row>
    <row r="158" spans="1:6" x14ac:dyDescent="0.25">
      <c r="A158" s="7"/>
      <c r="E158" s="7"/>
      <c r="F158" s="7"/>
    </row>
    <row r="159" spans="1:6" x14ac:dyDescent="0.25">
      <c r="A159" s="7"/>
      <c r="E159" s="7"/>
      <c r="F159" s="7"/>
    </row>
    <row r="160" spans="1:6" x14ac:dyDescent="0.25">
      <c r="A160" s="7"/>
      <c r="E160" s="7"/>
      <c r="F160" s="7"/>
    </row>
    <row r="161" spans="1:6" x14ac:dyDescent="0.25">
      <c r="A161" s="7"/>
      <c r="E161" s="7"/>
      <c r="F161" s="7"/>
    </row>
    <row r="162" spans="1:6" x14ac:dyDescent="0.25">
      <c r="A162" s="7"/>
      <c r="E162" s="7"/>
      <c r="F162" s="7"/>
    </row>
    <row r="163" spans="1:6" x14ac:dyDescent="0.25">
      <c r="A163" s="7"/>
      <c r="E163" s="7"/>
      <c r="F163" s="7"/>
    </row>
    <row r="164" spans="1:6" x14ac:dyDescent="0.25">
      <c r="A164" s="7"/>
      <c r="E164" s="7"/>
      <c r="F164" s="7"/>
    </row>
    <row r="165" spans="1:6" x14ac:dyDescent="0.25">
      <c r="A165" s="7"/>
      <c r="E165" s="7"/>
      <c r="F165" s="7"/>
    </row>
    <row r="166" spans="1:6" x14ac:dyDescent="0.25">
      <c r="A166" s="7"/>
      <c r="E166" s="7"/>
      <c r="F166" s="7"/>
    </row>
    <row r="167" spans="1:6" x14ac:dyDescent="0.25">
      <c r="A167" s="7"/>
      <c r="E167" s="7"/>
      <c r="F167" s="7"/>
    </row>
    <row r="168" spans="1:6" x14ac:dyDescent="0.25">
      <c r="A168" s="7"/>
      <c r="E168" s="7"/>
      <c r="F168" s="7"/>
    </row>
    <row r="169" spans="1:6" x14ac:dyDescent="0.25">
      <c r="A169" s="7"/>
      <c r="E169" s="7"/>
      <c r="F169" s="7"/>
    </row>
    <row r="170" spans="1:6" x14ac:dyDescent="0.25">
      <c r="A170" s="7"/>
      <c r="E170" s="7"/>
      <c r="F170" s="7"/>
    </row>
    <row r="171" spans="1:6" x14ac:dyDescent="0.25">
      <c r="A171" s="7"/>
      <c r="E171" s="7"/>
      <c r="F171" s="7"/>
    </row>
    <row r="172" spans="1:6" x14ac:dyDescent="0.25">
      <c r="A172" s="7"/>
      <c r="E172" s="7"/>
      <c r="F172" s="7"/>
    </row>
    <row r="173" spans="1:6" x14ac:dyDescent="0.25">
      <c r="A173" s="7"/>
      <c r="E173" s="7"/>
      <c r="F173" s="7"/>
    </row>
    <row r="174" spans="1:6" x14ac:dyDescent="0.25">
      <c r="A174" s="7"/>
      <c r="E174" s="7"/>
      <c r="F174" s="7"/>
    </row>
    <row r="175" spans="1:6" x14ac:dyDescent="0.25">
      <c r="A175" s="7"/>
      <c r="E175" s="7"/>
      <c r="F175" s="7"/>
    </row>
    <row r="176" spans="1:6" x14ac:dyDescent="0.25">
      <c r="A176" s="7"/>
      <c r="E176" s="7"/>
      <c r="F176" s="7"/>
    </row>
    <row r="177" spans="1:6" x14ac:dyDescent="0.25">
      <c r="A177" s="7"/>
      <c r="E177" s="7"/>
      <c r="F177" s="7"/>
    </row>
    <row r="178" spans="1:6" x14ac:dyDescent="0.25">
      <c r="A178" s="7"/>
      <c r="E178" s="7"/>
      <c r="F178" s="7"/>
    </row>
    <row r="179" spans="1:6" x14ac:dyDescent="0.25">
      <c r="A179" s="7"/>
      <c r="E179" s="7"/>
      <c r="F179" s="7"/>
    </row>
    <row r="180" spans="1:6" x14ac:dyDescent="0.25">
      <c r="A180" s="7"/>
      <c r="E180" s="7"/>
      <c r="F180" s="7"/>
    </row>
    <row r="181" spans="1:6" x14ac:dyDescent="0.25">
      <c r="A181" s="7"/>
      <c r="E181" s="7"/>
      <c r="F181" s="7"/>
    </row>
    <row r="182" spans="1:6" x14ac:dyDescent="0.25">
      <c r="A182" s="7"/>
      <c r="E182" s="7"/>
      <c r="F182" s="7"/>
    </row>
    <row r="183" spans="1:6" x14ac:dyDescent="0.25">
      <c r="A183" s="7"/>
      <c r="E183" s="7"/>
      <c r="F183" s="7"/>
    </row>
    <row r="184" spans="1:6" x14ac:dyDescent="0.25">
      <c r="A184" s="7"/>
      <c r="E184" s="7"/>
      <c r="F184" s="7"/>
    </row>
    <row r="185" spans="1:6" x14ac:dyDescent="0.25">
      <c r="A185" s="7"/>
      <c r="E185" s="7"/>
      <c r="F185" s="7"/>
    </row>
    <row r="186" spans="1:6" x14ac:dyDescent="0.25">
      <c r="A186" s="7"/>
      <c r="E186" s="7"/>
      <c r="F186" s="7"/>
    </row>
    <row r="187" spans="1:6" x14ac:dyDescent="0.25">
      <c r="A187" s="7"/>
      <c r="E187" s="7"/>
      <c r="F187" s="7"/>
    </row>
    <row r="188" spans="1:6" x14ac:dyDescent="0.25">
      <c r="A188" s="7"/>
      <c r="E188" s="7"/>
      <c r="F188" s="7"/>
    </row>
    <row r="189" spans="1:6" x14ac:dyDescent="0.25">
      <c r="A189" s="7"/>
      <c r="E189" s="7"/>
      <c r="F189" s="7"/>
    </row>
    <row r="190" spans="1:6" x14ac:dyDescent="0.25">
      <c r="A190" s="7"/>
      <c r="E190" s="7"/>
      <c r="F190" s="7"/>
    </row>
    <row r="191" spans="1:6" x14ac:dyDescent="0.25">
      <c r="A191" s="7"/>
      <c r="E191" s="7"/>
      <c r="F191" s="7"/>
    </row>
    <row r="192" spans="1:6" x14ac:dyDescent="0.25">
      <c r="A192" s="7"/>
      <c r="E192" s="7"/>
      <c r="F192" s="7"/>
    </row>
    <row r="193" spans="1:6" x14ac:dyDescent="0.25">
      <c r="A193" s="7"/>
      <c r="E193" s="7"/>
      <c r="F193" s="7"/>
    </row>
    <row r="194" spans="1:6" x14ac:dyDescent="0.25">
      <c r="A194" s="7"/>
      <c r="E194" s="7"/>
      <c r="F194" s="7"/>
    </row>
    <row r="195" spans="1:6" x14ac:dyDescent="0.25">
      <c r="A195" s="7"/>
      <c r="E195" s="7"/>
      <c r="F195" s="7"/>
    </row>
    <row r="196" spans="1:6" x14ac:dyDescent="0.25">
      <c r="A196" s="7"/>
      <c r="E196" s="7"/>
      <c r="F196" s="7"/>
    </row>
    <row r="197" spans="1:6" x14ac:dyDescent="0.25">
      <c r="A197" s="7"/>
      <c r="E197" s="7"/>
      <c r="F197" s="7"/>
    </row>
    <row r="198" spans="1:6" x14ac:dyDescent="0.25">
      <c r="A198" s="7"/>
      <c r="E198" s="7"/>
      <c r="F198" s="7"/>
    </row>
    <row r="199" spans="1:6" x14ac:dyDescent="0.25">
      <c r="A199" s="7"/>
      <c r="E199" s="7"/>
      <c r="F199" s="7"/>
    </row>
    <row r="200" spans="1:6" x14ac:dyDescent="0.25">
      <c r="A200" s="7"/>
      <c r="E200" s="7"/>
      <c r="F200" s="7"/>
    </row>
    <row r="201" spans="1:6" x14ac:dyDescent="0.25">
      <c r="A201" s="7"/>
      <c r="E201" s="7"/>
      <c r="F201" s="7"/>
    </row>
    <row r="202" spans="1:6" x14ac:dyDescent="0.25">
      <c r="A202" s="7"/>
      <c r="E202" s="7"/>
      <c r="F202" s="7"/>
    </row>
    <row r="203" spans="1:6" x14ac:dyDescent="0.25">
      <c r="A203" s="7"/>
      <c r="E203" s="7"/>
      <c r="F203" s="7"/>
    </row>
    <row r="204" spans="1:6" x14ac:dyDescent="0.25">
      <c r="A204" s="7"/>
      <c r="E204" s="7"/>
      <c r="F204" s="7"/>
    </row>
    <row r="205" spans="1:6" x14ac:dyDescent="0.25">
      <c r="A205" s="7"/>
      <c r="E205" s="7"/>
      <c r="F205" s="7"/>
    </row>
    <row r="206" spans="1:6" x14ac:dyDescent="0.25">
      <c r="A206" s="7"/>
      <c r="E206" s="7"/>
      <c r="F206" s="7"/>
    </row>
    <row r="207" spans="1:6" x14ac:dyDescent="0.25">
      <c r="A207" s="7"/>
      <c r="E207" s="7"/>
      <c r="F207" s="7"/>
    </row>
    <row r="208" spans="1:6" x14ac:dyDescent="0.25">
      <c r="A208" s="7"/>
      <c r="E208" s="7"/>
      <c r="F208" s="7"/>
    </row>
    <row r="209" spans="1:6" x14ac:dyDescent="0.25">
      <c r="A209" s="7"/>
      <c r="E209" s="7"/>
      <c r="F209" s="7"/>
    </row>
    <row r="210" spans="1:6" x14ac:dyDescent="0.25">
      <c r="A210" s="7"/>
      <c r="E210" s="7"/>
      <c r="F210" s="7"/>
    </row>
    <row r="211" spans="1:6" x14ac:dyDescent="0.25">
      <c r="A211" s="7"/>
      <c r="E211" s="7"/>
      <c r="F211" s="7"/>
    </row>
    <row r="212" spans="1:6" x14ac:dyDescent="0.25">
      <c r="A212" s="7"/>
      <c r="E212" s="7"/>
      <c r="F212" s="7"/>
    </row>
    <row r="213" spans="1:6" x14ac:dyDescent="0.25">
      <c r="A213" s="7"/>
      <c r="E213" s="7"/>
      <c r="F213" s="7"/>
    </row>
    <row r="214" spans="1:6" x14ac:dyDescent="0.25">
      <c r="A214" s="7"/>
      <c r="E214" s="7"/>
      <c r="F214" s="7"/>
    </row>
    <row r="215" spans="1:6" x14ac:dyDescent="0.25">
      <c r="A215" s="7"/>
      <c r="E215" s="7"/>
      <c r="F215" s="7"/>
    </row>
    <row r="216" spans="1:6" x14ac:dyDescent="0.25">
      <c r="A216" s="7"/>
      <c r="E216" s="7"/>
      <c r="F216" s="7"/>
    </row>
    <row r="217" spans="1:6" x14ac:dyDescent="0.25">
      <c r="A217" s="7"/>
      <c r="E217" s="7"/>
      <c r="F217" s="7"/>
    </row>
    <row r="218" spans="1:6" x14ac:dyDescent="0.25">
      <c r="A218" s="7"/>
      <c r="E218" s="7"/>
      <c r="F218" s="7"/>
    </row>
    <row r="219" spans="1:6" x14ac:dyDescent="0.25">
      <c r="A219" s="7"/>
      <c r="E219" s="7"/>
      <c r="F219" s="7"/>
    </row>
    <row r="220" spans="1:6" x14ac:dyDescent="0.25">
      <c r="A220" s="7"/>
      <c r="E220" s="7"/>
      <c r="F220" s="7"/>
    </row>
    <row r="221" spans="1:6" x14ac:dyDescent="0.25">
      <c r="A221" s="7"/>
      <c r="E221" s="7"/>
      <c r="F221" s="7"/>
    </row>
    <row r="222" spans="1:6" x14ac:dyDescent="0.25">
      <c r="A222" s="7"/>
      <c r="E222" s="7"/>
      <c r="F222" s="7"/>
    </row>
    <row r="223" spans="1:6" x14ac:dyDescent="0.25">
      <c r="A223" s="7"/>
      <c r="E223" s="7"/>
      <c r="F223" s="7"/>
    </row>
    <row r="224" spans="1:6" x14ac:dyDescent="0.25">
      <c r="A224" s="7"/>
      <c r="E224" s="7"/>
      <c r="F224" s="7"/>
    </row>
    <row r="225" spans="1:6" x14ac:dyDescent="0.25">
      <c r="A225" s="7"/>
      <c r="E225" s="7"/>
      <c r="F225" s="7"/>
    </row>
    <row r="226" spans="1:6" x14ac:dyDescent="0.25">
      <c r="A226" s="7"/>
      <c r="E226" s="7"/>
      <c r="F226" s="7"/>
    </row>
    <row r="227" spans="1:6" x14ac:dyDescent="0.25">
      <c r="A227" s="7"/>
      <c r="E227" s="7"/>
      <c r="F227" s="7"/>
    </row>
    <row r="228" spans="1:6" x14ac:dyDescent="0.25">
      <c r="A228" s="7"/>
      <c r="E228" s="7"/>
      <c r="F228" s="7"/>
    </row>
    <row r="229" spans="1:6" x14ac:dyDescent="0.25">
      <c r="A229" s="7"/>
      <c r="E229" s="7"/>
      <c r="F229" s="7"/>
    </row>
    <row r="230" spans="1:6" x14ac:dyDescent="0.25">
      <c r="A230" s="7"/>
      <c r="E230" s="7"/>
      <c r="F230" s="7"/>
    </row>
    <row r="231" spans="1:6" x14ac:dyDescent="0.25">
      <c r="A231" s="7"/>
      <c r="E231" s="7"/>
      <c r="F231" s="7"/>
    </row>
    <row r="232" spans="1:6" x14ac:dyDescent="0.25">
      <c r="A232" s="7"/>
      <c r="E232" s="7"/>
      <c r="F232" s="7"/>
    </row>
    <row r="233" spans="1:6" x14ac:dyDescent="0.25">
      <c r="A233" s="7"/>
      <c r="E233" s="7"/>
      <c r="F233" s="7"/>
    </row>
    <row r="234" spans="1:6" x14ac:dyDescent="0.25">
      <c r="A234" s="7"/>
      <c r="E234" s="7"/>
      <c r="F234" s="7"/>
    </row>
    <row r="235" spans="1:6" x14ac:dyDescent="0.25">
      <c r="A235" s="7"/>
      <c r="E235" s="7"/>
      <c r="F235" s="7"/>
    </row>
    <row r="236" spans="1:6" x14ac:dyDescent="0.25">
      <c r="A236" s="7"/>
      <c r="E236" s="7"/>
      <c r="F236" s="7"/>
    </row>
    <row r="237" spans="1:6" x14ac:dyDescent="0.25">
      <c r="A237" s="7"/>
      <c r="E237" s="7"/>
      <c r="F237" s="7"/>
    </row>
    <row r="238" spans="1:6" x14ac:dyDescent="0.25">
      <c r="A238" s="7"/>
      <c r="E238" s="7"/>
      <c r="F238" s="7"/>
    </row>
    <row r="239" spans="1:6" x14ac:dyDescent="0.25">
      <c r="A239" s="7"/>
      <c r="E239" s="7"/>
      <c r="F239" s="7"/>
    </row>
    <row r="240" spans="1:6" x14ac:dyDescent="0.25">
      <c r="A240" s="7"/>
      <c r="E240" s="7"/>
      <c r="F240" s="7"/>
    </row>
    <row r="241" spans="1:6" x14ac:dyDescent="0.25">
      <c r="A241" s="7"/>
      <c r="E241" s="7"/>
      <c r="F241" s="7"/>
    </row>
    <row r="242" spans="1:6" x14ac:dyDescent="0.25">
      <c r="A242" s="7"/>
      <c r="E242" s="7"/>
      <c r="F242" s="7"/>
    </row>
    <row r="243" spans="1:6" x14ac:dyDescent="0.25">
      <c r="A243" s="7"/>
      <c r="E243" s="7"/>
      <c r="F243" s="7"/>
    </row>
    <row r="244" spans="1:6" x14ac:dyDescent="0.25">
      <c r="A244" s="7"/>
      <c r="E244" s="7"/>
      <c r="F244" s="7"/>
    </row>
    <row r="245" spans="1:6" x14ac:dyDescent="0.25">
      <c r="A245" s="7"/>
      <c r="E245" s="7"/>
      <c r="F245" s="7"/>
    </row>
    <row r="246" spans="1:6" x14ac:dyDescent="0.25">
      <c r="A246" s="7"/>
      <c r="E246" s="7"/>
      <c r="F246" s="7"/>
    </row>
    <row r="247" spans="1:6" x14ac:dyDescent="0.25">
      <c r="A247" s="7"/>
      <c r="E247" s="7"/>
      <c r="F247" s="7"/>
    </row>
    <row r="248" spans="1:6" x14ac:dyDescent="0.25">
      <c r="A248" s="7"/>
      <c r="E248" s="7"/>
      <c r="F248" s="7"/>
    </row>
    <row r="249" spans="1:6" x14ac:dyDescent="0.25">
      <c r="A249" s="7"/>
      <c r="E249" s="7"/>
      <c r="F249" s="7"/>
    </row>
    <row r="250" spans="1:6" x14ac:dyDescent="0.25">
      <c r="A250" s="7"/>
      <c r="E250" s="7"/>
      <c r="F250" s="7"/>
    </row>
    <row r="251" spans="1:6" x14ac:dyDescent="0.25">
      <c r="A251" s="7"/>
      <c r="E251" s="7"/>
      <c r="F251" s="7"/>
    </row>
    <row r="252" spans="1:6" x14ac:dyDescent="0.25">
      <c r="A252" s="7"/>
      <c r="E252" s="7"/>
      <c r="F252" s="7"/>
    </row>
    <row r="253" spans="1:6" x14ac:dyDescent="0.25">
      <c r="A253" s="7"/>
      <c r="E253" s="7"/>
      <c r="F253" s="7"/>
    </row>
    <row r="254" spans="1:6" x14ac:dyDescent="0.25">
      <c r="A254" s="7"/>
      <c r="E254" s="7"/>
      <c r="F254" s="7"/>
    </row>
    <row r="255" spans="1:6" x14ac:dyDescent="0.25">
      <c r="A255" s="7"/>
      <c r="E255" s="7"/>
      <c r="F255" s="7"/>
    </row>
    <row r="256" spans="1:6" x14ac:dyDescent="0.25">
      <c r="A256" s="7"/>
      <c r="E256" s="7"/>
      <c r="F256" s="7"/>
    </row>
    <row r="257" spans="1:6" x14ac:dyDescent="0.25">
      <c r="A257" s="7"/>
      <c r="E257" s="7"/>
      <c r="F257" s="7"/>
    </row>
    <row r="258" spans="1:6" x14ac:dyDescent="0.25">
      <c r="A258" s="7"/>
      <c r="E258" s="7"/>
      <c r="F258" s="7"/>
    </row>
    <row r="259" spans="1:6" x14ac:dyDescent="0.25">
      <c r="A259" s="7"/>
      <c r="E259" s="7"/>
      <c r="F259" s="7"/>
    </row>
    <row r="260" spans="1:6" x14ac:dyDescent="0.25">
      <c r="A260" s="7"/>
      <c r="E260" s="7"/>
      <c r="F260" s="7"/>
    </row>
    <row r="261" spans="1:6" x14ac:dyDescent="0.25">
      <c r="A261" s="7"/>
      <c r="E261" s="7"/>
      <c r="F261" s="7"/>
    </row>
    <row r="262" spans="1:6" x14ac:dyDescent="0.25">
      <c r="A262" s="7"/>
      <c r="E262" s="7"/>
      <c r="F262" s="7"/>
    </row>
    <row r="263" spans="1:6" x14ac:dyDescent="0.25">
      <c r="A263" s="7"/>
      <c r="E263" s="7"/>
      <c r="F263" s="7"/>
    </row>
    <row r="264" spans="1:6" x14ac:dyDescent="0.25">
      <c r="A264" s="7"/>
      <c r="E264" s="7"/>
      <c r="F264" s="7"/>
    </row>
    <row r="265" spans="1:6" x14ac:dyDescent="0.25">
      <c r="A265" s="7"/>
      <c r="E265" s="7"/>
      <c r="F265" s="7"/>
    </row>
    <row r="266" spans="1:6" x14ac:dyDescent="0.25">
      <c r="A266" s="7"/>
      <c r="E266" s="7"/>
      <c r="F266" s="7"/>
    </row>
    <row r="267" spans="1:6" x14ac:dyDescent="0.25">
      <c r="A267" s="7"/>
      <c r="E267" s="7"/>
      <c r="F267" s="7"/>
    </row>
    <row r="268" spans="1:6" x14ac:dyDescent="0.25">
      <c r="A268" s="7"/>
      <c r="E268" s="7"/>
      <c r="F268" s="7"/>
    </row>
    <row r="269" spans="1:6" x14ac:dyDescent="0.25">
      <c r="A269" s="7"/>
      <c r="E269" s="7"/>
      <c r="F269" s="7"/>
    </row>
    <row r="270" spans="1:6" x14ac:dyDescent="0.25">
      <c r="A270" s="7"/>
      <c r="E270" s="7"/>
      <c r="F270" s="7"/>
    </row>
    <row r="271" spans="1:6" x14ac:dyDescent="0.25">
      <c r="A271" s="7"/>
      <c r="E271" s="7"/>
      <c r="F271" s="7"/>
    </row>
    <row r="272" spans="1:6" x14ac:dyDescent="0.25">
      <c r="A272" s="7"/>
      <c r="E272" s="7"/>
      <c r="F272" s="7"/>
    </row>
    <row r="273" spans="1:6" x14ac:dyDescent="0.25">
      <c r="A273" s="7"/>
      <c r="E273" s="7"/>
      <c r="F273" s="7"/>
    </row>
    <row r="274" spans="1:6" x14ac:dyDescent="0.25">
      <c r="A274" s="7"/>
      <c r="E274" s="7"/>
      <c r="F274" s="7"/>
    </row>
    <row r="275" spans="1:6" x14ac:dyDescent="0.25">
      <c r="A275" s="7"/>
      <c r="E275" s="7"/>
      <c r="F275" s="7"/>
    </row>
    <row r="276" spans="1:6" x14ac:dyDescent="0.25">
      <c r="A276" s="7"/>
      <c r="E276" s="7"/>
      <c r="F276" s="7"/>
    </row>
    <row r="277" spans="1:6" x14ac:dyDescent="0.25">
      <c r="A277" s="7"/>
      <c r="E277" s="7"/>
      <c r="F277" s="7"/>
    </row>
    <row r="278" spans="1:6" x14ac:dyDescent="0.25">
      <c r="A278" s="7"/>
      <c r="E278" s="7"/>
      <c r="F278" s="7"/>
    </row>
    <row r="279" spans="1:6" x14ac:dyDescent="0.25">
      <c r="A279" s="7"/>
      <c r="E279" s="7"/>
      <c r="F279" s="7"/>
    </row>
    <row r="280" spans="1:6" x14ac:dyDescent="0.25">
      <c r="A280" s="7"/>
      <c r="E280" s="7"/>
      <c r="F280" s="7"/>
    </row>
    <row r="281" spans="1:6" x14ac:dyDescent="0.25">
      <c r="A281" s="7"/>
      <c r="E281" s="7"/>
      <c r="F281" s="7"/>
    </row>
    <row r="282" spans="1:6" x14ac:dyDescent="0.25">
      <c r="A282" s="7"/>
      <c r="E282" s="7"/>
      <c r="F282" s="7"/>
    </row>
    <row r="283" spans="1:6" x14ac:dyDescent="0.25">
      <c r="A283" s="7"/>
      <c r="E283" s="7"/>
      <c r="F283" s="7"/>
    </row>
    <row r="284" spans="1:6" x14ac:dyDescent="0.25">
      <c r="A284" s="7"/>
      <c r="E284" s="7"/>
      <c r="F284" s="7"/>
    </row>
    <row r="285" spans="1:6" x14ac:dyDescent="0.25">
      <c r="A285" s="7"/>
      <c r="E285" s="7"/>
      <c r="F285" s="7"/>
    </row>
    <row r="286" spans="1:6" x14ac:dyDescent="0.25">
      <c r="A286" s="7"/>
      <c r="E286" s="7"/>
      <c r="F286" s="7"/>
    </row>
    <row r="287" spans="1:6" x14ac:dyDescent="0.25">
      <c r="A287" s="7"/>
      <c r="E287" s="7"/>
      <c r="F287" s="7"/>
    </row>
    <row r="288" spans="1:6" x14ac:dyDescent="0.25">
      <c r="A288" s="7"/>
      <c r="E288" s="7"/>
      <c r="F288" s="7"/>
    </row>
    <row r="289" spans="1:6" x14ac:dyDescent="0.25">
      <c r="A289" s="7"/>
      <c r="E289" s="7"/>
      <c r="F289" s="7"/>
    </row>
    <row r="290" spans="1:6" x14ac:dyDescent="0.25">
      <c r="A290" s="7"/>
      <c r="E290" s="7"/>
      <c r="F290" s="7"/>
    </row>
    <row r="291" spans="1:6" x14ac:dyDescent="0.25">
      <c r="A291" s="7"/>
      <c r="E291" s="7"/>
      <c r="F291" s="7"/>
    </row>
    <row r="292" spans="1:6" x14ac:dyDescent="0.25">
      <c r="A292" s="7"/>
      <c r="E292" s="7"/>
      <c r="F292" s="7"/>
    </row>
    <row r="293" spans="1:6" x14ac:dyDescent="0.25">
      <c r="A293" s="7"/>
      <c r="E293" s="7"/>
      <c r="F293" s="7"/>
    </row>
    <row r="294" spans="1:6" x14ac:dyDescent="0.25">
      <c r="A294" s="7"/>
      <c r="E294" s="7"/>
      <c r="F294" s="7"/>
    </row>
    <row r="295" spans="1:6" x14ac:dyDescent="0.25">
      <c r="A295" s="7"/>
      <c r="E295" s="7"/>
      <c r="F295" s="7"/>
    </row>
    <row r="296" spans="1:6" x14ac:dyDescent="0.25">
      <c r="A296" s="7"/>
      <c r="E296" s="7"/>
      <c r="F296" s="7"/>
    </row>
    <row r="297" spans="1:6" x14ac:dyDescent="0.25">
      <c r="A297" s="7"/>
      <c r="E297" s="7"/>
      <c r="F297" s="7"/>
    </row>
    <row r="298" spans="1:6" x14ac:dyDescent="0.25">
      <c r="A298" s="7"/>
      <c r="E298" s="7"/>
      <c r="F298" s="7"/>
    </row>
    <row r="299" spans="1:6" x14ac:dyDescent="0.25">
      <c r="A299" s="7"/>
      <c r="E299" s="7"/>
      <c r="F299" s="7"/>
    </row>
    <row r="300" spans="1:6" x14ac:dyDescent="0.25">
      <c r="A300" s="7"/>
      <c r="E300" s="7"/>
      <c r="F300" s="7"/>
    </row>
    <row r="301" spans="1:6" x14ac:dyDescent="0.25">
      <c r="A301" s="7"/>
      <c r="E301" s="7"/>
      <c r="F301" s="7"/>
    </row>
    <row r="302" spans="1:6" x14ac:dyDescent="0.25">
      <c r="A302" s="7"/>
      <c r="E302" s="7"/>
      <c r="F302" s="7"/>
    </row>
    <row r="303" spans="1:6" x14ac:dyDescent="0.25">
      <c r="A303" s="7"/>
      <c r="E303" s="7"/>
      <c r="F303" s="7"/>
    </row>
    <row r="304" spans="1:6" x14ac:dyDescent="0.25">
      <c r="A304" s="7"/>
      <c r="E304" s="7"/>
      <c r="F304" s="7"/>
    </row>
    <row r="305" spans="1:6" x14ac:dyDescent="0.25">
      <c r="A305" s="7"/>
      <c r="E305" s="7"/>
      <c r="F305" s="7"/>
    </row>
    <row r="306" spans="1:6" x14ac:dyDescent="0.25">
      <c r="A306" s="7"/>
      <c r="E306" s="7"/>
      <c r="F306" s="7"/>
    </row>
    <row r="307" spans="1:6" x14ac:dyDescent="0.25">
      <c r="A307" s="7"/>
      <c r="E307" s="7"/>
      <c r="F307" s="7"/>
    </row>
    <row r="308" spans="1:6" x14ac:dyDescent="0.25">
      <c r="A308" s="7"/>
      <c r="E308" s="7"/>
      <c r="F308" s="7"/>
    </row>
    <row r="309" spans="1:6" x14ac:dyDescent="0.25">
      <c r="A309" s="7"/>
      <c r="E309" s="7"/>
      <c r="F309" s="7"/>
    </row>
    <row r="310" spans="1:6" x14ac:dyDescent="0.25">
      <c r="A310" s="7"/>
      <c r="E310" s="7"/>
      <c r="F310" s="7"/>
    </row>
    <row r="311" spans="1:6" x14ac:dyDescent="0.25">
      <c r="A311" s="7"/>
      <c r="E311" s="7"/>
      <c r="F311" s="7"/>
    </row>
    <row r="312" spans="1:6" x14ac:dyDescent="0.25">
      <c r="A312" s="7"/>
      <c r="E312" s="7"/>
      <c r="F312" s="7"/>
    </row>
    <row r="313" spans="1:6" x14ac:dyDescent="0.25">
      <c r="A313" s="7"/>
      <c r="E313" s="7"/>
      <c r="F313" s="7"/>
    </row>
    <row r="314" spans="1:6" x14ac:dyDescent="0.25">
      <c r="A314" s="7"/>
      <c r="E314" s="7"/>
      <c r="F314" s="7"/>
    </row>
    <row r="315" spans="1:6" x14ac:dyDescent="0.25">
      <c r="A315" s="7"/>
      <c r="E315" s="7"/>
      <c r="F315" s="7"/>
    </row>
    <row r="316" spans="1:6" x14ac:dyDescent="0.25">
      <c r="A316" s="7"/>
      <c r="E316" s="7"/>
      <c r="F316" s="7"/>
    </row>
    <row r="317" spans="1:6" x14ac:dyDescent="0.25">
      <c r="A317" s="7"/>
      <c r="E317" s="7"/>
      <c r="F317" s="7"/>
    </row>
    <row r="318" spans="1:6" x14ac:dyDescent="0.25">
      <c r="A318" s="7"/>
      <c r="E318" s="7"/>
      <c r="F318" s="7"/>
    </row>
    <row r="319" spans="1:6" x14ac:dyDescent="0.25">
      <c r="A319" s="7"/>
      <c r="E319" s="7"/>
      <c r="F319" s="7"/>
    </row>
    <row r="320" spans="1:6" x14ac:dyDescent="0.25">
      <c r="A320" s="7"/>
      <c r="E320" s="7"/>
      <c r="F320" s="7"/>
    </row>
    <row r="321" spans="1:6" x14ac:dyDescent="0.25">
      <c r="A321" s="7"/>
      <c r="E321" s="7"/>
      <c r="F321" s="7"/>
    </row>
    <row r="322" spans="1:6" x14ac:dyDescent="0.25">
      <c r="A322" s="7"/>
      <c r="E322" s="7"/>
      <c r="F322" s="7"/>
    </row>
    <row r="323" spans="1:6" x14ac:dyDescent="0.25">
      <c r="A323" s="7"/>
      <c r="E323" s="7"/>
      <c r="F323" s="7"/>
    </row>
    <row r="324" spans="1:6" x14ac:dyDescent="0.25">
      <c r="A324" s="7"/>
      <c r="E324" s="7"/>
      <c r="F324" s="7"/>
    </row>
    <row r="325" spans="1:6" x14ac:dyDescent="0.25">
      <c r="A325" s="7"/>
      <c r="E325" s="7"/>
      <c r="F325" s="7"/>
    </row>
    <row r="326" spans="1:6" x14ac:dyDescent="0.25">
      <c r="A326" s="7"/>
      <c r="E326" s="7"/>
      <c r="F326" s="7"/>
    </row>
    <row r="327" spans="1:6" x14ac:dyDescent="0.25">
      <c r="A327" s="7"/>
      <c r="E327" s="7"/>
      <c r="F327" s="7"/>
    </row>
    <row r="328" spans="1:6" x14ac:dyDescent="0.25">
      <c r="A328" s="7"/>
      <c r="E328" s="7"/>
      <c r="F328" s="7"/>
    </row>
    <row r="329" spans="1:6" x14ac:dyDescent="0.25">
      <c r="A329" s="7"/>
      <c r="E329" s="7"/>
      <c r="F329" s="7"/>
    </row>
    <row r="330" spans="1:6" x14ac:dyDescent="0.25">
      <c r="A330" s="7"/>
      <c r="E330" s="7"/>
      <c r="F330" s="7"/>
    </row>
    <row r="331" spans="1:6" x14ac:dyDescent="0.25">
      <c r="A331" s="7"/>
      <c r="E331" s="7"/>
      <c r="F331" s="7"/>
    </row>
    <row r="332" spans="1:6" x14ac:dyDescent="0.25">
      <c r="A332" s="7"/>
      <c r="E332" s="7"/>
      <c r="F332" s="7"/>
    </row>
    <row r="333" spans="1:6" x14ac:dyDescent="0.25">
      <c r="A333" s="7"/>
      <c r="E333" s="7"/>
      <c r="F333" s="7"/>
    </row>
    <row r="334" spans="1:6" x14ac:dyDescent="0.25">
      <c r="A334" s="7"/>
      <c r="E334" s="7"/>
      <c r="F334" s="7"/>
    </row>
    <row r="335" spans="1:6" x14ac:dyDescent="0.25">
      <c r="A335" s="7"/>
      <c r="E335" s="7"/>
      <c r="F335" s="7"/>
    </row>
    <row r="336" spans="1:6" x14ac:dyDescent="0.25">
      <c r="A336" s="7"/>
      <c r="E336" s="7"/>
      <c r="F336" s="7"/>
    </row>
    <row r="337" spans="1:6" x14ac:dyDescent="0.25">
      <c r="A337" s="7"/>
      <c r="E337" s="7"/>
      <c r="F337" s="7"/>
    </row>
    <row r="338" spans="1:6" x14ac:dyDescent="0.25">
      <c r="A338" s="7"/>
      <c r="E338" s="7"/>
      <c r="F338" s="7"/>
    </row>
    <row r="339" spans="1:6" x14ac:dyDescent="0.25">
      <c r="A339" s="7"/>
      <c r="E339" s="7"/>
      <c r="F339" s="7"/>
    </row>
    <row r="340" spans="1:6" x14ac:dyDescent="0.25">
      <c r="A340" s="7"/>
      <c r="E340" s="7"/>
      <c r="F340" s="7"/>
    </row>
    <row r="341" spans="1:6" x14ac:dyDescent="0.25">
      <c r="A341" s="7"/>
      <c r="E341" s="7"/>
      <c r="F341" s="7"/>
    </row>
    <row r="342" spans="1:6" x14ac:dyDescent="0.25">
      <c r="A342" s="7"/>
      <c r="E342" s="7"/>
      <c r="F342" s="7"/>
    </row>
    <row r="343" spans="1:6" x14ac:dyDescent="0.25">
      <c r="A343" s="7"/>
      <c r="E343" s="7"/>
      <c r="F343" s="7"/>
    </row>
    <row r="344" spans="1:6" x14ac:dyDescent="0.25">
      <c r="A344" s="7"/>
      <c r="E344" s="7"/>
      <c r="F344" s="7"/>
    </row>
    <row r="345" spans="1:6" x14ac:dyDescent="0.25">
      <c r="A345" s="7"/>
      <c r="E345" s="7"/>
      <c r="F345" s="7"/>
    </row>
    <row r="346" spans="1:6" x14ac:dyDescent="0.25">
      <c r="A346" s="7"/>
      <c r="E346" s="7"/>
      <c r="F346" s="7"/>
    </row>
    <row r="347" spans="1:6" x14ac:dyDescent="0.25">
      <c r="A347" s="7"/>
      <c r="E347" s="7"/>
      <c r="F347" s="7"/>
    </row>
    <row r="348" spans="1:6" x14ac:dyDescent="0.25">
      <c r="A348" s="7"/>
      <c r="E348" s="7"/>
      <c r="F348" s="7"/>
    </row>
    <row r="349" spans="1:6" x14ac:dyDescent="0.25">
      <c r="A349" s="7"/>
      <c r="E349" s="7"/>
      <c r="F349" s="7"/>
    </row>
    <row r="350" spans="1:6" x14ac:dyDescent="0.25">
      <c r="A350" s="7"/>
      <c r="E350" s="7"/>
      <c r="F350" s="7"/>
    </row>
    <row r="351" spans="1:6" x14ac:dyDescent="0.25">
      <c r="A351" s="7"/>
      <c r="E351" s="7"/>
      <c r="F351" s="7"/>
    </row>
    <row r="352" spans="1:6" x14ac:dyDescent="0.25">
      <c r="A352" s="7"/>
      <c r="E352" s="7"/>
      <c r="F352" s="7"/>
    </row>
    <row r="353" spans="1:6" x14ac:dyDescent="0.25">
      <c r="A353" s="7"/>
      <c r="E353" s="7"/>
      <c r="F353" s="7"/>
    </row>
    <row r="354" spans="1:6" x14ac:dyDescent="0.25">
      <c r="A354" s="7"/>
      <c r="E354" s="7"/>
      <c r="F354" s="7"/>
    </row>
    <row r="355" spans="1:6" x14ac:dyDescent="0.25">
      <c r="A355" s="7"/>
      <c r="E355" s="7"/>
      <c r="F355" s="7"/>
    </row>
    <row r="356" spans="1:6" x14ac:dyDescent="0.25">
      <c r="A356" s="7"/>
      <c r="E356" s="7"/>
      <c r="F356" s="7"/>
    </row>
    <row r="357" spans="1:6" x14ac:dyDescent="0.25">
      <c r="A357" s="7"/>
      <c r="E357" s="7"/>
      <c r="F357" s="7"/>
    </row>
    <row r="358" spans="1:6" x14ac:dyDescent="0.25">
      <c r="A358" s="7"/>
      <c r="E358" s="7"/>
      <c r="F358" s="7"/>
    </row>
    <row r="359" spans="1:6" x14ac:dyDescent="0.25">
      <c r="A359" s="7"/>
      <c r="E359" s="7"/>
      <c r="F359" s="7"/>
    </row>
    <row r="360" spans="1:6" x14ac:dyDescent="0.25">
      <c r="A360" s="7"/>
      <c r="E360" s="7"/>
      <c r="F360" s="7"/>
    </row>
    <row r="361" spans="1:6" x14ac:dyDescent="0.25">
      <c r="A361" s="7"/>
      <c r="E361" s="7"/>
      <c r="F361" s="7"/>
    </row>
    <row r="362" spans="1:6" x14ac:dyDescent="0.25">
      <c r="A362" s="7"/>
      <c r="E362" s="7"/>
      <c r="F362" s="7"/>
    </row>
    <row r="363" spans="1:6" x14ac:dyDescent="0.25">
      <c r="A363" s="7"/>
      <c r="E363" s="7"/>
      <c r="F363" s="7"/>
    </row>
    <row r="364" spans="1:6" x14ac:dyDescent="0.25">
      <c r="A364" s="7"/>
      <c r="E364" s="7"/>
      <c r="F364" s="7"/>
    </row>
    <row r="365" spans="1:6" x14ac:dyDescent="0.25">
      <c r="A365" s="7"/>
      <c r="E365" s="7"/>
      <c r="F365" s="7"/>
    </row>
    <row r="366" spans="1:6" x14ac:dyDescent="0.25">
      <c r="A366" s="7"/>
      <c r="E366" s="7"/>
      <c r="F366" s="7"/>
    </row>
    <row r="367" spans="1:6" x14ac:dyDescent="0.25">
      <c r="A367" s="7"/>
      <c r="E367" s="7"/>
      <c r="F367" s="7"/>
    </row>
    <row r="368" spans="1:6" x14ac:dyDescent="0.25">
      <c r="A368" s="7"/>
      <c r="E368" s="7"/>
      <c r="F368" s="7"/>
    </row>
    <row r="369" spans="1:6" x14ac:dyDescent="0.25">
      <c r="A369" s="7"/>
      <c r="E369" s="7"/>
      <c r="F369" s="7"/>
    </row>
    <row r="370" spans="1:6" x14ac:dyDescent="0.25">
      <c r="A370" s="7"/>
      <c r="E370" s="7"/>
      <c r="F370" s="7"/>
    </row>
    <row r="371" spans="1:6" x14ac:dyDescent="0.25">
      <c r="A371" s="7"/>
      <c r="E371" s="7"/>
      <c r="F371" s="7"/>
    </row>
    <row r="372" spans="1:6" x14ac:dyDescent="0.25">
      <c r="A372" s="7"/>
      <c r="E372" s="7"/>
      <c r="F372" s="7"/>
    </row>
    <row r="373" spans="1:6" x14ac:dyDescent="0.25">
      <c r="A373" s="7"/>
      <c r="E373" s="7"/>
      <c r="F373" s="7"/>
    </row>
    <row r="374" spans="1:6" x14ac:dyDescent="0.25">
      <c r="A374" s="7"/>
      <c r="E374" s="7"/>
      <c r="F374" s="7"/>
    </row>
    <row r="375" spans="1:6" x14ac:dyDescent="0.25">
      <c r="A375" s="7"/>
      <c r="E375" s="7"/>
      <c r="F375" s="7"/>
    </row>
    <row r="376" spans="1:6" x14ac:dyDescent="0.25">
      <c r="A376" s="7"/>
      <c r="E376" s="7"/>
      <c r="F376" s="7"/>
    </row>
    <row r="377" spans="1:6" x14ac:dyDescent="0.25">
      <c r="A377" s="7"/>
      <c r="E377" s="7"/>
      <c r="F377" s="7"/>
    </row>
    <row r="378" spans="1:6" x14ac:dyDescent="0.25">
      <c r="A378" s="7"/>
      <c r="E378" s="7"/>
      <c r="F378" s="7"/>
    </row>
    <row r="379" spans="1:6" x14ac:dyDescent="0.25">
      <c r="A379" s="7"/>
      <c r="E379" s="7"/>
      <c r="F379" s="7"/>
    </row>
    <row r="380" spans="1:6" x14ac:dyDescent="0.25">
      <c r="A380" s="7"/>
      <c r="E380" s="7"/>
      <c r="F380" s="7"/>
    </row>
    <row r="381" spans="1:6" x14ac:dyDescent="0.25">
      <c r="A381" s="7"/>
      <c r="E381" s="7"/>
      <c r="F381" s="7"/>
    </row>
    <row r="382" spans="1:6" x14ac:dyDescent="0.25">
      <c r="A382" s="7"/>
      <c r="E382" s="7"/>
      <c r="F382" s="7"/>
    </row>
    <row r="383" spans="1:6" x14ac:dyDescent="0.25">
      <c r="A383" s="7"/>
      <c r="E383" s="7"/>
      <c r="F383" s="7"/>
    </row>
    <row r="384" spans="1:6" x14ac:dyDescent="0.25">
      <c r="A384" s="7"/>
      <c r="E384" s="7"/>
      <c r="F384" s="7"/>
    </row>
    <row r="385" spans="1:6" x14ac:dyDescent="0.25">
      <c r="A385" s="7"/>
      <c r="E385" s="7"/>
      <c r="F385" s="7"/>
    </row>
    <row r="386" spans="1:6" x14ac:dyDescent="0.25">
      <c r="A386" s="7"/>
      <c r="E386" s="7"/>
      <c r="F386" s="7"/>
    </row>
    <row r="387" spans="1:6" x14ac:dyDescent="0.25">
      <c r="A387" s="7"/>
      <c r="E387" s="7"/>
      <c r="F387" s="7"/>
    </row>
    <row r="388" spans="1:6" x14ac:dyDescent="0.25">
      <c r="A388" s="7"/>
      <c r="E388" s="7"/>
      <c r="F388" s="7"/>
    </row>
    <row r="389" spans="1:6" x14ac:dyDescent="0.25">
      <c r="A389" s="7"/>
      <c r="E389" s="7"/>
      <c r="F389" s="7"/>
    </row>
    <row r="390" spans="1:6" x14ac:dyDescent="0.25">
      <c r="A390" s="7"/>
      <c r="E390" s="7"/>
      <c r="F390" s="7"/>
    </row>
    <row r="391" spans="1:6" x14ac:dyDescent="0.25">
      <c r="A391" s="7"/>
      <c r="E391" s="7"/>
      <c r="F391" s="7"/>
    </row>
    <row r="392" spans="1:6" x14ac:dyDescent="0.25">
      <c r="A392" s="7"/>
      <c r="E392" s="7"/>
      <c r="F392" s="7"/>
    </row>
    <row r="393" spans="1:6" x14ac:dyDescent="0.25">
      <c r="A393" s="7"/>
      <c r="E393" s="7"/>
      <c r="F393" s="7"/>
    </row>
    <row r="394" spans="1:6" x14ac:dyDescent="0.25">
      <c r="A394" s="7"/>
      <c r="E394" s="7"/>
      <c r="F394" s="7"/>
    </row>
    <row r="395" spans="1:6" x14ac:dyDescent="0.25">
      <c r="A395" s="7"/>
      <c r="E395" s="7"/>
      <c r="F395" s="7"/>
    </row>
    <row r="396" spans="1:6" x14ac:dyDescent="0.25">
      <c r="A396" s="7"/>
      <c r="E396" s="7"/>
      <c r="F396" s="7"/>
    </row>
    <row r="397" spans="1:6" x14ac:dyDescent="0.25">
      <c r="A397" s="7"/>
      <c r="E397" s="7"/>
      <c r="F397" s="7"/>
    </row>
    <row r="398" spans="1:6" x14ac:dyDescent="0.25">
      <c r="A398" s="7"/>
      <c r="E398" s="7"/>
      <c r="F398" s="7"/>
    </row>
    <row r="399" spans="1:6" x14ac:dyDescent="0.25">
      <c r="A399" s="7"/>
      <c r="E399" s="7"/>
      <c r="F399" s="7"/>
    </row>
    <row r="400" spans="1:6" x14ac:dyDescent="0.25">
      <c r="A400" s="7"/>
      <c r="E400" s="7"/>
      <c r="F400" s="7"/>
    </row>
    <row r="401" spans="1:6" x14ac:dyDescent="0.25">
      <c r="A401" s="7"/>
      <c r="E401" s="7"/>
      <c r="F401" s="7"/>
    </row>
    <row r="402" spans="1:6" x14ac:dyDescent="0.25">
      <c r="A402" s="7"/>
      <c r="E402" s="7"/>
      <c r="F402" s="7"/>
    </row>
    <row r="403" spans="1:6" x14ac:dyDescent="0.25">
      <c r="A403" s="7"/>
      <c r="E403" s="7"/>
      <c r="F403" s="7"/>
    </row>
    <row r="404" spans="1:6" x14ac:dyDescent="0.25">
      <c r="A404" s="7"/>
      <c r="E404" s="7"/>
      <c r="F404" s="7"/>
    </row>
    <row r="405" spans="1:6" x14ac:dyDescent="0.25">
      <c r="A405" s="7"/>
      <c r="E405" s="7"/>
      <c r="F405" s="7"/>
    </row>
    <row r="406" spans="1:6" x14ac:dyDescent="0.25">
      <c r="A406" s="7"/>
      <c r="E406" s="7"/>
      <c r="F406" s="7"/>
    </row>
    <row r="407" spans="1:6" x14ac:dyDescent="0.25">
      <c r="A407" s="7"/>
      <c r="E407" s="7"/>
      <c r="F407" s="7"/>
    </row>
    <row r="408" spans="1:6" x14ac:dyDescent="0.25">
      <c r="A408" s="7"/>
      <c r="E408" s="7"/>
      <c r="F408" s="7"/>
    </row>
    <row r="409" spans="1:6" x14ac:dyDescent="0.25">
      <c r="A409" s="7"/>
      <c r="E409" s="7"/>
      <c r="F409" s="7"/>
    </row>
    <row r="410" spans="1:6" x14ac:dyDescent="0.25">
      <c r="A410" s="7"/>
      <c r="E410" s="7"/>
      <c r="F410" s="7"/>
    </row>
    <row r="411" spans="1:6" x14ac:dyDescent="0.25">
      <c r="A411" s="7"/>
      <c r="E411" s="7"/>
      <c r="F411" s="7"/>
    </row>
    <row r="412" spans="1:6" x14ac:dyDescent="0.25">
      <c r="A412" s="7"/>
      <c r="E412" s="7"/>
      <c r="F412" s="7"/>
    </row>
    <row r="413" spans="1:6" x14ac:dyDescent="0.25">
      <c r="A413" s="7"/>
      <c r="E413" s="7"/>
      <c r="F413" s="7"/>
    </row>
    <row r="414" spans="1:6" x14ac:dyDescent="0.25">
      <c r="A414" s="7"/>
      <c r="E414" s="7"/>
      <c r="F414" s="7"/>
    </row>
    <row r="415" spans="1:6" x14ac:dyDescent="0.25">
      <c r="A415" s="7"/>
      <c r="E415" s="7"/>
      <c r="F415" s="7"/>
    </row>
    <row r="416" spans="1:6" x14ac:dyDescent="0.25">
      <c r="A416" s="7"/>
      <c r="E416" s="7"/>
      <c r="F416" s="7"/>
    </row>
    <row r="417" spans="1:6" x14ac:dyDescent="0.25">
      <c r="A417" s="7"/>
      <c r="E417" s="7"/>
      <c r="F417" s="7"/>
    </row>
    <row r="418" spans="1:6" x14ac:dyDescent="0.25">
      <c r="A418" s="7"/>
      <c r="E418" s="7"/>
      <c r="F418" s="7"/>
    </row>
    <row r="419" spans="1:6" x14ac:dyDescent="0.25">
      <c r="A419" s="7"/>
      <c r="E419" s="7"/>
      <c r="F419" s="7"/>
    </row>
    <row r="420" spans="1:6" x14ac:dyDescent="0.25">
      <c r="A420" s="7"/>
      <c r="E420" s="7"/>
      <c r="F420" s="7"/>
    </row>
    <row r="421" spans="1:6" x14ac:dyDescent="0.25">
      <c r="A421" s="7"/>
      <c r="E421" s="7"/>
      <c r="F421" s="7"/>
    </row>
    <row r="422" spans="1:6" x14ac:dyDescent="0.25">
      <c r="A422" s="7"/>
      <c r="E422" s="7"/>
      <c r="F422" s="7"/>
    </row>
    <row r="423" spans="1:6" x14ac:dyDescent="0.25">
      <c r="A423" s="7"/>
      <c r="E423" s="7"/>
      <c r="F423" s="7"/>
    </row>
    <row r="424" spans="1:6" x14ac:dyDescent="0.25">
      <c r="A424" s="7"/>
      <c r="E424" s="7"/>
      <c r="F424" s="7"/>
    </row>
    <row r="425" spans="1:6" x14ac:dyDescent="0.25">
      <c r="A425" s="7"/>
      <c r="E425" s="7"/>
      <c r="F425" s="7"/>
    </row>
    <row r="426" spans="1:6" x14ac:dyDescent="0.25">
      <c r="A426" s="7"/>
      <c r="E426" s="7"/>
      <c r="F426" s="7"/>
    </row>
    <row r="427" spans="1:6" x14ac:dyDescent="0.25">
      <c r="A427" s="7"/>
      <c r="E427" s="7"/>
      <c r="F427" s="7"/>
    </row>
    <row r="428" spans="1:6" x14ac:dyDescent="0.25">
      <c r="A428" s="7"/>
      <c r="E428" s="7"/>
      <c r="F428" s="7"/>
    </row>
    <row r="429" spans="1:6" x14ac:dyDescent="0.25">
      <c r="A429" s="7"/>
      <c r="E429" s="7"/>
      <c r="F429" s="7"/>
    </row>
    <row r="430" spans="1:6" x14ac:dyDescent="0.25">
      <c r="A430" s="7"/>
      <c r="E430" s="7"/>
      <c r="F430" s="7"/>
    </row>
    <row r="431" spans="1:6" x14ac:dyDescent="0.25">
      <c r="A431" s="7"/>
      <c r="E431" s="7"/>
      <c r="F431" s="7"/>
    </row>
    <row r="432" spans="1:6" x14ac:dyDescent="0.25">
      <c r="A432" s="7"/>
      <c r="E432" s="7"/>
      <c r="F432" s="7"/>
    </row>
    <row r="433" spans="1:6" x14ac:dyDescent="0.25">
      <c r="A433" s="7"/>
      <c r="E433" s="7"/>
      <c r="F433" s="7"/>
    </row>
    <row r="434" spans="1:6" x14ac:dyDescent="0.25">
      <c r="A434" s="7"/>
      <c r="E434" s="7"/>
      <c r="F434" s="7"/>
    </row>
    <row r="435" spans="1:6" x14ac:dyDescent="0.25">
      <c r="A435" s="7"/>
      <c r="E435" s="7"/>
      <c r="F435" s="7"/>
    </row>
    <row r="436" spans="1:6" x14ac:dyDescent="0.25">
      <c r="A436" s="7"/>
      <c r="E436" s="7"/>
      <c r="F436" s="7"/>
    </row>
    <row r="437" spans="1:6" x14ac:dyDescent="0.25">
      <c r="A437" s="7"/>
      <c r="E437" s="7"/>
      <c r="F437" s="7"/>
    </row>
    <row r="438" spans="1:6" x14ac:dyDescent="0.25">
      <c r="A438" s="7"/>
      <c r="E438" s="7"/>
      <c r="F438" s="7"/>
    </row>
    <row r="439" spans="1:6" x14ac:dyDescent="0.25">
      <c r="A439" s="7"/>
      <c r="E439" s="7"/>
      <c r="F439" s="7"/>
    </row>
    <row r="440" spans="1:6" x14ac:dyDescent="0.25">
      <c r="A440" s="7"/>
      <c r="E440" s="7"/>
      <c r="F440" s="7"/>
    </row>
    <row r="441" spans="1:6" x14ac:dyDescent="0.25">
      <c r="A441" s="7"/>
      <c r="E441" s="7"/>
      <c r="F441" s="7"/>
    </row>
    <row r="442" spans="1:6" x14ac:dyDescent="0.25">
      <c r="A442" s="7"/>
      <c r="E442" s="7"/>
      <c r="F442" s="7"/>
    </row>
    <row r="443" spans="1:6" x14ac:dyDescent="0.25">
      <c r="A443" s="7"/>
      <c r="E443" s="7"/>
      <c r="F443" s="7"/>
    </row>
    <row r="444" spans="1:6" x14ac:dyDescent="0.25">
      <c r="A444" s="7"/>
      <c r="E444" s="7"/>
      <c r="F444" s="7"/>
    </row>
    <row r="445" spans="1:6" x14ac:dyDescent="0.25">
      <c r="A445" s="7"/>
      <c r="E445" s="7"/>
      <c r="F445" s="7"/>
    </row>
    <row r="446" spans="1:6" x14ac:dyDescent="0.25">
      <c r="A446" s="7"/>
      <c r="E446" s="7"/>
      <c r="F446" s="7"/>
    </row>
    <row r="447" spans="1:6" x14ac:dyDescent="0.25">
      <c r="A447" s="7"/>
      <c r="E447" s="7"/>
      <c r="F447" s="7"/>
    </row>
    <row r="448" spans="1:6" x14ac:dyDescent="0.25">
      <c r="A448" s="7"/>
      <c r="E448" s="7"/>
      <c r="F448" s="7"/>
    </row>
    <row r="449" spans="1:6" x14ac:dyDescent="0.25">
      <c r="A449" s="7"/>
      <c r="E449" s="7"/>
      <c r="F449" s="7"/>
    </row>
    <row r="450" spans="1:6" x14ac:dyDescent="0.25">
      <c r="A450" s="7"/>
      <c r="E450" s="7"/>
      <c r="F450" s="7"/>
    </row>
    <row r="451" spans="1:6" x14ac:dyDescent="0.25">
      <c r="A451" s="7"/>
      <c r="E451" s="7"/>
      <c r="F451" s="7"/>
    </row>
    <row r="452" spans="1:6" x14ac:dyDescent="0.25">
      <c r="A452" s="7"/>
      <c r="E452" s="7"/>
      <c r="F452" s="7"/>
    </row>
    <row r="453" spans="1:6" x14ac:dyDescent="0.25">
      <c r="A453" s="7"/>
      <c r="E453" s="7"/>
      <c r="F453" s="7"/>
    </row>
    <row r="454" spans="1:6" x14ac:dyDescent="0.25">
      <c r="A454" s="7"/>
      <c r="E454" s="7"/>
      <c r="F454" s="7"/>
    </row>
    <row r="455" spans="1:6" x14ac:dyDescent="0.25">
      <c r="A455" s="7"/>
      <c r="E455" s="7"/>
      <c r="F455" s="7"/>
    </row>
    <row r="456" spans="1:6" x14ac:dyDescent="0.25">
      <c r="A456" s="7"/>
      <c r="E456" s="7"/>
      <c r="F456" s="7"/>
    </row>
    <row r="457" spans="1:6" x14ac:dyDescent="0.25">
      <c r="A457" s="7"/>
      <c r="E457" s="7"/>
      <c r="F457" s="7"/>
    </row>
    <row r="458" spans="1:6" x14ac:dyDescent="0.25">
      <c r="A458" s="7"/>
      <c r="E458" s="7"/>
      <c r="F458" s="7"/>
    </row>
    <row r="459" spans="1:6" x14ac:dyDescent="0.25">
      <c r="A459" s="7"/>
      <c r="E459" s="7"/>
      <c r="F459" s="7"/>
    </row>
    <row r="460" spans="1:6" x14ac:dyDescent="0.25">
      <c r="A460" s="7"/>
      <c r="E460" s="7"/>
      <c r="F460" s="7"/>
    </row>
    <row r="461" spans="1:6" x14ac:dyDescent="0.25">
      <c r="A461" s="7"/>
      <c r="E461" s="7"/>
      <c r="F461" s="7"/>
    </row>
    <row r="462" spans="1:6" x14ac:dyDescent="0.25">
      <c r="A462" s="7"/>
      <c r="E462" s="7"/>
      <c r="F462" s="7"/>
    </row>
    <row r="463" spans="1:6" x14ac:dyDescent="0.25">
      <c r="A463" s="7"/>
      <c r="E463" s="7"/>
      <c r="F463" s="7"/>
    </row>
    <row r="464" spans="1:6" x14ac:dyDescent="0.25">
      <c r="A464" s="7"/>
      <c r="E464" s="7"/>
      <c r="F464" s="7"/>
    </row>
    <row r="465" spans="1:6" x14ac:dyDescent="0.25">
      <c r="A465" s="7"/>
      <c r="E465" s="7"/>
      <c r="F465" s="7"/>
    </row>
    <row r="466" spans="1:6" x14ac:dyDescent="0.25">
      <c r="A466" s="7"/>
      <c r="E466" s="7"/>
      <c r="F466" s="7"/>
    </row>
    <row r="467" spans="1:6" x14ac:dyDescent="0.25">
      <c r="A467" s="7"/>
      <c r="E467" s="7"/>
      <c r="F467" s="7"/>
    </row>
    <row r="468" spans="1:6" x14ac:dyDescent="0.25">
      <c r="A468" s="7"/>
      <c r="E468" s="7"/>
      <c r="F468" s="7"/>
    </row>
    <row r="469" spans="1:6" x14ac:dyDescent="0.25">
      <c r="A469" s="7"/>
      <c r="E469" s="7"/>
      <c r="F469" s="7"/>
    </row>
    <row r="470" spans="1:6" x14ac:dyDescent="0.25">
      <c r="A470" s="7"/>
      <c r="E470" s="7"/>
      <c r="F470" s="7"/>
    </row>
    <row r="471" spans="1:6" x14ac:dyDescent="0.25">
      <c r="A471" s="7"/>
      <c r="E471" s="7"/>
      <c r="F471" s="7"/>
    </row>
    <row r="472" spans="1:6" x14ac:dyDescent="0.25">
      <c r="A472" s="7"/>
      <c r="E472" s="7"/>
      <c r="F472" s="7"/>
    </row>
    <row r="473" spans="1:6" x14ac:dyDescent="0.25">
      <c r="A473" s="7"/>
      <c r="E473" s="7"/>
      <c r="F473" s="7"/>
    </row>
    <row r="474" spans="1:6" x14ac:dyDescent="0.25">
      <c r="A474" s="7"/>
      <c r="E474" s="7"/>
      <c r="F474" s="7"/>
    </row>
    <row r="475" spans="1:6" x14ac:dyDescent="0.25">
      <c r="A475" s="7"/>
      <c r="E475" s="7"/>
      <c r="F475" s="7"/>
    </row>
    <row r="476" spans="1:6" x14ac:dyDescent="0.25">
      <c r="A476" s="7"/>
      <c r="E476" s="7"/>
      <c r="F476" s="7"/>
    </row>
    <row r="477" spans="1:6" x14ac:dyDescent="0.25">
      <c r="A477" s="7"/>
      <c r="E477" s="7"/>
      <c r="F477" s="7"/>
    </row>
    <row r="478" spans="1:6" x14ac:dyDescent="0.25">
      <c r="A478" s="7"/>
      <c r="E478" s="7"/>
      <c r="F478" s="7"/>
    </row>
    <row r="479" spans="1:6" x14ac:dyDescent="0.25">
      <c r="A479" s="7"/>
      <c r="E479" s="7"/>
      <c r="F479" s="7"/>
    </row>
    <row r="480" spans="1:6" x14ac:dyDescent="0.25">
      <c r="A480" s="7"/>
      <c r="E480" s="7"/>
      <c r="F480" s="7"/>
    </row>
    <row r="481" spans="1:6" x14ac:dyDescent="0.25">
      <c r="A481" s="7"/>
      <c r="E481" s="7"/>
      <c r="F481" s="7"/>
    </row>
    <row r="482" spans="1:6" x14ac:dyDescent="0.25">
      <c r="A482" s="7"/>
      <c r="E482" s="7"/>
      <c r="F482" s="7"/>
    </row>
    <row r="483" spans="1:6" x14ac:dyDescent="0.25">
      <c r="A483" s="7"/>
      <c r="E483" s="7"/>
      <c r="F483" s="7"/>
    </row>
    <row r="484" spans="1:6" x14ac:dyDescent="0.25">
      <c r="A484" s="7"/>
      <c r="E484" s="7"/>
      <c r="F484" s="7"/>
    </row>
    <row r="485" spans="1:6" x14ac:dyDescent="0.25">
      <c r="A485" s="7"/>
      <c r="E485" s="7"/>
      <c r="F485" s="7"/>
    </row>
    <row r="486" spans="1:6" x14ac:dyDescent="0.25">
      <c r="A486" s="7"/>
      <c r="E486" s="7"/>
      <c r="F486" s="7"/>
    </row>
    <row r="487" spans="1:6" x14ac:dyDescent="0.25">
      <c r="A487" s="7"/>
      <c r="E487" s="7"/>
      <c r="F487" s="7"/>
    </row>
    <row r="488" spans="1:6" x14ac:dyDescent="0.25">
      <c r="A488" s="7"/>
      <c r="E488" s="7"/>
      <c r="F488" s="7"/>
    </row>
    <row r="489" spans="1:6" x14ac:dyDescent="0.25">
      <c r="A489" s="7"/>
      <c r="E489" s="7"/>
      <c r="F489" s="7"/>
    </row>
    <row r="490" spans="1:6" x14ac:dyDescent="0.25">
      <c r="A490" s="7"/>
      <c r="E490" s="7"/>
      <c r="F490" s="7"/>
    </row>
    <row r="491" spans="1:6" x14ac:dyDescent="0.25">
      <c r="A491" s="7"/>
      <c r="E491" s="7"/>
      <c r="F491" s="7"/>
    </row>
    <row r="492" spans="1:6" x14ac:dyDescent="0.25">
      <c r="A492" s="7"/>
      <c r="E492" s="7"/>
      <c r="F492" s="7"/>
    </row>
    <row r="493" spans="1:6" x14ac:dyDescent="0.25">
      <c r="A493" s="7"/>
      <c r="E493" s="7"/>
      <c r="F493" s="7"/>
    </row>
    <row r="494" spans="1:6" x14ac:dyDescent="0.25">
      <c r="A494" s="7"/>
      <c r="E494" s="7"/>
      <c r="F494" s="7"/>
    </row>
    <row r="495" spans="1:6" x14ac:dyDescent="0.25">
      <c r="A495" s="7"/>
      <c r="E495" s="7"/>
      <c r="F495" s="7"/>
    </row>
    <row r="496" spans="1:6" x14ac:dyDescent="0.25">
      <c r="A496" s="7"/>
      <c r="E496" s="7"/>
      <c r="F496" s="7"/>
    </row>
    <row r="497" spans="1:6" x14ac:dyDescent="0.25">
      <c r="A497" s="7"/>
      <c r="E497" s="7"/>
      <c r="F497" s="7"/>
    </row>
    <row r="498" spans="1:6" x14ac:dyDescent="0.25">
      <c r="A498" s="7"/>
      <c r="E498" s="7"/>
      <c r="F498" s="7"/>
    </row>
    <row r="499" spans="1:6" x14ac:dyDescent="0.25">
      <c r="A499" s="7"/>
      <c r="E499" s="7"/>
      <c r="F499" s="7"/>
    </row>
    <row r="500" spans="1:6" x14ac:dyDescent="0.25">
      <c r="A500" s="7"/>
      <c r="E500" s="7"/>
      <c r="F500" s="7"/>
    </row>
    <row r="501" spans="1:6" x14ac:dyDescent="0.25">
      <c r="A501" s="7"/>
      <c r="E501" s="7"/>
      <c r="F501" s="7"/>
    </row>
    <row r="502" spans="1:6" x14ac:dyDescent="0.25">
      <c r="A502" s="7"/>
      <c r="E502" s="7"/>
      <c r="F502" s="7"/>
    </row>
    <row r="503" spans="1:6" x14ac:dyDescent="0.25">
      <c r="A503" s="7"/>
      <c r="E503" s="7"/>
      <c r="F503" s="7"/>
    </row>
    <row r="504" spans="1:6" x14ac:dyDescent="0.25">
      <c r="A504" s="7"/>
      <c r="E504" s="7"/>
      <c r="F504" s="7"/>
    </row>
    <row r="505" spans="1:6" x14ac:dyDescent="0.25">
      <c r="A505" s="7"/>
      <c r="E505" s="7"/>
      <c r="F505" s="7"/>
    </row>
    <row r="506" spans="1:6" x14ac:dyDescent="0.25">
      <c r="A506" s="7"/>
      <c r="E506" s="7"/>
      <c r="F506" s="7"/>
    </row>
    <row r="507" spans="1:6" x14ac:dyDescent="0.25">
      <c r="A507" s="7"/>
      <c r="E507" s="7"/>
      <c r="F507" s="7"/>
    </row>
    <row r="508" spans="1:6" x14ac:dyDescent="0.25">
      <c r="A508" s="7"/>
      <c r="E508" s="7"/>
      <c r="F508" s="7"/>
    </row>
    <row r="509" spans="1:6" x14ac:dyDescent="0.25">
      <c r="A509" s="7"/>
      <c r="E509" s="7"/>
      <c r="F509" s="7"/>
    </row>
    <row r="510" spans="1:6" x14ac:dyDescent="0.25">
      <c r="A510" s="7"/>
      <c r="E510" s="7"/>
      <c r="F510" s="7"/>
    </row>
    <row r="511" spans="1:6" x14ac:dyDescent="0.25">
      <c r="A511" s="7"/>
      <c r="E511" s="7"/>
      <c r="F511" s="7"/>
    </row>
    <row r="512" spans="1:6" x14ac:dyDescent="0.25">
      <c r="A512" s="7"/>
      <c r="E512" s="7"/>
      <c r="F512" s="7"/>
    </row>
    <row r="513" spans="1:6" x14ac:dyDescent="0.25">
      <c r="A513" s="7"/>
      <c r="E513" s="7"/>
      <c r="F513" s="7"/>
    </row>
    <row r="514" spans="1:6" x14ac:dyDescent="0.25">
      <c r="A514" s="7"/>
      <c r="E514" s="7"/>
      <c r="F514" s="7"/>
    </row>
    <row r="515" spans="1:6" x14ac:dyDescent="0.25">
      <c r="A515" s="7"/>
      <c r="E515" s="7"/>
      <c r="F515" s="7"/>
    </row>
    <row r="516" spans="1:6" x14ac:dyDescent="0.25">
      <c r="A516" s="7"/>
      <c r="E516" s="7"/>
      <c r="F516" s="7"/>
    </row>
    <row r="517" spans="1:6" x14ac:dyDescent="0.25">
      <c r="A517" s="7"/>
      <c r="E517" s="7"/>
      <c r="F517" s="7"/>
    </row>
    <row r="518" spans="1:6" x14ac:dyDescent="0.25">
      <c r="A518" s="7"/>
      <c r="E518" s="7"/>
      <c r="F518" s="7"/>
    </row>
    <row r="519" spans="1:6" x14ac:dyDescent="0.25">
      <c r="A519" s="7"/>
      <c r="E519" s="7"/>
      <c r="F519" s="7"/>
    </row>
    <row r="520" spans="1:6" x14ac:dyDescent="0.25">
      <c r="A520" s="7"/>
      <c r="E520" s="7"/>
      <c r="F520" s="7"/>
    </row>
    <row r="521" spans="1:6" x14ac:dyDescent="0.25">
      <c r="A521" s="7"/>
      <c r="E521" s="7"/>
      <c r="F521" s="7"/>
    </row>
    <row r="522" spans="1:6" x14ac:dyDescent="0.25">
      <c r="A522" s="7"/>
      <c r="E522" s="7"/>
      <c r="F522" s="7"/>
    </row>
    <row r="523" spans="1:6" x14ac:dyDescent="0.25">
      <c r="A523" s="7"/>
      <c r="E523" s="7"/>
      <c r="F523" s="7"/>
    </row>
    <row r="524" spans="1:6" x14ac:dyDescent="0.25">
      <c r="A524" s="7"/>
      <c r="E524" s="7"/>
      <c r="F524" s="7"/>
    </row>
    <row r="525" spans="1:6" x14ac:dyDescent="0.25">
      <c r="A525" s="7"/>
      <c r="E525" s="7"/>
      <c r="F525" s="7"/>
    </row>
    <row r="526" spans="1:6" x14ac:dyDescent="0.25">
      <c r="A526" s="7"/>
      <c r="E526" s="7"/>
      <c r="F526" s="7"/>
    </row>
    <row r="527" spans="1:6" x14ac:dyDescent="0.25">
      <c r="A527" s="7"/>
      <c r="E527" s="7"/>
      <c r="F527" s="7"/>
    </row>
    <row r="528" spans="1:6" x14ac:dyDescent="0.25">
      <c r="A528" s="7"/>
      <c r="E528" s="7"/>
      <c r="F528" s="7"/>
    </row>
    <row r="529" spans="1:6" x14ac:dyDescent="0.25">
      <c r="A529" s="7"/>
      <c r="E529" s="7"/>
      <c r="F529" s="7"/>
    </row>
    <row r="530" spans="1:6" x14ac:dyDescent="0.25">
      <c r="A530" s="7"/>
      <c r="E530" s="7"/>
      <c r="F530" s="7"/>
    </row>
    <row r="531" spans="1:6" x14ac:dyDescent="0.25">
      <c r="A531" s="7"/>
      <c r="E531" s="7"/>
      <c r="F531" s="7"/>
    </row>
    <row r="532" spans="1:6" x14ac:dyDescent="0.25">
      <c r="A532" s="7"/>
      <c r="E532" s="7"/>
      <c r="F532" s="7"/>
    </row>
    <row r="533" spans="1:6" x14ac:dyDescent="0.25">
      <c r="A533" s="7"/>
      <c r="E533" s="7"/>
      <c r="F533" s="7"/>
    </row>
    <row r="534" spans="1:6" x14ac:dyDescent="0.25">
      <c r="A534" s="7"/>
      <c r="E534" s="7"/>
      <c r="F534" s="7"/>
    </row>
    <row r="535" spans="1:6" x14ac:dyDescent="0.25">
      <c r="A535" s="7"/>
      <c r="E535" s="7"/>
      <c r="F535" s="7"/>
    </row>
    <row r="536" spans="1:6" x14ac:dyDescent="0.25">
      <c r="A536" s="7"/>
      <c r="E536" s="7"/>
      <c r="F536" s="7"/>
    </row>
    <row r="537" spans="1:6" x14ac:dyDescent="0.25">
      <c r="A537" s="7"/>
      <c r="E537" s="7"/>
      <c r="F537" s="7"/>
    </row>
    <row r="538" spans="1:6" x14ac:dyDescent="0.25">
      <c r="A538" s="7"/>
      <c r="E538" s="7"/>
      <c r="F538" s="7"/>
    </row>
    <row r="539" spans="1:6" x14ac:dyDescent="0.25">
      <c r="A539" s="7"/>
      <c r="E539" s="7"/>
      <c r="F539" s="7"/>
    </row>
    <row r="540" spans="1:6" x14ac:dyDescent="0.25">
      <c r="A540" s="7"/>
      <c r="E540" s="7"/>
      <c r="F540" s="7"/>
    </row>
    <row r="541" spans="1:6" x14ac:dyDescent="0.25">
      <c r="A541" s="7"/>
      <c r="E541" s="7"/>
      <c r="F541" s="7"/>
    </row>
    <row r="542" spans="1:6" x14ac:dyDescent="0.25">
      <c r="A542" s="7"/>
      <c r="E542" s="7"/>
      <c r="F542" s="7"/>
    </row>
    <row r="543" spans="1:6" x14ac:dyDescent="0.25">
      <c r="A543" s="7"/>
      <c r="E543" s="7"/>
      <c r="F543" s="7"/>
    </row>
    <row r="544" spans="1:6" x14ac:dyDescent="0.25">
      <c r="A544" s="7"/>
      <c r="E544" s="7"/>
      <c r="F544" s="7"/>
    </row>
    <row r="545" spans="1:6" x14ac:dyDescent="0.25">
      <c r="A545" s="7"/>
      <c r="E545" s="7"/>
      <c r="F545" s="7"/>
    </row>
    <row r="546" spans="1:6" x14ac:dyDescent="0.25">
      <c r="A546" s="7"/>
      <c r="E546" s="7"/>
      <c r="F546" s="7"/>
    </row>
    <row r="547" spans="1:6" x14ac:dyDescent="0.25">
      <c r="A547" s="7"/>
      <c r="E547" s="7"/>
      <c r="F547" s="7"/>
    </row>
    <row r="548" spans="1:6" x14ac:dyDescent="0.25">
      <c r="A548" s="7"/>
      <c r="E548" s="7"/>
      <c r="F548" s="7"/>
    </row>
    <row r="549" spans="1:6" x14ac:dyDescent="0.25">
      <c r="A549" s="7"/>
      <c r="E549" s="7"/>
      <c r="F549" s="7"/>
    </row>
    <row r="550" spans="1:6" x14ac:dyDescent="0.25">
      <c r="A550" s="7"/>
      <c r="E550" s="7"/>
      <c r="F550" s="7"/>
    </row>
    <row r="551" spans="1:6" x14ac:dyDescent="0.25">
      <c r="A551" s="7"/>
      <c r="E551" s="7"/>
      <c r="F551" s="7"/>
    </row>
    <row r="552" spans="1:6" x14ac:dyDescent="0.25">
      <c r="A552" s="7"/>
      <c r="E552" s="7"/>
      <c r="F552" s="7"/>
    </row>
    <row r="553" spans="1:6" x14ac:dyDescent="0.25">
      <c r="A553" s="7"/>
      <c r="E553" s="7"/>
      <c r="F553" s="7"/>
    </row>
    <row r="554" spans="1:6" x14ac:dyDescent="0.25">
      <c r="A554" s="7"/>
      <c r="E554" s="7"/>
      <c r="F554" s="7"/>
    </row>
    <row r="555" spans="1:6" x14ac:dyDescent="0.25">
      <c r="A555" s="7"/>
      <c r="E555" s="7"/>
      <c r="F555" s="7"/>
    </row>
    <row r="556" spans="1:6" x14ac:dyDescent="0.25">
      <c r="A556" s="7"/>
      <c r="E556" s="7"/>
      <c r="F556" s="7"/>
    </row>
    <row r="557" spans="1:6" x14ac:dyDescent="0.25">
      <c r="A557" s="7"/>
      <c r="E557" s="7"/>
      <c r="F557" s="7"/>
    </row>
    <row r="558" spans="1:6" x14ac:dyDescent="0.25">
      <c r="A558" s="7"/>
      <c r="E558" s="7"/>
      <c r="F558" s="7"/>
    </row>
    <row r="559" spans="1:6" x14ac:dyDescent="0.25">
      <c r="A559" s="7"/>
      <c r="E559" s="7"/>
      <c r="F559" s="7"/>
    </row>
    <row r="560" spans="1:6" x14ac:dyDescent="0.25">
      <c r="A560" s="7"/>
      <c r="E560" s="7"/>
      <c r="F560" s="7"/>
    </row>
    <row r="561" spans="1:6" x14ac:dyDescent="0.25">
      <c r="A561" s="7"/>
      <c r="E561" s="7"/>
      <c r="F561" s="7"/>
    </row>
    <row r="562" spans="1:6" x14ac:dyDescent="0.25">
      <c r="A562" s="7"/>
      <c r="E562" s="7"/>
      <c r="F562" s="7"/>
    </row>
    <row r="563" spans="1:6" x14ac:dyDescent="0.25">
      <c r="A563" s="7"/>
      <c r="E563" s="7"/>
      <c r="F563" s="7"/>
    </row>
    <row r="564" spans="1:6" x14ac:dyDescent="0.25">
      <c r="A564" s="7"/>
      <c r="E564" s="7"/>
      <c r="F564" s="7"/>
    </row>
    <row r="565" spans="1:6" x14ac:dyDescent="0.25">
      <c r="A565" s="7"/>
      <c r="E565" s="7"/>
      <c r="F565" s="7"/>
    </row>
    <row r="566" spans="1:6" x14ac:dyDescent="0.25">
      <c r="A566" s="7"/>
      <c r="E566" s="7"/>
      <c r="F566" s="7"/>
    </row>
    <row r="567" spans="1:6" x14ac:dyDescent="0.25">
      <c r="A567" s="7"/>
      <c r="E567" s="7"/>
      <c r="F567" s="7"/>
    </row>
    <row r="568" spans="1:6" x14ac:dyDescent="0.25">
      <c r="A568" s="7"/>
      <c r="E568" s="7"/>
      <c r="F568" s="7"/>
    </row>
    <row r="569" spans="1:6" x14ac:dyDescent="0.25">
      <c r="A569" s="7"/>
      <c r="E569" s="7"/>
      <c r="F569" s="7"/>
    </row>
    <row r="570" spans="1:6" x14ac:dyDescent="0.25">
      <c r="A570" s="7"/>
      <c r="E570" s="7"/>
      <c r="F570" s="7"/>
    </row>
    <row r="571" spans="1:6" x14ac:dyDescent="0.25">
      <c r="A571" s="7"/>
      <c r="E571" s="7"/>
      <c r="F571" s="7"/>
    </row>
    <row r="572" spans="1:6" x14ac:dyDescent="0.25">
      <c r="A572" s="7"/>
      <c r="E572" s="7"/>
      <c r="F572" s="7"/>
    </row>
    <row r="573" spans="1:6" x14ac:dyDescent="0.25">
      <c r="A573" s="7"/>
      <c r="E573" s="7"/>
      <c r="F573" s="7"/>
    </row>
    <row r="574" spans="1:6" x14ac:dyDescent="0.25">
      <c r="A574" s="7"/>
      <c r="E574" s="7"/>
      <c r="F574" s="7"/>
    </row>
    <row r="575" spans="1:6" x14ac:dyDescent="0.25">
      <c r="A575" s="7"/>
      <c r="E575" s="7"/>
      <c r="F575" s="7"/>
    </row>
    <row r="576" spans="1:6" x14ac:dyDescent="0.25">
      <c r="A576" s="7"/>
      <c r="E576" s="7"/>
      <c r="F576" s="7"/>
    </row>
    <row r="577" spans="1:6" x14ac:dyDescent="0.25">
      <c r="A577" s="7"/>
      <c r="E577" s="7"/>
      <c r="F577" s="7"/>
    </row>
    <row r="578" spans="1:6" x14ac:dyDescent="0.25">
      <c r="A578" s="7"/>
      <c r="E578" s="7"/>
      <c r="F578" s="7"/>
    </row>
    <row r="579" spans="1:6" x14ac:dyDescent="0.25">
      <c r="A579" s="7"/>
      <c r="E579" s="7"/>
      <c r="F579" s="7"/>
    </row>
    <row r="580" spans="1:6" x14ac:dyDescent="0.25">
      <c r="A580" s="7"/>
      <c r="E580" s="7"/>
      <c r="F580" s="7"/>
    </row>
    <row r="581" spans="1:6" x14ac:dyDescent="0.25">
      <c r="A581" s="7"/>
      <c r="E581" s="7"/>
      <c r="F581" s="7"/>
    </row>
    <row r="582" spans="1:6" x14ac:dyDescent="0.25">
      <c r="A582" s="7"/>
      <c r="E582" s="7"/>
      <c r="F582" s="7"/>
    </row>
    <row r="583" spans="1:6" x14ac:dyDescent="0.25">
      <c r="A583" s="7"/>
      <c r="E583" s="7"/>
      <c r="F583" s="7"/>
    </row>
    <row r="584" spans="1:6" x14ac:dyDescent="0.25">
      <c r="A584" s="7"/>
      <c r="E584" s="7"/>
      <c r="F584" s="7"/>
    </row>
    <row r="585" spans="1:6" x14ac:dyDescent="0.25">
      <c r="A585" s="7"/>
      <c r="E585" s="7"/>
      <c r="F585" s="7"/>
    </row>
    <row r="586" spans="1:6" x14ac:dyDescent="0.25">
      <c r="A586" s="7"/>
      <c r="E586" s="7"/>
      <c r="F586" s="7"/>
    </row>
    <row r="587" spans="1:6" x14ac:dyDescent="0.25">
      <c r="A587" s="7"/>
      <c r="E587" s="7"/>
      <c r="F587" s="7"/>
    </row>
    <row r="588" spans="1:6" x14ac:dyDescent="0.25">
      <c r="A588" s="7"/>
      <c r="E588" s="7"/>
      <c r="F588" s="7"/>
    </row>
    <row r="589" spans="1:6" x14ac:dyDescent="0.25">
      <c r="A589" s="7"/>
      <c r="E589" s="7"/>
      <c r="F589" s="7"/>
    </row>
    <row r="590" spans="1:6" x14ac:dyDescent="0.25">
      <c r="A590" s="7"/>
      <c r="E590" s="7"/>
      <c r="F590" s="7"/>
    </row>
    <row r="591" spans="1:6" x14ac:dyDescent="0.25">
      <c r="A591" s="7"/>
      <c r="E591" s="7"/>
      <c r="F591" s="7"/>
    </row>
    <row r="592" spans="1:6" x14ac:dyDescent="0.25">
      <c r="A592" s="7"/>
      <c r="E592" s="7"/>
      <c r="F592" s="7"/>
    </row>
    <row r="593" spans="1:6" x14ac:dyDescent="0.25">
      <c r="A593" s="7"/>
      <c r="E593" s="7"/>
      <c r="F593" s="7"/>
    </row>
    <row r="594" spans="1:6" x14ac:dyDescent="0.25">
      <c r="A594" s="7"/>
      <c r="E594" s="7"/>
      <c r="F594" s="7"/>
    </row>
    <row r="595" spans="1:6" x14ac:dyDescent="0.25">
      <c r="A595" s="7"/>
      <c r="E595" s="7"/>
      <c r="F595" s="7"/>
    </row>
    <row r="596" spans="1:6" x14ac:dyDescent="0.25">
      <c r="A596" s="7"/>
      <c r="E596" s="7"/>
      <c r="F596" s="7"/>
    </row>
    <row r="597" spans="1:6" x14ac:dyDescent="0.25">
      <c r="A597" s="7"/>
      <c r="E597" s="7"/>
      <c r="F597" s="7"/>
    </row>
    <row r="598" spans="1:6" x14ac:dyDescent="0.25">
      <c r="A598" s="7"/>
      <c r="E598" s="7"/>
      <c r="F598" s="7"/>
    </row>
    <row r="599" spans="1:6" x14ac:dyDescent="0.25">
      <c r="A599" s="7"/>
      <c r="E599" s="7"/>
      <c r="F599" s="7"/>
    </row>
    <row r="600" spans="1:6" x14ac:dyDescent="0.25">
      <c r="A600" s="7"/>
      <c r="E600" s="7"/>
      <c r="F600" s="7"/>
    </row>
    <row r="601" spans="1:6" x14ac:dyDescent="0.25">
      <c r="A601" s="7"/>
      <c r="E601" s="7"/>
      <c r="F601" s="7"/>
    </row>
    <row r="602" spans="1:6" x14ac:dyDescent="0.25">
      <c r="A602" s="7"/>
      <c r="E602" s="7"/>
      <c r="F602" s="7"/>
    </row>
    <row r="603" spans="1:6" x14ac:dyDescent="0.25">
      <c r="A603" s="7"/>
      <c r="E603" s="7"/>
      <c r="F603" s="7"/>
    </row>
    <row r="604" spans="1:6" x14ac:dyDescent="0.25">
      <c r="A604" s="7"/>
      <c r="E604" s="7"/>
      <c r="F604" s="7"/>
    </row>
    <row r="605" spans="1:6" x14ac:dyDescent="0.25">
      <c r="A605" s="7"/>
      <c r="E605" s="7"/>
      <c r="F605" s="7"/>
    </row>
    <row r="606" spans="1:6" x14ac:dyDescent="0.25">
      <c r="A606" s="7"/>
      <c r="E606" s="7"/>
      <c r="F606" s="7"/>
    </row>
    <row r="607" spans="1:6" x14ac:dyDescent="0.25">
      <c r="A607" s="7"/>
      <c r="E607" s="7"/>
      <c r="F607" s="7"/>
    </row>
    <row r="608" spans="1:6" x14ac:dyDescent="0.25">
      <c r="A608" s="7"/>
      <c r="E608" s="7"/>
      <c r="F608" s="7"/>
    </row>
    <row r="609" spans="1:6" x14ac:dyDescent="0.25">
      <c r="A609" s="7"/>
      <c r="E609" s="7"/>
      <c r="F609" s="7"/>
    </row>
    <row r="610" spans="1:6" x14ac:dyDescent="0.25">
      <c r="A610" s="7"/>
      <c r="E610" s="7"/>
      <c r="F610" s="7"/>
    </row>
    <row r="611" spans="1:6" x14ac:dyDescent="0.25">
      <c r="A611" s="7"/>
      <c r="E611" s="7"/>
      <c r="F611" s="7"/>
    </row>
    <row r="612" spans="1:6" x14ac:dyDescent="0.25">
      <c r="A612" s="7"/>
      <c r="E612" s="7"/>
      <c r="F612" s="7"/>
    </row>
    <row r="613" spans="1:6" x14ac:dyDescent="0.25">
      <c r="A613" s="7"/>
      <c r="E613" s="7"/>
      <c r="F613" s="7"/>
    </row>
    <row r="614" spans="1:6" x14ac:dyDescent="0.25">
      <c r="A614" s="7"/>
      <c r="E614" s="7"/>
      <c r="F614" s="7"/>
    </row>
    <row r="615" spans="1:6" x14ac:dyDescent="0.25">
      <c r="A615" s="7"/>
      <c r="E615" s="7"/>
      <c r="F615" s="7"/>
    </row>
    <row r="616" spans="1:6" x14ac:dyDescent="0.25">
      <c r="A616" s="7"/>
      <c r="E616" s="7"/>
      <c r="F616" s="7"/>
    </row>
    <row r="617" spans="1:6" x14ac:dyDescent="0.25">
      <c r="A617" s="7"/>
      <c r="E617" s="7"/>
      <c r="F617" s="7"/>
    </row>
    <row r="618" spans="1:6" x14ac:dyDescent="0.25">
      <c r="A618" s="7"/>
      <c r="E618" s="7"/>
      <c r="F618" s="7"/>
    </row>
    <row r="619" spans="1:6" x14ac:dyDescent="0.25">
      <c r="A619" s="7"/>
      <c r="E619" s="7"/>
      <c r="F619" s="7"/>
    </row>
    <row r="620" spans="1:6" x14ac:dyDescent="0.25">
      <c r="A620" s="7"/>
      <c r="E620" s="7"/>
      <c r="F620" s="7"/>
    </row>
    <row r="621" spans="1:6" x14ac:dyDescent="0.25">
      <c r="A621" s="7"/>
      <c r="E621" s="7"/>
      <c r="F621" s="7"/>
    </row>
    <row r="622" spans="1:6" x14ac:dyDescent="0.25">
      <c r="A622" s="7"/>
      <c r="E622" s="7"/>
      <c r="F622" s="7"/>
    </row>
    <row r="623" spans="1:6" x14ac:dyDescent="0.25">
      <c r="A623" s="7"/>
      <c r="E623" s="7"/>
      <c r="F623" s="7"/>
    </row>
    <row r="624" spans="1:6" x14ac:dyDescent="0.25">
      <c r="A624" s="7"/>
      <c r="E624" s="7"/>
      <c r="F624" s="7"/>
    </row>
    <row r="625" spans="1:6" x14ac:dyDescent="0.25">
      <c r="A625" s="7"/>
      <c r="E625" s="7"/>
      <c r="F625" s="7"/>
    </row>
    <row r="626" spans="1:6" x14ac:dyDescent="0.25">
      <c r="A626" s="7"/>
      <c r="E626" s="7"/>
      <c r="F626" s="7"/>
    </row>
    <row r="627" spans="1:6" x14ac:dyDescent="0.25">
      <c r="A627" s="7"/>
      <c r="E627" s="7"/>
      <c r="F627" s="7"/>
    </row>
    <row r="628" spans="1:6" x14ac:dyDescent="0.25">
      <c r="A628" s="7"/>
      <c r="E628" s="7"/>
      <c r="F628" s="7"/>
    </row>
    <row r="629" spans="1:6" x14ac:dyDescent="0.25">
      <c r="A629" s="7"/>
      <c r="E629" s="7"/>
      <c r="F629" s="7"/>
    </row>
    <row r="630" spans="1:6" x14ac:dyDescent="0.25">
      <c r="A630" s="7"/>
      <c r="E630" s="7"/>
      <c r="F630" s="7"/>
    </row>
    <row r="631" spans="1:6" x14ac:dyDescent="0.25">
      <c r="A631" s="7"/>
      <c r="E631" s="7"/>
      <c r="F631" s="7"/>
    </row>
    <row r="632" spans="1:6" x14ac:dyDescent="0.25">
      <c r="A632" s="7"/>
      <c r="E632" s="7"/>
      <c r="F632" s="7"/>
    </row>
    <row r="633" spans="1:6" x14ac:dyDescent="0.25">
      <c r="A633" s="7"/>
      <c r="E633" s="7"/>
      <c r="F633" s="7"/>
    </row>
    <row r="634" spans="1:6" x14ac:dyDescent="0.25">
      <c r="A634" s="7"/>
      <c r="E634" s="7"/>
      <c r="F634" s="7"/>
    </row>
    <row r="635" spans="1:6" x14ac:dyDescent="0.25">
      <c r="A635" s="7"/>
      <c r="E635" s="7"/>
      <c r="F635" s="7"/>
    </row>
    <row r="636" spans="1:6" x14ac:dyDescent="0.25">
      <c r="A636" s="7"/>
      <c r="E636" s="7"/>
      <c r="F636" s="7"/>
    </row>
    <row r="637" spans="1:6" x14ac:dyDescent="0.25">
      <c r="A637" s="7"/>
      <c r="E637" s="7"/>
      <c r="F637" s="7"/>
    </row>
    <row r="638" spans="1:6" x14ac:dyDescent="0.25">
      <c r="A638" s="7"/>
      <c r="E638" s="7"/>
      <c r="F638" s="7"/>
    </row>
    <row r="639" spans="1:6" x14ac:dyDescent="0.25">
      <c r="A639" s="7"/>
      <c r="E639" s="7"/>
      <c r="F639" s="7"/>
    </row>
    <row r="640" spans="1:6" x14ac:dyDescent="0.25">
      <c r="A640" s="7"/>
      <c r="E640" s="7"/>
      <c r="F640" s="7"/>
    </row>
    <row r="641" spans="1:6" x14ac:dyDescent="0.25">
      <c r="A641" s="7"/>
      <c r="E641" s="7"/>
      <c r="F641" s="7"/>
    </row>
    <row r="642" spans="1:6" x14ac:dyDescent="0.25">
      <c r="A642" s="7"/>
      <c r="E642" s="7"/>
      <c r="F642" s="7"/>
    </row>
    <row r="643" spans="1:6" x14ac:dyDescent="0.25">
      <c r="A643" s="7"/>
      <c r="E643" s="7"/>
      <c r="F643" s="7"/>
    </row>
    <row r="644" spans="1:6" x14ac:dyDescent="0.25">
      <c r="A644" s="7"/>
      <c r="E644" s="7"/>
      <c r="F644" s="7"/>
    </row>
    <row r="645" spans="1:6" x14ac:dyDescent="0.25">
      <c r="A645" s="7"/>
      <c r="E645" s="7"/>
      <c r="F645" s="7"/>
    </row>
    <row r="646" spans="1:6" x14ac:dyDescent="0.25">
      <c r="A646" s="7"/>
      <c r="E646" s="7"/>
      <c r="F646" s="7"/>
    </row>
    <row r="647" spans="1:6" x14ac:dyDescent="0.25">
      <c r="A647" s="7"/>
      <c r="E647" s="7"/>
      <c r="F647" s="7"/>
    </row>
    <row r="648" spans="1:6" x14ac:dyDescent="0.25">
      <c r="A648" s="7"/>
      <c r="E648" s="7"/>
      <c r="F648" s="7"/>
    </row>
    <row r="649" spans="1:6" x14ac:dyDescent="0.25">
      <c r="A649" s="7"/>
      <c r="E649" s="7"/>
      <c r="F649" s="7"/>
    </row>
    <row r="650" spans="1:6" x14ac:dyDescent="0.25">
      <c r="A650" s="7"/>
      <c r="E650" s="7"/>
      <c r="F650" s="7"/>
    </row>
    <row r="651" spans="1:6" x14ac:dyDescent="0.25">
      <c r="A651" s="7"/>
      <c r="E651" s="7"/>
      <c r="F651" s="7"/>
    </row>
    <row r="652" spans="1:6" x14ac:dyDescent="0.25">
      <c r="A652" s="7"/>
      <c r="E652" s="7"/>
      <c r="F652" s="7"/>
    </row>
    <row r="653" spans="1:6" x14ac:dyDescent="0.25">
      <c r="A653" s="7"/>
      <c r="E653" s="7"/>
      <c r="F653" s="7"/>
    </row>
    <row r="654" spans="1:6" x14ac:dyDescent="0.25">
      <c r="A654" s="7"/>
      <c r="E654" s="7"/>
      <c r="F654" s="7"/>
    </row>
    <row r="655" spans="1:6" x14ac:dyDescent="0.25">
      <c r="A655" s="7"/>
      <c r="E655" s="7"/>
      <c r="F655" s="7"/>
    </row>
    <row r="656" spans="1:6" x14ac:dyDescent="0.25">
      <c r="A656" s="7"/>
      <c r="E656" s="7"/>
      <c r="F656" s="7"/>
    </row>
    <row r="657" spans="1:6" x14ac:dyDescent="0.25">
      <c r="A657" s="7"/>
      <c r="E657" s="7"/>
      <c r="F657" s="7"/>
    </row>
    <row r="658" spans="1:6" x14ac:dyDescent="0.25">
      <c r="A658" s="7"/>
      <c r="E658" s="7"/>
      <c r="F658" s="7"/>
    </row>
    <row r="659" spans="1:6" x14ac:dyDescent="0.25">
      <c r="A659" s="7"/>
      <c r="E659" s="7"/>
      <c r="F659" s="7"/>
    </row>
    <row r="660" spans="1:6" x14ac:dyDescent="0.25">
      <c r="A660" s="7"/>
      <c r="E660" s="7"/>
      <c r="F660" s="7"/>
    </row>
    <row r="661" spans="1:6" x14ac:dyDescent="0.25">
      <c r="A661" s="7"/>
      <c r="E661" s="7"/>
      <c r="F661" s="7"/>
    </row>
    <row r="662" spans="1:6" x14ac:dyDescent="0.25">
      <c r="A662" s="7"/>
      <c r="E662" s="7"/>
      <c r="F662" s="7"/>
    </row>
    <row r="663" spans="1:6" x14ac:dyDescent="0.25">
      <c r="A663" s="7"/>
      <c r="E663" s="7"/>
      <c r="F663" s="7"/>
    </row>
    <row r="664" spans="1:6" x14ac:dyDescent="0.25">
      <c r="A664" s="7"/>
      <c r="E664" s="7"/>
      <c r="F664" s="7"/>
    </row>
    <row r="665" spans="1:6" x14ac:dyDescent="0.25">
      <c r="A665" s="7"/>
      <c r="E665" s="7"/>
      <c r="F665" s="7"/>
    </row>
    <row r="666" spans="1:6" x14ac:dyDescent="0.25">
      <c r="A666" s="7"/>
      <c r="E666" s="7"/>
      <c r="F666" s="7"/>
    </row>
    <row r="667" spans="1:6" x14ac:dyDescent="0.25">
      <c r="A667" s="7"/>
      <c r="E667" s="7"/>
      <c r="F667" s="7"/>
    </row>
    <row r="668" spans="1:6" x14ac:dyDescent="0.25">
      <c r="A668" s="7"/>
      <c r="E668" s="7"/>
      <c r="F668" s="7"/>
    </row>
    <row r="669" spans="1:6" x14ac:dyDescent="0.25">
      <c r="A669" s="7"/>
      <c r="E669" s="7"/>
      <c r="F669" s="7"/>
    </row>
    <row r="670" spans="1:6" x14ac:dyDescent="0.25">
      <c r="A670" s="7"/>
      <c r="E670" s="7"/>
      <c r="F670" s="7"/>
    </row>
    <row r="671" spans="1:6" x14ac:dyDescent="0.25">
      <c r="A671" s="7"/>
      <c r="E671" s="7"/>
      <c r="F671" s="7"/>
    </row>
    <row r="672" spans="1:6" x14ac:dyDescent="0.25">
      <c r="A672" s="7"/>
      <c r="E672" s="7"/>
      <c r="F672" s="7"/>
    </row>
    <row r="673" spans="1:6" x14ac:dyDescent="0.25">
      <c r="A673" s="7"/>
      <c r="E673" s="7"/>
      <c r="F673" s="7"/>
    </row>
    <row r="674" spans="1:6" x14ac:dyDescent="0.25">
      <c r="A674" s="7"/>
      <c r="E674" s="7"/>
      <c r="F674" s="7"/>
    </row>
    <row r="675" spans="1:6" x14ac:dyDescent="0.25">
      <c r="A675" s="7"/>
      <c r="E675" s="7"/>
      <c r="F675" s="7"/>
    </row>
    <row r="676" spans="1:6" x14ac:dyDescent="0.25">
      <c r="A676" s="7"/>
      <c r="E676" s="7"/>
      <c r="F676" s="7"/>
    </row>
    <row r="677" spans="1:6" x14ac:dyDescent="0.25">
      <c r="A677" s="7"/>
      <c r="E677" s="7"/>
      <c r="F677" s="7"/>
    </row>
    <row r="678" spans="1:6" x14ac:dyDescent="0.25">
      <c r="A678" s="7"/>
      <c r="E678" s="7"/>
      <c r="F678" s="7"/>
    </row>
    <row r="679" spans="1:6" x14ac:dyDescent="0.25">
      <c r="A679" s="7"/>
      <c r="E679" s="7"/>
      <c r="F679" s="7"/>
    </row>
    <row r="680" spans="1:6" x14ac:dyDescent="0.25">
      <c r="A680" s="7"/>
      <c r="E680" s="7"/>
      <c r="F680" s="7"/>
    </row>
    <row r="681" spans="1:6" x14ac:dyDescent="0.25">
      <c r="A681" s="7"/>
      <c r="E681" s="7"/>
      <c r="F681" s="7"/>
    </row>
    <row r="682" spans="1:6" x14ac:dyDescent="0.25">
      <c r="A682" s="7"/>
      <c r="E682" s="7"/>
      <c r="F682" s="7"/>
    </row>
    <row r="683" spans="1:6" x14ac:dyDescent="0.25">
      <c r="A683" s="7"/>
      <c r="E683" s="7"/>
      <c r="F683" s="7"/>
    </row>
    <row r="684" spans="1:6" x14ac:dyDescent="0.25">
      <c r="A684" s="7"/>
      <c r="E684" s="7"/>
      <c r="F684" s="7"/>
    </row>
    <row r="685" spans="1:6" x14ac:dyDescent="0.25">
      <c r="A685" s="7"/>
      <c r="E685" s="7"/>
      <c r="F685" s="7"/>
    </row>
    <row r="686" spans="1:6" x14ac:dyDescent="0.25">
      <c r="A686" s="7"/>
      <c r="E686" s="7"/>
      <c r="F686" s="7"/>
    </row>
    <row r="687" spans="1:6" x14ac:dyDescent="0.25">
      <c r="A687" s="7"/>
      <c r="E687" s="7"/>
      <c r="F687" s="7"/>
    </row>
    <row r="688" spans="1:6" x14ac:dyDescent="0.25">
      <c r="A688" s="7"/>
      <c r="E688" s="7"/>
      <c r="F688" s="7"/>
    </row>
    <row r="689" spans="1:6" x14ac:dyDescent="0.25">
      <c r="A689" s="7"/>
      <c r="E689" s="7"/>
      <c r="F689" s="7"/>
    </row>
    <row r="690" spans="1:6" x14ac:dyDescent="0.25">
      <c r="A690" s="7"/>
      <c r="E690" s="7"/>
      <c r="F690" s="7"/>
    </row>
    <row r="691" spans="1:6" x14ac:dyDescent="0.25">
      <c r="A691" s="7"/>
      <c r="E691" s="7"/>
      <c r="F691" s="7"/>
    </row>
    <row r="692" spans="1:6" x14ac:dyDescent="0.25">
      <c r="A692" s="7"/>
      <c r="E692" s="7"/>
      <c r="F692" s="7"/>
    </row>
    <row r="693" spans="1:6" x14ac:dyDescent="0.25">
      <c r="A693" s="7"/>
      <c r="E693" s="7"/>
      <c r="F693" s="7"/>
    </row>
    <row r="694" spans="1:6" x14ac:dyDescent="0.25">
      <c r="A694" s="7"/>
      <c r="E694" s="7"/>
      <c r="F694" s="7"/>
    </row>
    <row r="695" spans="1:6" x14ac:dyDescent="0.25">
      <c r="A695" s="7"/>
      <c r="E695" s="7"/>
      <c r="F695" s="7"/>
    </row>
    <row r="696" spans="1:6" x14ac:dyDescent="0.25">
      <c r="A696" s="7"/>
      <c r="E696" s="7"/>
      <c r="F696" s="7"/>
    </row>
    <row r="697" spans="1:6" x14ac:dyDescent="0.25">
      <c r="A697" s="7"/>
      <c r="E697" s="7"/>
      <c r="F697" s="7"/>
    </row>
    <row r="698" spans="1:6" x14ac:dyDescent="0.25">
      <c r="A698" s="7"/>
      <c r="E698" s="7"/>
      <c r="F698" s="7"/>
    </row>
    <row r="699" spans="1:6" x14ac:dyDescent="0.25">
      <c r="A699" s="7"/>
      <c r="E699" s="7"/>
      <c r="F699" s="7"/>
    </row>
    <row r="700" spans="1:6" x14ac:dyDescent="0.25">
      <c r="A700" s="7"/>
      <c r="E700" s="7"/>
      <c r="F700" s="7"/>
    </row>
    <row r="701" spans="1:6" x14ac:dyDescent="0.25">
      <c r="A701" s="7"/>
      <c r="E701" s="7"/>
      <c r="F701" s="7"/>
    </row>
    <row r="702" spans="1:6" x14ac:dyDescent="0.25">
      <c r="A702" s="7"/>
      <c r="E702" s="7"/>
      <c r="F702" s="7"/>
    </row>
    <row r="703" spans="1:6" x14ac:dyDescent="0.25">
      <c r="A703" s="7"/>
      <c r="E703" s="7"/>
      <c r="F703" s="7"/>
    </row>
    <row r="704" spans="1:6" x14ac:dyDescent="0.25">
      <c r="A704" s="7"/>
      <c r="E704" s="7"/>
      <c r="F704" s="7"/>
    </row>
    <row r="705" spans="1:6" x14ac:dyDescent="0.25">
      <c r="A705" s="7"/>
      <c r="E705" s="7"/>
      <c r="F705" s="7"/>
    </row>
    <row r="706" spans="1:6" x14ac:dyDescent="0.25">
      <c r="A706" s="7"/>
      <c r="E706" s="7"/>
      <c r="F706" s="7"/>
    </row>
    <row r="707" spans="1:6" x14ac:dyDescent="0.25">
      <c r="A707" s="7"/>
      <c r="E707" s="7"/>
      <c r="F707" s="7"/>
    </row>
    <row r="708" spans="1:6" x14ac:dyDescent="0.25">
      <c r="A708" s="7"/>
      <c r="E708" s="7"/>
      <c r="F708" s="7"/>
    </row>
    <row r="709" spans="1:6" x14ac:dyDescent="0.25">
      <c r="A709" s="7"/>
      <c r="E709" s="7"/>
      <c r="F709" s="7"/>
    </row>
    <row r="710" spans="1:6" x14ac:dyDescent="0.25">
      <c r="A710" s="7"/>
      <c r="E710" s="7"/>
      <c r="F710" s="7"/>
    </row>
    <row r="711" spans="1:6" x14ac:dyDescent="0.25">
      <c r="A711" s="7"/>
      <c r="E711" s="7"/>
      <c r="F711" s="7"/>
    </row>
    <row r="712" spans="1:6" x14ac:dyDescent="0.25">
      <c r="A712" s="7"/>
      <c r="E712" s="7"/>
      <c r="F712" s="7"/>
    </row>
    <row r="713" spans="1:6" x14ac:dyDescent="0.25">
      <c r="A713" s="7"/>
      <c r="E713" s="7"/>
      <c r="F713" s="7"/>
    </row>
    <row r="714" spans="1:6" x14ac:dyDescent="0.25">
      <c r="A714" s="7"/>
      <c r="E714" s="7"/>
      <c r="F714" s="7"/>
    </row>
    <row r="715" spans="1:6" x14ac:dyDescent="0.25">
      <c r="A715" s="7"/>
      <c r="E715" s="7"/>
      <c r="F715" s="7"/>
    </row>
    <row r="716" spans="1:6" x14ac:dyDescent="0.25">
      <c r="A716" s="7"/>
      <c r="E716" s="7"/>
      <c r="F716" s="7"/>
    </row>
    <row r="717" spans="1:6" x14ac:dyDescent="0.25">
      <c r="A717" s="7"/>
      <c r="E717" s="7"/>
      <c r="F717" s="7"/>
    </row>
    <row r="718" spans="1:6" x14ac:dyDescent="0.25">
      <c r="A718" s="7"/>
      <c r="E718" s="7"/>
      <c r="F718" s="7"/>
    </row>
    <row r="719" spans="1:6" x14ac:dyDescent="0.25">
      <c r="A719" s="7"/>
      <c r="E719" s="7"/>
      <c r="F719" s="7"/>
    </row>
    <row r="720" spans="1:6" x14ac:dyDescent="0.25">
      <c r="A720" s="7"/>
      <c r="E720" s="7"/>
      <c r="F720" s="7"/>
    </row>
    <row r="721" spans="1:6" x14ac:dyDescent="0.25">
      <c r="A721" s="7"/>
      <c r="E721" s="7"/>
      <c r="F721" s="7"/>
    </row>
    <row r="722" spans="1:6" x14ac:dyDescent="0.25">
      <c r="A722" s="7"/>
      <c r="E722" s="7"/>
      <c r="F722" s="7"/>
    </row>
    <row r="723" spans="1:6" x14ac:dyDescent="0.25">
      <c r="A723" s="7"/>
      <c r="E723" s="7"/>
      <c r="F723" s="7"/>
    </row>
    <row r="724" spans="1:6" x14ac:dyDescent="0.25">
      <c r="A724" s="7"/>
      <c r="E724" s="7"/>
      <c r="F724" s="7"/>
    </row>
    <row r="725" spans="1:6" x14ac:dyDescent="0.25">
      <c r="A725" s="7"/>
      <c r="E725" s="7"/>
      <c r="F725" s="7"/>
    </row>
    <row r="726" spans="1:6" x14ac:dyDescent="0.25">
      <c r="A726" s="7"/>
      <c r="E726" s="7"/>
      <c r="F726" s="7"/>
    </row>
    <row r="727" spans="1:6" x14ac:dyDescent="0.25">
      <c r="A727" s="7"/>
      <c r="E727" s="7"/>
      <c r="F727" s="7"/>
    </row>
    <row r="728" spans="1:6" x14ac:dyDescent="0.25">
      <c r="A728" s="7"/>
      <c r="E728" s="7"/>
      <c r="F728" s="7"/>
    </row>
    <row r="729" spans="1:6" x14ac:dyDescent="0.25">
      <c r="A729" s="7"/>
      <c r="E729" s="7"/>
      <c r="F729" s="7"/>
    </row>
    <row r="730" spans="1:6" x14ac:dyDescent="0.25">
      <c r="A730" s="7"/>
      <c r="E730" s="7"/>
      <c r="F730" s="7"/>
    </row>
    <row r="731" spans="1:6" x14ac:dyDescent="0.25">
      <c r="A731" s="7"/>
      <c r="E731" s="7"/>
      <c r="F731" s="7"/>
    </row>
    <row r="732" spans="1:6" x14ac:dyDescent="0.25">
      <c r="A732" s="7"/>
      <c r="E732" s="7"/>
      <c r="F732" s="7"/>
    </row>
    <row r="733" spans="1:6" x14ac:dyDescent="0.25">
      <c r="A733" s="7"/>
      <c r="E733" s="7"/>
      <c r="F733" s="7"/>
    </row>
    <row r="734" spans="1:6" x14ac:dyDescent="0.25">
      <c r="A734" s="7"/>
      <c r="E734" s="7"/>
      <c r="F734" s="7"/>
    </row>
    <row r="735" spans="1:6" x14ac:dyDescent="0.25">
      <c r="A735" s="7"/>
      <c r="E735" s="7"/>
      <c r="F735" s="7"/>
    </row>
    <row r="736" spans="1:6" x14ac:dyDescent="0.25">
      <c r="A736" s="7"/>
      <c r="E736" s="7"/>
      <c r="F736" s="7"/>
    </row>
    <row r="737" spans="1:6" x14ac:dyDescent="0.25">
      <c r="A737" s="7"/>
      <c r="E737" s="7"/>
      <c r="F737" s="7"/>
    </row>
    <row r="738" spans="1:6" x14ac:dyDescent="0.25">
      <c r="A738" s="7"/>
      <c r="E738" s="7"/>
      <c r="F738" s="7"/>
    </row>
    <row r="739" spans="1:6" x14ac:dyDescent="0.25">
      <c r="A739" s="7"/>
      <c r="E739" s="7"/>
      <c r="F739" s="7"/>
    </row>
    <row r="740" spans="1:6" x14ac:dyDescent="0.25">
      <c r="A740" s="7"/>
      <c r="E740" s="7"/>
      <c r="F740" s="7"/>
    </row>
    <row r="741" spans="1:6" x14ac:dyDescent="0.25">
      <c r="A741" s="7"/>
      <c r="E741" s="7"/>
      <c r="F741" s="7"/>
    </row>
    <row r="742" spans="1:6" x14ac:dyDescent="0.25">
      <c r="A742" s="7"/>
      <c r="E742" s="7"/>
      <c r="F742" s="7"/>
    </row>
    <row r="743" spans="1:6" x14ac:dyDescent="0.25">
      <c r="A743" s="7"/>
      <c r="E743" s="7"/>
      <c r="F743" s="7"/>
    </row>
    <row r="744" spans="1:6" x14ac:dyDescent="0.25">
      <c r="A744" s="7"/>
      <c r="E744" s="7"/>
      <c r="F744" s="7"/>
    </row>
    <row r="745" spans="1:6" x14ac:dyDescent="0.25">
      <c r="A745" s="7"/>
      <c r="E745" s="7"/>
      <c r="F745" s="7"/>
    </row>
    <row r="746" spans="1:6" x14ac:dyDescent="0.25">
      <c r="A746" s="7"/>
      <c r="E746" s="7"/>
      <c r="F746" s="7"/>
    </row>
    <row r="747" spans="1:6" x14ac:dyDescent="0.25">
      <c r="A747" s="7"/>
      <c r="E747" s="7"/>
      <c r="F747" s="7"/>
    </row>
    <row r="748" spans="1:6" x14ac:dyDescent="0.25">
      <c r="A748" s="7"/>
      <c r="E748" s="7"/>
      <c r="F748" s="7"/>
    </row>
    <row r="749" spans="1:6" x14ac:dyDescent="0.25">
      <c r="A749" s="7"/>
      <c r="E749" s="7"/>
      <c r="F749" s="7"/>
    </row>
    <row r="750" spans="1:6" x14ac:dyDescent="0.25">
      <c r="A750" s="7"/>
      <c r="E750" s="7"/>
      <c r="F750" s="7"/>
    </row>
    <row r="751" spans="1:6" x14ac:dyDescent="0.25">
      <c r="A751" s="7"/>
      <c r="E751" s="7"/>
      <c r="F751" s="7"/>
    </row>
    <row r="752" spans="1:6" x14ac:dyDescent="0.25">
      <c r="A752" s="7"/>
      <c r="E752" s="7"/>
      <c r="F752" s="7"/>
    </row>
    <row r="753" spans="1:6" x14ac:dyDescent="0.25">
      <c r="A753" s="7"/>
      <c r="E753" s="7"/>
      <c r="F753" s="7"/>
    </row>
    <row r="754" spans="1:6" x14ac:dyDescent="0.25">
      <c r="A754" s="7"/>
      <c r="E754" s="7"/>
      <c r="F754" s="7"/>
    </row>
    <row r="755" spans="1:6" x14ac:dyDescent="0.25">
      <c r="A755" s="7"/>
      <c r="E755" s="7"/>
      <c r="F755" s="7"/>
    </row>
    <row r="756" spans="1:6" x14ac:dyDescent="0.25">
      <c r="A756" s="7"/>
      <c r="E756" s="7"/>
      <c r="F756" s="7"/>
    </row>
    <row r="757" spans="1:6" x14ac:dyDescent="0.25">
      <c r="A757" s="7"/>
      <c r="E757" s="7"/>
      <c r="F757" s="7"/>
    </row>
    <row r="758" spans="1:6" x14ac:dyDescent="0.25">
      <c r="A758" s="7"/>
      <c r="E758" s="7"/>
      <c r="F758" s="7"/>
    </row>
    <row r="759" spans="1:6" x14ac:dyDescent="0.25">
      <c r="A759" s="7"/>
      <c r="E759" s="7"/>
      <c r="F759" s="7"/>
    </row>
    <row r="760" spans="1:6" x14ac:dyDescent="0.25">
      <c r="A760" s="7"/>
      <c r="E760" s="7"/>
      <c r="F760" s="7"/>
    </row>
    <row r="761" spans="1:6" x14ac:dyDescent="0.25">
      <c r="A761" s="7"/>
      <c r="E761" s="7"/>
      <c r="F761" s="7"/>
    </row>
    <row r="762" spans="1:6" x14ac:dyDescent="0.25">
      <c r="A762" s="7"/>
      <c r="E762" s="7"/>
      <c r="F762" s="7"/>
    </row>
    <row r="763" spans="1:6" x14ac:dyDescent="0.25">
      <c r="A763" s="7"/>
      <c r="E763" s="7"/>
      <c r="F763" s="7"/>
    </row>
    <row r="764" spans="1:6" x14ac:dyDescent="0.25">
      <c r="A764" s="7"/>
      <c r="E764" s="7"/>
      <c r="F764" s="7"/>
    </row>
    <row r="765" spans="1:6" x14ac:dyDescent="0.25">
      <c r="A765" s="7"/>
      <c r="E765" s="7"/>
      <c r="F765" s="7"/>
    </row>
    <row r="766" spans="1:6" x14ac:dyDescent="0.25">
      <c r="A766" s="7"/>
      <c r="E766" s="7"/>
      <c r="F766" s="7"/>
    </row>
    <row r="767" spans="1:6" x14ac:dyDescent="0.25">
      <c r="A767" s="7"/>
      <c r="E767" s="7"/>
      <c r="F767" s="7"/>
    </row>
    <row r="768" spans="1:6" x14ac:dyDescent="0.25">
      <c r="A768" s="7"/>
      <c r="E768" s="7"/>
      <c r="F768" s="7"/>
    </row>
    <row r="769" spans="1:6" x14ac:dyDescent="0.25">
      <c r="A769" s="7"/>
      <c r="E769" s="7"/>
      <c r="F769" s="7"/>
    </row>
    <row r="770" spans="1:6" x14ac:dyDescent="0.25">
      <c r="A770" s="7"/>
      <c r="E770" s="7"/>
      <c r="F770" s="7"/>
    </row>
    <row r="771" spans="1:6" x14ac:dyDescent="0.25">
      <c r="A771" s="7"/>
      <c r="E771" s="7"/>
      <c r="F771" s="7"/>
    </row>
    <row r="772" spans="1:6" x14ac:dyDescent="0.25">
      <c r="A772" s="7"/>
      <c r="E772" s="7"/>
      <c r="F772" s="7"/>
    </row>
    <row r="773" spans="1:6" x14ac:dyDescent="0.25">
      <c r="A773" s="7"/>
      <c r="E773" s="7"/>
      <c r="F773" s="7"/>
    </row>
    <row r="774" spans="1:6" x14ac:dyDescent="0.25">
      <c r="A774" s="7"/>
      <c r="E774" s="7"/>
      <c r="F774" s="7"/>
    </row>
    <row r="775" spans="1:6" x14ac:dyDescent="0.25">
      <c r="A775" s="7"/>
      <c r="E775" s="7"/>
      <c r="F775" s="7"/>
    </row>
    <row r="776" spans="1:6" x14ac:dyDescent="0.25">
      <c r="A776" s="7"/>
      <c r="E776" s="7"/>
      <c r="F776" s="7"/>
    </row>
    <row r="777" spans="1:6" x14ac:dyDescent="0.25">
      <c r="A777" s="7"/>
      <c r="E777" s="7"/>
      <c r="F777" s="7"/>
    </row>
    <row r="778" spans="1:6" x14ac:dyDescent="0.25">
      <c r="A778" s="7"/>
      <c r="E778" s="7"/>
      <c r="F778" s="7"/>
    </row>
    <row r="779" spans="1:6" x14ac:dyDescent="0.25">
      <c r="A779" s="7"/>
      <c r="E779" s="7"/>
      <c r="F779" s="7"/>
    </row>
    <row r="780" spans="1:6" x14ac:dyDescent="0.25">
      <c r="A780" s="7"/>
      <c r="E780" s="7"/>
      <c r="F780" s="7"/>
    </row>
    <row r="781" spans="1:6" x14ac:dyDescent="0.25">
      <c r="A781" s="7"/>
      <c r="E781" s="7"/>
      <c r="F781" s="7"/>
    </row>
    <row r="782" spans="1:6" x14ac:dyDescent="0.25">
      <c r="A782" s="7"/>
      <c r="E782" s="7"/>
      <c r="F782" s="7"/>
    </row>
    <row r="783" spans="1:6" x14ac:dyDescent="0.25">
      <c r="A783" s="7"/>
      <c r="E783" s="7"/>
      <c r="F783" s="7"/>
    </row>
    <row r="784" spans="1:6" x14ac:dyDescent="0.25">
      <c r="A784" s="7"/>
      <c r="E784" s="7"/>
      <c r="F784" s="7"/>
    </row>
    <row r="785" spans="1:6" x14ac:dyDescent="0.25">
      <c r="A785" s="7"/>
      <c r="E785" s="7"/>
      <c r="F785" s="7"/>
    </row>
    <row r="786" spans="1:6" x14ac:dyDescent="0.25">
      <c r="A786" s="7"/>
      <c r="E786" s="7"/>
      <c r="F786" s="7"/>
    </row>
    <row r="787" spans="1:6" x14ac:dyDescent="0.25">
      <c r="A787" s="7"/>
      <c r="E787" s="7"/>
      <c r="F787" s="7"/>
    </row>
    <row r="788" spans="1:6" x14ac:dyDescent="0.25">
      <c r="A788" s="7"/>
      <c r="E788" s="7"/>
      <c r="F788" s="7"/>
    </row>
    <row r="789" spans="1:6" x14ac:dyDescent="0.25">
      <c r="A789" s="7"/>
      <c r="E789" s="7"/>
      <c r="F789" s="7"/>
    </row>
    <row r="790" spans="1:6" x14ac:dyDescent="0.25">
      <c r="A790" s="7"/>
      <c r="E790" s="7"/>
      <c r="F790" s="7"/>
    </row>
    <row r="791" spans="1:6" x14ac:dyDescent="0.25">
      <c r="A791" s="7"/>
      <c r="E791" s="7"/>
      <c r="F791" s="7"/>
    </row>
    <row r="792" spans="1:6" x14ac:dyDescent="0.25">
      <c r="A792" s="7"/>
      <c r="E792" s="7"/>
      <c r="F792" s="7"/>
    </row>
    <row r="793" spans="1:6" x14ac:dyDescent="0.25">
      <c r="A793" s="7"/>
      <c r="E793" s="7"/>
      <c r="F793" s="7"/>
    </row>
    <row r="794" spans="1:6" x14ac:dyDescent="0.25">
      <c r="A794" s="7"/>
      <c r="E794" s="7"/>
      <c r="F794" s="7"/>
    </row>
    <row r="795" spans="1:6" x14ac:dyDescent="0.25">
      <c r="A795" s="7"/>
      <c r="E795" s="7"/>
      <c r="F795" s="7"/>
    </row>
    <row r="796" spans="1:6" x14ac:dyDescent="0.25">
      <c r="A796" s="7"/>
      <c r="E796" s="7"/>
      <c r="F796" s="7"/>
    </row>
    <row r="797" spans="1:6" x14ac:dyDescent="0.25">
      <c r="A797" s="7"/>
      <c r="E797" s="7"/>
      <c r="F797" s="7"/>
    </row>
    <row r="798" spans="1:6" x14ac:dyDescent="0.25">
      <c r="A798" s="7"/>
      <c r="E798" s="7"/>
      <c r="F798" s="7"/>
    </row>
    <row r="799" spans="1:6" x14ac:dyDescent="0.25">
      <c r="A799" s="7"/>
      <c r="E799" s="7"/>
      <c r="F799" s="7"/>
    </row>
    <row r="800" spans="1:6" x14ac:dyDescent="0.25">
      <c r="A800" s="7"/>
      <c r="E800" s="7"/>
      <c r="F800" s="7"/>
    </row>
    <row r="801" spans="1:6" x14ac:dyDescent="0.25">
      <c r="A801" s="7"/>
      <c r="E801" s="7"/>
      <c r="F801" s="7"/>
    </row>
    <row r="802" spans="1:6" x14ac:dyDescent="0.25">
      <c r="A802" s="7"/>
      <c r="E802" s="7"/>
      <c r="F802" s="7"/>
    </row>
    <row r="803" spans="1:6" x14ac:dyDescent="0.25">
      <c r="A803" s="7"/>
      <c r="E803" s="7"/>
      <c r="F803" s="7"/>
    </row>
    <row r="804" spans="1:6" x14ac:dyDescent="0.25">
      <c r="A804" s="7"/>
      <c r="E804" s="7"/>
      <c r="F804" s="7"/>
    </row>
    <row r="805" spans="1:6" x14ac:dyDescent="0.25">
      <c r="A805" s="7"/>
      <c r="E805" s="7"/>
      <c r="F805" s="7"/>
    </row>
    <row r="806" spans="1:6" x14ac:dyDescent="0.25">
      <c r="A806" s="7"/>
      <c r="E806" s="7"/>
      <c r="F806" s="7"/>
    </row>
    <row r="807" spans="1:6" x14ac:dyDescent="0.25">
      <c r="A807" s="7"/>
      <c r="E807" s="7"/>
      <c r="F807" s="7"/>
    </row>
    <row r="808" spans="1:6" x14ac:dyDescent="0.25">
      <c r="A808" s="7"/>
      <c r="E808" s="7"/>
      <c r="F808" s="7"/>
    </row>
    <row r="809" spans="1:6" x14ac:dyDescent="0.25">
      <c r="A809" s="7"/>
      <c r="E809" s="7"/>
      <c r="F809" s="7"/>
    </row>
    <row r="810" spans="1:6" x14ac:dyDescent="0.25">
      <c r="A810" s="7"/>
      <c r="E810" s="7"/>
      <c r="F810" s="7"/>
    </row>
    <row r="811" spans="1:6" x14ac:dyDescent="0.25">
      <c r="A811" s="7"/>
      <c r="E811" s="7"/>
      <c r="F811" s="7"/>
    </row>
    <row r="812" spans="1:6" x14ac:dyDescent="0.25">
      <c r="A812" s="7"/>
      <c r="E812" s="7"/>
      <c r="F812" s="7"/>
    </row>
    <row r="813" spans="1:6" x14ac:dyDescent="0.25">
      <c r="A813" s="7"/>
      <c r="E813" s="7"/>
      <c r="F813" s="7"/>
    </row>
    <row r="814" spans="1:6" x14ac:dyDescent="0.25">
      <c r="A814" s="7"/>
      <c r="E814" s="7"/>
      <c r="F814" s="7"/>
    </row>
    <row r="815" spans="1:6" x14ac:dyDescent="0.25">
      <c r="A815" s="7"/>
      <c r="E815" s="7"/>
      <c r="F815" s="7"/>
    </row>
    <row r="816" spans="1:6" x14ac:dyDescent="0.25">
      <c r="A816" s="7"/>
      <c r="E816" s="7"/>
      <c r="F816" s="7"/>
    </row>
    <row r="817" spans="1:6" x14ac:dyDescent="0.25">
      <c r="A817" s="7"/>
      <c r="E817" s="7"/>
      <c r="F817" s="7"/>
    </row>
    <row r="818" spans="1:6" x14ac:dyDescent="0.25">
      <c r="A818" s="7"/>
      <c r="E818" s="7"/>
      <c r="F818" s="7"/>
    </row>
    <row r="819" spans="1:6" x14ac:dyDescent="0.25">
      <c r="A819" s="7"/>
      <c r="E819" s="7"/>
      <c r="F819" s="7"/>
    </row>
    <row r="820" spans="1:6" x14ac:dyDescent="0.25">
      <c r="A820" s="7"/>
      <c r="E820" s="7"/>
      <c r="F820" s="7"/>
    </row>
    <row r="821" spans="1:6" x14ac:dyDescent="0.25">
      <c r="A821" s="7"/>
      <c r="E821" s="7"/>
      <c r="F821" s="7"/>
    </row>
    <row r="822" spans="1:6" x14ac:dyDescent="0.25">
      <c r="A822" s="7"/>
      <c r="E822" s="7"/>
      <c r="F822" s="7"/>
    </row>
    <row r="823" spans="1:6" x14ac:dyDescent="0.25">
      <c r="A823" s="7"/>
      <c r="E823" s="7"/>
      <c r="F823" s="7"/>
    </row>
    <row r="824" spans="1:6" x14ac:dyDescent="0.25">
      <c r="A824" s="7"/>
      <c r="E824" s="7"/>
      <c r="F824" s="7"/>
    </row>
    <row r="825" spans="1:6" x14ac:dyDescent="0.25">
      <c r="A825" s="7"/>
      <c r="E825" s="7"/>
      <c r="F825" s="7"/>
    </row>
    <row r="826" spans="1:6" x14ac:dyDescent="0.25">
      <c r="A826" s="7"/>
      <c r="E826" s="7"/>
      <c r="F826" s="7"/>
    </row>
    <row r="827" spans="1:6" x14ac:dyDescent="0.25">
      <c r="A827" s="7"/>
      <c r="E827" s="7"/>
      <c r="F827" s="7"/>
    </row>
    <row r="828" spans="1:6" x14ac:dyDescent="0.25">
      <c r="A828" s="7"/>
      <c r="E828" s="7"/>
      <c r="F828" s="7"/>
    </row>
    <row r="829" spans="1:6" x14ac:dyDescent="0.25">
      <c r="A829" s="7"/>
      <c r="E829" s="7"/>
      <c r="F829" s="7"/>
    </row>
    <row r="830" spans="1:6" x14ac:dyDescent="0.25">
      <c r="A830" s="7"/>
      <c r="E830" s="7"/>
      <c r="F830" s="7"/>
    </row>
    <row r="831" spans="1:6" x14ac:dyDescent="0.25">
      <c r="A831" s="7"/>
      <c r="E831" s="7"/>
      <c r="F831" s="7"/>
    </row>
    <row r="832" spans="1:6" x14ac:dyDescent="0.25">
      <c r="A832" s="7"/>
      <c r="E832" s="7"/>
      <c r="F832" s="7"/>
    </row>
    <row r="833" spans="1:6" x14ac:dyDescent="0.25">
      <c r="A833" s="7"/>
      <c r="E833" s="7"/>
      <c r="F833" s="7"/>
    </row>
    <row r="834" spans="1:6" x14ac:dyDescent="0.25">
      <c r="A834" s="7"/>
      <c r="E834" s="7"/>
      <c r="F834" s="7"/>
    </row>
    <row r="835" spans="1:6" x14ac:dyDescent="0.25">
      <c r="A835" s="7"/>
      <c r="E835" s="7"/>
      <c r="F835" s="7"/>
    </row>
    <row r="836" spans="1:6" x14ac:dyDescent="0.25">
      <c r="A836" s="7"/>
      <c r="E836" s="7"/>
      <c r="F836" s="7"/>
    </row>
    <row r="837" spans="1:6" x14ac:dyDescent="0.25">
      <c r="A837" s="7"/>
      <c r="E837" s="7"/>
      <c r="F837" s="7"/>
    </row>
    <row r="838" spans="1:6" x14ac:dyDescent="0.25">
      <c r="A838" s="7"/>
      <c r="E838" s="7"/>
      <c r="F838" s="7"/>
    </row>
    <row r="839" spans="1:6" x14ac:dyDescent="0.25">
      <c r="A839" s="7"/>
      <c r="E839" s="7"/>
      <c r="F839" s="7"/>
    </row>
    <row r="840" spans="1:6" x14ac:dyDescent="0.25">
      <c r="A840" s="7"/>
      <c r="E840" s="7"/>
      <c r="F840" s="7"/>
    </row>
    <row r="841" spans="1:6" x14ac:dyDescent="0.25">
      <c r="A841" s="7"/>
      <c r="E841" s="7"/>
      <c r="F841" s="7"/>
    </row>
    <row r="842" spans="1:6" x14ac:dyDescent="0.25">
      <c r="A842" s="7"/>
      <c r="E842" s="7"/>
      <c r="F842" s="7"/>
    </row>
    <row r="843" spans="1:6" x14ac:dyDescent="0.25">
      <c r="A843" s="7"/>
      <c r="E843" s="7"/>
      <c r="F843" s="7"/>
    </row>
    <row r="844" spans="1:6" x14ac:dyDescent="0.25">
      <c r="A844" s="7"/>
      <c r="E844" s="7"/>
      <c r="F844" s="7"/>
    </row>
    <row r="845" spans="1:6" x14ac:dyDescent="0.25">
      <c r="A845" s="7"/>
      <c r="E845" s="7"/>
      <c r="F845" s="7"/>
    </row>
    <row r="846" spans="1:6" x14ac:dyDescent="0.25">
      <c r="A846" s="7"/>
      <c r="E846" s="7"/>
      <c r="F846" s="7"/>
    </row>
    <row r="847" spans="1:6" x14ac:dyDescent="0.25">
      <c r="A847" s="7"/>
      <c r="E847" s="7"/>
      <c r="F847" s="7"/>
    </row>
    <row r="848" spans="1:6" x14ac:dyDescent="0.25">
      <c r="A848" s="7"/>
      <c r="E848" s="7"/>
      <c r="F848" s="7"/>
    </row>
    <row r="849" spans="1:6" x14ac:dyDescent="0.25">
      <c r="A849" s="7"/>
      <c r="E849" s="7"/>
      <c r="F849" s="7"/>
    </row>
    <row r="850" spans="1:6" x14ac:dyDescent="0.25">
      <c r="A850" s="7"/>
      <c r="E850" s="7"/>
      <c r="F850" s="7"/>
    </row>
    <row r="851" spans="1:6" x14ac:dyDescent="0.25">
      <c r="A851" s="7"/>
      <c r="E851" s="7"/>
      <c r="F851" s="7"/>
    </row>
    <row r="852" spans="1:6" x14ac:dyDescent="0.25">
      <c r="A852" s="7"/>
      <c r="E852" s="7"/>
      <c r="F852" s="7"/>
    </row>
    <row r="853" spans="1:6" x14ac:dyDescent="0.25">
      <c r="A853" s="7"/>
      <c r="E853" s="7"/>
      <c r="F853" s="7"/>
    </row>
    <row r="854" spans="1:6" x14ac:dyDescent="0.25">
      <c r="A854" s="7"/>
      <c r="E854" s="7"/>
      <c r="F854" s="7"/>
    </row>
    <row r="855" spans="1:6" x14ac:dyDescent="0.25">
      <c r="A855" s="7"/>
      <c r="E855" s="7"/>
      <c r="F855" s="7"/>
    </row>
    <row r="856" spans="1:6" x14ac:dyDescent="0.25">
      <c r="A856" s="7"/>
      <c r="E856" s="7"/>
      <c r="F856" s="7"/>
    </row>
    <row r="857" spans="1:6" x14ac:dyDescent="0.25">
      <c r="A857" s="7"/>
      <c r="E857" s="7"/>
      <c r="F857" s="7"/>
    </row>
    <row r="858" spans="1:6" x14ac:dyDescent="0.25">
      <c r="A858" s="7"/>
      <c r="E858" s="7"/>
      <c r="F858" s="7"/>
    </row>
    <row r="859" spans="1:6" x14ac:dyDescent="0.25">
      <c r="A859" s="7"/>
      <c r="E859" s="7"/>
      <c r="F859" s="7"/>
    </row>
    <row r="860" spans="1:6" x14ac:dyDescent="0.25">
      <c r="A860" s="7"/>
      <c r="E860" s="7"/>
      <c r="F860" s="7"/>
    </row>
    <row r="861" spans="1:6" x14ac:dyDescent="0.25">
      <c r="A861" s="7"/>
      <c r="E861" s="7"/>
      <c r="F861" s="7"/>
    </row>
    <row r="862" spans="1:6" x14ac:dyDescent="0.25">
      <c r="A862" s="7"/>
      <c r="E862" s="7"/>
      <c r="F862" s="7"/>
    </row>
    <row r="863" spans="1:6" x14ac:dyDescent="0.25">
      <c r="A863" s="7"/>
      <c r="E863" s="7"/>
      <c r="F863" s="7"/>
    </row>
    <row r="864" spans="1:6" x14ac:dyDescent="0.25">
      <c r="A864" s="7"/>
      <c r="E864" s="7"/>
      <c r="F864" s="7"/>
    </row>
    <row r="865" spans="1:6" x14ac:dyDescent="0.25">
      <c r="A865" s="7"/>
      <c r="E865" s="7"/>
      <c r="F865" s="7"/>
    </row>
    <row r="866" spans="1:6" x14ac:dyDescent="0.25">
      <c r="A866" s="7"/>
      <c r="E866" s="7"/>
      <c r="F866" s="7"/>
    </row>
    <row r="867" spans="1:6" x14ac:dyDescent="0.25">
      <c r="A867" s="7"/>
      <c r="E867" s="7"/>
      <c r="F867" s="7"/>
    </row>
    <row r="868" spans="1:6" x14ac:dyDescent="0.25">
      <c r="A868" s="7"/>
      <c r="E868" s="7"/>
      <c r="F868" s="7"/>
    </row>
    <row r="869" spans="1:6" x14ac:dyDescent="0.25">
      <c r="A869" s="7"/>
      <c r="E869" s="7"/>
      <c r="F869" s="7"/>
    </row>
    <row r="870" spans="1:6" x14ac:dyDescent="0.25">
      <c r="A870" s="7"/>
      <c r="E870" s="7"/>
      <c r="F870" s="7"/>
    </row>
    <row r="871" spans="1:6" x14ac:dyDescent="0.25">
      <c r="A871" s="7"/>
      <c r="E871" s="7"/>
      <c r="F871" s="7"/>
    </row>
    <row r="872" spans="1:6" x14ac:dyDescent="0.25">
      <c r="A872" s="7"/>
      <c r="E872" s="7"/>
      <c r="F872" s="7"/>
    </row>
    <row r="873" spans="1:6" x14ac:dyDescent="0.25">
      <c r="A873" s="7"/>
      <c r="E873" s="7"/>
      <c r="F873" s="7"/>
    </row>
    <row r="874" spans="1:6" x14ac:dyDescent="0.25">
      <c r="A874" s="7"/>
      <c r="E874" s="7"/>
      <c r="F874" s="7"/>
    </row>
    <row r="875" spans="1:6" x14ac:dyDescent="0.25">
      <c r="A875" s="7"/>
      <c r="E875" s="7"/>
      <c r="F875" s="7"/>
    </row>
    <row r="876" spans="1:6" x14ac:dyDescent="0.25">
      <c r="A876" s="7"/>
      <c r="E876" s="7"/>
      <c r="F876" s="7"/>
    </row>
    <row r="877" spans="1:6" x14ac:dyDescent="0.25">
      <c r="A877" s="7"/>
      <c r="E877" s="7"/>
      <c r="F877" s="7"/>
    </row>
    <row r="878" spans="1:6" x14ac:dyDescent="0.25">
      <c r="A878" s="7"/>
      <c r="E878" s="7"/>
      <c r="F878" s="7"/>
    </row>
    <row r="879" spans="1:6" x14ac:dyDescent="0.25">
      <c r="A879" s="7"/>
      <c r="E879" s="7"/>
      <c r="F879" s="7"/>
    </row>
    <row r="880" spans="1:6" x14ac:dyDescent="0.25">
      <c r="A880" s="7"/>
      <c r="E880" s="7"/>
      <c r="F880" s="7"/>
    </row>
    <row r="881" spans="1:6" x14ac:dyDescent="0.25">
      <c r="A881" s="7"/>
      <c r="E881" s="7"/>
      <c r="F881" s="7"/>
    </row>
    <row r="882" spans="1:6" x14ac:dyDescent="0.25">
      <c r="A882" s="7"/>
      <c r="E882" s="7"/>
      <c r="F882" s="7"/>
    </row>
    <row r="883" spans="1:6" x14ac:dyDescent="0.25">
      <c r="A883" s="7"/>
      <c r="E883" s="7"/>
      <c r="F883" s="7"/>
    </row>
    <row r="884" spans="1:6" x14ac:dyDescent="0.25">
      <c r="A884" s="7"/>
      <c r="E884" s="7"/>
      <c r="F884" s="7"/>
    </row>
    <row r="885" spans="1:6" x14ac:dyDescent="0.25">
      <c r="A885" s="7"/>
      <c r="E885" s="7"/>
      <c r="F885" s="7"/>
    </row>
    <row r="886" spans="1:6" x14ac:dyDescent="0.25">
      <c r="A886" s="7"/>
      <c r="E886" s="7"/>
      <c r="F886" s="7"/>
    </row>
    <row r="887" spans="1:6" x14ac:dyDescent="0.25">
      <c r="A887" s="7"/>
      <c r="E887" s="7"/>
      <c r="F887" s="7"/>
    </row>
    <row r="888" spans="1:6" x14ac:dyDescent="0.25">
      <c r="A888" s="7"/>
      <c r="E888" s="7"/>
      <c r="F888" s="7"/>
    </row>
    <row r="889" spans="1:6" x14ac:dyDescent="0.25">
      <c r="A889" s="7"/>
      <c r="E889" s="7"/>
      <c r="F889" s="7"/>
    </row>
    <row r="890" spans="1:6" x14ac:dyDescent="0.25">
      <c r="A890" s="7"/>
      <c r="E890" s="7"/>
      <c r="F890" s="7"/>
    </row>
    <row r="891" spans="1:6" x14ac:dyDescent="0.25">
      <c r="A891" s="7"/>
      <c r="E891" s="7"/>
      <c r="F891" s="7"/>
    </row>
    <row r="892" spans="1:6" x14ac:dyDescent="0.25">
      <c r="A892" s="7"/>
      <c r="E892" s="7"/>
      <c r="F892" s="7"/>
    </row>
    <row r="893" spans="1:6" x14ac:dyDescent="0.25">
      <c r="A893" s="7"/>
      <c r="E893" s="7"/>
      <c r="F893" s="7"/>
    </row>
    <row r="894" spans="1:6" x14ac:dyDescent="0.25">
      <c r="A894" s="7"/>
      <c r="E894" s="7"/>
      <c r="F894" s="7"/>
    </row>
    <row r="895" spans="1:6" x14ac:dyDescent="0.25">
      <c r="A895" s="7"/>
      <c r="E895" s="7"/>
      <c r="F895" s="7"/>
    </row>
    <row r="896" spans="1:6" x14ac:dyDescent="0.25">
      <c r="A896" s="7"/>
      <c r="E896" s="7"/>
      <c r="F896" s="7"/>
    </row>
    <row r="897" spans="1:6" x14ac:dyDescent="0.25">
      <c r="A897" s="7"/>
      <c r="E897" s="7"/>
      <c r="F897" s="7"/>
    </row>
    <row r="898" spans="1:6" x14ac:dyDescent="0.25">
      <c r="A898" s="7"/>
      <c r="E898" s="7"/>
      <c r="F898" s="7"/>
    </row>
    <row r="899" spans="1:6" x14ac:dyDescent="0.25">
      <c r="A899" s="7"/>
      <c r="E899" s="7"/>
      <c r="F899" s="7"/>
    </row>
    <row r="900" spans="1:6" x14ac:dyDescent="0.25">
      <c r="A900" s="7"/>
      <c r="E900" s="7"/>
      <c r="F900" s="7"/>
    </row>
    <row r="901" spans="1:6" x14ac:dyDescent="0.25">
      <c r="A901" s="7"/>
      <c r="E901" s="7"/>
      <c r="F901" s="7"/>
    </row>
    <row r="902" spans="1:6" x14ac:dyDescent="0.25">
      <c r="A902" s="7"/>
      <c r="E902" s="7"/>
      <c r="F902" s="7"/>
    </row>
    <row r="903" spans="1:6" x14ac:dyDescent="0.25">
      <c r="A903" s="7"/>
      <c r="E903" s="7"/>
      <c r="F903" s="7"/>
    </row>
    <row r="904" spans="1:6" x14ac:dyDescent="0.25">
      <c r="A904" s="7"/>
      <c r="E904" s="7"/>
      <c r="F904" s="7"/>
    </row>
    <row r="905" spans="1:6" x14ac:dyDescent="0.25">
      <c r="A905" s="7"/>
      <c r="E905" s="7"/>
      <c r="F905" s="7"/>
    </row>
    <row r="906" spans="1:6" x14ac:dyDescent="0.25">
      <c r="A906" s="7"/>
      <c r="E906" s="7"/>
      <c r="F906" s="7"/>
    </row>
    <row r="907" spans="1:6" x14ac:dyDescent="0.25">
      <c r="A907" s="7"/>
      <c r="E907" s="7"/>
      <c r="F907" s="7"/>
    </row>
    <row r="908" spans="1:6" x14ac:dyDescent="0.25">
      <c r="A908" s="7"/>
      <c r="E908" s="7"/>
      <c r="F908" s="7"/>
    </row>
    <row r="909" spans="1:6" x14ac:dyDescent="0.25">
      <c r="A909" s="7"/>
      <c r="E909" s="7"/>
      <c r="F909" s="7"/>
    </row>
    <row r="910" spans="1:6" x14ac:dyDescent="0.25">
      <c r="A910" s="7"/>
      <c r="E910" s="7"/>
      <c r="F910" s="7"/>
    </row>
    <row r="911" spans="1:6" x14ac:dyDescent="0.25">
      <c r="A911" s="7"/>
      <c r="E911" s="7"/>
      <c r="F911" s="7"/>
    </row>
    <row r="912" spans="1:6" x14ac:dyDescent="0.25">
      <c r="A912" s="7"/>
      <c r="E912" s="7"/>
      <c r="F912" s="7"/>
    </row>
    <row r="913" spans="1:6" x14ac:dyDescent="0.25">
      <c r="A913" s="7"/>
      <c r="E913" s="7"/>
      <c r="F913" s="7"/>
    </row>
    <row r="914" spans="1:6" x14ac:dyDescent="0.25">
      <c r="A914" s="7"/>
      <c r="E914" s="7"/>
      <c r="F914" s="7"/>
    </row>
    <row r="915" spans="1:6" x14ac:dyDescent="0.25">
      <c r="A915" s="7"/>
      <c r="E915" s="7"/>
      <c r="F915" s="7"/>
    </row>
    <row r="916" spans="1:6" x14ac:dyDescent="0.25">
      <c r="A916" s="7"/>
      <c r="E916" s="7"/>
      <c r="F916" s="7"/>
    </row>
    <row r="917" spans="1:6" x14ac:dyDescent="0.25">
      <c r="A917" s="7"/>
      <c r="E917" s="7"/>
      <c r="F917" s="7"/>
    </row>
    <row r="918" spans="1:6" x14ac:dyDescent="0.25">
      <c r="A918" s="7"/>
      <c r="E918" s="7"/>
      <c r="F918" s="7"/>
    </row>
    <row r="919" spans="1:6" x14ac:dyDescent="0.25">
      <c r="A919" s="7"/>
      <c r="E919" s="7"/>
      <c r="F919" s="7"/>
    </row>
    <row r="920" spans="1:6" x14ac:dyDescent="0.25">
      <c r="A920" s="7"/>
      <c r="E920" s="7"/>
      <c r="F920" s="7"/>
    </row>
    <row r="921" spans="1:6" x14ac:dyDescent="0.25">
      <c r="A921" s="7"/>
      <c r="E921" s="7"/>
      <c r="F921" s="7"/>
    </row>
    <row r="922" spans="1:6" x14ac:dyDescent="0.25">
      <c r="A922" s="7"/>
      <c r="E922" s="7"/>
      <c r="F922" s="7"/>
    </row>
    <row r="923" spans="1:6" x14ac:dyDescent="0.25">
      <c r="A923" s="7"/>
      <c r="E923" s="7"/>
      <c r="F923" s="7"/>
    </row>
    <row r="924" spans="1:6" x14ac:dyDescent="0.25">
      <c r="A924" s="7"/>
      <c r="E924" s="7"/>
      <c r="F924" s="7"/>
    </row>
    <row r="925" spans="1:6" x14ac:dyDescent="0.25">
      <c r="A925" s="7"/>
      <c r="E925" s="7"/>
      <c r="F925" s="7"/>
    </row>
    <row r="926" spans="1:6" x14ac:dyDescent="0.25">
      <c r="A926" s="7"/>
      <c r="E926" s="7"/>
      <c r="F926" s="7"/>
    </row>
    <row r="927" spans="1:6" x14ac:dyDescent="0.25">
      <c r="A927" s="7"/>
      <c r="E927" s="7"/>
      <c r="F927" s="7"/>
    </row>
    <row r="928" spans="1:6" x14ac:dyDescent="0.25">
      <c r="A928" s="7"/>
      <c r="E928" s="7"/>
      <c r="F928" s="7"/>
    </row>
    <row r="929" spans="1:6" x14ac:dyDescent="0.25">
      <c r="A929" s="7"/>
      <c r="E929" s="7"/>
      <c r="F929" s="7"/>
    </row>
    <row r="930" spans="1:6" x14ac:dyDescent="0.25">
      <c r="A930" s="7"/>
      <c r="E930" s="7"/>
      <c r="F930" s="7"/>
    </row>
    <row r="931" spans="1:6" x14ac:dyDescent="0.25">
      <c r="A931" s="7"/>
      <c r="E931" s="7"/>
      <c r="F931" s="7"/>
    </row>
    <row r="932" spans="1:6" x14ac:dyDescent="0.25">
      <c r="A932" s="7"/>
      <c r="E932" s="7"/>
      <c r="F932" s="7"/>
    </row>
    <row r="933" spans="1:6" x14ac:dyDescent="0.25">
      <c r="A933" s="7"/>
      <c r="E933" s="7"/>
      <c r="F933" s="7"/>
    </row>
    <row r="934" spans="1:6" x14ac:dyDescent="0.25">
      <c r="A934" s="7"/>
      <c r="E934" s="7"/>
      <c r="F934" s="7"/>
    </row>
    <row r="935" spans="1:6" x14ac:dyDescent="0.25">
      <c r="A935" s="7"/>
      <c r="E935" s="7"/>
      <c r="F935" s="7"/>
    </row>
    <row r="936" spans="1:6" x14ac:dyDescent="0.25">
      <c r="A936" s="7"/>
      <c r="E936" s="7"/>
      <c r="F936" s="7"/>
    </row>
    <row r="937" spans="1:6" x14ac:dyDescent="0.25">
      <c r="A937" s="7"/>
      <c r="E937" s="7"/>
      <c r="F937" s="7"/>
    </row>
    <row r="938" spans="1:6" x14ac:dyDescent="0.25">
      <c r="A938" s="7"/>
      <c r="E938" s="7"/>
      <c r="F938" s="7"/>
    </row>
    <row r="939" spans="1:6" x14ac:dyDescent="0.25">
      <c r="A939" s="7"/>
      <c r="E939" s="7"/>
      <c r="F939" s="7"/>
    </row>
    <row r="940" spans="1:6" x14ac:dyDescent="0.25">
      <c r="A940" s="7"/>
      <c r="E940" s="7"/>
      <c r="F940" s="7"/>
    </row>
    <row r="941" spans="1:6" x14ac:dyDescent="0.25">
      <c r="A941" s="7"/>
      <c r="E941" s="7"/>
      <c r="F941" s="7"/>
    </row>
    <row r="942" spans="1:6" x14ac:dyDescent="0.25">
      <c r="A942" s="7"/>
      <c r="E942" s="7"/>
      <c r="F942" s="7"/>
    </row>
    <row r="943" spans="1:6" x14ac:dyDescent="0.25">
      <c r="A943" s="7"/>
      <c r="E943" s="7"/>
      <c r="F943" s="7"/>
    </row>
    <row r="944" spans="1:6" x14ac:dyDescent="0.25">
      <c r="A944" s="7"/>
      <c r="E944" s="7"/>
      <c r="F944" s="7"/>
    </row>
    <row r="945" spans="1:6" x14ac:dyDescent="0.25">
      <c r="A945" s="7"/>
      <c r="E945" s="7"/>
      <c r="F945" s="7"/>
    </row>
    <row r="946" spans="1:6" x14ac:dyDescent="0.25">
      <c r="A946" s="7"/>
      <c r="E946" s="7"/>
      <c r="F946" s="7"/>
    </row>
    <row r="947" spans="1:6" x14ac:dyDescent="0.25">
      <c r="A947" s="7"/>
      <c r="E947" s="7"/>
      <c r="F947" s="7"/>
    </row>
    <row r="948" spans="1:6" x14ac:dyDescent="0.25">
      <c r="A948" s="7"/>
      <c r="E948" s="7"/>
      <c r="F948" s="7"/>
    </row>
    <row r="949" spans="1:6" x14ac:dyDescent="0.25">
      <c r="A949" s="7"/>
      <c r="E949" s="7"/>
      <c r="F949" s="7"/>
    </row>
    <row r="950" spans="1:6" x14ac:dyDescent="0.25">
      <c r="A950" s="7"/>
      <c r="E950" s="7"/>
      <c r="F950" s="7"/>
    </row>
    <row r="951" spans="1:6" x14ac:dyDescent="0.25">
      <c r="A951" s="7"/>
      <c r="E951" s="7"/>
      <c r="F951" s="7"/>
    </row>
    <row r="952" spans="1:6" x14ac:dyDescent="0.25">
      <c r="A952" s="7"/>
      <c r="E952" s="7"/>
      <c r="F952" s="7"/>
    </row>
    <row r="953" spans="1:6" x14ac:dyDescent="0.25">
      <c r="A953" s="7"/>
      <c r="E953" s="7"/>
      <c r="F953" s="7"/>
    </row>
    <row r="954" spans="1:6" x14ac:dyDescent="0.25">
      <c r="A954" s="7"/>
      <c r="E954" s="7"/>
      <c r="F954" s="7"/>
    </row>
    <row r="955" spans="1:6" x14ac:dyDescent="0.25">
      <c r="A955" s="7"/>
      <c r="E955" s="7"/>
      <c r="F955" s="7"/>
    </row>
    <row r="956" spans="1:6" x14ac:dyDescent="0.25">
      <c r="A956" s="7"/>
      <c r="E956" s="7"/>
      <c r="F956" s="7"/>
    </row>
    <row r="957" spans="1:6" x14ac:dyDescent="0.25">
      <c r="A957" s="7"/>
      <c r="E957" s="7"/>
      <c r="F957" s="7"/>
    </row>
    <row r="958" spans="1:6" x14ac:dyDescent="0.25">
      <c r="A958" s="7"/>
      <c r="E958" s="7"/>
      <c r="F958" s="7"/>
    </row>
    <row r="959" spans="1:6" x14ac:dyDescent="0.25">
      <c r="A959" s="7"/>
      <c r="E959" s="7"/>
      <c r="F959" s="7"/>
    </row>
    <row r="960" spans="1:6" x14ac:dyDescent="0.25">
      <c r="A960" s="7"/>
      <c r="E960" s="7"/>
      <c r="F960" s="7"/>
    </row>
    <row r="961" spans="1:6" x14ac:dyDescent="0.25">
      <c r="A961" s="7"/>
      <c r="E961" s="7"/>
      <c r="F961" s="7"/>
    </row>
    <row r="962" spans="1:6" x14ac:dyDescent="0.25">
      <c r="A962" s="7"/>
      <c r="E962" s="7"/>
      <c r="F962" s="7"/>
    </row>
    <row r="963" spans="1:6" x14ac:dyDescent="0.25">
      <c r="A963" s="7"/>
      <c r="E963" s="7"/>
      <c r="F963" s="7"/>
    </row>
    <row r="964" spans="1:6" x14ac:dyDescent="0.25">
      <c r="A964" s="7"/>
      <c r="E964" s="7"/>
      <c r="F964" s="7"/>
    </row>
    <row r="965" spans="1:6" x14ac:dyDescent="0.25">
      <c r="A965" s="7"/>
      <c r="E965" s="7"/>
      <c r="F965" s="7"/>
    </row>
    <row r="966" spans="1:6" x14ac:dyDescent="0.25">
      <c r="A966" s="7"/>
      <c r="E966" s="7"/>
      <c r="F966" s="7"/>
    </row>
    <row r="967" spans="1:6" x14ac:dyDescent="0.25">
      <c r="A967" s="7"/>
      <c r="E967" s="7"/>
      <c r="F967" s="7"/>
    </row>
    <row r="968" spans="1:6" x14ac:dyDescent="0.25">
      <c r="A968" s="7"/>
      <c r="E968" s="7"/>
      <c r="F968" s="7"/>
    </row>
    <row r="969" spans="1:6" x14ac:dyDescent="0.25">
      <c r="A969" s="7"/>
      <c r="E969" s="7"/>
      <c r="F969" s="7"/>
    </row>
    <row r="970" spans="1:6" x14ac:dyDescent="0.25">
      <c r="A970" s="7"/>
      <c r="E970" s="7"/>
      <c r="F970" s="7"/>
    </row>
    <row r="971" spans="1:6" x14ac:dyDescent="0.25">
      <c r="A971" s="7"/>
      <c r="E971" s="7"/>
      <c r="F971" s="7"/>
    </row>
    <row r="972" spans="1:6" x14ac:dyDescent="0.25">
      <c r="A972" s="7"/>
      <c r="E972" s="7"/>
      <c r="F972" s="7"/>
    </row>
    <row r="973" spans="1:6" x14ac:dyDescent="0.25">
      <c r="A973" s="7"/>
      <c r="E973" s="7"/>
      <c r="F973" s="7"/>
    </row>
    <row r="974" spans="1:6" x14ac:dyDescent="0.25">
      <c r="A974" s="7"/>
      <c r="E974" s="7"/>
      <c r="F974" s="7"/>
    </row>
    <row r="975" spans="1:6" x14ac:dyDescent="0.25">
      <c r="A975" s="7"/>
      <c r="E975" s="7"/>
      <c r="F975" s="7"/>
    </row>
    <row r="976" spans="1:6" x14ac:dyDescent="0.25">
      <c r="A976" s="7"/>
      <c r="E976" s="7"/>
      <c r="F976" s="7"/>
    </row>
    <row r="977" spans="1:6" x14ac:dyDescent="0.25">
      <c r="A977" s="7"/>
      <c r="E977" s="7"/>
      <c r="F977" s="7"/>
    </row>
    <row r="978" spans="1:6" x14ac:dyDescent="0.25">
      <c r="A978" s="7"/>
      <c r="E978" s="7"/>
      <c r="F978" s="7"/>
    </row>
    <row r="979" spans="1:6" x14ac:dyDescent="0.25">
      <c r="A979" s="7"/>
      <c r="E979" s="7"/>
      <c r="F979" s="7"/>
    </row>
    <row r="980" spans="1:6" x14ac:dyDescent="0.25">
      <c r="A980" s="7"/>
      <c r="E980" s="7"/>
      <c r="F980" s="7"/>
    </row>
    <row r="981" spans="1:6" x14ac:dyDescent="0.25">
      <c r="A981" s="7"/>
      <c r="E981" s="7"/>
      <c r="F981" s="7"/>
    </row>
    <row r="982" spans="1:6" x14ac:dyDescent="0.25">
      <c r="A982" s="7"/>
      <c r="E982" s="7"/>
      <c r="F982" s="7"/>
    </row>
    <row r="983" spans="1:6" x14ac:dyDescent="0.25">
      <c r="A983" s="7"/>
      <c r="E983" s="7"/>
      <c r="F983" s="7"/>
    </row>
    <row r="984" spans="1:6" x14ac:dyDescent="0.25">
      <c r="A984" s="7"/>
      <c r="E984" s="7"/>
      <c r="F984" s="7"/>
    </row>
    <row r="985" spans="1:6" x14ac:dyDescent="0.25">
      <c r="A985" s="7"/>
      <c r="E985" s="7"/>
      <c r="F985" s="7"/>
    </row>
    <row r="986" spans="1:6" x14ac:dyDescent="0.25">
      <c r="A986" s="7"/>
      <c r="E986" s="7"/>
      <c r="F986" s="7"/>
    </row>
    <row r="987" spans="1:6" x14ac:dyDescent="0.25">
      <c r="A987" s="7"/>
      <c r="E987" s="7"/>
      <c r="F987" s="7"/>
    </row>
    <row r="988" spans="1:6" x14ac:dyDescent="0.25">
      <c r="A988" s="7"/>
      <c r="E988" s="7"/>
      <c r="F988" s="7"/>
    </row>
    <row r="989" spans="1:6" x14ac:dyDescent="0.25">
      <c r="A989" s="7"/>
      <c r="E989" s="7"/>
      <c r="F989" s="7"/>
    </row>
    <row r="990" spans="1:6" x14ac:dyDescent="0.25">
      <c r="A990" s="7"/>
      <c r="E990" s="7"/>
      <c r="F990" s="7"/>
    </row>
    <row r="991" spans="1:6" x14ac:dyDescent="0.25">
      <c r="A991" s="7"/>
      <c r="E991" s="7"/>
      <c r="F991" s="7"/>
    </row>
    <row r="992" spans="1:6" x14ac:dyDescent="0.25">
      <c r="A992" s="7"/>
      <c r="E992" s="7"/>
      <c r="F992" s="7"/>
    </row>
    <row r="993" spans="1:6" x14ac:dyDescent="0.25">
      <c r="A993" s="7"/>
      <c r="E993" s="7"/>
      <c r="F993" s="7"/>
    </row>
    <row r="994" spans="1:6" x14ac:dyDescent="0.25">
      <c r="A994" s="7"/>
      <c r="E994" s="7"/>
      <c r="F994" s="7"/>
    </row>
    <row r="995" spans="1:6" x14ac:dyDescent="0.25">
      <c r="A995" s="7"/>
      <c r="E995" s="7"/>
      <c r="F995" s="7"/>
    </row>
    <row r="996" spans="1:6" x14ac:dyDescent="0.25">
      <c r="A996" s="7"/>
      <c r="E996" s="7"/>
      <c r="F996" s="7"/>
    </row>
    <row r="997" spans="1:6" x14ac:dyDescent="0.25">
      <c r="A997" s="7"/>
      <c r="E997" s="7"/>
      <c r="F997" s="7"/>
    </row>
    <row r="998" spans="1:6" x14ac:dyDescent="0.25">
      <c r="A998" s="7"/>
      <c r="E998" s="7"/>
      <c r="F998" s="7"/>
    </row>
    <row r="999" spans="1:6" x14ac:dyDescent="0.25">
      <c r="A999" s="7"/>
      <c r="E999" s="7"/>
      <c r="F999" s="7"/>
    </row>
    <row r="1000" spans="1:6" x14ac:dyDescent="0.25">
      <c r="A1000" s="7"/>
      <c r="E1000" s="7"/>
      <c r="F1000" s="7"/>
    </row>
    <row r="1001" spans="1:6" x14ac:dyDescent="0.25">
      <c r="A1001" s="7"/>
      <c r="E1001" s="7"/>
      <c r="F1001" s="7"/>
    </row>
    <row r="1002" spans="1:6" x14ac:dyDescent="0.25">
      <c r="A1002" s="7"/>
      <c r="E1002" s="7"/>
      <c r="F1002" s="7"/>
    </row>
    <row r="1003" spans="1:6" x14ac:dyDescent="0.25">
      <c r="A1003" s="7"/>
      <c r="E1003" s="7"/>
      <c r="F1003" s="7"/>
    </row>
    <row r="1004" spans="1:6" x14ac:dyDescent="0.25">
      <c r="A1004" s="7"/>
      <c r="E1004" s="7"/>
      <c r="F1004" s="7"/>
    </row>
    <row r="1005" spans="1:6" x14ac:dyDescent="0.25">
      <c r="A1005" s="7"/>
      <c r="E1005" s="7"/>
      <c r="F1005" s="7"/>
    </row>
    <row r="1006" spans="1:6" x14ac:dyDescent="0.25">
      <c r="A1006" s="7"/>
      <c r="E1006" s="7"/>
      <c r="F1006" s="7"/>
    </row>
    <row r="1007" spans="1:6" x14ac:dyDescent="0.25">
      <c r="A1007" s="7"/>
      <c r="E1007" s="7"/>
      <c r="F1007" s="7"/>
    </row>
    <row r="1008" spans="1:6" x14ac:dyDescent="0.25">
      <c r="A1008" s="7"/>
      <c r="E1008" s="7"/>
      <c r="F1008" s="7"/>
    </row>
    <row r="1009" spans="1:6" x14ac:dyDescent="0.25">
      <c r="A1009" s="7"/>
      <c r="E1009" s="7"/>
      <c r="F1009" s="7"/>
    </row>
  </sheetData>
  <mergeCells count="8">
    <mergeCell ref="A24:I24"/>
    <mergeCell ref="A1:I1"/>
    <mergeCell ref="A2:I2"/>
    <mergeCell ref="B3:C3"/>
    <mergeCell ref="A15:A22"/>
    <mergeCell ref="B15:B22"/>
    <mergeCell ref="C15:C22"/>
    <mergeCell ref="D15:D22"/>
  </mergeCells>
  <printOptions horizontalCentered="1" gridLines="1"/>
  <pageMargins left="0.25" right="0.25" top="0.75" bottom="0.75" header="0" footer="0"/>
  <pageSetup fitToHeight="0" pageOrder="overThenDown" orientation="landscape" cellComments="atEnd"/>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outlinePr summaryBelow="0" summaryRight="0"/>
    <pageSetUpPr fitToPage="1"/>
  </sheetPr>
  <dimension ref="A1:W1002"/>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46.33203125" customWidth="1"/>
    <col min="2" max="2" width="7.33203125" customWidth="1"/>
    <col min="3" max="4" width="7.88671875" customWidth="1"/>
    <col min="5" max="5" width="22.21875" customWidth="1"/>
    <col min="6" max="6" width="14.6640625" customWidth="1"/>
  </cols>
  <sheetData>
    <row r="1" spans="1:23" x14ac:dyDescent="0.25">
      <c r="A1" s="141" t="s">
        <v>985</v>
      </c>
      <c r="B1" s="142"/>
      <c r="C1" s="142"/>
      <c r="D1" s="142"/>
      <c r="E1" s="142"/>
      <c r="F1" s="142"/>
      <c r="G1" s="142"/>
      <c r="H1" s="142"/>
      <c r="I1" s="143"/>
    </row>
    <row r="2" spans="1:23" x14ac:dyDescent="0.25">
      <c r="A2" s="144" t="s">
        <v>986</v>
      </c>
      <c r="B2" s="142"/>
      <c r="C2" s="142"/>
      <c r="D2" s="142"/>
      <c r="E2" s="142"/>
      <c r="F2" s="142"/>
      <c r="G2" s="142"/>
      <c r="H2" s="142"/>
      <c r="I2" s="143"/>
    </row>
    <row r="3" spans="1:23" x14ac:dyDescent="0.25">
      <c r="A3" s="43" t="s">
        <v>374</v>
      </c>
      <c r="B3" s="145" t="s">
        <v>408</v>
      </c>
      <c r="C3" s="143"/>
      <c r="D3" s="49" t="s">
        <v>370</v>
      </c>
      <c r="E3" s="50" t="s">
        <v>371</v>
      </c>
      <c r="F3" s="51" t="s">
        <v>372</v>
      </c>
      <c r="G3" s="52" t="s">
        <v>373</v>
      </c>
      <c r="H3" s="53" t="s">
        <v>409</v>
      </c>
      <c r="I3" s="53" t="s">
        <v>410</v>
      </c>
      <c r="J3" s="7"/>
      <c r="K3" s="7"/>
      <c r="L3" s="7"/>
      <c r="M3" s="7"/>
      <c r="N3" s="7"/>
      <c r="O3" s="7"/>
      <c r="P3" s="7"/>
      <c r="Q3" s="7"/>
      <c r="R3" s="7"/>
      <c r="S3" s="7"/>
      <c r="T3" s="7"/>
      <c r="U3" s="7"/>
      <c r="V3" s="7"/>
      <c r="W3" s="7"/>
    </row>
    <row r="4" spans="1:23" x14ac:dyDescent="0.25">
      <c r="A4" s="41" t="s">
        <v>411</v>
      </c>
      <c r="B4" s="54">
        <f>SUM(B5:B8)/3</f>
        <v>1</v>
      </c>
      <c r="C4" s="55">
        <f>D4*B4</f>
        <v>0.7</v>
      </c>
      <c r="D4" s="56">
        <v>0.7</v>
      </c>
      <c r="E4" s="57"/>
      <c r="F4" s="57"/>
      <c r="G4" s="58"/>
      <c r="H4" s="58"/>
      <c r="I4" s="58"/>
    </row>
    <row r="5" spans="1:23" x14ac:dyDescent="0.25">
      <c r="A5" s="42" t="s">
        <v>987</v>
      </c>
      <c r="B5" s="59">
        <v>1</v>
      </c>
      <c r="C5" s="60"/>
      <c r="D5" s="60"/>
      <c r="E5" s="42" t="s">
        <v>988</v>
      </c>
      <c r="F5" s="127" t="s">
        <v>989</v>
      </c>
      <c r="G5" s="59">
        <v>0.8</v>
      </c>
      <c r="H5" s="59">
        <v>0.8</v>
      </c>
      <c r="I5" s="59">
        <v>1</v>
      </c>
    </row>
    <row r="6" spans="1:23" x14ac:dyDescent="0.25">
      <c r="A6" s="42" t="s">
        <v>990</v>
      </c>
      <c r="B6" s="59">
        <v>1</v>
      </c>
      <c r="C6" s="60"/>
      <c r="D6" s="60"/>
      <c r="E6" s="42" t="s">
        <v>991</v>
      </c>
      <c r="F6" s="42" t="s">
        <v>992</v>
      </c>
      <c r="G6" s="59">
        <v>0.8</v>
      </c>
      <c r="H6" s="59">
        <v>0.8</v>
      </c>
      <c r="I6" s="59">
        <v>1</v>
      </c>
    </row>
    <row r="7" spans="1:23" x14ac:dyDescent="0.25">
      <c r="A7" s="42" t="s">
        <v>993</v>
      </c>
      <c r="B7" s="59">
        <v>1</v>
      </c>
      <c r="C7" s="60"/>
      <c r="D7" s="60"/>
      <c r="E7" s="42" t="s">
        <v>994</v>
      </c>
      <c r="F7" s="42" t="s">
        <v>995</v>
      </c>
      <c r="G7" s="59">
        <v>0.8</v>
      </c>
      <c r="H7" s="59">
        <v>0.8</v>
      </c>
      <c r="I7" s="59">
        <v>1</v>
      </c>
    </row>
    <row r="8" spans="1:23" x14ac:dyDescent="0.25">
      <c r="A8" s="42"/>
      <c r="B8" s="62"/>
      <c r="C8" s="60"/>
      <c r="D8" s="60"/>
      <c r="E8" s="42"/>
      <c r="F8" s="42"/>
      <c r="G8" s="60"/>
      <c r="H8" s="60"/>
      <c r="I8" s="60"/>
    </row>
    <row r="9" spans="1:23" x14ac:dyDescent="0.25">
      <c r="A9" s="41" t="s">
        <v>415</v>
      </c>
      <c r="B9" s="54">
        <f>SUM(B10:B11)/2</f>
        <v>1</v>
      </c>
      <c r="C9" s="55">
        <f>D9*B9</f>
        <v>0.2</v>
      </c>
      <c r="D9" s="56">
        <v>0.2</v>
      </c>
      <c r="E9" s="57"/>
      <c r="F9" s="57"/>
      <c r="G9" s="58"/>
      <c r="H9" s="58"/>
      <c r="I9" s="58"/>
    </row>
    <row r="10" spans="1:23" x14ac:dyDescent="0.25">
      <c r="A10" s="42" t="s">
        <v>996</v>
      </c>
      <c r="B10" s="59">
        <v>1</v>
      </c>
      <c r="C10" s="60"/>
      <c r="D10" s="60"/>
      <c r="E10" s="42" t="s">
        <v>997</v>
      </c>
      <c r="F10" s="42" t="s">
        <v>998</v>
      </c>
      <c r="G10" s="59">
        <v>1</v>
      </c>
      <c r="H10" s="59"/>
      <c r="I10" s="59"/>
    </row>
    <row r="11" spans="1:23" x14ac:dyDescent="0.25">
      <c r="A11" s="42" t="s">
        <v>999</v>
      </c>
      <c r="B11" s="59">
        <v>1</v>
      </c>
      <c r="C11" s="60"/>
      <c r="D11" s="60"/>
      <c r="E11" s="128" t="s">
        <v>1000</v>
      </c>
      <c r="F11" s="42" t="s">
        <v>1000</v>
      </c>
      <c r="G11" s="59">
        <v>1</v>
      </c>
      <c r="H11" s="59"/>
      <c r="I11" s="59"/>
    </row>
    <row r="12" spans="1:23" x14ac:dyDescent="0.25">
      <c r="A12" s="41" t="s">
        <v>385</v>
      </c>
      <c r="B12" s="54">
        <f>SUM(B13:B14)/2</f>
        <v>1</v>
      </c>
      <c r="C12" s="55">
        <f>D12*B12</f>
        <v>0.1</v>
      </c>
      <c r="D12" s="56">
        <v>0.1</v>
      </c>
      <c r="E12" s="57"/>
      <c r="F12" s="57"/>
      <c r="G12" s="58"/>
      <c r="H12" s="58"/>
      <c r="I12" s="58"/>
    </row>
    <row r="13" spans="1:23" x14ac:dyDescent="0.25">
      <c r="A13" s="42" t="s">
        <v>386</v>
      </c>
      <c r="B13" s="59">
        <v>1</v>
      </c>
      <c r="C13" s="60"/>
      <c r="D13" s="53"/>
      <c r="E13" s="42" t="s">
        <v>1001</v>
      </c>
      <c r="F13" s="42" t="s">
        <v>1002</v>
      </c>
      <c r="G13" s="59">
        <v>0.8</v>
      </c>
      <c r="H13" s="59">
        <v>0.8</v>
      </c>
      <c r="I13" s="59">
        <v>1</v>
      </c>
    </row>
    <row r="14" spans="1:23" x14ac:dyDescent="0.25">
      <c r="A14" s="42" t="s">
        <v>387</v>
      </c>
      <c r="B14" s="59">
        <v>1</v>
      </c>
      <c r="C14" s="60"/>
      <c r="D14" s="60"/>
      <c r="E14" s="42"/>
      <c r="F14" s="42" t="s">
        <v>419</v>
      </c>
      <c r="G14" s="59">
        <v>0.8</v>
      </c>
      <c r="H14" s="59">
        <v>0.8</v>
      </c>
      <c r="I14" s="59">
        <v>1</v>
      </c>
    </row>
    <row r="15" spans="1:23" x14ac:dyDescent="0.25">
      <c r="A15" s="42"/>
      <c r="B15" s="60"/>
      <c r="C15" s="64">
        <f t="shared" ref="C15:D15" si="0">SUM(C4+C9+C12)</f>
        <v>0.99999999999999989</v>
      </c>
      <c r="D15" s="64">
        <f t="shared" si="0"/>
        <v>0.99999999999999989</v>
      </c>
      <c r="E15" s="42"/>
      <c r="F15" s="42"/>
      <c r="G15" s="60"/>
      <c r="H15" s="60"/>
      <c r="I15" s="60"/>
    </row>
    <row r="16" spans="1:23" x14ac:dyDescent="0.25">
      <c r="A16" s="152" t="s">
        <v>1003</v>
      </c>
      <c r="B16" s="142"/>
      <c r="C16" s="142"/>
      <c r="D16" s="142"/>
      <c r="E16" s="142"/>
      <c r="F16" s="142"/>
      <c r="G16" s="142"/>
      <c r="H16" s="142"/>
      <c r="I16" s="143"/>
    </row>
    <row r="17" spans="1:9" x14ac:dyDescent="0.25">
      <c r="A17" s="66" t="s">
        <v>1004</v>
      </c>
      <c r="B17" s="67" t="s">
        <v>423</v>
      </c>
      <c r="C17" s="64"/>
      <c r="D17" s="64"/>
      <c r="E17" s="68" t="s">
        <v>25</v>
      </c>
      <c r="F17" s="42" t="s">
        <v>1002</v>
      </c>
      <c r="G17" s="42"/>
      <c r="H17" s="60"/>
      <c r="I17" s="60"/>
    </row>
    <row r="18" spans="1:9" x14ac:dyDescent="0.25">
      <c r="A18" s="66" t="s">
        <v>1005</v>
      </c>
      <c r="B18" s="67" t="s">
        <v>427</v>
      </c>
      <c r="C18" s="64"/>
      <c r="D18" s="64"/>
      <c r="E18" s="68" t="s">
        <v>118</v>
      </c>
      <c r="F18" s="42" t="s">
        <v>425</v>
      </c>
      <c r="G18" s="42"/>
      <c r="H18" s="60"/>
      <c r="I18" s="60"/>
    </row>
    <row r="19" spans="1:9" x14ac:dyDescent="0.25">
      <c r="A19" s="66"/>
      <c r="B19" s="67"/>
      <c r="C19" s="64"/>
      <c r="D19" s="64"/>
      <c r="E19" s="68"/>
      <c r="F19" s="42"/>
      <c r="G19" s="42"/>
      <c r="H19" s="60"/>
      <c r="I19" s="60"/>
    </row>
    <row r="20" spans="1:9" x14ac:dyDescent="0.25">
      <c r="A20" s="7"/>
      <c r="E20" s="7"/>
      <c r="F20" s="7"/>
    </row>
    <row r="21" spans="1:9" x14ac:dyDescent="0.25">
      <c r="A21" s="7"/>
      <c r="E21" s="7"/>
      <c r="F21" s="7"/>
    </row>
    <row r="22" spans="1:9" x14ac:dyDescent="0.25">
      <c r="A22" s="7"/>
      <c r="E22" s="7"/>
      <c r="F22" s="7"/>
    </row>
    <row r="23" spans="1:9" x14ac:dyDescent="0.25">
      <c r="A23" s="7"/>
      <c r="E23" s="7"/>
      <c r="F23" s="7"/>
    </row>
    <row r="24" spans="1:9" x14ac:dyDescent="0.25">
      <c r="A24" s="7"/>
      <c r="E24" s="7"/>
      <c r="F24" s="7"/>
    </row>
    <row r="25" spans="1:9" x14ac:dyDescent="0.25">
      <c r="A25" s="7"/>
      <c r="E25" s="7"/>
      <c r="F25" s="7"/>
    </row>
    <row r="26" spans="1:9" x14ac:dyDescent="0.25">
      <c r="A26" s="7"/>
      <c r="E26" s="7"/>
      <c r="F26" s="7"/>
    </row>
    <row r="27" spans="1:9" x14ac:dyDescent="0.25">
      <c r="A27" s="7"/>
      <c r="E27" s="7"/>
      <c r="F27" s="7"/>
    </row>
    <row r="28" spans="1:9" x14ac:dyDescent="0.25">
      <c r="A28" s="7"/>
      <c r="E28" s="7"/>
      <c r="F28" s="7"/>
    </row>
    <row r="29" spans="1:9" x14ac:dyDescent="0.25">
      <c r="A29" s="7"/>
      <c r="E29" s="7"/>
      <c r="F29" s="7"/>
    </row>
    <row r="30" spans="1:9" x14ac:dyDescent="0.25">
      <c r="A30" s="7"/>
      <c r="E30" s="7"/>
      <c r="F30" s="7"/>
    </row>
    <row r="31" spans="1:9" x14ac:dyDescent="0.25">
      <c r="A31" s="7"/>
      <c r="E31" s="7"/>
      <c r="F31" s="7"/>
    </row>
    <row r="32" spans="1:9" x14ac:dyDescent="0.25">
      <c r="A32" s="7"/>
      <c r="E32" s="7"/>
      <c r="F32" s="7"/>
    </row>
    <row r="33" spans="1:6" x14ac:dyDescent="0.25">
      <c r="A33" s="7"/>
      <c r="E33" s="7"/>
      <c r="F33" s="7"/>
    </row>
    <row r="34" spans="1:6" x14ac:dyDescent="0.25">
      <c r="A34" s="7"/>
      <c r="E34" s="7"/>
      <c r="F34" s="7"/>
    </row>
    <row r="35" spans="1:6" x14ac:dyDescent="0.25">
      <c r="A35" s="7"/>
      <c r="E35" s="7"/>
      <c r="F35" s="7"/>
    </row>
    <row r="36" spans="1:6" x14ac:dyDescent="0.25">
      <c r="A36" s="7"/>
      <c r="E36" s="7"/>
      <c r="F36" s="7"/>
    </row>
    <row r="37" spans="1:6" x14ac:dyDescent="0.25">
      <c r="A37" s="7"/>
      <c r="E37" s="7"/>
      <c r="F37" s="7"/>
    </row>
    <row r="38" spans="1:6" x14ac:dyDescent="0.25">
      <c r="A38" s="7"/>
      <c r="E38" s="7"/>
      <c r="F38" s="7"/>
    </row>
    <row r="39" spans="1:6" x14ac:dyDescent="0.25">
      <c r="A39" s="7"/>
      <c r="E39" s="7"/>
      <c r="F39" s="7"/>
    </row>
    <row r="40" spans="1:6" x14ac:dyDescent="0.25">
      <c r="A40" s="7"/>
      <c r="E40" s="7"/>
      <c r="F40" s="7"/>
    </row>
    <row r="41" spans="1:6" x14ac:dyDescent="0.25">
      <c r="A41" s="7"/>
      <c r="E41" s="7"/>
      <c r="F41" s="7"/>
    </row>
    <row r="42" spans="1:6" x14ac:dyDescent="0.25">
      <c r="A42" s="7"/>
      <c r="E42" s="7"/>
      <c r="F42" s="7"/>
    </row>
    <row r="43" spans="1:6" x14ac:dyDescent="0.25">
      <c r="A43" s="7"/>
      <c r="E43" s="7"/>
      <c r="F43" s="7"/>
    </row>
    <row r="44" spans="1:6" x14ac:dyDescent="0.25">
      <c r="A44" s="7"/>
      <c r="E44" s="7"/>
      <c r="F44" s="7"/>
    </row>
    <row r="45" spans="1:6" x14ac:dyDescent="0.25">
      <c r="A45" s="7"/>
      <c r="E45" s="7"/>
      <c r="F45" s="7"/>
    </row>
    <row r="46" spans="1:6" x14ac:dyDescent="0.25">
      <c r="A46" s="7"/>
      <c r="E46" s="7"/>
      <c r="F46" s="7"/>
    </row>
    <row r="47" spans="1:6" x14ac:dyDescent="0.25">
      <c r="A47" s="7"/>
      <c r="E47" s="7"/>
      <c r="F47" s="7"/>
    </row>
    <row r="48" spans="1:6" x14ac:dyDescent="0.25">
      <c r="A48" s="7"/>
      <c r="E48" s="7"/>
      <c r="F48" s="7"/>
    </row>
    <row r="49" spans="1:6" x14ac:dyDescent="0.25">
      <c r="A49" s="7"/>
      <c r="E49" s="7"/>
      <c r="F49" s="7"/>
    </row>
    <row r="50" spans="1:6" x14ac:dyDescent="0.25">
      <c r="A50" s="7"/>
      <c r="E50" s="7"/>
      <c r="F50" s="7"/>
    </row>
    <row r="51" spans="1:6" x14ac:dyDescent="0.25">
      <c r="A51" s="7"/>
      <c r="E51" s="7"/>
      <c r="F51" s="7"/>
    </row>
    <row r="52" spans="1:6" x14ac:dyDescent="0.25">
      <c r="A52" s="7"/>
      <c r="E52" s="7"/>
      <c r="F52" s="7"/>
    </row>
    <row r="53" spans="1:6" x14ac:dyDescent="0.25">
      <c r="A53" s="7"/>
      <c r="E53" s="7"/>
      <c r="F53" s="7"/>
    </row>
    <row r="54" spans="1:6" x14ac:dyDescent="0.25">
      <c r="A54" s="7"/>
      <c r="E54" s="7"/>
      <c r="F54" s="7"/>
    </row>
    <row r="55" spans="1:6" x14ac:dyDescent="0.25">
      <c r="A55" s="7"/>
      <c r="E55" s="7"/>
      <c r="F55" s="7"/>
    </row>
    <row r="56" spans="1:6" x14ac:dyDescent="0.25">
      <c r="A56" s="7"/>
      <c r="E56" s="7"/>
      <c r="F56" s="7"/>
    </row>
    <row r="57" spans="1:6" x14ac:dyDescent="0.25">
      <c r="A57" s="7"/>
      <c r="E57" s="7"/>
      <c r="F57" s="7"/>
    </row>
    <row r="58" spans="1:6" x14ac:dyDescent="0.25">
      <c r="A58" s="7"/>
      <c r="E58" s="7"/>
      <c r="F58" s="7"/>
    </row>
    <row r="59" spans="1:6" x14ac:dyDescent="0.25">
      <c r="A59" s="7"/>
      <c r="E59" s="7"/>
      <c r="F59" s="7"/>
    </row>
    <row r="60" spans="1:6" x14ac:dyDescent="0.25">
      <c r="A60" s="7"/>
      <c r="E60" s="7"/>
      <c r="F60" s="7"/>
    </row>
    <row r="61" spans="1:6" x14ac:dyDescent="0.25">
      <c r="A61" s="7"/>
      <c r="E61" s="7"/>
      <c r="F61" s="7"/>
    </row>
    <row r="62" spans="1:6" x14ac:dyDescent="0.25">
      <c r="A62" s="7"/>
      <c r="E62" s="7"/>
      <c r="F62" s="7"/>
    </row>
    <row r="63" spans="1:6" x14ac:dyDescent="0.25">
      <c r="A63" s="7"/>
      <c r="E63" s="7"/>
      <c r="F63" s="7"/>
    </row>
    <row r="64" spans="1:6" x14ac:dyDescent="0.25">
      <c r="A64" s="7"/>
      <c r="E64" s="7"/>
      <c r="F64" s="7"/>
    </row>
    <row r="65" spans="1:6" x14ac:dyDescent="0.25">
      <c r="A65" s="7"/>
      <c r="E65" s="7"/>
      <c r="F65" s="7"/>
    </row>
    <row r="66" spans="1:6" x14ac:dyDescent="0.25">
      <c r="A66" s="7"/>
      <c r="E66" s="7"/>
      <c r="F66" s="7"/>
    </row>
    <row r="67" spans="1:6" x14ac:dyDescent="0.25">
      <c r="A67" s="7"/>
      <c r="E67" s="7"/>
      <c r="F67" s="7"/>
    </row>
    <row r="68" spans="1:6" x14ac:dyDescent="0.25">
      <c r="A68" s="7"/>
      <c r="E68" s="7"/>
      <c r="F68" s="7"/>
    </row>
    <row r="69" spans="1:6" x14ac:dyDescent="0.25">
      <c r="A69" s="7"/>
      <c r="E69" s="7"/>
      <c r="F69" s="7"/>
    </row>
    <row r="70" spans="1:6" x14ac:dyDescent="0.25">
      <c r="A70" s="7"/>
      <c r="E70" s="7"/>
      <c r="F70" s="7"/>
    </row>
    <row r="71" spans="1:6" x14ac:dyDescent="0.25">
      <c r="A71" s="7"/>
      <c r="E71" s="7"/>
      <c r="F71" s="7"/>
    </row>
    <row r="72" spans="1:6" x14ac:dyDescent="0.25">
      <c r="A72" s="7"/>
      <c r="E72" s="7"/>
      <c r="F72" s="7"/>
    </row>
    <row r="73" spans="1:6" x14ac:dyDescent="0.25">
      <c r="A73" s="7"/>
      <c r="E73" s="7"/>
      <c r="F73" s="7"/>
    </row>
    <row r="74" spans="1:6" x14ac:dyDescent="0.25">
      <c r="A74" s="7"/>
      <c r="E74" s="7"/>
      <c r="F74" s="7"/>
    </row>
    <row r="75" spans="1:6" x14ac:dyDescent="0.25">
      <c r="A75" s="7"/>
      <c r="E75" s="7"/>
      <c r="F75" s="7"/>
    </row>
    <row r="76" spans="1:6" x14ac:dyDescent="0.25">
      <c r="A76" s="7"/>
      <c r="E76" s="7"/>
      <c r="F76" s="7"/>
    </row>
    <row r="77" spans="1:6" x14ac:dyDescent="0.25">
      <c r="A77" s="7"/>
      <c r="E77" s="7"/>
      <c r="F77" s="7"/>
    </row>
    <row r="78" spans="1:6" x14ac:dyDescent="0.25">
      <c r="A78" s="7"/>
      <c r="E78" s="7"/>
      <c r="F78" s="7"/>
    </row>
    <row r="79" spans="1:6" x14ac:dyDescent="0.25">
      <c r="A79" s="7"/>
      <c r="E79" s="7"/>
      <c r="F79" s="7"/>
    </row>
    <row r="80" spans="1:6" x14ac:dyDescent="0.25">
      <c r="A80" s="7"/>
      <c r="E80" s="7"/>
      <c r="F80" s="7"/>
    </row>
    <row r="81" spans="1:6" x14ac:dyDescent="0.25">
      <c r="A81" s="7"/>
      <c r="E81" s="7"/>
      <c r="F81" s="7"/>
    </row>
    <row r="82" spans="1:6" x14ac:dyDescent="0.25">
      <c r="A82" s="7"/>
      <c r="E82" s="7"/>
      <c r="F82" s="7"/>
    </row>
    <row r="83" spans="1:6" x14ac:dyDescent="0.25">
      <c r="A83" s="7"/>
      <c r="E83" s="7"/>
      <c r="F83" s="7"/>
    </row>
    <row r="84" spans="1:6" x14ac:dyDescent="0.25">
      <c r="A84" s="7"/>
      <c r="E84" s="7"/>
      <c r="F84" s="7"/>
    </row>
    <row r="85" spans="1:6" x14ac:dyDescent="0.25">
      <c r="A85" s="7"/>
      <c r="E85" s="7"/>
      <c r="F85" s="7"/>
    </row>
    <row r="86" spans="1:6" x14ac:dyDescent="0.25">
      <c r="A86" s="7"/>
      <c r="E86" s="7"/>
      <c r="F86" s="7"/>
    </row>
    <row r="87" spans="1:6" x14ac:dyDescent="0.25">
      <c r="A87" s="7"/>
      <c r="E87" s="7"/>
      <c r="F87" s="7"/>
    </row>
    <row r="88" spans="1:6" x14ac:dyDescent="0.25">
      <c r="A88" s="7"/>
      <c r="E88" s="7"/>
      <c r="F88" s="7"/>
    </row>
    <row r="89" spans="1:6" x14ac:dyDescent="0.25">
      <c r="A89" s="7"/>
      <c r="E89" s="7"/>
      <c r="F89" s="7"/>
    </row>
    <row r="90" spans="1:6" x14ac:dyDescent="0.25">
      <c r="A90" s="7"/>
      <c r="E90" s="7"/>
      <c r="F90" s="7"/>
    </row>
    <row r="91" spans="1:6" x14ac:dyDescent="0.25">
      <c r="A91" s="7"/>
      <c r="E91" s="7"/>
      <c r="F91" s="7"/>
    </row>
    <row r="92" spans="1:6" x14ac:dyDescent="0.25">
      <c r="A92" s="7"/>
      <c r="E92" s="7"/>
      <c r="F92" s="7"/>
    </row>
    <row r="93" spans="1:6" x14ac:dyDescent="0.25">
      <c r="A93" s="7"/>
      <c r="E93" s="7"/>
      <c r="F93" s="7"/>
    </row>
    <row r="94" spans="1:6" x14ac:dyDescent="0.25">
      <c r="A94" s="7"/>
      <c r="E94" s="7"/>
      <c r="F94" s="7"/>
    </row>
    <row r="95" spans="1:6" x14ac:dyDescent="0.25">
      <c r="A95" s="7"/>
      <c r="E95" s="7"/>
      <c r="F95" s="7"/>
    </row>
    <row r="96" spans="1:6" x14ac:dyDescent="0.25">
      <c r="A96" s="7"/>
      <c r="E96" s="7"/>
      <c r="F96" s="7"/>
    </row>
    <row r="97" spans="1:6" x14ac:dyDescent="0.25">
      <c r="A97" s="7"/>
      <c r="E97" s="7"/>
      <c r="F97" s="7"/>
    </row>
    <row r="98" spans="1:6" x14ac:dyDescent="0.25">
      <c r="A98" s="7"/>
      <c r="E98" s="7"/>
      <c r="F98" s="7"/>
    </row>
    <row r="99" spans="1:6" x14ac:dyDescent="0.25">
      <c r="A99" s="7"/>
      <c r="E99" s="7"/>
      <c r="F99" s="7"/>
    </row>
    <row r="100" spans="1:6" x14ac:dyDescent="0.25">
      <c r="A100" s="7"/>
      <c r="E100" s="7"/>
      <c r="F100" s="7"/>
    </row>
    <row r="101" spans="1:6" x14ac:dyDescent="0.25">
      <c r="A101" s="7"/>
      <c r="E101" s="7"/>
      <c r="F101" s="7"/>
    </row>
    <row r="102" spans="1:6" x14ac:dyDescent="0.25">
      <c r="A102" s="7"/>
      <c r="E102" s="7"/>
      <c r="F102" s="7"/>
    </row>
    <row r="103" spans="1:6" x14ac:dyDescent="0.25">
      <c r="A103" s="7"/>
      <c r="E103" s="7"/>
      <c r="F103" s="7"/>
    </row>
    <row r="104" spans="1:6" x14ac:dyDescent="0.25">
      <c r="A104" s="7"/>
      <c r="E104" s="7"/>
      <c r="F104" s="7"/>
    </row>
    <row r="105" spans="1:6" x14ac:dyDescent="0.25">
      <c r="A105" s="7"/>
      <c r="E105" s="7"/>
      <c r="F105" s="7"/>
    </row>
    <row r="106" spans="1:6" x14ac:dyDescent="0.25">
      <c r="A106" s="7"/>
      <c r="E106" s="7"/>
      <c r="F106" s="7"/>
    </row>
    <row r="107" spans="1:6" x14ac:dyDescent="0.25">
      <c r="A107" s="7"/>
      <c r="E107" s="7"/>
      <c r="F107" s="7"/>
    </row>
    <row r="108" spans="1:6" x14ac:dyDescent="0.25">
      <c r="A108" s="7"/>
      <c r="E108" s="7"/>
      <c r="F108" s="7"/>
    </row>
    <row r="109" spans="1:6" x14ac:dyDescent="0.25">
      <c r="A109" s="7"/>
      <c r="E109" s="7"/>
      <c r="F109" s="7"/>
    </row>
    <row r="110" spans="1:6" x14ac:dyDescent="0.25">
      <c r="A110" s="7"/>
      <c r="E110" s="7"/>
      <c r="F110" s="7"/>
    </row>
    <row r="111" spans="1:6" x14ac:dyDescent="0.25">
      <c r="A111" s="7"/>
      <c r="E111" s="7"/>
      <c r="F111" s="7"/>
    </row>
    <row r="112" spans="1:6" x14ac:dyDescent="0.25">
      <c r="A112" s="7"/>
      <c r="E112" s="7"/>
      <c r="F112" s="7"/>
    </row>
    <row r="113" spans="1:6" x14ac:dyDescent="0.25">
      <c r="A113" s="7"/>
      <c r="E113" s="7"/>
      <c r="F113" s="7"/>
    </row>
    <row r="114" spans="1:6" x14ac:dyDescent="0.25">
      <c r="A114" s="7"/>
      <c r="E114" s="7"/>
      <c r="F114" s="7"/>
    </row>
    <row r="115" spans="1:6" x14ac:dyDescent="0.25">
      <c r="A115" s="7"/>
      <c r="E115" s="7"/>
      <c r="F115" s="7"/>
    </row>
    <row r="116" spans="1:6" x14ac:dyDescent="0.25">
      <c r="A116" s="7"/>
      <c r="E116" s="7"/>
      <c r="F116" s="7"/>
    </row>
    <row r="117" spans="1:6" x14ac:dyDescent="0.25">
      <c r="A117" s="7"/>
      <c r="E117" s="7"/>
      <c r="F117" s="7"/>
    </row>
    <row r="118" spans="1:6" x14ac:dyDescent="0.25">
      <c r="A118" s="7"/>
      <c r="E118" s="7"/>
      <c r="F118" s="7"/>
    </row>
    <row r="119" spans="1:6" x14ac:dyDescent="0.25">
      <c r="A119" s="7"/>
      <c r="E119" s="7"/>
      <c r="F119" s="7"/>
    </row>
    <row r="120" spans="1:6" x14ac:dyDescent="0.25">
      <c r="A120" s="7"/>
      <c r="E120" s="7"/>
      <c r="F120" s="7"/>
    </row>
    <row r="121" spans="1:6" x14ac:dyDescent="0.25">
      <c r="A121" s="7"/>
      <c r="E121" s="7"/>
      <c r="F121" s="7"/>
    </row>
    <row r="122" spans="1:6" x14ac:dyDescent="0.25">
      <c r="A122" s="7"/>
      <c r="E122" s="7"/>
      <c r="F122" s="7"/>
    </row>
    <row r="123" spans="1:6" x14ac:dyDescent="0.25">
      <c r="A123" s="7"/>
      <c r="E123" s="7"/>
      <c r="F123" s="7"/>
    </row>
    <row r="124" spans="1:6" x14ac:dyDescent="0.25">
      <c r="A124" s="7"/>
      <c r="E124" s="7"/>
      <c r="F124" s="7"/>
    </row>
    <row r="125" spans="1:6" x14ac:dyDescent="0.25">
      <c r="A125" s="7"/>
      <c r="E125" s="7"/>
      <c r="F125" s="7"/>
    </row>
    <row r="126" spans="1:6" x14ac:dyDescent="0.25">
      <c r="A126" s="7"/>
      <c r="E126" s="7"/>
      <c r="F126" s="7"/>
    </row>
    <row r="127" spans="1:6" x14ac:dyDescent="0.25">
      <c r="A127" s="7"/>
      <c r="E127" s="7"/>
      <c r="F127" s="7"/>
    </row>
    <row r="128" spans="1:6" x14ac:dyDescent="0.25">
      <c r="A128" s="7"/>
      <c r="E128" s="7"/>
      <c r="F128" s="7"/>
    </row>
    <row r="129" spans="1:6" x14ac:dyDescent="0.25">
      <c r="A129" s="7"/>
      <c r="E129" s="7"/>
      <c r="F129" s="7"/>
    </row>
    <row r="130" spans="1:6" x14ac:dyDescent="0.25">
      <c r="A130" s="7"/>
      <c r="E130" s="7"/>
      <c r="F130" s="7"/>
    </row>
    <row r="131" spans="1:6" x14ac:dyDescent="0.25">
      <c r="A131" s="7"/>
      <c r="E131" s="7"/>
      <c r="F131" s="7"/>
    </row>
    <row r="132" spans="1:6" x14ac:dyDescent="0.25">
      <c r="A132" s="7"/>
      <c r="E132" s="7"/>
      <c r="F132" s="7"/>
    </row>
    <row r="133" spans="1:6" x14ac:dyDescent="0.25">
      <c r="A133" s="7"/>
      <c r="E133" s="7"/>
      <c r="F133" s="7"/>
    </row>
    <row r="134" spans="1:6" x14ac:dyDescent="0.25">
      <c r="A134" s="7"/>
      <c r="E134" s="7"/>
      <c r="F134" s="7"/>
    </row>
    <row r="135" spans="1:6" x14ac:dyDescent="0.25">
      <c r="A135" s="7"/>
      <c r="E135" s="7"/>
      <c r="F135" s="7"/>
    </row>
    <row r="136" spans="1:6" x14ac:dyDescent="0.25">
      <c r="A136" s="7"/>
      <c r="E136" s="7"/>
      <c r="F136" s="7"/>
    </row>
    <row r="137" spans="1:6" x14ac:dyDescent="0.25">
      <c r="A137" s="7"/>
      <c r="E137" s="7"/>
      <c r="F137" s="7"/>
    </row>
    <row r="138" spans="1:6" x14ac:dyDescent="0.25">
      <c r="A138" s="7"/>
      <c r="E138" s="7"/>
      <c r="F138" s="7"/>
    </row>
    <row r="139" spans="1:6" x14ac:dyDescent="0.25">
      <c r="A139" s="7"/>
      <c r="E139" s="7"/>
      <c r="F139" s="7"/>
    </row>
    <row r="140" spans="1:6" x14ac:dyDescent="0.25">
      <c r="A140" s="7"/>
      <c r="E140" s="7"/>
      <c r="F140" s="7"/>
    </row>
    <row r="141" spans="1:6" x14ac:dyDescent="0.25">
      <c r="A141" s="7"/>
      <c r="E141" s="7"/>
      <c r="F141" s="7"/>
    </row>
    <row r="142" spans="1:6" x14ac:dyDescent="0.25">
      <c r="A142" s="7"/>
      <c r="E142" s="7"/>
      <c r="F142" s="7"/>
    </row>
    <row r="143" spans="1:6" x14ac:dyDescent="0.25">
      <c r="A143" s="7"/>
      <c r="E143" s="7"/>
      <c r="F143" s="7"/>
    </row>
    <row r="144" spans="1:6" x14ac:dyDescent="0.25">
      <c r="A144" s="7"/>
      <c r="E144" s="7"/>
      <c r="F144" s="7"/>
    </row>
    <row r="145" spans="1:6" x14ac:dyDescent="0.25">
      <c r="A145" s="7"/>
      <c r="E145" s="7"/>
      <c r="F145" s="7"/>
    </row>
    <row r="146" spans="1:6" x14ac:dyDescent="0.25">
      <c r="A146" s="7"/>
      <c r="E146" s="7"/>
      <c r="F146" s="7"/>
    </row>
    <row r="147" spans="1:6" x14ac:dyDescent="0.25">
      <c r="A147" s="7"/>
      <c r="E147" s="7"/>
      <c r="F147" s="7"/>
    </row>
    <row r="148" spans="1:6" x14ac:dyDescent="0.25">
      <c r="A148" s="7"/>
      <c r="E148" s="7"/>
      <c r="F148" s="7"/>
    </row>
    <row r="149" spans="1:6" x14ac:dyDescent="0.25">
      <c r="A149" s="7"/>
      <c r="E149" s="7"/>
      <c r="F149" s="7"/>
    </row>
    <row r="150" spans="1:6" x14ac:dyDescent="0.25">
      <c r="A150" s="7"/>
      <c r="E150" s="7"/>
      <c r="F150" s="7"/>
    </row>
    <row r="151" spans="1:6" x14ac:dyDescent="0.25">
      <c r="A151" s="7"/>
      <c r="E151" s="7"/>
      <c r="F151" s="7"/>
    </row>
    <row r="152" spans="1:6" x14ac:dyDescent="0.25">
      <c r="A152" s="7"/>
      <c r="E152" s="7"/>
      <c r="F152" s="7"/>
    </row>
    <row r="153" spans="1:6" x14ac:dyDescent="0.25">
      <c r="A153" s="7"/>
      <c r="E153" s="7"/>
      <c r="F153" s="7"/>
    </row>
    <row r="154" spans="1:6" x14ac:dyDescent="0.25">
      <c r="A154" s="7"/>
      <c r="E154" s="7"/>
      <c r="F154" s="7"/>
    </row>
    <row r="155" spans="1:6" x14ac:dyDescent="0.25">
      <c r="A155" s="7"/>
      <c r="E155" s="7"/>
      <c r="F155" s="7"/>
    </row>
    <row r="156" spans="1:6" x14ac:dyDescent="0.25">
      <c r="A156" s="7"/>
      <c r="E156" s="7"/>
      <c r="F156" s="7"/>
    </row>
    <row r="157" spans="1:6" x14ac:dyDescent="0.25">
      <c r="A157" s="7"/>
      <c r="E157" s="7"/>
      <c r="F157" s="7"/>
    </row>
    <row r="158" spans="1:6" x14ac:dyDescent="0.25">
      <c r="A158" s="7"/>
      <c r="E158" s="7"/>
      <c r="F158" s="7"/>
    </row>
    <row r="159" spans="1:6" x14ac:dyDescent="0.25">
      <c r="A159" s="7"/>
      <c r="E159" s="7"/>
      <c r="F159" s="7"/>
    </row>
    <row r="160" spans="1:6" x14ac:dyDescent="0.25">
      <c r="A160" s="7"/>
      <c r="E160" s="7"/>
      <c r="F160" s="7"/>
    </row>
    <row r="161" spans="1:6" x14ac:dyDescent="0.25">
      <c r="A161" s="7"/>
      <c r="E161" s="7"/>
      <c r="F161" s="7"/>
    </row>
    <row r="162" spans="1:6" x14ac:dyDescent="0.25">
      <c r="A162" s="7"/>
      <c r="E162" s="7"/>
      <c r="F162" s="7"/>
    </row>
    <row r="163" spans="1:6" x14ac:dyDescent="0.25">
      <c r="A163" s="7"/>
      <c r="E163" s="7"/>
      <c r="F163" s="7"/>
    </row>
    <row r="164" spans="1:6" x14ac:dyDescent="0.25">
      <c r="A164" s="7"/>
      <c r="E164" s="7"/>
      <c r="F164" s="7"/>
    </row>
    <row r="165" spans="1:6" x14ac:dyDescent="0.25">
      <c r="A165" s="7"/>
      <c r="E165" s="7"/>
      <c r="F165" s="7"/>
    </row>
    <row r="166" spans="1:6" x14ac:dyDescent="0.25">
      <c r="A166" s="7"/>
      <c r="E166" s="7"/>
      <c r="F166" s="7"/>
    </row>
    <row r="167" spans="1:6" x14ac:dyDescent="0.25">
      <c r="A167" s="7"/>
      <c r="E167" s="7"/>
      <c r="F167" s="7"/>
    </row>
    <row r="168" spans="1:6" x14ac:dyDescent="0.25">
      <c r="A168" s="7"/>
      <c r="E168" s="7"/>
      <c r="F168" s="7"/>
    </row>
    <row r="169" spans="1:6" x14ac:dyDescent="0.25">
      <c r="A169" s="7"/>
      <c r="E169" s="7"/>
      <c r="F169" s="7"/>
    </row>
    <row r="170" spans="1:6" x14ac:dyDescent="0.25">
      <c r="A170" s="7"/>
      <c r="E170" s="7"/>
      <c r="F170" s="7"/>
    </row>
    <row r="171" spans="1:6" x14ac:dyDescent="0.25">
      <c r="A171" s="7"/>
      <c r="E171" s="7"/>
      <c r="F171" s="7"/>
    </row>
    <row r="172" spans="1:6" x14ac:dyDescent="0.25">
      <c r="A172" s="7"/>
      <c r="E172" s="7"/>
      <c r="F172" s="7"/>
    </row>
    <row r="173" spans="1:6" x14ac:dyDescent="0.25">
      <c r="A173" s="7"/>
      <c r="E173" s="7"/>
      <c r="F173" s="7"/>
    </row>
    <row r="174" spans="1:6" x14ac:dyDescent="0.25">
      <c r="A174" s="7"/>
      <c r="E174" s="7"/>
      <c r="F174" s="7"/>
    </row>
    <row r="175" spans="1:6" x14ac:dyDescent="0.25">
      <c r="A175" s="7"/>
      <c r="E175" s="7"/>
      <c r="F175" s="7"/>
    </row>
    <row r="176" spans="1:6" x14ac:dyDescent="0.25">
      <c r="A176" s="7"/>
      <c r="E176" s="7"/>
      <c r="F176" s="7"/>
    </row>
    <row r="177" spans="1:6" x14ac:dyDescent="0.25">
      <c r="A177" s="7"/>
      <c r="E177" s="7"/>
      <c r="F177" s="7"/>
    </row>
    <row r="178" spans="1:6" x14ac:dyDescent="0.25">
      <c r="A178" s="7"/>
      <c r="E178" s="7"/>
      <c r="F178" s="7"/>
    </row>
    <row r="179" spans="1:6" x14ac:dyDescent="0.25">
      <c r="A179" s="7"/>
      <c r="E179" s="7"/>
      <c r="F179" s="7"/>
    </row>
    <row r="180" spans="1:6" x14ac:dyDescent="0.25">
      <c r="A180" s="7"/>
      <c r="E180" s="7"/>
      <c r="F180" s="7"/>
    </row>
    <row r="181" spans="1:6" x14ac:dyDescent="0.25">
      <c r="A181" s="7"/>
      <c r="E181" s="7"/>
      <c r="F181" s="7"/>
    </row>
    <row r="182" spans="1:6" x14ac:dyDescent="0.25">
      <c r="A182" s="7"/>
      <c r="E182" s="7"/>
      <c r="F182" s="7"/>
    </row>
    <row r="183" spans="1:6" x14ac:dyDescent="0.25">
      <c r="A183" s="7"/>
      <c r="E183" s="7"/>
      <c r="F183" s="7"/>
    </row>
    <row r="184" spans="1:6" x14ac:dyDescent="0.25">
      <c r="A184" s="7"/>
      <c r="E184" s="7"/>
      <c r="F184" s="7"/>
    </row>
    <row r="185" spans="1:6" x14ac:dyDescent="0.25">
      <c r="A185" s="7"/>
      <c r="E185" s="7"/>
      <c r="F185" s="7"/>
    </row>
    <row r="186" spans="1:6" x14ac:dyDescent="0.25">
      <c r="A186" s="7"/>
      <c r="E186" s="7"/>
      <c r="F186" s="7"/>
    </row>
    <row r="187" spans="1:6" x14ac:dyDescent="0.25">
      <c r="A187" s="7"/>
      <c r="E187" s="7"/>
      <c r="F187" s="7"/>
    </row>
    <row r="188" spans="1:6" x14ac:dyDescent="0.25">
      <c r="A188" s="7"/>
      <c r="E188" s="7"/>
      <c r="F188" s="7"/>
    </row>
    <row r="189" spans="1:6" x14ac:dyDescent="0.25">
      <c r="A189" s="7"/>
      <c r="E189" s="7"/>
      <c r="F189" s="7"/>
    </row>
    <row r="190" spans="1:6" x14ac:dyDescent="0.25">
      <c r="A190" s="7"/>
      <c r="E190" s="7"/>
      <c r="F190" s="7"/>
    </row>
    <row r="191" spans="1:6" x14ac:dyDescent="0.25">
      <c r="A191" s="7"/>
      <c r="E191" s="7"/>
      <c r="F191" s="7"/>
    </row>
    <row r="192" spans="1:6" x14ac:dyDescent="0.25">
      <c r="A192" s="7"/>
      <c r="E192" s="7"/>
      <c r="F192" s="7"/>
    </row>
    <row r="193" spans="1:6" x14ac:dyDescent="0.25">
      <c r="A193" s="7"/>
      <c r="E193" s="7"/>
      <c r="F193" s="7"/>
    </row>
    <row r="194" spans="1:6" x14ac:dyDescent="0.25">
      <c r="A194" s="7"/>
      <c r="E194" s="7"/>
      <c r="F194" s="7"/>
    </row>
    <row r="195" spans="1:6" x14ac:dyDescent="0.25">
      <c r="A195" s="7"/>
      <c r="E195" s="7"/>
      <c r="F195" s="7"/>
    </row>
    <row r="196" spans="1:6" x14ac:dyDescent="0.25">
      <c r="A196" s="7"/>
      <c r="E196" s="7"/>
      <c r="F196" s="7"/>
    </row>
    <row r="197" spans="1:6" x14ac:dyDescent="0.25">
      <c r="A197" s="7"/>
      <c r="E197" s="7"/>
      <c r="F197" s="7"/>
    </row>
    <row r="198" spans="1:6" x14ac:dyDescent="0.25">
      <c r="A198" s="7"/>
      <c r="E198" s="7"/>
      <c r="F198" s="7"/>
    </row>
    <row r="199" spans="1:6" x14ac:dyDescent="0.25">
      <c r="A199" s="7"/>
      <c r="E199" s="7"/>
      <c r="F199" s="7"/>
    </row>
    <row r="200" spans="1:6" x14ac:dyDescent="0.25">
      <c r="A200" s="7"/>
      <c r="E200" s="7"/>
      <c r="F200" s="7"/>
    </row>
    <row r="201" spans="1:6" x14ac:dyDescent="0.25">
      <c r="A201" s="7"/>
      <c r="E201" s="7"/>
      <c r="F201" s="7"/>
    </row>
    <row r="202" spans="1:6" x14ac:dyDescent="0.25">
      <c r="A202" s="7"/>
      <c r="E202" s="7"/>
      <c r="F202" s="7"/>
    </row>
    <row r="203" spans="1:6" x14ac:dyDescent="0.25">
      <c r="A203" s="7"/>
      <c r="E203" s="7"/>
      <c r="F203" s="7"/>
    </row>
    <row r="204" spans="1:6" x14ac:dyDescent="0.25">
      <c r="A204" s="7"/>
      <c r="E204" s="7"/>
      <c r="F204" s="7"/>
    </row>
    <row r="205" spans="1:6" x14ac:dyDescent="0.25">
      <c r="A205" s="7"/>
      <c r="E205" s="7"/>
      <c r="F205" s="7"/>
    </row>
    <row r="206" spans="1:6" x14ac:dyDescent="0.25">
      <c r="A206" s="7"/>
      <c r="E206" s="7"/>
      <c r="F206" s="7"/>
    </row>
    <row r="207" spans="1:6" x14ac:dyDescent="0.25">
      <c r="A207" s="7"/>
      <c r="E207" s="7"/>
      <c r="F207" s="7"/>
    </row>
    <row r="208" spans="1:6" x14ac:dyDescent="0.25">
      <c r="A208" s="7"/>
      <c r="E208" s="7"/>
      <c r="F208" s="7"/>
    </row>
    <row r="209" spans="1:6" x14ac:dyDescent="0.25">
      <c r="A209" s="7"/>
      <c r="E209" s="7"/>
      <c r="F209" s="7"/>
    </row>
    <row r="210" spans="1:6" x14ac:dyDescent="0.25">
      <c r="A210" s="7"/>
      <c r="E210" s="7"/>
      <c r="F210" s="7"/>
    </row>
    <row r="211" spans="1:6" x14ac:dyDescent="0.25">
      <c r="A211" s="7"/>
      <c r="E211" s="7"/>
      <c r="F211" s="7"/>
    </row>
    <row r="212" spans="1:6" x14ac:dyDescent="0.25">
      <c r="A212" s="7"/>
      <c r="E212" s="7"/>
      <c r="F212" s="7"/>
    </row>
    <row r="213" spans="1:6" x14ac:dyDescent="0.25">
      <c r="A213" s="7"/>
      <c r="E213" s="7"/>
      <c r="F213" s="7"/>
    </row>
    <row r="214" spans="1:6" x14ac:dyDescent="0.25">
      <c r="A214" s="7"/>
      <c r="E214" s="7"/>
      <c r="F214" s="7"/>
    </row>
    <row r="215" spans="1:6" x14ac:dyDescent="0.25">
      <c r="A215" s="7"/>
      <c r="E215" s="7"/>
      <c r="F215" s="7"/>
    </row>
    <row r="216" spans="1:6" x14ac:dyDescent="0.25">
      <c r="A216" s="7"/>
      <c r="E216" s="7"/>
      <c r="F216" s="7"/>
    </row>
    <row r="217" spans="1:6" x14ac:dyDescent="0.25">
      <c r="A217" s="7"/>
      <c r="E217" s="7"/>
      <c r="F217" s="7"/>
    </row>
    <row r="218" spans="1:6" x14ac:dyDescent="0.25">
      <c r="A218" s="7"/>
      <c r="E218" s="7"/>
      <c r="F218" s="7"/>
    </row>
    <row r="219" spans="1:6" x14ac:dyDescent="0.25">
      <c r="A219" s="7"/>
      <c r="E219" s="7"/>
      <c r="F219" s="7"/>
    </row>
    <row r="220" spans="1:6" x14ac:dyDescent="0.25">
      <c r="A220" s="7"/>
      <c r="E220" s="7"/>
      <c r="F220" s="7"/>
    </row>
    <row r="221" spans="1:6" x14ac:dyDescent="0.25">
      <c r="A221" s="7"/>
      <c r="E221" s="7"/>
      <c r="F221" s="7"/>
    </row>
    <row r="222" spans="1:6" x14ac:dyDescent="0.25">
      <c r="A222" s="7"/>
      <c r="E222" s="7"/>
      <c r="F222" s="7"/>
    </row>
    <row r="223" spans="1:6" x14ac:dyDescent="0.25">
      <c r="A223" s="7"/>
      <c r="E223" s="7"/>
      <c r="F223" s="7"/>
    </row>
    <row r="224" spans="1:6" x14ac:dyDescent="0.25">
      <c r="A224" s="7"/>
      <c r="E224" s="7"/>
      <c r="F224" s="7"/>
    </row>
    <row r="225" spans="1:6" x14ac:dyDescent="0.25">
      <c r="A225" s="7"/>
      <c r="E225" s="7"/>
      <c r="F225" s="7"/>
    </row>
    <row r="226" spans="1:6" x14ac:dyDescent="0.25">
      <c r="A226" s="7"/>
      <c r="E226" s="7"/>
      <c r="F226" s="7"/>
    </row>
    <row r="227" spans="1:6" x14ac:dyDescent="0.25">
      <c r="A227" s="7"/>
      <c r="E227" s="7"/>
      <c r="F227" s="7"/>
    </row>
    <row r="228" spans="1:6" x14ac:dyDescent="0.25">
      <c r="A228" s="7"/>
      <c r="E228" s="7"/>
      <c r="F228" s="7"/>
    </row>
    <row r="229" spans="1:6" x14ac:dyDescent="0.25">
      <c r="A229" s="7"/>
      <c r="E229" s="7"/>
      <c r="F229" s="7"/>
    </row>
    <row r="230" spans="1:6" x14ac:dyDescent="0.25">
      <c r="A230" s="7"/>
      <c r="E230" s="7"/>
      <c r="F230" s="7"/>
    </row>
    <row r="231" spans="1:6" x14ac:dyDescent="0.25">
      <c r="A231" s="7"/>
      <c r="E231" s="7"/>
      <c r="F231" s="7"/>
    </row>
    <row r="232" spans="1:6" x14ac:dyDescent="0.25">
      <c r="A232" s="7"/>
      <c r="E232" s="7"/>
      <c r="F232" s="7"/>
    </row>
    <row r="233" spans="1:6" x14ac:dyDescent="0.25">
      <c r="A233" s="7"/>
      <c r="E233" s="7"/>
      <c r="F233" s="7"/>
    </row>
    <row r="234" spans="1:6" x14ac:dyDescent="0.25">
      <c r="A234" s="7"/>
      <c r="E234" s="7"/>
      <c r="F234" s="7"/>
    </row>
    <row r="235" spans="1:6" x14ac:dyDescent="0.25">
      <c r="A235" s="7"/>
      <c r="E235" s="7"/>
      <c r="F235" s="7"/>
    </row>
    <row r="236" spans="1:6" x14ac:dyDescent="0.25">
      <c r="A236" s="7"/>
      <c r="E236" s="7"/>
      <c r="F236" s="7"/>
    </row>
    <row r="237" spans="1:6" x14ac:dyDescent="0.25">
      <c r="A237" s="7"/>
      <c r="E237" s="7"/>
      <c r="F237" s="7"/>
    </row>
    <row r="238" spans="1:6" x14ac:dyDescent="0.25">
      <c r="A238" s="7"/>
      <c r="E238" s="7"/>
      <c r="F238" s="7"/>
    </row>
    <row r="239" spans="1:6" x14ac:dyDescent="0.25">
      <c r="A239" s="7"/>
      <c r="E239" s="7"/>
      <c r="F239" s="7"/>
    </row>
    <row r="240" spans="1:6" x14ac:dyDescent="0.25">
      <c r="A240" s="7"/>
      <c r="E240" s="7"/>
      <c r="F240" s="7"/>
    </row>
    <row r="241" spans="1:6" x14ac:dyDescent="0.25">
      <c r="A241" s="7"/>
      <c r="E241" s="7"/>
      <c r="F241" s="7"/>
    </row>
    <row r="242" spans="1:6" x14ac:dyDescent="0.25">
      <c r="A242" s="7"/>
      <c r="E242" s="7"/>
      <c r="F242" s="7"/>
    </row>
    <row r="243" spans="1:6" x14ac:dyDescent="0.25">
      <c r="A243" s="7"/>
      <c r="E243" s="7"/>
      <c r="F243" s="7"/>
    </row>
    <row r="244" spans="1:6" x14ac:dyDescent="0.25">
      <c r="A244" s="7"/>
      <c r="E244" s="7"/>
      <c r="F244" s="7"/>
    </row>
    <row r="245" spans="1:6" x14ac:dyDescent="0.25">
      <c r="A245" s="7"/>
      <c r="E245" s="7"/>
      <c r="F245" s="7"/>
    </row>
    <row r="246" spans="1:6" x14ac:dyDescent="0.25">
      <c r="A246" s="7"/>
      <c r="E246" s="7"/>
      <c r="F246" s="7"/>
    </row>
    <row r="247" spans="1:6" x14ac:dyDescent="0.25">
      <c r="A247" s="7"/>
      <c r="E247" s="7"/>
      <c r="F247" s="7"/>
    </row>
    <row r="248" spans="1:6" x14ac:dyDescent="0.25">
      <c r="A248" s="7"/>
      <c r="E248" s="7"/>
      <c r="F248" s="7"/>
    </row>
    <row r="249" spans="1:6" x14ac:dyDescent="0.25">
      <c r="A249" s="7"/>
      <c r="E249" s="7"/>
      <c r="F249" s="7"/>
    </row>
    <row r="250" spans="1:6" x14ac:dyDescent="0.25">
      <c r="A250" s="7"/>
      <c r="E250" s="7"/>
      <c r="F250" s="7"/>
    </row>
    <row r="251" spans="1:6" x14ac:dyDescent="0.25">
      <c r="A251" s="7"/>
      <c r="E251" s="7"/>
      <c r="F251" s="7"/>
    </row>
    <row r="252" spans="1:6" x14ac:dyDescent="0.25">
      <c r="A252" s="7"/>
      <c r="E252" s="7"/>
      <c r="F252" s="7"/>
    </row>
    <row r="253" spans="1:6" x14ac:dyDescent="0.25">
      <c r="A253" s="7"/>
      <c r="E253" s="7"/>
      <c r="F253" s="7"/>
    </row>
    <row r="254" spans="1:6" x14ac:dyDescent="0.25">
      <c r="A254" s="7"/>
      <c r="E254" s="7"/>
      <c r="F254" s="7"/>
    </row>
    <row r="255" spans="1:6" x14ac:dyDescent="0.25">
      <c r="A255" s="7"/>
      <c r="E255" s="7"/>
      <c r="F255" s="7"/>
    </row>
    <row r="256" spans="1:6" x14ac:dyDescent="0.25">
      <c r="A256" s="7"/>
      <c r="E256" s="7"/>
      <c r="F256" s="7"/>
    </row>
    <row r="257" spans="1:6" x14ac:dyDescent="0.25">
      <c r="A257" s="7"/>
      <c r="E257" s="7"/>
      <c r="F257" s="7"/>
    </row>
    <row r="258" spans="1:6" x14ac:dyDescent="0.25">
      <c r="A258" s="7"/>
      <c r="E258" s="7"/>
      <c r="F258" s="7"/>
    </row>
    <row r="259" spans="1:6" x14ac:dyDescent="0.25">
      <c r="A259" s="7"/>
      <c r="E259" s="7"/>
      <c r="F259" s="7"/>
    </row>
    <row r="260" spans="1:6" x14ac:dyDescent="0.25">
      <c r="A260" s="7"/>
      <c r="E260" s="7"/>
      <c r="F260" s="7"/>
    </row>
    <row r="261" spans="1:6" x14ac:dyDescent="0.25">
      <c r="A261" s="7"/>
      <c r="E261" s="7"/>
      <c r="F261" s="7"/>
    </row>
    <row r="262" spans="1:6" x14ac:dyDescent="0.25">
      <c r="A262" s="7"/>
      <c r="E262" s="7"/>
      <c r="F262" s="7"/>
    </row>
    <row r="263" spans="1:6" x14ac:dyDescent="0.25">
      <c r="A263" s="7"/>
      <c r="E263" s="7"/>
      <c r="F263" s="7"/>
    </row>
    <row r="264" spans="1:6" x14ac:dyDescent="0.25">
      <c r="A264" s="7"/>
      <c r="E264" s="7"/>
      <c r="F264" s="7"/>
    </row>
    <row r="265" spans="1:6" x14ac:dyDescent="0.25">
      <c r="A265" s="7"/>
      <c r="E265" s="7"/>
      <c r="F265" s="7"/>
    </row>
    <row r="266" spans="1:6" x14ac:dyDescent="0.25">
      <c r="A266" s="7"/>
      <c r="E266" s="7"/>
      <c r="F266" s="7"/>
    </row>
    <row r="267" spans="1:6" x14ac:dyDescent="0.25">
      <c r="A267" s="7"/>
      <c r="E267" s="7"/>
      <c r="F267" s="7"/>
    </row>
    <row r="268" spans="1:6" x14ac:dyDescent="0.25">
      <c r="A268" s="7"/>
      <c r="E268" s="7"/>
      <c r="F268" s="7"/>
    </row>
    <row r="269" spans="1:6" x14ac:dyDescent="0.25">
      <c r="A269" s="7"/>
      <c r="E269" s="7"/>
      <c r="F269" s="7"/>
    </row>
    <row r="270" spans="1:6" x14ac:dyDescent="0.25">
      <c r="A270" s="7"/>
      <c r="E270" s="7"/>
      <c r="F270" s="7"/>
    </row>
    <row r="271" spans="1:6" x14ac:dyDescent="0.25">
      <c r="A271" s="7"/>
      <c r="E271" s="7"/>
      <c r="F271" s="7"/>
    </row>
    <row r="272" spans="1:6" x14ac:dyDescent="0.25">
      <c r="A272" s="7"/>
      <c r="E272" s="7"/>
      <c r="F272" s="7"/>
    </row>
    <row r="273" spans="1:6" x14ac:dyDescent="0.25">
      <c r="A273" s="7"/>
      <c r="E273" s="7"/>
      <c r="F273" s="7"/>
    </row>
    <row r="274" spans="1:6" x14ac:dyDescent="0.25">
      <c r="A274" s="7"/>
      <c r="E274" s="7"/>
      <c r="F274" s="7"/>
    </row>
    <row r="275" spans="1:6" x14ac:dyDescent="0.25">
      <c r="A275" s="7"/>
      <c r="E275" s="7"/>
      <c r="F275" s="7"/>
    </row>
    <row r="276" spans="1:6" x14ac:dyDescent="0.25">
      <c r="A276" s="7"/>
      <c r="E276" s="7"/>
      <c r="F276" s="7"/>
    </row>
    <row r="277" spans="1:6" x14ac:dyDescent="0.25">
      <c r="A277" s="7"/>
      <c r="E277" s="7"/>
      <c r="F277" s="7"/>
    </row>
    <row r="278" spans="1:6" x14ac:dyDescent="0.25">
      <c r="A278" s="7"/>
      <c r="E278" s="7"/>
      <c r="F278" s="7"/>
    </row>
    <row r="279" spans="1:6" x14ac:dyDescent="0.25">
      <c r="A279" s="7"/>
      <c r="E279" s="7"/>
      <c r="F279" s="7"/>
    </row>
    <row r="280" spans="1:6" x14ac:dyDescent="0.25">
      <c r="A280" s="7"/>
      <c r="E280" s="7"/>
      <c r="F280" s="7"/>
    </row>
    <row r="281" spans="1:6" x14ac:dyDescent="0.25">
      <c r="A281" s="7"/>
      <c r="E281" s="7"/>
      <c r="F281" s="7"/>
    </row>
    <row r="282" spans="1:6" x14ac:dyDescent="0.25">
      <c r="A282" s="7"/>
      <c r="E282" s="7"/>
      <c r="F282" s="7"/>
    </row>
    <row r="283" spans="1:6" x14ac:dyDescent="0.25">
      <c r="A283" s="7"/>
      <c r="E283" s="7"/>
      <c r="F283" s="7"/>
    </row>
    <row r="284" spans="1:6" x14ac:dyDescent="0.25">
      <c r="A284" s="7"/>
      <c r="E284" s="7"/>
      <c r="F284" s="7"/>
    </row>
    <row r="285" spans="1:6" x14ac:dyDescent="0.25">
      <c r="A285" s="7"/>
      <c r="E285" s="7"/>
      <c r="F285" s="7"/>
    </row>
    <row r="286" spans="1:6" x14ac:dyDescent="0.25">
      <c r="A286" s="7"/>
      <c r="E286" s="7"/>
      <c r="F286" s="7"/>
    </row>
    <row r="287" spans="1:6" x14ac:dyDescent="0.25">
      <c r="A287" s="7"/>
      <c r="E287" s="7"/>
      <c r="F287" s="7"/>
    </row>
    <row r="288" spans="1:6" x14ac:dyDescent="0.25">
      <c r="A288" s="7"/>
      <c r="E288" s="7"/>
      <c r="F288" s="7"/>
    </row>
    <row r="289" spans="1:6" x14ac:dyDescent="0.25">
      <c r="A289" s="7"/>
      <c r="E289" s="7"/>
      <c r="F289" s="7"/>
    </row>
    <row r="290" spans="1:6" x14ac:dyDescent="0.25">
      <c r="A290" s="7"/>
      <c r="E290" s="7"/>
      <c r="F290" s="7"/>
    </row>
    <row r="291" spans="1:6" x14ac:dyDescent="0.25">
      <c r="A291" s="7"/>
      <c r="E291" s="7"/>
      <c r="F291" s="7"/>
    </row>
    <row r="292" spans="1:6" x14ac:dyDescent="0.25">
      <c r="A292" s="7"/>
      <c r="E292" s="7"/>
      <c r="F292" s="7"/>
    </row>
    <row r="293" spans="1:6" x14ac:dyDescent="0.25">
      <c r="A293" s="7"/>
      <c r="E293" s="7"/>
      <c r="F293" s="7"/>
    </row>
    <row r="294" spans="1:6" x14ac:dyDescent="0.25">
      <c r="A294" s="7"/>
      <c r="E294" s="7"/>
      <c r="F294" s="7"/>
    </row>
    <row r="295" spans="1:6" x14ac:dyDescent="0.25">
      <c r="A295" s="7"/>
      <c r="E295" s="7"/>
      <c r="F295" s="7"/>
    </row>
    <row r="296" spans="1:6" x14ac:dyDescent="0.25">
      <c r="A296" s="7"/>
      <c r="E296" s="7"/>
      <c r="F296" s="7"/>
    </row>
    <row r="297" spans="1:6" x14ac:dyDescent="0.25">
      <c r="A297" s="7"/>
      <c r="E297" s="7"/>
      <c r="F297" s="7"/>
    </row>
    <row r="298" spans="1:6" x14ac:dyDescent="0.25">
      <c r="A298" s="7"/>
      <c r="E298" s="7"/>
      <c r="F298" s="7"/>
    </row>
    <row r="299" spans="1:6" x14ac:dyDescent="0.25">
      <c r="A299" s="7"/>
      <c r="E299" s="7"/>
      <c r="F299" s="7"/>
    </row>
    <row r="300" spans="1:6" x14ac:dyDescent="0.25">
      <c r="A300" s="7"/>
      <c r="E300" s="7"/>
      <c r="F300" s="7"/>
    </row>
    <row r="301" spans="1:6" x14ac:dyDescent="0.25">
      <c r="A301" s="7"/>
      <c r="E301" s="7"/>
      <c r="F301" s="7"/>
    </row>
    <row r="302" spans="1:6" x14ac:dyDescent="0.25">
      <c r="A302" s="7"/>
      <c r="E302" s="7"/>
      <c r="F302" s="7"/>
    </row>
    <row r="303" spans="1:6" x14ac:dyDescent="0.25">
      <c r="A303" s="7"/>
      <c r="E303" s="7"/>
      <c r="F303" s="7"/>
    </row>
    <row r="304" spans="1:6" x14ac:dyDescent="0.25">
      <c r="A304" s="7"/>
      <c r="E304" s="7"/>
      <c r="F304" s="7"/>
    </row>
    <row r="305" spans="1:6" x14ac:dyDescent="0.25">
      <c r="A305" s="7"/>
      <c r="E305" s="7"/>
      <c r="F305" s="7"/>
    </row>
    <row r="306" spans="1:6" x14ac:dyDescent="0.25">
      <c r="A306" s="7"/>
      <c r="E306" s="7"/>
      <c r="F306" s="7"/>
    </row>
    <row r="307" spans="1:6" x14ac:dyDescent="0.25">
      <c r="A307" s="7"/>
      <c r="E307" s="7"/>
      <c r="F307" s="7"/>
    </row>
    <row r="308" spans="1:6" x14ac:dyDescent="0.25">
      <c r="A308" s="7"/>
      <c r="E308" s="7"/>
      <c r="F308" s="7"/>
    </row>
    <row r="309" spans="1:6" x14ac:dyDescent="0.25">
      <c r="A309" s="7"/>
      <c r="E309" s="7"/>
      <c r="F309" s="7"/>
    </row>
    <row r="310" spans="1:6" x14ac:dyDescent="0.25">
      <c r="A310" s="7"/>
      <c r="E310" s="7"/>
      <c r="F310" s="7"/>
    </row>
    <row r="311" spans="1:6" x14ac:dyDescent="0.25">
      <c r="A311" s="7"/>
      <c r="E311" s="7"/>
      <c r="F311" s="7"/>
    </row>
    <row r="312" spans="1:6" x14ac:dyDescent="0.25">
      <c r="A312" s="7"/>
      <c r="E312" s="7"/>
      <c r="F312" s="7"/>
    </row>
    <row r="313" spans="1:6" x14ac:dyDescent="0.25">
      <c r="A313" s="7"/>
      <c r="E313" s="7"/>
      <c r="F313" s="7"/>
    </row>
    <row r="314" spans="1:6" x14ac:dyDescent="0.25">
      <c r="A314" s="7"/>
      <c r="E314" s="7"/>
      <c r="F314" s="7"/>
    </row>
    <row r="315" spans="1:6" x14ac:dyDescent="0.25">
      <c r="A315" s="7"/>
      <c r="E315" s="7"/>
      <c r="F315" s="7"/>
    </row>
    <row r="316" spans="1:6" x14ac:dyDescent="0.25">
      <c r="A316" s="7"/>
      <c r="E316" s="7"/>
      <c r="F316" s="7"/>
    </row>
    <row r="317" spans="1:6" x14ac:dyDescent="0.25">
      <c r="A317" s="7"/>
      <c r="E317" s="7"/>
      <c r="F317" s="7"/>
    </row>
    <row r="318" spans="1:6" x14ac:dyDescent="0.25">
      <c r="A318" s="7"/>
      <c r="E318" s="7"/>
      <c r="F318" s="7"/>
    </row>
    <row r="319" spans="1:6" x14ac:dyDescent="0.25">
      <c r="A319" s="7"/>
      <c r="E319" s="7"/>
      <c r="F319" s="7"/>
    </row>
    <row r="320" spans="1:6" x14ac:dyDescent="0.25">
      <c r="A320" s="7"/>
      <c r="E320" s="7"/>
      <c r="F320" s="7"/>
    </row>
    <row r="321" spans="1:6" x14ac:dyDescent="0.25">
      <c r="A321" s="7"/>
      <c r="E321" s="7"/>
      <c r="F321" s="7"/>
    </row>
    <row r="322" spans="1:6" x14ac:dyDescent="0.25">
      <c r="A322" s="7"/>
      <c r="E322" s="7"/>
      <c r="F322" s="7"/>
    </row>
    <row r="323" spans="1:6" x14ac:dyDescent="0.25">
      <c r="A323" s="7"/>
      <c r="E323" s="7"/>
      <c r="F323" s="7"/>
    </row>
    <row r="324" spans="1:6" x14ac:dyDescent="0.25">
      <c r="A324" s="7"/>
      <c r="E324" s="7"/>
      <c r="F324" s="7"/>
    </row>
    <row r="325" spans="1:6" x14ac:dyDescent="0.25">
      <c r="A325" s="7"/>
      <c r="E325" s="7"/>
      <c r="F325" s="7"/>
    </row>
    <row r="326" spans="1:6" x14ac:dyDescent="0.25">
      <c r="A326" s="7"/>
      <c r="E326" s="7"/>
      <c r="F326" s="7"/>
    </row>
    <row r="327" spans="1:6" x14ac:dyDescent="0.25">
      <c r="A327" s="7"/>
      <c r="E327" s="7"/>
      <c r="F327" s="7"/>
    </row>
    <row r="328" spans="1:6" x14ac:dyDescent="0.25">
      <c r="A328" s="7"/>
      <c r="E328" s="7"/>
      <c r="F328" s="7"/>
    </row>
    <row r="329" spans="1:6" x14ac:dyDescent="0.25">
      <c r="A329" s="7"/>
      <c r="E329" s="7"/>
      <c r="F329" s="7"/>
    </row>
    <row r="330" spans="1:6" x14ac:dyDescent="0.25">
      <c r="A330" s="7"/>
      <c r="E330" s="7"/>
      <c r="F330" s="7"/>
    </row>
    <row r="331" spans="1:6" x14ac:dyDescent="0.25">
      <c r="A331" s="7"/>
      <c r="E331" s="7"/>
      <c r="F331" s="7"/>
    </row>
    <row r="332" spans="1:6" x14ac:dyDescent="0.25">
      <c r="A332" s="7"/>
      <c r="E332" s="7"/>
      <c r="F332" s="7"/>
    </row>
    <row r="333" spans="1:6" x14ac:dyDescent="0.25">
      <c r="A333" s="7"/>
      <c r="E333" s="7"/>
      <c r="F333" s="7"/>
    </row>
    <row r="334" spans="1:6" x14ac:dyDescent="0.25">
      <c r="A334" s="7"/>
      <c r="E334" s="7"/>
      <c r="F334" s="7"/>
    </row>
    <row r="335" spans="1:6" x14ac:dyDescent="0.25">
      <c r="A335" s="7"/>
      <c r="E335" s="7"/>
      <c r="F335" s="7"/>
    </row>
    <row r="336" spans="1:6" x14ac:dyDescent="0.25">
      <c r="A336" s="7"/>
      <c r="E336" s="7"/>
      <c r="F336" s="7"/>
    </row>
    <row r="337" spans="1:6" x14ac:dyDescent="0.25">
      <c r="A337" s="7"/>
      <c r="E337" s="7"/>
      <c r="F337" s="7"/>
    </row>
    <row r="338" spans="1:6" x14ac:dyDescent="0.25">
      <c r="A338" s="7"/>
      <c r="E338" s="7"/>
      <c r="F338" s="7"/>
    </row>
    <row r="339" spans="1:6" x14ac:dyDescent="0.25">
      <c r="A339" s="7"/>
      <c r="E339" s="7"/>
      <c r="F339" s="7"/>
    </row>
    <row r="340" spans="1:6" x14ac:dyDescent="0.25">
      <c r="A340" s="7"/>
      <c r="E340" s="7"/>
      <c r="F340" s="7"/>
    </row>
    <row r="341" spans="1:6" x14ac:dyDescent="0.25">
      <c r="A341" s="7"/>
      <c r="E341" s="7"/>
      <c r="F341" s="7"/>
    </row>
    <row r="342" spans="1:6" x14ac:dyDescent="0.25">
      <c r="A342" s="7"/>
      <c r="E342" s="7"/>
      <c r="F342" s="7"/>
    </row>
    <row r="343" spans="1:6" x14ac:dyDescent="0.25">
      <c r="A343" s="7"/>
      <c r="E343" s="7"/>
      <c r="F343" s="7"/>
    </row>
    <row r="344" spans="1:6" x14ac:dyDescent="0.25">
      <c r="A344" s="7"/>
      <c r="E344" s="7"/>
      <c r="F344" s="7"/>
    </row>
    <row r="345" spans="1:6" x14ac:dyDescent="0.25">
      <c r="A345" s="7"/>
      <c r="E345" s="7"/>
      <c r="F345" s="7"/>
    </row>
    <row r="346" spans="1:6" x14ac:dyDescent="0.25">
      <c r="A346" s="7"/>
      <c r="E346" s="7"/>
      <c r="F346" s="7"/>
    </row>
    <row r="347" spans="1:6" x14ac:dyDescent="0.25">
      <c r="A347" s="7"/>
      <c r="E347" s="7"/>
      <c r="F347" s="7"/>
    </row>
    <row r="348" spans="1:6" x14ac:dyDescent="0.25">
      <c r="A348" s="7"/>
      <c r="E348" s="7"/>
      <c r="F348" s="7"/>
    </row>
    <row r="349" spans="1:6" x14ac:dyDescent="0.25">
      <c r="A349" s="7"/>
      <c r="E349" s="7"/>
      <c r="F349" s="7"/>
    </row>
    <row r="350" spans="1:6" x14ac:dyDescent="0.25">
      <c r="A350" s="7"/>
      <c r="E350" s="7"/>
      <c r="F350" s="7"/>
    </row>
    <row r="351" spans="1:6" x14ac:dyDescent="0.25">
      <c r="A351" s="7"/>
      <c r="E351" s="7"/>
      <c r="F351" s="7"/>
    </row>
    <row r="352" spans="1:6" x14ac:dyDescent="0.25">
      <c r="A352" s="7"/>
      <c r="E352" s="7"/>
      <c r="F352" s="7"/>
    </row>
    <row r="353" spans="1:6" x14ac:dyDescent="0.25">
      <c r="A353" s="7"/>
      <c r="E353" s="7"/>
      <c r="F353" s="7"/>
    </row>
    <row r="354" spans="1:6" x14ac:dyDescent="0.25">
      <c r="A354" s="7"/>
      <c r="E354" s="7"/>
      <c r="F354" s="7"/>
    </row>
    <row r="355" spans="1:6" x14ac:dyDescent="0.25">
      <c r="A355" s="7"/>
      <c r="E355" s="7"/>
      <c r="F355" s="7"/>
    </row>
    <row r="356" spans="1:6" x14ac:dyDescent="0.25">
      <c r="A356" s="7"/>
      <c r="E356" s="7"/>
      <c r="F356" s="7"/>
    </row>
    <row r="357" spans="1:6" x14ac:dyDescent="0.25">
      <c r="A357" s="7"/>
      <c r="E357" s="7"/>
      <c r="F357" s="7"/>
    </row>
    <row r="358" spans="1:6" x14ac:dyDescent="0.25">
      <c r="A358" s="7"/>
      <c r="E358" s="7"/>
      <c r="F358" s="7"/>
    </row>
    <row r="359" spans="1:6" x14ac:dyDescent="0.25">
      <c r="A359" s="7"/>
      <c r="E359" s="7"/>
      <c r="F359" s="7"/>
    </row>
    <row r="360" spans="1:6" x14ac:dyDescent="0.25">
      <c r="A360" s="7"/>
      <c r="E360" s="7"/>
      <c r="F360" s="7"/>
    </row>
    <row r="361" spans="1:6" x14ac:dyDescent="0.25">
      <c r="A361" s="7"/>
      <c r="E361" s="7"/>
      <c r="F361" s="7"/>
    </row>
    <row r="362" spans="1:6" x14ac:dyDescent="0.25">
      <c r="A362" s="7"/>
      <c r="E362" s="7"/>
      <c r="F362" s="7"/>
    </row>
    <row r="363" spans="1:6" x14ac:dyDescent="0.25">
      <c r="A363" s="7"/>
      <c r="E363" s="7"/>
      <c r="F363" s="7"/>
    </row>
    <row r="364" spans="1:6" x14ac:dyDescent="0.25">
      <c r="A364" s="7"/>
      <c r="E364" s="7"/>
      <c r="F364" s="7"/>
    </row>
    <row r="365" spans="1:6" x14ac:dyDescent="0.25">
      <c r="A365" s="7"/>
      <c r="E365" s="7"/>
      <c r="F365" s="7"/>
    </row>
    <row r="366" spans="1:6" x14ac:dyDescent="0.25">
      <c r="A366" s="7"/>
      <c r="E366" s="7"/>
      <c r="F366" s="7"/>
    </row>
    <row r="367" spans="1:6" x14ac:dyDescent="0.25">
      <c r="A367" s="7"/>
      <c r="E367" s="7"/>
      <c r="F367" s="7"/>
    </row>
    <row r="368" spans="1:6" x14ac:dyDescent="0.25">
      <c r="A368" s="7"/>
      <c r="E368" s="7"/>
      <c r="F368" s="7"/>
    </row>
    <row r="369" spans="1:6" x14ac:dyDescent="0.25">
      <c r="A369" s="7"/>
      <c r="E369" s="7"/>
      <c r="F369" s="7"/>
    </row>
    <row r="370" spans="1:6" x14ac:dyDescent="0.25">
      <c r="A370" s="7"/>
      <c r="E370" s="7"/>
      <c r="F370" s="7"/>
    </row>
    <row r="371" spans="1:6" x14ac:dyDescent="0.25">
      <c r="A371" s="7"/>
      <c r="E371" s="7"/>
      <c r="F371" s="7"/>
    </row>
    <row r="372" spans="1:6" x14ac:dyDescent="0.25">
      <c r="A372" s="7"/>
      <c r="E372" s="7"/>
      <c r="F372" s="7"/>
    </row>
    <row r="373" spans="1:6" x14ac:dyDescent="0.25">
      <c r="A373" s="7"/>
      <c r="E373" s="7"/>
      <c r="F373" s="7"/>
    </row>
    <row r="374" spans="1:6" x14ac:dyDescent="0.25">
      <c r="A374" s="7"/>
      <c r="E374" s="7"/>
      <c r="F374" s="7"/>
    </row>
    <row r="375" spans="1:6" x14ac:dyDescent="0.25">
      <c r="A375" s="7"/>
      <c r="E375" s="7"/>
      <c r="F375" s="7"/>
    </row>
    <row r="376" spans="1:6" x14ac:dyDescent="0.25">
      <c r="A376" s="7"/>
      <c r="E376" s="7"/>
      <c r="F376" s="7"/>
    </row>
    <row r="377" spans="1:6" x14ac:dyDescent="0.25">
      <c r="A377" s="7"/>
      <c r="E377" s="7"/>
      <c r="F377" s="7"/>
    </row>
    <row r="378" spans="1:6" x14ac:dyDescent="0.25">
      <c r="A378" s="7"/>
      <c r="E378" s="7"/>
      <c r="F378" s="7"/>
    </row>
    <row r="379" spans="1:6" x14ac:dyDescent="0.25">
      <c r="A379" s="7"/>
      <c r="E379" s="7"/>
      <c r="F379" s="7"/>
    </row>
    <row r="380" spans="1:6" x14ac:dyDescent="0.25">
      <c r="A380" s="7"/>
      <c r="E380" s="7"/>
      <c r="F380" s="7"/>
    </row>
    <row r="381" spans="1:6" x14ac:dyDescent="0.25">
      <c r="A381" s="7"/>
      <c r="E381" s="7"/>
      <c r="F381" s="7"/>
    </row>
    <row r="382" spans="1:6" x14ac:dyDescent="0.25">
      <c r="A382" s="7"/>
      <c r="E382" s="7"/>
      <c r="F382" s="7"/>
    </row>
    <row r="383" spans="1:6" x14ac:dyDescent="0.25">
      <c r="A383" s="7"/>
      <c r="E383" s="7"/>
      <c r="F383" s="7"/>
    </row>
    <row r="384" spans="1:6" x14ac:dyDescent="0.25">
      <c r="A384" s="7"/>
      <c r="E384" s="7"/>
      <c r="F384" s="7"/>
    </row>
    <row r="385" spans="1:6" x14ac:dyDescent="0.25">
      <c r="A385" s="7"/>
      <c r="E385" s="7"/>
      <c r="F385" s="7"/>
    </row>
    <row r="386" spans="1:6" x14ac:dyDescent="0.25">
      <c r="A386" s="7"/>
      <c r="E386" s="7"/>
      <c r="F386" s="7"/>
    </row>
    <row r="387" spans="1:6" x14ac:dyDescent="0.25">
      <c r="A387" s="7"/>
      <c r="E387" s="7"/>
      <c r="F387" s="7"/>
    </row>
    <row r="388" spans="1:6" x14ac:dyDescent="0.25">
      <c r="A388" s="7"/>
      <c r="E388" s="7"/>
      <c r="F388" s="7"/>
    </row>
    <row r="389" spans="1:6" x14ac:dyDescent="0.25">
      <c r="A389" s="7"/>
      <c r="E389" s="7"/>
      <c r="F389" s="7"/>
    </row>
    <row r="390" spans="1:6" x14ac:dyDescent="0.25">
      <c r="A390" s="7"/>
      <c r="E390" s="7"/>
      <c r="F390" s="7"/>
    </row>
    <row r="391" spans="1:6" x14ac:dyDescent="0.25">
      <c r="A391" s="7"/>
      <c r="E391" s="7"/>
      <c r="F391" s="7"/>
    </row>
    <row r="392" spans="1:6" x14ac:dyDescent="0.25">
      <c r="A392" s="7"/>
      <c r="E392" s="7"/>
      <c r="F392" s="7"/>
    </row>
    <row r="393" spans="1:6" x14ac:dyDescent="0.25">
      <c r="A393" s="7"/>
      <c r="E393" s="7"/>
      <c r="F393" s="7"/>
    </row>
    <row r="394" spans="1:6" x14ac:dyDescent="0.25">
      <c r="A394" s="7"/>
      <c r="E394" s="7"/>
      <c r="F394" s="7"/>
    </row>
    <row r="395" spans="1:6" x14ac:dyDescent="0.25">
      <c r="A395" s="7"/>
      <c r="E395" s="7"/>
      <c r="F395" s="7"/>
    </row>
    <row r="396" spans="1:6" x14ac:dyDescent="0.25">
      <c r="A396" s="7"/>
      <c r="E396" s="7"/>
      <c r="F396" s="7"/>
    </row>
    <row r="397" spans="1:6" x14ac:dyDescent="0.25">
      <c r="A397" s="7"/>
      <c r="E397" s="7"/>
      <c r="F397" s="7"/>
    </row>
    <row r="398" spans="1:6" x14ac:dyDescent="0.25">
      <c r="A398" s="7"/>
      <c r="E398" s="7"/>
      <c r="F398" s="7"/>
    </row>
    <row r="399" spans="1:6" x14ac:dyDescent="0.25">
      <c r="A399" s="7"/>
      <c r="E399" s="7"/>
      <c r="F399" s="7"/>
    </row>
    <row r="400" spans="1:6" x14ac:dyDescent="0.25">
      <c r="A400" s="7"/>
      <c r="E400" s="7"/>
      <c r="F400" s="7"/>
    </row>
    <row r="401" spans="1:6" x14ac:dyDescent="0.25">
      <c r="A401" s="7"/>
      <c r="E401" s="7"/>
      <c r="F401" s="7"/>
    </row>
    <row r="402" spans="1:6" x14ac:dyDescent="0.25">
      <c r="A402" s="7"/>
      <c r="E402" s="7"/>
      <c r="F402" s="7"/>
    </row>
    <row r="403" spans="1:6" x14ac:dyDescent="0.25">
      <c r="A403" s="7"/>
      <c r="E403" s="7"/>
      <c r="F403" s="7"/>
    </row>
    <row r="404" spans="1:6" x14ac:dyDescent="0.25">
      <c r="A404" s="7"/>
      <c r="E404" s="7"/>
      <c r="F404" s="7"/>
    </row>
    <row r="405" spans="1:6" x14ac:dyDescent="0.25">
      <c r="A405" s="7"/>
      <c r="E405" s="7"/>
      <c r="F405" s="7"/>
    </row>
    <row r="406" spans="1:6" x14ac:dyDescent="0.25">
      <c r="A406" s="7"/>
      <c r="E406" s="7"/>
      <c r="F406" s="7"/>
    </row>
    <row r="407" spans="1:6" x14ac:dyDescent="0.25">
      <c r="A407" s="7"/>
      <c r="E407" s="7"/>
      <c r="F407" s="7"/>
    </row>
    <row r="408" spans="1:6" x14ac:dyDescent="0.25">
      <c r="A408" s="7"/>
      <c r="E408" s="7"/>
      <c r="F408" s="7"/>
    </row>
    <row r="409" spans="1:6" x14ac:dyDescent="0.25">
      <c r="A409" s="7"/>
      <c r="E409" s="7"/>
      <c r="F409" s="7"/>
    </row>
    <row r="410" spans="1:6" x14ac:dyDescent="0.25">
      <c r="A410" s="7"/>
      <c r="E410" s="7"/>
      <c r="F410" s="7"/>
    </row>
    <row r="411" spans="1:6" x14ac:dyDescent="0.25">
      <c r="A411" s="7"/>
      <c r="E411" s="7"/>
      <c r="F411" s="7"/>
    </row>
    <row r="412" spans="1:6" x14ac:dyDescent="0.25">
      <c r="A412" s="7"/>
      <c r="E412" s="7"/>
      <c r="F412" s="7"/>
    </row>
    <row r="413" spans="1:6" x14ac:dyDescent="0.25">
      <c r="A413" s="7"/>
      <c r="E413" s="7"/>
      <c r="F413" s="7"/>
    </row>
    <row r="414" spans="1:6" x14ac:dyDescent="0.25">
      <c r="A414" s="7"/>
      <c r="E414" s="7"/>
      <c r="F414" s="7"/>
    </row>
    <row r="415" spans="1:6" x14ac:dyDescent="0.25">
      <c r="A415" s="7"/>
      <c r="E415" s="7"/>
      <c r="F415" s="7"/>
    </row>
    <row r="416" spans="1:6" x14ac:dyDescent="0.25">
      <c r="A416" s="7"/>
      <c r="E416" s="7"/>
      <c r="F416" s="7"/>
    </row>
    <row r="417" spans="1:6" x14ac:dyDescent="0.25">
      <c r="A417" s="7"/>
      <c r="E417" s="7"/>
      <c r="F417" s="7"/>
    </row>
    <row r="418" spans="1:6" x14ac:dyDescent="0.25">
      <c r="A418" s="7"/>
      <c r="E418" s="7"/>
      <c r="F418" s="7"/>
    </row>
    <row r="419" spans="1:6" x14ac:dyDescent="0.25">
      <c r="A419" s="7"/>
      <c r="E419" s="7"/>
      <c r="F419" s="7"/>
    </row>
    <row r="420" spans="1:6" x14ac:dyDescent="0.25">
      <c r="A420" s="7"/>
      <c r="E420" s="7"/>
      <c r="F420" s="7"/>
    </row>
    <row r="421" spans="1:6" x14ac:dyDescent="0.25">
      <c r="A421" s="7"/>
      <c r="E421" s="7"/>
      <c r="F421" s="7"/>
    </row>
    <row r="422" spans="1:6" x14ac:dyDescent="0.25">
      <c r="A422" s="7"/>
      <c r="E422" s="7"/>
      <c r="F422" s="7"/>
    </row>
    <row r="423" spans="1:6" x14ac:dyDescent="0.25">
      <c r="A423" s="7"/>
      <c r="E423" s="7"/>
      <c r="F423" s="7"/>
    </row>
    <row r="424" spans="1:6" x14ac:dyDescent="0.25">
      <c r="A424" s="7"/>
      <c r="E424" s="7"/>
      <c r="F424" s="7"/>
    </row>
    <row r="425" spans="1:6" x14ac:dyDescent="0.25">
      <c r="A425" s="7"/>
      <c r="E425" s="7"/>
      <c r="F425" s="7"/>
    </row>
    <row r="426" spans="1:6" x14ac:dyDescent="0.25">
      <c r="A426" s="7"/>
      <c r="E426" s="7"/>
      <c r="F426" s="7"/>
    </row>
    <row r="427" spans="1:6" x14ac:dyDescent="0.25">
      <c r="A427" s="7"/>
      <c r="E427" s="7"/>
      <c r="F427" s="7"/>
    </row>
    <row r="428" spans="1:6" x14ac:dyDescent="0.25">
      <c r="A428" s="7"/>
      <c r="E428" s="7"/>
      <c r="F428" s="7"/>
    </row>
    <row r="429" spans="1:6" x14ac:dyDescent="0.25">
      <c r="A429" s="7"/>
      <c r="E429" s="7"/>
      <c r="F429" s="7"/>
    </row>
    <row r="430" spans="1:6" x14ac:dyDescent="0.25">
      <c r="A430" s="7"/>
      <c r="E430" s="7"/>
      <c r="F430" s="7"/>
    </row>
    <row r="431" spans="1:6" x14ac:dyDescent="0.25">
      <c r="A431" s="7"/>
      <c r="E431" s="7"/>
      <c r="F431" s="7"/>
    </row>
    <row r="432" spans="1:6" x14ac:dyDescent="0.25">
      <c r="A432" s="7"/>
      <c r="E432" s="7"/>
      <c r="F432" s="7"/>
    </row>
    <row r="433" spans="1:6" x14ac:dyDescent="0.25">
      <c r="A433" s="7"/>
      <c r="E433" s="7"/>
      <c r="F433" s="7"/>
    </row>
    <row r="434" spans="1:6" x14ac:dyDescent="0.25">
      <c r="A434" s="7"/>
      <c r="E434" s="7"/>
      <c r="F434" s="7"/>
    </row>
    <row r="435" spans="1:6" x14ac:dyDescent="0.25">
      <c r="A435" s="7"/>
      <c r="E435" s="7"/>
      <c r="F435" s="7"/>
    </row>
    <row r="436" spans="1:6" x14ac:dyDescent="0.25">
      <c r="A436" s="7"/>
      <c r="E436" s="7"/>
      <c r="F436" s="7"/>
    </row>
    <row r="437" spans="1:6" x14ac:dyDescent="0.25">
      <c r="A437" s="7"/>
      <c r="E437" s="7"/>
      <c r="F437" s="7"/>
    </row>
    <row r="438" spans="1:6" x14ac:dyDescent="0.25">
      <c r="A438" s="7"/>
      <c r="E438" s="7"/>
      <c r="F438" s="7"/>
    </row>
    <row r="439" spans="1:6" x14ac:dyDescent="0.25">
      <c r="A439" s="7"/>
      <c r="E439" s="7"/>
      <c r="F439" s="7"/>
    </row>
    <row r="440" spans="1:6" x14ac:dyDescent="0.25">
      <c r="A440" s="7"/>
      <c r="E440" s="7"/>
      <c r="F440" s="7"/>
    </row>
    <row r="441" spans="1:6" x14ac:dyDescent="0.25">
      <c r="A441" s="7"/>
      <c r="E441" s="7"/>
      <c r="F441" s="7"/>
    </row>
    <row r="442" spans="1:6" x14ac:dyDescent="0.25">
      <c r="A442" s="7"/>
      <c r="E442" s="7"/>
      <c r="F442" s="7"/>
    </row>
    <row r="443" spans="1:6" x14ac:dyDescent="0.25">
      <c r="A443" s="7"/>
      <c r="E443" s="7"/>
      <c r="F443" s="7"/>
    </row>
    <row r="444" spans="1:6" x14ac:dyDescent="0.25">
      <c r="A444" s="7"/>
      <c r="E444" s="7"/>
      <c r="F444" s="7"/>
    </row>
    <row r="445" spans="1:6" x14ac:dyDescent="0.25">
      <c r="A445" s="7"/>
      <c r="E445" s="7"/>
      <c r="F445" s="7"/>
    </row>
    <row r="446" spans="1:6" x14ac:dyDescent="0.25">
      <c r="A446" s="7"/>
      <c r="E446" s="7"/>
      <c r="F446" s="7"/>
    </row>
    <row r="447" spans="1:6" x14ac:dyDescent="0.25">
      <c r="A447" s="7"/>
      <c r="E447" s="7"/>
      <c r="F447" s="7"/>
    </row>
    <row r="448" spans="1:6" x14ac:dyDescent="0.25">
      <c r="A448" s="7"/>
      <c r="E448" s="7"/>
      <c r="F448" s="7"/>
    </row>
    <row r="449" spans="1:6" x14ac:dyDescent="0.25">
      <c r="A449" s="7"/>
      <c r="E449" s="7"/>
      <c r="F449" s="7"/>
    </row>
    <row r="450" spans="1:6" x14ac:dyDescent="0.25">
      <c r="A450" s="7"/>
      <c r="E450" s="7"/>
      <c r="F450" s="7"/>
    </row>
    <row r="451" spans="1:6" x14ac:dyDescent="0.25">
      <c r="A451" s="7"/>
      <c r="E451" s="7"/>
      <c r="F451" s="7"/>
    </row>
    <row r="452" spans="1:6" x14ac:dyDescent="0.25">
      <c r="A452" s="7"/>
      <c r="E452" s="7"/>
      <c r="F452" s="7"/>
    </row>
    <row r="453" spans="1:6" x14ac:dyDescent="0.25">
      <c r="A453" s="7"/>
      <c r="E453" s="7"/>
      <c r="F453" s="7"/>
    </row>
    <row r="454" spans="1:6" x14ac:dyDescent="0.25">
      <c r="A454" s="7"/>
      <c r="E454" s="7"/>
      <c r="F454" s="7"/>
    </row>
    <row r="455" spans="1:6" x14ac:dyDescent="0.25">
      <c r="A455" s="7"/>
      <c r="E455" s="7"/>
      <c r="F455" s="7"/>
    </row>
    <row r="456" spans="1:6" x14ac:dyDescent="0.25">
      <c r="A456" s="7"/>
      <c r="E456" s="7"/>
      <c r="F456" s="7"/>
    </row>
    <row r="457" spans="1:6" x14ac:dyDescent="0.25">
      <c r="A457" s="7"/>
      <c r="E457" s="7"/>
      <c r="F457" s="7"/>
    </row>
    <row r="458" spans="1:6" x14ac:dyDescent="0.25">
      <c r="A458" s="7"/>
      <c r="E458" s="7"/>
      <c r="F458" s="7"/>
    </row>
    <row r="459" spans="1:6" x14ac:dyDescent="0.25">
      <c r="A459" s="7"/>
      <c r="E459" s="7"/>
      <c r="F459" s="7"/>
    </row>
    <row r="460" spans="1:6" x14ac:dyDescent="0.25">
      <c r="A460" s="7"/>
      <c r="E460" s="7"/>
      <c r="F460" s="7"/>
    </row>
    <row r="461" spans="1:6" x14ac:dyDescent="0.25">
      <c r="A461" s="7"/>
      <c r="E461" s="7"/>
      <c r="F461" s="7"/>
    </row>
    <row r="462" spans="1:6" x14ac:dyDescent="0.25">
      <c r="A462" s="7"/>
      <c r="E462" s="7"/>
      <c r="F462" s="7"/>
    </row>
    <row r="463" spans="1:6" x14ac:dyDescent="0.25">
      <c r="A463" s="7"/>
      <c r="E463" s="7"/>
      <c r="F463" s="7"/>
    </row>
    <row r="464" spans="1:6" x14ac:dyDescent="0.25">
      <c r="A464" s="7"/>
      <c r="E464" s="7"/>
      <c r="F464" s="7"/>
    </row>
    <row r="465" spans="1:6" x14ac:dyDescent="0.25">
      <c r="A465" s="7"/>
      <c r="E465" s="7"/>
      <c r="F465" s="7"/>
    </row>
    <row r="466" spans="1:6" x14ac:dyDescent="0.25">
      <c r="A466" s="7"/>
      <c r="E466" s="7"/>
      <c r="F466" s="7"/>
    </row>
    <row r="467" spans="1:6" x14ac:dyDescent="0.25">
      <c r="A467" s="7"/>
      <c r="E467" s="7"/>
      <c r="F467" s="7"/>
    </row>
    <row r="468" spans="1:6" x14ac:dyDescent="0.25">
      <c r="A468" s="7"/>
      <c r="E468" s="7"/>
      <c r="F468" s="7"/>
    </row>
    <row r="469" spans="1:6" x14ac:dyDescent="0.25">
      <c r="A469" s="7"/>
      <c r="E469" s="7"/>
      <c r="F469" s="7"/>
    </row>
    <row r="470" spans="1:6" x14ac:dyDescent="0.25">
      <c r="A470" s="7"/>
      <c r="E470" s="7"/>
      <c r="F470" s="7"/>
    </row>
    <row r="471" spans="1:6" x14ac:dyDescent="0.25">
      <c r="A471" s="7"/>
      <c r="E471" s="7"/>
      <c r="F471" s="7"/>
    </row>
    <row r="472" spans="1:6" x14ac:dyDescent="0.25">
      <c r="A472" s="7"/>
      <c r="E472" s="7"/>
      <c r="F472" s="7"/>
    </row>
    <row r="473" spans="1:6" x14ac:dyDescent="0.25">
      <c r="A473" s="7"/>
      <c r="E473" s="7"/>
      <c r="F473" s="7"/>
    </row>
    <row r="474" spans="1:6" x14ac:dyDescent="0.25">
      <c r="A474" s="7"/>
      <c r="E474" s="7"/>
      <c r="F474" s="7"/>
    </row>
    <row r="475" spans="1:6" x14ac:dyDescent="0.25">
      <c r="A475" s="7"/>
      <c r="E475" s="7"/>
      <c r="F475" s="7"/>
    </row>
    <row r="476" spans="1:6" x14ac:dyDescent="0.25">
      <c r="A476" s="7"/>
      <c r="E476" s="7"/>
      <c r="F476" s="7"/>
    </row>
    <row r="477" spans="1:6" x14ac:dyDescent="0.25">
      <c r="A477" s="7"/>
      <c r="E477" s="7"/>
      <c r="F477" s="7"/>
    </row>
    <row r="478" spans="1:6" x14ac:dyDescent="0.25">
      <c r="A478" s="7"/>
      <c r="E478" s="7"/>
      <c r="F478" s="7"/>
    </row>
    <row r="479" spans="1:6" x14ac:dyDescent="0.25">
      <c r="A479" s="7"/>
      <c r="E479" s="7"/>
      <c r="F479" s="7"/>
    </row>
    <row r="480" spans="1:6" x14ac:dyDescent="0.25">
      <c r="A480" s="7"/>
      <c r="E480" s="7"/>
      <c r="F480" s="7"/>
    </row>
    <row r="481" spans="1:6" x14ac:dyDescent="0.25">
      <c r="A481" s="7"/>
      <c r="E481" s="7"/>
      <c r="F481" s="7"/>
    </row>
    <row r="482" spans="1:6" x14ac:dyDescent="0.25">
      <c r="A482" s="7"/>
      <c r="E482" s="7"/>
      <c r="F482" s="7"/>
    </row>
    <row r="483" spans="1:6" x14ac:dyDescent="0.25">
      <c r="A483" s="7"/>
      <c r="E483" s="7"/>
      <c r="F483" s="7"/>
    </row>
    <row r="484" spans="1:6" x14ac:dyDescent="0.25">
      <c r="A484" s="7"/>
      <c r="E484" s="7"/>
      <c r="F484" s="7"/>
    </row>
    <row r="485" spans="1:6" x14ac:dyDescent="0.25">
      <c r="A485" s="7"/>
      <c r="E485" s="7"/>
      <c r="F485" s="7"/>
    </row>
    <row r="486" spans="1:6" x14ac:dyDescent="0.25">
      <c r="A486" s="7"/>
      <c r="E486" s="7"/>
      <c r="F486" s="7"/>
    </row>
    <row r="487" spans="1:6" x14ac:dyDescent="0.25">
      <c r="A487" s="7"/>
      <c r="E487" s="7"/>
      <c r="F487" s="7"/>
    </row>
    <row r="488" spans="1:6" x14ac:dyDescent="0.25">
      <c r="A488" s="7"/>
      <c r="E488" s="7"/>
      <c r="F488" s="7"/>
    </row>
    <row r="489" spans="1:6" x14ac:dyDescent="0.25">
      <c r="A489" s="7"/>
      <c r="E489" s="7"/>
      <c r="F489" s="7"/>
    </row>
    <row r="490" spans="1:6" x14ac:dyDescent="0.25">
      <c r="A490" s="7"/>
      <c r="E490" s="7"/>
      <c r="F490" s="7"/>
    </row>
    <row r="491" spans="1:6" x14ac:dyDescent="0.25">
      <c r="A491" s="7"/>
      <c r="E491" s="7"/>
      <c r="F491" s="7"/>
    </row>
    <row r="492" spans="1:6" x14ac:dyDescent="0.25">
      <c r="A492" s="7"/>
      <c r="E492" s="7"/>
      <c r="F492" s="7"/>
    </row>
    <row r="493" spans="1:6" x14ac:dyDescent="0.25">
      <c r="A493" s="7"/>
      <c r="E493" s="7"/>
      <c r="F493" s="7"/>
    </row>
    <row r="494" spans="1:6" x14ac:dyDescent="0.25">
      <c r="A494" s="7"/>
      <c r="E494" s="7"/>
      <c r="F494" s="7"/>
    </row>
    <row r="495" spans="1:6" x14ac:dyDescent="0.25">
      <c r="A495" s="7"/>
      <c r="E495" s="7"/>
      <c r="F495" s="7"/>
    </row>
    <row r="496" spans="1:6" x14ac:dyDescent="0.25">
      <c r="A496" s="7"/>
      <c r="E496" s="7"/>
      <c r="F496" s="7"/>
    </row>
    <row r="497" spans="1:6" x14ac:dyDescent="0.25">
      <c r="A497" s="7"/>
      <c r="E497" s="7"/>
      <c r="F497" s="7"/>
    </row>
    <row r="498" spans="1:6" x14ac:dyDescent="0.25">
      <c r="A498" s="7"/>
      <c r="E498" s="7"/>
      <c r="F498" s="7"/>
    </row>
    <row r="499" spans="1:6" x14ac:dyDescent="0.25">
      <c r="A499" s="7"/>
      <c r="E499" s="7"/>
      <c r="F499" s="7"/>
    </row>
    <row r="500" spans="1:6" x14ac:dyDescent="0.25">
      <c r="A500" s="7"/>
      <c r="E500" s="7"/>
      <c r="F500" s="7"/>
    </row>
    <row r="501" spans="1:6" x14ac:dyDescent="0.25">
      <c r="A501" s="7"/>
      <c r="E501" s="7"/>
      <c r="F501" s="7"/>
    </row>
    <row r="502" spans="1:6" x14ac:dyDescent="0.25">
      <c r="A502" s="7"/>
      <c r="E502" s="7"/>
      <c r="F502" s="7"/>
    </row>
    <row r="503" spans="1:6" x14ac:dyDescent="0.25">
      <c r="A503" s="7"/>
      <c r="E503" s="7"/>
      <c r="F503" s="7"/>
    </row>
    <row r="504" spans="1:6" x14ac:dyDescent="0.25">
      <c r="A504" s="7"/>
      <c r="E504" s="7"/>
      <c r="F504" s="7"/>
    </row>
    <row r="505" spans="1:6" x14ac:dyDescent="0.25">
      <c r="A505" s="7"/>
      <c r="E505" s="7"/>
      <c r="F505" s="7"/>
    </row>
    <row r="506" spans="1:6" x14ac:dyDescent="0.25">
      <c r="A506" s="7"/>
      <c r="E506" s="7"/>
      <c r="F506" s="7"/>
    </row>
    <row r="507" spans="1:6" x14ac:dyDescent="0.25">
      <c r="A507" s="7"/>
      <c r="E507" s="7"/>
      <c r="F507" s="7"/>
    </row>
    <row r="508" spans="1:6" x14ac:dyDescent="0.25">
      <c r="A508" s="7"/>
      <c r="E508" s="7"/>
      <c r="F508" s="7"/>
    </row>
    <row r="509" spans="1:6" x14ac:dyDescent="0.25">
      <c r="A509" s="7"/>
      <c r="E509" s="7"/>
      <c r="F509" s="7"/>
    </row>
    <row r="510" spans="1:6" x14ac:dyDescent="0.25">
      <c r="A510" s="7"/>
      <c r="E510" s="7"/>
      <c r="F510" s="7"/>
    </row>
    <row r="511" spans="1:6" x14ac:dyDescent="0.25">
      <c r="A511" s="7"/>
      <c r="E511" s="7"/>
      <c r="F511" s="7"/>
    </row>
    <row r="512" spans="1:6" x14ac:dyDescent="0.25">
      <c r="A512" s="7"/>
      <c r="E512" s="7"/>
      <c r="F512" s="7"/>
    </row>
    <row r="513" spans="1:6" x14ac:dyDescent="0.25">
      <c r="A513" s="7"/>
      <c r="E513" s="7"/>
      <c r="F513" s="7"/>
    </row>
    <row r="514" spans="1:6" x14ac:dyDescent="0.25">
      <c r="A514" s="7"/>
      <c r="E514" s="7"/>
      <c r="F514" s="7"/>
    </row>
    <row r="515" spans="1:6" x14ac:dyDescent="0.25">
      <c r="A515" s="7"/>
      <c r="E515" s="7"/>
      <c r="F515" s="7"/>
    </row>
    <row r="516" spans="1:6" x14ac:dyDescent="0.25">
      <c r="A516" s="7"/>
      <c r="E516" s="7"/>
      <c r="F516" s="7"/>
    </row>
    <row r="517" spans="1:6" x14ac:dyDescent="0.25">
      <c r="A517" s="7"/>
      <c r="E517" s="7"/>
      <c r="F517" s="7"/>
    </row>
    <row r="518" spans="1:6" x14ac:dyDescent="0.25">
      <c r="A518" s="7"/>
      <c r="E518" s="7"/>
      <c r="F518" s="7"/>
    </row>
    <row r="519" spans="1:6" x14ac:dyDescent="0.25">
      <c r="A519" s="7"/>
      <c r="E519" s="7"/>
      <c r="F519" s="7"/>
    </row>
    <row r="520" spans="1:6" x14ac:dyDescent="0.25">
      <c r="A520" s="7"/>
      <c r="E520" s="7"/>
      <c r="F520" s="7"/>
    </row>
    <row r="521" spans="1:6" x14ac:dyDescent="0.25">
      <c r="A521" s="7"/>
      <c r="E521" s="7"/>
      <c r="F521" s="7"/>
    </row>
    <row r="522" spans="1:6" x14ac:dyDescent="0.25">
      <c r="A522" s="7"/>
      <c r="E522" s="7"/>
      <c r="F522" s="7"/>
    </row>
    <row r="523" spans="1:6" x14ac:dyDescent="0.25">
      <c r="A523" s="7"/>
      <c r="E523" s="7"/>
      <c r="F523" s="7"/>
    </row>
    <row r="524" spans="1:6" x14ac:dyDescent="0.25">
      <c r="A524" s="7"/>
      <c r="E524" s="7"/>
      <c r="F524" s="7"/>
    </row>
    <row r="525" spans="1:6" x14ac:dyDescent="0.25">
      <c r="A525" s="7"/>
      <c r="E525" s="7"/>
      <c r="F525" s="7"/>
    </row>
    <row r="526" spans="1:6" x14ac:dyDescent="0.25">
      <c r="A526" s="7"/>
      <c r="E526" s="7"/>
      <c r="F526" s="7"/>
    </row>
    <row r="527" spans="1:6" x14ac:dyDescent="0.25">
      <c r="A527" s="7"/>
      <c r="E527" s="7"/>
      <c r="F527" s="7"/>
    </row>
    <row r="528" spans="1:6" x14ac:dyDescent="0.25">
      <c r="A528" s="7"/>
      <c r="E528" s="7"/>
      <c r="F528" s="7"/>
    </row>
    <row r="529" spans="1:6" x14ac:dyDescent="0.25">
      <c r="A529" s="7"/>
      <c r="E529" s="7"/>
      <c r="F529" s="7"/>
    </row>
    <row r="530" spans="1:6" x14ac:dyDescent="0.25">
      <c r="A530" s="7"/>
      <c r="E530" s="7"/>
      <c r="F530" s="7"/>
    </row>
    <row r="531" spans="1:6" x14ac:dyDescent="0.25">
      <c r="A531" s="7"/>
      <c r="E531" s="7"/>
      <c r="F531" s="7"/>
    </row>
    <row r="532" spans="1:6" x14ac:dyDescent="0.25">
      <c r="A532" s="7"/>
      <c r="E532" s="7"/>
      <c r="F532" s="7"/>
    </row>
    <row r="533" spans="1:6" x14ac:dyDescent="0.25">
      <c r="A533" s="7"/>
      <c r="E533" s="7"/>
      <c r="F533" s="7"/>
    </row>
    <row r="534" spans="1:6" x14ac:dyDescent="0.25">
      <c r="A534" s="7"/>
      <c r="E534" s="7"/>
      <c r="F534" s="7"/>
    </row>
    <row r="535" spans="1:6" x14ac:dyDescent="0.25">
      <c r="A535" s="7"/>
      <c r="E535" s="7"/>
      <c r="F535" s="7"/>
    </row>
    <row r="536" spans="1:6" x14ac:dyDescent="0.25">
      <c r="A536" s="7"/>
      <c r="E536" s="7"/>
      <c r="F536" s="7"/>
    </row>
    <row r="537" spans="1:6" x14ac:dyDescent="0.25">
      <c r="A537" s="7"/>
      <c r="E537" s="7"/>
      <c r="F537" s="7"/>
    </row>
    <row r="538" spans="1:6" x14ac:dyDescent="0.25">
      <c r="A538" s="7"/>
      <c r="E538" s="7"/>
      <c r="F538" s="7"/>
    </row>
    <row r="539" spans="1:6" x14ac:dyDescent="0.25">
      <c r="A539" s="7"/>
      <c r="E539" s="7"/>
      <c r="F539" s="7"/>
    </row>
    <row r="540" spans="1:6" x14ac:dyDescent="0.25">
      <c r="A540" s="7"/>
      <c r="E540" s="7"/>
      <c r="F540" s="7"/>
    </row>
    <row r="541" spans="1:6" x14ac:dyDescent="0.25">
      <c r="A541" s="7"/>
      <c r="E541" s="7"/>
      <c r="F541" s="7"/>
    </row>
    <row r="542" spans="1:6" x14ac:dyDescent="0.25">
      <c r="A542" s="7"/>
      <c r="E542" s="7"/>
      <c r="F542" s="7"/>
    </row>
    <row r="543" spans="1:6" x14ac:dyDescent="0.25">
      <c r="A543" s="7"/>
      <c r="E543" s="7"/>
      <c r="F543" s="7"/>
    </row>
    <row r="544" spans="1:6" x14ac:dyDescent="0.25">
      <c r="A544" s="7"/>
      <c r="E544" s="7"/>
      <c r="F544" s="7"/>
    </row>
    <row r="545" spans="1:6" x14ac:dyDescent="0.25">
      <c r="A545" s="7"/>
      <c r="E545" s="7"/>
      <c r="F545" s="7"/>
    </row>
    <row r="546" spans="1:6" x14ac:dyDescent="0.25">
      <c r="A546" s="7"/>
      <c r="E546" s="7"/>
      <c r="F546" s="7"/>
    </row>
    <row r="547" spans="1:6" x14ac:dyDescent="0.25">
      <c r="A547" s="7"/>
      <c r="E547" s="7"/>
      <c r="F547" s="7"/>
    </row>
    <row r="548" spans="1:6" x14ac:dyDescent="0.25">
      <c r="A548" s="7"/>
      <c r="E548" s="7"/>
      <c r="F548" s="7"/>
    </row>
    <row r="549" spans="1:6" x14ac:dyDescent="0.25">
      <c r="A549" s="7"/>
      <c r="E549" s="7"/>
      <c r="F549" s="7"/>
    </row>
    <row r="550" spans="1:6" x14ac:dyDescent="0.25">
      <c r="A550" s="7"/>
      <c r="E550" s="7"/>
      <c r="F550" s="7"/>
    </row>
    <row r="551" spans="1:6" x14ac:dyDescent="0.25">
      <c r="A551" s="7"/>
      <c r="E551" s="7"/>
      <c r="F551" s="7"/>
    </row>
    <row r="552" spans="1:6" x14ac:dyDescent="0.25">
      <c r="A552" s="7"/>
      <c r="E552" s="7"/>
      <c r="F552" s="7"/>
    </row>
    <row r="553" spans="1:6" x14ac:dyDescent="0.25">
      <c r="A553" s="7"/>
      <c r="E553" s="7"/>
      <c r="F553" s="7"/>
    </row>
    <row r="554" spans="1:6" x14ac:dyDescent="0.25">
      <c r="A554" s="7"/>
      <c r="E554" s="7"/>
      <c r="F554" s="7"/>
    </row>
    <row r="555" spans="1:6" x14ac:dyDescent="0.25">
      <c r="A555" s="7"/>
      <c r="E555" s="7"/>
      <c r="F555" s="7"/>
    </row>
    <row r="556" spans="1:6" x14ac:dyDescent="0.25">
      <c r="A556" s="7"/>
      <c r="E556" s="7"/>
      <c r="F556" s="7"/>
    </row>
    <row r="557" spans="1:6" x14ac:dyDescent="0.25">
      <c r="A557" s="7"/>
      <c r="E557" s="7"/>
      <c r="F557" s="7"/>
    </row>
    <row r="558" spans="1:6" x14ac:dyDescent="0.25">
      <c r="A558" s="7"/>
      <c r="E558" s="7"/>
      <c r="F558" s="7"/>
    </row>
    <row r="559" spans="1:6" x14ac:dyDescent="0.25">
      <c r="A559" s="7"/>
      <c r="E559" s="7"/>
      <c r="F559" s="7"/>
    </row>
    <row r="560" spans="1:6" x14ac:dyDescent="0.25">
      <c r="A560" s="7"/>
      <c r="E560" s="7"/>
      <c r="F560" s="7"/>
    </row>
    <row r="561" spans="1:6" x14ac:dyDescent="0.25">
      <c r="A561" s="7"/>
      <c r="E561" s="7"/>
      <c r="F561" s="7"/>
    </row>
    <row r="562" spans="1:6" x14ac:dyDescent="0.25">
      <c r="A562" s="7"/>
      <c r="E562" s="7"/>
      <c r="F562" s="7"/>
    </row>
    <row r="563" spans="1:6" x14ac:dyDescent="0.25">
      <c r="A563" s="7"/>
      <c r="E563" s="7"/>
      <c r="F563" s="7"/>
    </row>
    <row r="564" spans="1:6" x14ac:dyDescent="0.25">
      <c r="A564" s="7"/>
      <c r="E564" s="7"/>
      <c r="F564" s="7"/>
    </row>
    <row r="565" spans="1:6" x14ac:dyDescent="0.25">
      <c r="A565" s="7"/>
      <c r="E565" s="7"/>
      <c r="F565" s="7"/>
    </row>
    <row r="566" spans="1:6" x14ac:dyDescent="0.25">
      <c r="A566" s="7"/>
      <c r="E566" s="7"/>
      <c r="F566" s="7"/>
    </row>
    <row r="567" spans="1:6" x14ac:dyDescent="0.25">
      <c r="A567" s="7"/>
      <c r="E567" s="7"/>
      <c r="F567" s="7"/>
    </row>
    <row r="568" spans="1:6" x14ac:dyDescent="0.25">
      <c r="A568" s="7"/>
      <c r="E568" s="7"/>
      <c r="F568" s="7"/>
    </row>
    <row r="569" spans="1:6" x14ac:dyDescent="0.25">
      <c r="A569" s="7"/>
      <c r="E569" s="7"/>
      <c r="F569" s="7"/>
    </row>
    <row r="570" spans="1:6" x14ac:dyDescent="0.25">
      <c r="A570" s="7"/>
      <c r="E570" s="7"/>
      <c r="F570" s="7"/>
    </row>
    <row r="571" spans="1:6" x14ac:dyDescent="0.25">
      <c r="A571" s="7"/>
      <c r="E571" s="7"/>
      <c r="F571" s="7"/>
    </row>
    <row r="572" spans="1:6" x14ac:dyDescent="0.25">
      <c r="A572" s="7"/>
      <c r="E572" s="7"/>
      <c r="F572" s="7"/>
    </row>
    <row r="573" spans="1:6" x14ac:dyDescent="0.25">
      <c r="A573" s="7"/>
      <c r="E573" s="7"/>
      <c r="F573" s="7"/>
    </row>
    <row r="574" spans="1:6" x14ac:dyDescent="0.25">
      <c r="A574" s="7"/>
      <c r="E574" s="7"/>
      <c r="F574" s="7"/>
    </row>
    <row r="575" spans="1:6" x14ac:dyDescent="0.25">
      <c r="A575" s="7"/>
      <c r="E575" s="7"/>
      <c r="F575" s="7"/>
    </row>
    <row r="576" spans="1:6" x14ac:dyDescent="0.25">
      <c r="A576" s="7"/>
      <c r="E576" s="7"/>
      <c r="F576" s="7"/>
    </row>
    <row r="577" spans="1:6" x14ac:dyDescent="0.25">
      <c r="A577" s="7"/>
      <c r="E577" s="7"/>
      <c r="F577" s="7"/>
    </row>
    <row r="578" spans="1:6" x14ac:dyDescent="0.25">
      <c r="A578" s="7"/>
      <c r="E578" s="7"/>
      <c r="F578" s="7"/>
    </row>
    <row r="579" spans="1:6" x14ac:dyDescent="0.25">
      <c r="A579" s="7"/>
      <c r="E579" s="7"/>
      <c r="F579" s="7"/>
    </row>
    <row r="580" spans="1:6" x14ac:dyDescent="0.25">
      <c r="A580" s="7"/>
      <c r="E580" s="7"/>
      <c r="F580" s="7"/>
    </row>
    <row r="581" spans="1:6" x14ac:dyDescent="0.25">
      <c r="A581" s="7"/>
      <c r="E581" s="7"/>
      <c r="F581" s="7"/>
    </row>
    <row r="582" spans="1:6" x14ac:dyDescent="0.25">
      <c r="A582" s="7"/>
      <c r="E582" s="7"/>
      <c r="F582" s="7"/>
    </row>
    <row r="583" spans="1:6" x14ac:dyDescent="0.25">
      <c r="A583" s="7"/>
      <c r="E583" s="7"/>
      <c r="F583" s="7"/>
    </row>
    <row r="584" spans="1:6" x14ac:dyDescent="0.25">
      <c r="A584" s="7"/>
      <c r="E584" s="7"/>
      <c r="F584" s="7"/>
    </row>
    <row r="585" spans="1:6" x14ac:dyDescent="0.25">
      <c r="A585" s="7"/>
      <c r="E585" s="7"/>
      <c r="F585" s="7"/>
    </row>
    <row r="586" spans="1:6" x14ac:dyDescent="0.25">
      <c r="A586" s="7"/>
      <c r="E586" s="7"/>
      <c r="F586" s="7"/>
    </row>
    <row r="587" spans="1:6" x14ac:dyDescent="0.25">
      <c r="A587" s="7"/>
      <c r="E587" s="7"/>
      <c r="F587" s="7"/>
    </row>
    <row r="588" spans="1:6" x14ac:dyDescent="0.25">
      <c r="A588" s="7"/>
      <c r="E588" s="7"/>
      <c r="F588" s="7"/>
    </row>
    <row r="589" spans="1:6" x14ac:dyDescent="0.25">
      <c r="A589" s="7"/>
      <c r="E589" s="7"/>
      <c r="F589" s="7"/>
    </row>
    <row r="590" spans="1:6" x14ac:dyDescent="0.25">
      <c r="A590" s="7"/>
      <c r="E590" s="7"/>
      <c r="F590" s="7"/>
    </row>
    <row r="591" spans="1:6" x14ac:dyDescent="0.25">
      <c r="A591" s="7"/>
      <c r="E591" s="7"/>
      <c r="F591" s="7"/>
    </row>
    <row r="592" spans="1:6" x14ac:dyDescent="0.25">
      <c r="A592" s="7"/>
      <c r="E592" s="7"/>
      <c r="F592" s="7"/>
    </row>
    <row r="593" spans="1:6" x14ac:dyDescent="0.25">
      <c r="A593" s="7"/>
      <c r="E593" s="7"/>
      <c r="F593" s="7"/>
    </row>
    <row r="594" spans="1:6" x14ac:dyDescent="0.25">
      <c r="A594" s="7"/>
      <c r="E594" s="7"/>
      <c r="F594" s="7"/>
    </row>
    <row r="595" spans="1:6" x14ac:dyDescent="0.25">
      <c r="A595" s="7"/>
      <c r="E595" s="7"/>
      <c r="F595" s="7"/>
    </row>
    <row r="596" spans="1:6" x14ac:dyDescent="0.25">
      <c r="A596" s="7"/>
      <c r="E596" s="7"/>
      <c r="F596" s="7"/>
    </row>
    <row r="597" spans="1:6" x14ac:dyDescent="0.25">
      <c r="A597" s="7"/>
      <c r="E597" s="7"/>
      <c r="F597" s="7"/>
    </row>
    <row r="598" spans="1:6" x14ac:dyDescent="0.25">
      <c r="A598" s="7"/>
      <c r="E598" s="7"/>
      <c r="F598" s="7"/>
    </row>
    <row r="599" spans="1:6" x14ac:dyDescent="0.25">
      <c r="A599" s="7"/>
      <c r="E599" s="7"/>
      <c r="F599" s="7"/>
    </row>
    <row r="600" spans="1:6" x14ac:dyDescent="0.25">
      <c r="A600" s="7"/>
      <c r="E600" s="7"/>
      <c r="F600" s="7"/>
    </row>
    <row r="601" spans="1:6" x14ac:dyDescent="0.25">
      <c r="A601" s="7"/>
      <c r="E601" s="7"/>
      <c r="F601" s="7"/>
    </row>
    <row r="602" spans="1:6" x14ac:dyDescent="0.25">
      <c r="A602" s="7"/>
      <c r="E602" s="7"/>
      <c r="F602" s="7"/>
    </row>
    <row r="603" spans="1:6" x14ac:dyDescent="0.25">
      <c r="A603" s="7"/>
      <c r="E603" s="7"/>
      <c r="F603" s="7"/>
    </row>
    <row r="604" spans="1:6" x14ac:dyDescent="0.25">
      <c r="A604" s="7"/>
      <c r="E604" s="7"/>
      <c r="F604" s="7"/>
    </row>
    <row r="605" spans="1:6" x14ac:dyDescent="0.25">
      <c r="A605" s="7"/>
      <c r="E605" s="7"/>
      <c r="F605" s="7"/>
    </row>
    <row r="606" spans="1:6" x14ac:dyDescent="0.25">
      <c r="A606" s="7"/>
      <c r="E606" s="7"/>
      <c r="F606" s="7"/>
    </row>
    <row r="607" spans="1:6" x14ac:dyDescent="0.25">
      <c r="A607" s="7"/>
      <c r="E607" s="7"/>
      <c r="F607" s="7"/>
    </row>
    <row r="608" spans="1:6" x14ac:dyDescent="0.25">
      <c r="A608" s="7"/>
      <c r="E608" s="7"/>
      <c r="F608" s="7"/>
    </row>
    <row r="609" spans="1:6" x14ac:dyDescent="0.25">
      <c r="A609" s="7"/>
      <c r="E609" s="7"/>
      <c r="F609" s="7"/>
    </row>
    <row r="610" spans="1:6" x14ac:dyDescent="0.25">
      <c r="A610" s="7"/>
      <c r="E610" s="7"/>
      <c r="F610" s="7"/>
    </row>
    <row r="611" spans="1:6" x14ac:dyDescent="0.25">
      <c r="A611" s="7"/>
      <c r="E611" s="7"/>
      <c r="F611" s="7"/>
    </row>
    <row r="612" spans="1:6" x14ac:dyDescent="0.25">
      <c r="A612" s="7"/>
      <c r="E612" s="7"/>
      <c r="F612" s="7"/>
    </row>
    <row r="613" spans="1:6" x14ac:dyDescent="0.25">
      <c r="A613" s="7"/>
      <c r="E613" s="7"/>
      <c r="F613" s="7"/>
    </row>
    <row r="614" spans="1:6" x14ac:dyDescent="0.25">
      <c r="A614" s="7"/>
      <c r="E614" s="7"/>
      <c r="F614" s="7"/>
    </row>
    <row r="615" spans="1:6" x14ac:dyDescent="0.25">
      <c r="A615" s="7"/>
      <c r="E615" s="7"/>
      <c r="F615" s="7"/>
    </row>
    <row r="616" spans="1:6" x14ac:dyDescent="0.25">
      <c r="A616" s="7"/>
      <c r="E616" s="7"/>
      <c r="F616" s="7"/>
    </row>
    <row r="617" spans="1:6" x14ac:dyDescent="0.25">
      <c r="A617" s="7"/>
      <c r="E617" s="7"/>
      <c r="F617" s="7"/>
    </row>
    <row r="618" spans="1:6" x14ac:dyDescent="0.25">
      <c r="A618" s="7"/>
      <c r="E618" s="7"/>
      <c r="F618" s="7"/>
    </row>
    <row r="619" spans="1:6" x14ac:dyDescent="0.25">
      <c r="A619" s="7"/>
      <c r="E619" s="7"/>
      <c r="F619" s="7"/>
    </row>
    <row r="620" spans="1:6" x14ac:dyDescent="0.25">
      <c r="A620" s="7"/>
      <c r="E620" s="7"/>
      <c r="F620" s="7"/>
    </row>
    <row r="621" spans="1:6" x14ac:dyDescent="0.25">
      <c r="A621" s="7"/>
      <c r="E621" s="7"/>
      <c r="F621" s="7"/>
    </row>
    <row r="622" spans="1:6" x14ac:dyDescent="0.25">
      <c r="A622" s="7"/>
      <c r="E622" s="7"/>
      <c r="F622" s="7"/>
    </row>
    <row r="623" spans="1:6" x14ac:dyDescent="0.25">
      <c r="A623" s="7"/>
      <c r="E623" s="7"/>
      <c r="F623" s="7"/>
    </row>
    <row r="624" spans="1:6" x14ac:dyDescent="0.25">
      <c r="A624" s="7"/>
      <c r="E624" s="7"/>
      <c r="F624" s="7"/>
    </row>
    <row r="625" spans="1:6" x14ac:dyDescent="0.25">
      <c r="A625" s="7"/>
      <c r="E625" s="7"/>
      <c r="F625" s="7"/>
    </row>
    <row r="626" spans="1:6" x14ac:dyDescent="0.25">
      <c r="A626" s="7"/>
      <c r="E626" s="7"/>
      <c r="F626" s="7"/>
    </row>
    <row r="627" spans="1:6" x14ac:dyDescent="0.25">
      <c r="A627" s="7"/>
      <c r="E627" s="7"/>
      <c r="F627" s="7"/>
    </row>
    <row r="628" spans="1:6" x14ac:dyDescent="0.25">
      <c r="A628" s="7"/>
      <c r="E628" s="7"/>
      <c r="F628" s="7"/>
    </row>
    <row r="629" spans="1:6" x14ac:dyDescent="0.25">
      <c r="A629" s="7"/>
      <c r="E629" s="7"/>
      <c r="F629" s="7"/>
    </row>
    <row r="630" spans="1:6" x14ac:dyDescent="0.25">
      <c r="A630" s="7"/>
      <c r="E630" s="7"/>
      <c r="F630" s="7"/>
    </row>
    <row r="631" spans="1:6" x14ac:dyDescent="0.25">
      <c r="A631" s="7"/>
      <c r="E631" s="7"/>
      <c r="F631" s="7"/>
    </row>
    <row r="632" spans="1:6" x14ac:dyDescent="0.25">
      <c r="A632" s="7"/>
      <c r="E632" s="7"/>
      <c r="F632" s="7"/>
    </row>
    <row r="633" spans="1:6" x14ac:dyDescent="0.25">
      <c r="A633" s="7"/>
      <c r="E633" s="7"/>
      <c r="F633" s="7"/>
    </row>
    <row r="634" spans="1:6" x14ac:dyDescent="0.25">
      <c r="A634" s="7"/>
      <c r="E634" s="7"/>
      <c r="F634" s="7"/>
    </row>
    <row r="635" spans="1:6" x14ac:dyDescent="0.25">
      <c r="A635" s="7"/>
      <c r="E635" s="7"/>
      <c r="F635" s="7"/>
    </row>
    <row r="636" spans="1:6" x14ac:dyDescent="0.25">
      <c r="A636" s="7"/>
      <c r="E636" s="7"/>
      <c r="F636" s="7"/>
    </row>
    <row r="637" spans="1:6" x14ac:dyDescent="0.25">
      <c r="A637" s="7"/>
      <c r="E637" s="7"/>
      <c r="F637" s="7"/>
    </row>
    <row r="638" spans="1:6" x14ac:dyDescent="0.25">
      <c r="A638" s="7"/>
      <c r="E638" s="7"/>
      <c r="F638" s="7"/>
    </row>
    <row r="639" spans="1:6" x14ac:dyDescent="0.25">
      <c r="A639" s="7"/>
      <c r="E639" s="7"/>
      <c r="F639" s="7"/>
    </row>
    <row r="640" spans="1:6" x14ac:dyDescent="0.25">
      <c r="A640" s="7"/>
      <c r="E640" s="7"/>
      <c r="F640" s="7"/>
    </row>
    <row r="641" spans="1:6" x14ac:dyDescent="0.25">
      <c r="A641" s="7"/>
      <c r="E641" s="7"/>
      <c r="F641" s="7"/>
    </row>
    <row r="642" spans="1:6" x14ac:dyDescent="0.25">
      <c r="A642" s="7"/>
      <c r="E642" s="7"/>
      <c r="F642" s="7"/>
    </row>
    <row r="643" spans="1:6" x14ac:dyDescent="0.25">
      <c r="A643" s="7"/>
      <c r="E643" s="7"/>
      <c r="F643" s="7"/>
    </row>
    <row r="644" spans="1:6" x14ac:dyDescent="0.25">
      <c r="A644" s="7"/>
      <c r="E644" s="7"/>
      <c r="F644" s="7"/>
    </row>
    <row r="645" spans="1:6" x14ac:dyDescent="0.25">
      <c r="A645" s="7"/>
      <c r="E645" s="7"/>
      <c r="F645" s="7"/>
    </row>
    <row r="646" spans="1:6" x14ac:dyDescent="0.25">
      <c r="A646" s="7"/>
      <c r="E646" s="7"/>
      <c r="F646" s="7"/>
    </row>
    <row r="647" spans="1:6" x14ac:dyDescent="0.25">
      <c r="A647" s="7"/>
      <c r="E647" s="7"/>
      <c r="F647" s="7"/>
    </row>
    <row r="648" spans="1:6" x14ac:dyDescent="0.25">
      <c r="A648" s="7"/>
      <c r="E648" s="7"/>
      <c r="F648" s="7"/>
    </row>
    <row r="649" spans="1:6" x14ac:dyDescent="0.25">
      <c r="A649" s="7"/>
      <c r="E649" s="7"/>
      <c r="F649" s="7"/>
    </row>
    <row r="650" spans="1:6" x14ac:dyDescent="0.25">
      <c r="A650" s="7"/>
      <c r="E650" s="7"/>
      <c r="F650" s="7"/>
    </row>
    <row r="651" spans="1:6" x14ac:dyDescent="0.25">
      <c r="A651" s="7"/>
      <c r="E651" s="7"/>
      <c r="F651" s="7"/>
    </row>
    <row r="652" spans="1:6" x14ac:dyDescent="0.25">
      <c r="A652" s="7"/>
      <c r="E652" s="7"/>
      <c r="F652" s="7"/>
    </row>
    <row r="653" spans="1:6" x14ac:dyDescent="0.25">
      <c r="A653" s="7"/>
      <c r="E653" s="7"/>
      <c r="F653" s="7"/>
    </row>
    <row r="654" spans="1:6" x14ac:dyDescent="0.25">
      <c r="A654" s="7"/>
      <c r="E654" s="7"/>
      <c r="F654" s="7"/>
    </row>
    <row r="655" spans="1:6" x14ac:dyDescent="0.25">
      <c r="A655" s="7"/>
      <c r="E655" s="7"/>
      <c r="F655" s="7"/>
    </row>
    <row r="656" spans="1:6" x14ac:dyDescent="0.25">
      <c r="A656" s="7"/>
      <c r="E656" s="7"/>
      <c r="F656" s="7"/>
    </row>
    <row r="657" spans="1:6" x14ac:dyDescent="0.25">
      <c r="A657" s="7"/>
      <c r="E657" s="7"/>
      <c r="F657" s="7"/>
    </row>
    <row r="658" spans="1:6" x14ac:dyDescent="0.25">
      <c r="A658" s="7"/>
      <c r="E658" s="7"/>
      <c r="F658" s="7"/>
    </row>
    <row r="659" spans="1:6" x14ac:dyDescent="0.25">
      <c r="A659" s="7"/>
      <c r="E659" s="7"/>
      <c r="F659" s="7"/>
    </row>
    <row r="660" spans="1:6" x14ac:dyDescent="0.25">
      <c r="A660" s="7"/>
      <c r="E660" s="7"/>
      <c r="F660" s="7"/>
    </row>
    <row r="661" spans="1:6" x14ac:dyDescent="0.25">
      <c r="A661" s="7"/>
      <c r="E661" s="7"/>
      <c r="F661" s="7"/>
    </row>
    <row r="662" spans="1:6" x14ac:dyDescent="0.25">
      <c r="A662" s="7"/>
      <c r="E662" s="7"/>
      <c r="F662" s="7"/>
    </row>
    <row r="663" spans="1:6" x14ac:dyDescent="0.25">
      <c r="A663" s="7"/>
      <c r="E663" s="7"/>
      <c r="F663" s="7"/>
    </row>
    <row r="664" spans="1:6" x14ac:dyDescent="0.25">
      <c r="A664" s="7"/>
      <c r="E664" s="7"/>
      <c r="F664" s="7"/>
    </row>
    <row r="665" spans="1:6" x14ac:dyDescent="0.25">
      <c r="A665" s="7"/>
      <c r="E665" s="7"/>
      <c r="F665" s="7"/>
    </row>
    <row r="666" spans="1:6" x14ac:dyDescent="0.25">
      <c r="A666" s="7"/>
      <c r="E666" s="7"/>
      <c r="F666" s="7"/>
    </row>
    <row r="667" spans="1:6" x14ac:dyDescent="0.25">
      <c r="A667" s="7"/>
      <c r="E667" s="7"/>
      <c r="F667" s="7"/>
    </row>
    <row r="668" spans="1:6" x14ac:dyDescent="0.25">
      <c r="A668" s="7"/>
      <c r="E668" s="7"/>
      <c r="F668" s="7"/>
    </row>
    <row r="669" spans="1:6" x14ac:dyDescent="0.25">
      <c r="A669" s="7"/>
      <c r="E669" s="7"/>
      <c r="F669" s="7"/>
    </row>
    <row r="670" spans="1:6" x14ac:dyDescent="0.25">
      <c r="A670" s="7"/>
      <c r="E670" s="7"/>
      <c r="F670" s="7"/>
    </row>
    <row r="671" spans="1:6" x14ac:dyDescent="0.25">
      <c r="A671" s="7"/>
      <c r="E671" s="7"/>
      <c r="F671" s="7"/>
    </row>
    <row r="672" spans="1:6" x14ac:dyDescent="0.25">
      <c r="A672" s="7"/>
      <c r="E672" s="7"/>
      <c r="F672" s="7"/>
    </row>
    <row r="673" spans="1:6" x14ac:dyDescent="0.25">
      <c r="A673" s="7"/>
      <c r="E673" s="7"/>
      <c r="F673" s="7"/>
    </row>
    <row r="674" spans="1:6" x14ac:dyDescent="0.25">
      <c r="A674" s="7"/>
      <c r="E674" s="7"/>
      <c r="F674" s="7"/>
    </row>
    <row r="675" spans="1:6" x14ac:dyDescent="0.25">
      <c r="A675" s="7"/>
      <c r="E675" s="7"/>
      <c r="F675" s="7"/>
    </row>
    <row r="676" spans="1:6" x14ac:dyDescent="0.25">
      <c r="A676" s="7"/>
      <c r="E676" s="7"/>
      <c r="F676" s="7"/>
    </row>
    <row r="677" spans="1:6" x14ac:dyDescent="0.25">
      <c r="A677" s="7"/>
      <c r="E677" s="7"/>
      <c r="F677" s="7"/>
    </row>
    <row r="678" spans="1:6" x14ac:dyDescent="0.25">
      <c r="A678" s="7"/>
      <c r="E678" s="7"/>
      <c r="F678" s="7"/>
    </row>
    <row r="679" spans="1:6" x14ac:dyDescent="0.25">
      <c r="A679" s="7"/>
      <c r="E679" s="7"/>
      <c r="F679" s="7"/>
    </row>
    <row r="680" spans="1:6" x14ac:dyDescent="0.25">
      <c r="A680" s="7"/>
      <c r="E680" s="7"/>
      <c r="F680" s="7"/>
    </row>
    <row r="681" spans="1:6" x14ac:dyDescent="0.25">
      <c r="A681" s="7"/>
      <c r="E681" s="7"/>
      <c r="F681" s="7"/>
    </row>
    <row r="682" spans="1:6" x14ac:dyDescent="0.25">
      <c r="A682" s="7"/>
      <c r="E682" s="7"/>
      <c r="F682" s="7"/>
    </row>
    <row r="683" spans="1:6" x14ac:dyDescent="0.25">
      <c r="A683" s="7"/>
      <c r="E683" s="7"/>
      <c r="F683" s="7"/>
    </row>
    <row r="684" spans="1:6" x14ac:dyDescent="0.25">
      <c r="A684" s="7"/>
      <c r="E684" s="7"/>
      <c r="F684" s="7"/>
    </row>
    <row r="685" spans="1:6" x14ac:dyDescent="0.25">
      <c r="A685" s="7"/>
      <c r="E685" s="7"/>
      <c r="F685" s="7"/>
    </row>
    <row r="686" spans="1:6" x14ac:dyDescent="0.25">
      <c r="A686" s="7"/>
      <c r="E686" s="7"/>
      <c r="F686" s="7"/>
    </row>
    <row r="687" spans="1:6" x14ac:dyDescent="0.25">
      <c r="A687" s="7"/>
      <c r="E687" s="7"/>
      <c r="F687" s="7"/>
    </row>
    <row r="688" spans="1:6" x14ac:dyDescent="0.25">
      <c r="A688" s="7"/>
      <c r="E688" s="7"/>
      <c r="F688" s="7"/>
    </row>
    <row r="689" spans="1:6" x14ac:dyDescent="0.25">
      <c r="A689" s="7"/>
      <c r="E689" s="7"/>
      <c r="F689" s="7"/>
    </row>
    <row r="690" spans="1:6" x14ac:dyDescent="0.25">
      <c r="A690" s="7"/>
      <c r="E690" s="7"/>
      <c r="F690" s="7"/>
    </row>
    <row r="691" spans="1:6" x14ac:dyDescent="0.25">
      <c r="A691" s="7"/>
      <c r="E691" s="7"/>
      <c r="F691" s="7"/>
    </row>
    <row r="692" spans="1:6" x14ac:dyDescent="0.25">
      <c r="A692" s="7"/>
      <c r="E692" s="7"/>
      <c r="F692" s="7"/>
    </row>
    <row r="693" spans="1:6" x14ac:dyDescent="0.25">
      <c r="A693" s="7"/>
      <c r="E693" s="7"/>
      <c r="F693" s="7"/>
    </row>
    <row r="694" spans="1:6" x14ac:dyDescent="0.25">
      <c r="A694" s="7"/>
      <c r="E694" s="7"/>
      <c r="F694" s="7"/>
    </row>
    <row r="695" spans="1:6" x14ac:dyDescent="0.25">
      <c r="A695" s="7"/>
      <c r="E695" s="7"/>
      <c r="F695" s="7"/>
    </row>
    <row r="696" spans="1:6" x14ac:dyDescent="0.25">
      <c r="A696" s="7"/>
      <c r="E696" s="7"/>
      <c r="F696" s="7"/>
    </row>
    <row r="697" spans="1:6" x14ac:dyDescent="0.25">
      <c r="A697" s="7"/>
      <c r="E697" s="7"/>
      <c r="F697" s="7"/>
    </row>
    <row r="698" spans="1:6" x14ac:dyDescent="0.25">
      <c r="A698" s="7"/>
      <c r="E698" s="7"/>
      <c r="F698" s="7"/>
    </row>
    <row r="699" spans="1:6" x14ac:dyDescent="0.25">
      <c r="A699" s="7"/>
      <c r="E699" s="7"/>
      <c r="F699" s="7"/>
    </row>
    <row r="700" spans="1:6" x14ac:dyDescent="0.25">
      <c r="A700" s="7"/>
      <c r="E700" s="7"/>
      <c r="F700" s="7"/>
    </row>
    <row r="701" spans="1:6" x14ac:dyDescent="0.25">
      <c r="A701" s="7"/>
      <c r="E701" s="7"/>
      <c r="F701" s="7"/>
    </row>
    <row r="702" spans="1:6" x14ac:dyDescent="0.25">
      <c r="A702" s="7"/>
      <c r="E702" s="7"/>
      <c r="F702" s="7"/>
    </row>
    <row r="703" spans="1:6" x14ac:dyDescent="0.25">
      <c r="A703" s="7"/>
      <c r="E703" s="7"/>
      <c r="F703" s="7"/>
    </row>
    <row r="704" spans="1:6" x14ac:dyDescent="0.25">
      <c r="A704" s="7"/>
      <c r="E704" s="7"/>
      <c r="F704" s="7"/>
    </row>
    <row r="705" spans="1:6" x14ac:dyDescent="0.25">
      <c r="A705" s="7"/>
      <c r="E705" s="7"/>
      <c r="F705" s="7"/>
    </row>
    <row r="706" spans="1:6" x14ac:dyDescent="0.25">
      <c r="A706" s="7"/>
      <c r="E706" s="7"/>
      <c r="F706" s="7"/>
    </row>
    <row r="707" spans="1:6" x14ac:dyDescent="0.25">
      <c r="A707" s="7"/>
      <c r="E707" s="7"/>
      <c r="F707" s="7"/>
    </row>
    <row r="708" spans="1:6" x14ac:dyDescent="0.25">
      <c r="A708" s="7"/>
      <c r="E708" s="7"/>
      <c r="F708" s="7"/>
    </row>
    <row r="709" spans="1:6" x14ac:dyDescent="0.25">
      <c r="A709" s="7"/>
      <c r="E709" s="7"/>
      <c r="F709" s="7"/>
    </row>
    <row r="710" spans="1:6" x14ac:dyDescent="0.25">
      <c r="A710" s="7"/>
      <c r="E710" s="7"/>
      <c r="F710" s="7"/>
    </row>
    <row r="711" spans="1:6" x14ac:dyDescent="0.25">
      <c r="A711" s="7"/>
      <c r="E711" s="7"/>
      <c r="F711" s="7"/>
    </row>
    <row r="712" spans="1:6" x14ac:dyDescent="0.25">
      <c r="A712" s="7"/>
      <c r="E712" s="7"/>
      <c r="F712" s="7"/>
    </row>
    <row r="713" spans="1:6" x14ac:dyDescent="0.25">
      <c r="A713" s="7"/>
      <c r="E713" s="7"/>
      <c r="F713" s="7"/>
    </row>
    <row r="714" spans="1:6" x14ac:dyDescent="0.25">
      <c r="A714" s="7"/>
      <c r="E714" s="7"/>
      <c r="F714" s="7"/>
    </row>
    <row r="715" spans="1:6" x14ac:dyDescent="0.25">
      <c r="A715" s="7"/>
      <c r="E715" s="7"/>
      <c r="F715" s="7"/>
    </row>
    <row r="716" spans="1:6" x14ac:dyDescent="0.25">
      <c r="A716" s="7"/>
      <c r="E716" s="7"/>
      <c r="F716" s="7"/>
    </row>
    <row r="717" spans="1:6" x14ac:dyDescent="0.25">
      <c r="A717" s="7"/>
      <c r="E717" s="7"/>
      <c r="F717" s="7"/>
    </row>
    <row r="718" spans="1:6" x14ac:dyDescent="0.25">
      <c r="A718" s="7"/>
      <c r="E718" s="7"/>
      <c r="F718" s="7"/>
    </row>
    <row r="719" spans="1:6" x14ac:dyDescent="0.25">
      <c r="A719" s="7"/>
      <c r="E719" s="7"/>
      <c r="F719" s="7"/>
    </row>
    <row r="720" spans="1:6" x14ac:dyDescent="0.25">
      <c r="A720" s="7"/>
      <c r="E720" s="7"/>
      <c r="F720" s="7"/>
    </row>
    <row r="721" spans="1:6" x14ac:dyDescent="0.25">
      <c r="A721" s="7"/>
      <c r="E721" s="7"/>
      <c r="F721" s="7"/>
    </row>
    <row r="722" spans="1:6" x14ac:dyDescent="0.25">
      <c r="A722" s="7"/>
      <c r="E722" s="7"/>
      <c r="F722" s="7"/>
    </row>
    <row r="723" spans="1:6" x14ac:dyDescent="0.25">
      <c r="A723" s="7"/>
      <c r="E723" s="7"/>
      <c r="F723" s="7"/>
    </row>
    <row r="724" spans="1:6" x14ac:dyDescent="0.25">
      <c r="A724" s="7"/>
      <c r="E724" s="7"/>
      <c r="F724" s="7"/>
    </row>
    <row r="725" spans="1:6" x14ac:dyDescent="0.25">
      <c r="A725" s="7"/>
      <c r="E725" s="7"/>
      <c r="F725" s="7"/>
    </row>
    <row r="726" spans="1:6" x14ac:dyDescent="0.25">
      <c r="A726" s="7"/>
      <c r="E726" s="7"/>
      <c r="F726" s="7"/>
    </row>
    <row r="727" spans="1:6" x14ac:dyDescent="0.25">
      <c r="A727" s="7"/>
      <c r="E727" s="7"/>
      <c r="F727" s="7"/>
    </row>
    <row r="728" spans="1:6" x14ac:dyDescent="0.25">
      <c r="A728" s="7"/>
      <c r="E728" s="7"/>
      <c r="F728" s="7"/>
    </row>
    <row r="729" spans="1:6" x14ac:dyDescent="0.25">
      <c r="A729" s="7"/>
      <c r="E729" s="7"/>
      <c r="F729" s="7"/>
    </row>
    <row r="730" spans="1:6" x14ac:dyDescent="0.25">
      <c r="A730" s="7"/>
      <c r="E730" s="7"/>
      <c r="F730" s="7"/>
    </row>
    <row r="731" spans="1:6" x14ac:dyDescent="0.25">
      <c r="A731" s="7"/>
      <c r="E731" s="7"/>
      <c r="F731" s="7"/>
    </row>
    <row r="732" spans="1:6" x14ac:dyDescent="0.25">
      <c r="A732" s="7"/>
      <c r="E732" s="7"/>
      <c r="F732" s="7"/>
    </row>
    <row r="733" spans="1:6" x14ac:dyDescent="0.25">
      <c r="A733" s="7"/>
      <c r="E733" s="7"/>
      <c r="F733" s="7"/>
    </row>
    <row r="734" spans="1:6" x14ac:dyDescent="0.25">
      <c r="A734" s="7"/>
      <c r="E734" s="7"/>
      <c r="F734" s="7"/>
    </row>
    <row r="735" spans="1:6" x14ac:dyDescent="0.25">
      <c r="A735" s="7"/>
      <c r="E735" s="7"/>
      <c r="F735" s="7"/>
    </row>
    <row r="736" spans="1:6" x14ac:dyDescent="0.25">
      <c r="A736" s="7"/>
      <c r="E736" s="7"/>
      <c r="F736" s="7"/>
    </row>
    <row r="737" spans="1:6" x14ac:dyDescent="0.25">
      <c r="A737" s="7"/>
      <c r="E737" s="7"/>
      <c r="F737" s="7"/>
    </row>
    <row r="738" spans="1:6" x14ac:dyDescent="0.25">
      <c r="A738" s="7"/>
      <c r="E738" s="7"/>
      <c r="F738" s="7"/>
    </row>
    <row r="739" spans="1:6" x14ac:dyDescent="0.25">
      <c r="A739" s="7"/>
      <c r="E739" s="7"/>
      <c r="F739" s="7"/>
    </row>
    <row r="740" spans="1:6" x14ac:dyDescent="0.25">
      <c r="A740" s="7"/>
      <c r="E740" s="7"/>
      <c r="F740" s="7"/>
    </row>
    <row r="741" spans="1:6" x14ac:dyDescent="0.25">
      <c r="A741" s="7"/>
      <c r="E741" s="7"/>
      <c r="F741" s="7"/>
    </row>
    <row r="742" spans="1:6" x14ac:dyDescent="0.25">
      <c r="A742" s="7"/>
      <c r="E742" s="7"/>
      <c r="F742" s="7"/>
    </row>
    <row r="743" spans="1:6" x14ac:dyDescent="0.25">
      <c r="A743" s="7"/>
      <c r="E743" s="7"/>
      <c r="F743" s="7"/>
    </row>
    <row r="744" spans="1:6" x14ac:dyDescent="0.25">
      <c r="A744" s="7"/>
      <c r="E744" s="7"/>
      <c r="F744" s="7"/>
    </row>
    <row r="745" spans="1:6" x14ac:dyDescent="0.25">
      <c r="A745" s="7"/>
      <c r="E745" s="7"/>
      <c r="F745" s="7"/>
    </row>
    <row r="746" spans="1:6" x14ac:dyDescent="0.25">
      <c r="A746" s="7"/>
      <c r="E746" s="7"/>
      <c r="F746" s="7"/>
    </row>
    <row r="747" spans="1:6" x14ac:dyDescent="0.25">
      <c r="A747" s="7"/>
      <c r="E747" s="7"/>
      <c r="F747" s="7"/>
    </row>
    <row r="748" spans="1:6" x14ac:dyDescent="0.25">
      <c r="A748" s="7"/>
      <c r="E748" s="7"/>
      <c r="F748" s="7"/>
    </row>
    <row r="749" spans="1:6" x14ac:dyDescent="0.25">
      <c r="A749" s="7"/>
      <c r="E749" s="7"/>
      <c r="F749" s="7"/>
    </row>
    <row r="750" spans="1:6" x14ac:dyDescent="0.25">
      <c r="A750" s="7"/>
      <c r="E750" s="7"/>
      <c r="F750" s="7"/>
    </row>
    <row r="751" spans="1:6" x14ac:dyDescent="0.25">
      <c r="A751" s="7"/>
      <c r="E751" s="7"/>
      <c r="F751" s="7"/>
    </row>
    <row r="752" spans="1:6" x14ac:dyDescent="0.25">
      <c r="A752" s="7"/>
      <c r="E752" s="7"/>
      <c r="F752" s="7"/>
    </row>
    <row r="753" spans="1:6" x14ac:dyDescent="0.25">
      <c r="A753" s="7"/>
      <c r="E753" s="7"/>
      <c r="F753" s="7"/>
    </row>
    <row r="754" spans="1:6" x14ac:dyDescent="0.25">
      <c r="A754" s="7"/>
      <c r="E754" s="7"/>
      <c r="F754" s="7"/>
    </row>
    <row r="755" spans="1:6" x14ac:dyDescent="0.25">
      <c r="A755" s="7"/>
      <c r="E755" s="7"/>
      <c r="F755" s="7"/>
    </row>
    <row r="756" spans="1:6" x14ac:dyDescent="0.25">
      <c r="A756" s="7"/>
      <c r="E756" s="7"/>
      <c r="F756" s="7"/>
    </row>
    <row r="757" spans="1:6" x14ac:dyDescent="0.25">
      <c r="A757" s="7"/>
      <c r="E757" s="7"/>
      <c r="F757" s="7"/>
    </row>
    <row r="758" spans="1:6" x14ac:dyDescent="0.25">
      <c r="A758" s="7"/>
      <c r="E758" s="7"/>
      <c r="F758" s="7"/>
    </row>
    <row r="759" spans="1:6" x14ac:dyDescent="0.25">
      <c r="A759" s="7"/>
      <c r="E759" s="7"/>
      <c r="F759" s="7"/>
    </row>
    <row r="760" spans="1:6" x14ac:dyDescent="0.25">
      <c r="A760" s="7"/>
      <c r="E760" s="7"/>
      <c r="F760" s="7"/>
    </row>
    <row r="761" spans="1:6" x14ac:dyDescent="0.25">
      <c r="A761" s="7"/>
      <c r="E761" s="7"/>
      <c r="F761" s="7"/>
    </row>
    <row r="762" spans="1:6" x14ac:dyDescent="0.25">
      <c r="A762" s="7"/>
      <c r="E762" s="7"/>
      <c r="F762" s="7"/>
    </row>
    <row r="763" spans="1:6" x14ac:dyDescent="0.25">
      <c r="A763" s="7"/>
      <c r="E763" s="7"/>
      <c r="F763" s="7"/>
    </row>
    <row r="764" spans="1:6" x14ac:dyDescent="0.25">
      <c r="A764" s="7"/>
      <c r="E764" s="7"/>
      <c r="F764" s="7"/>
    </row>
    <row r="765" spans="1:6" x14ac:dyDescent="0.25">
      <c r="A765" s="7"/>
      <c r="E765" s="7"/>
      <c r="F765" s="7"/>
    </row>
    <row r="766" spans="1:6" x14ac:dyDescent="0.25">
      <c r="A766" s="7"/>
      <c r="E766" s="7"/>
      <c r="F766" s="7"/>
    </row>
    <row r="767" spans="1:6" x14ac:dyDescent="0.25">
      <c r="A767" s="7"/>
      <c r="E767" s="7"/>
      <c r="F767" s="7"/>
    </row>
    <row r="768" spans="1:6" x14ac:dyDescent="0.25">
      <c r="A768" s="7"/>
      <c r="E768" s="7"/>
      <c r="F768" s="7"/>
    </row>
    <row r="769" spans="1:6" x14ac:dyDescent="0.25">
      <c r="A769" s="7"/>
      <c r="E769" s="7"/>
      <c r="F769" s="7"/>
    </row>
    <row r="770" spans="1:6" x14ac:dyDescent="0.25">
      <c r="A770" s="7"/>
      <c r="E770" s="7"/>
      <c r="F770" s="7"/>
    </row>
    <row r="771" spans="1:6" x14ac:dyDescent="0.25">
      <c r="A771" s="7"/>
      <c r="E771" s="7"/>
      <c r="F771" s="7"/>
    </row>
    <row r="772" spans="1:6" x14ac:dyDescent="0.25">
      <c r="A772" s="7"/>
      <c r="E772" s="7"/>
      <c r="F772" s="7"/>
    </row>
    <row r="773" spans="1:6" x14ac:dyDescent="0.25">
      <c r="A773" s="7"/>
      <c r="E773" s="7"/>
      <c r="F773" s="7"/>
    </row>
    <row r="774" spans="1:6" x14ac:dyDescent="0.25">
      <c r="A774" s="7"/>
      <c r="E774" s="7"/>
      <c r="F774" s="7"/>
    </row>
    <row r="775" spans="1:6" x14ac:dyDescent="0.25">
      <c r="A775" s="7"/>
      <c r="E775" s="7"/>
      <c r="F775" s="7"/>
    </row>
    <row r="776" spans="1:6" x14ac:dyDescent="0.25">
      <c r="A776" s="7"/>
      <c r="E776" s="7"/>
      <c r="F776" s="7"/>
    </row>
    <row r="777" spans="1:6" x14ac:dyDescent="0.25">
      <c r="A777" s="7"/>
      <c r="E777" s="7"/>
      <c r="F777" s="7"/>
    </row>
    <row r="778" spans="1:6" x14ac:dyDescent="0.25">
      <c r="A778" s="7"/>
      <c r="E778" s="7"/>
      <c r="F778" s="7"/>
    </row>
    <row r="779" spans="1:6" x14ac:dyDescent="0.25">
      <c r="A779" s="7"/>
      <c r="E779" s="7"/>
      <c r="F779" s="7"/>
    </row>
    <row r="780" spans="1:6" x14ac:dyDescent="0.25">
      <c r="A780" s="7"/>
      <c r="E780" s="7"/>
      <c r="F780" s="7"/>
    </row>
    <row r="781" spans="1:6" x14ac:dyDescent="0.25">
      <c r="A781" s="7"/>
      <c r="E781" s="7"/>
      <c r="F781" s="7"/>
    </row>
    <row r="782" spans="1:6" x14ac:dyDescent="0.25">
      <c r="A782" s="7"/>
      <c r="E782" s="7"/>
      <c r="F782" s="7"/>
    </row>
    <row r="783" spans="1:6" x14ac:dyDescent="0.25">
      <c r="A783" s="7"/>
      <c r="E783" s="7"/>
      <c r="F783" s="7"/>
    </row>
    <row r="784" spans="1:6" x14ac:dyDescent="0.25">
      <c r="A784" s="7"/>
      <c r="E784" s="7"/>
      <c r="F784" s="7"/>
    </row>
    <row r="785" spans="1:6" x14ac:dyDescent="0.25">
      <c r="A785" s="7"/>
      <c r="E785" s="7"/>
      <c r="F785" s="7"/>
    </row>
    <row r="786" spans="1:6" x14ac:dyDescent="0.25">
      <c r="A786" s="7"/>
      <c r="E786" s="7"/>
      <c r="F786" s="7"/>
    </row>
    <row r="787" spans="1:6" x14ac:dyDescent="0.25">
      <c r="A787" s="7"/>
      <c r="E787" s="7"/>
      <c r="F787" s="7"/>
    </row>
    <row r="788" spans="1:6" x14ac:dyDescent="0.25">
      <c r="A788" s="7"/>
      <c r="E788" s="7"/>
      <c r="F788" s="7"/>
    </row>
    <row r="789" spans="1:6" x14ac:dyDescent="0.25">
      <c r="A789" s="7"/>
      <c r="E789" s="7"/>
      <c r="F789" s="7"/>
    </row>
    <row r="790" spans="1:6" x14ac:dyDescent="0.25">
      <c r="A790" s="7"/>
      <c r="E790" s="7"/>
      <c r="F790" s="7"/>
    </row>
    <row r="791" spans="1:6" x14ac:dyDescent="0.25">
      <c r="A791" s="7"/>
      <c r="E791" s="7"/>
      <c r="F791" s="7"/>
    </row>
    <row r="792" spans="1:6" x14ac:dyDescent="0.25">
      <c r="A792" s="7"/>
      <c r="E792" s="7"/>
      <c r="F792" s="7"/>
    </row>
    <row r="793" spans="1:6" x14ac:dyDescent="0.25">
      <c r="A793" s="7"/>
      <c r="E793" s="7"/>
      <c r="F793" s="7"/>
    </row>
    <row r="794" spans="1:6" x14ac:dyDescent="0.25">
      <c r="A794" s="7"/>
      <c r="E794" s="7"/>
      <c r="F794" s="7"/>
    </row>
    <row r="795" spans="1:6" x14ac:dyDescent="0.25">
      <c r="A795" s="7"/>
      <c r="E795" s="7"/>
      <c r="F795" s="7"/>
    </row>
    <row r="796" spans="1:6" x14ac:dyDescent="0.25">
      <c r="A796" s="7"/>
      <c r="E796" s="7"/>
      <c r="F796" s="7"/>
    </row>
    <row r="797" spans="1:6" x14ac:dyDescent="0.25">
      <c r="A797" s="7"/>
      <c r="E797" s="7"/>
      <c r="F797" s="7"/>
    </row>
    <row r="798" spans="1:6" x14ac:dyDescent="0.25">
      <c r="A798" s="7"/>
      <c r="E798" s="7"/>
      <c r="F798" s="7"/>
    </row>
    <row r="799" spans="1:6" x14ac:dyDescent="0.25">
      <c r="A799" s="7"/>
      <c r="E799" s="7"/>
      <c r="F799" s="7"/>
    </row>
    <row r="800" spans="1:6" x14ac:dyDescent="0.25">
      <c r="A800" s="7"/>
      <c r="E800" s="7"/>
      <c r="F800" s="7"/>
    </row>
    <row r="801" spans="1:6" x14ac:dyDescent="0.25">
      <c r="A801" s="7"/>
      <c r="E801" s="7"/>
      <c r="F801" s="7"/>
    </row>
    <row r="802" spans="1:6" x14ac:dyDescent="0.25">
      <c r="A802" s="7"/>
      <c r="E802" s="7"/>
      <c r="F802" s="7"/>
    </row>
    <row r="803" spans="1:6" x14ac:dyDescent="0.25">
      <c r="A803" s="7"/>
      <c r="E803" s="7"/>
      <c r="F803" s="7"/>
    </row>
    <row r="804" spans="1:6" x14ac:dyDescent="0.25">
      <c r="A804" s="7"/>
      <c r="E804" s="7"/>
      <c r="F804" s="7"/>
    </row>
    <row r="805" spans="1:6" x14ac:dyDescent="0.25">
      <c r="A805" s="7"/>
      <c r="E805" s="7"/>
      <c r="F805" s="7"/>
    </row>
    <row r="806" spans="1:6" x14ac:dyDescent="0.25">
      <c r="A806" s="7"/>
      <c r="E806" s="7"/>
      <c r="F806" s="7"/>
    </row>
    <row r="807" spans="1:6" x14ac:dyDescent="0.25">
      <c r="A807" s="7"/>
      <c r="E807" s="7"/>
      <c r="F807" s="7"/>
    </row>
    <row r="808" spans="1:6" x14ac:dyDescent="0.25">
      <c r="A808" s="7"/>
      <c r="E808" s="7"/>
      <c r="F808" s="7"/>
    </row>
    <row r="809" spans="1:6" x14ac:dyDescent="0.25">
      <c r="A809" s="7"/>
      <c r="E809" s="7"/>
      <c r="F809" s="7"/>
    </row>
    <row r="810" spans="1:6" x14ac:dyDescent="0.25">
      <c r="A810" s="7"/>
      <c r="E810" s="7"/>
      <c r="F810" s="7"/>
    </row>
    <row r="811" spans="1:6" x14ac:dyDescent="0.25">
      <c r="A811" s="7"/>
      <c r="E811" s="7"/>
      <c r="F811" s="7"/>
    </row>
    <row r="812" spans="1:6" x14ac:dyDescent="0.25">
      <c r="A812" s="7"/>
      <c r="E812" s="7"/>
      <c r="F812" s="7"/>
    </row>
    <row r="813" spans="1:6" x14ac:dyDescent="0.25">
      <c r="A813" s="7"/>
      <c r="E813" s="7"/>
      <c r="F813" s="7"/>
    </row>
    <row r="814" spans="1:6" x14ac:dyDescent="0.25">
      <c r="A814" s="7"/>
      <c r="E814" s="7"/>
      <c r="F814" s="7"/>
    </row>
    <row r="815" spans="1:6" x14ac:dyDescent="0.25">
      <c r="A815" s="7"/>
      <c r="E815" s="7"/>
      <c r="F815" s="7"/>
    </row>
    <row r="816" spans="1:6" x14ac:dyDescent="0.25">
      <c r="A816" s="7"/>
      <c r="E816" s="7"/>
      <c r="F816" s="7"/>
    </row>
    <row r="817" spans="1:6" x14ac:dyDescent="0.25">
      <c r="A817" s="7"/>
      <c r="E817" s="7"/>
      <c r="F817" s="7"/>
    </row>
    <row r="818" spans="1:6" x14ac:dyDescent="0.25">
      <c r="A818" s="7"/>
      <c r="E818" s="7"/>
      <c r="F818" s="7"/>
    </row>
    <row r="819" spans="1:6" x14ac:dyDescent="0.25">
      <c r="A819" s="7"/>
      <c r="E819" s="7"/>
      <c r="F819" s="7"/>
    </row>
    <row r="820" spans="1:6" x14ac:dyDescent="0.25">
      <c r="A820" s="7"/>
      <c r="E820" s="7"/>
      <c r="F820" s="7"/>
    </row>
    <row r="821" spans="1:6" x14ac:dyDescent="0.25">
      <c r="A821" s="7"/>
      <c r="E821" s="7"/>
      <c r="F821" s="7"/>
    </row>
    <row r="822" spans="1:6" x14ac:dyDescent="0.25">
      <c r="A822" s="7"/>
      <c r="E822" s="7"/>
      <c r="F822" s="7"/>
    </row>
    <row r="823" spans="1:6" x14ac:dyDescent="0.25">
      <c r="A823" s="7"/>
      <c r="E823" s="7"/>
      <c r="F823" s="7"/>
    </row>
    <row r="824" spans="1:6" x14ac:dyDescent="0.25">
      <c r="A824" s="7"/>
      <c r="E824" s="7"/>
      <c r="F824" s="7"/>
    </row>
    <row r="825" spans="1:6" x14ac:dyDescent="0.25">
      <c r="A825" s="7"/>
      <c r="E825" s="7"/>
      <c r="F825" s="7"/>
    </row>
    <row r="826" spans="1:6" x14ac:dyDescent="0.25">
      <c r="A826" s="7"/>
      <c r="E826" s="7"/>
      <c r="F826" s="7"/>
    </row>
    <row r="827" spans="1:6" x14ac:dyDescent="0.25">
      <c r="A827" s="7"/>
      <c r="E827" s="7"/>
      <c r="F827" s="7"/>
    </row>
    <row r="828" spans="1:6" x14ac:dyDescent="0.25">
      <c r="A828" s="7"/>
      <c r="E828" s="7"/>
      <c r="F828" s="7"/>
    </row>
    <row r="829" spans="1:6" x14ac:dyDescent="0.25">
      <c r="A829" s="7"/>
      <c r="E829" s="7"/>
      <c r="F829" s="7"/>
    </row>
    <row r="830" spans="1:6" x14ac:dyDescent="0.25">
      <c r="A830" s="7"/>
      <c r="E830" s="7"/>
      <c r="F830" s="7"/>
    </row>
    <row r="831" spans="1:6" x14ac:dyDescent="0.25">
      <c r="A831" s="7"/>
      <c r="E831" s="7"/>
      <c r="F831" s="7"/>
    </row>
    <row r="832" spans="1:6" x14ac:dyDescent="0.25">
      <c r="A832" s="7"/>
      <c r="E832" s="7"/>
      <c r="F832" s="7"/>
    </row>
    <row r="833" spans="1:6" x14ac:dyDescent="0.25">
      <c r="A833" s="7"/>
      <c r="E833" s="7"/>
      <c r="F833" s="7"/>
    </row>
    <row r="834" spans="1:6" x14ac:dyDescent="0.25">
      <c r="A834" s="7"/>
      <c r="E834" s="7"/>
      <c r="F834" s="7"/>
    </row>
    <row r="835" spans="1:6" x14ac:dyDescent="0.25">
      <c r="A835" s="7"/>
      <c r="E835" s="7"/>
      <c r="F835" s="7"/>
    </row>
    <row r="836" spans="1:6" x14ac:dyDescent="0.25">
      <c r="A836" s="7"/>
      <c r="E836" s="7"/>
      <c r="F836" s="7"/>
    </row>
    <row r="837" spans="1:6" x14ac:dyDescent="0.25">
      <c r="A837" s="7"/>
      <c r="E837" s="7"/>
      <c r="F837" s="7"/>
    </row>
    <row r="838" spans="1:6" x14ac:dyDescent="0.25">
      <c r="A838" s="7"/>
      <c r="E838" s="7"/>
      <c r="F838" s="7"/>
    </row>
    <row r="839" spans="1:6" x14ac:dyDescent="0.25">
      <c r="A839" s="7"/>
      <c r="E839" s="7"/>
      <c r="F839" s="7"/>
    </row>
    <row r="840" spans="1:6" x14ac:dyDescent="0.25">
      <c r="A840" s="7"/>
      <c r="E840" s="7"/>
      <c r="F840" s="7"/>
    </row>
    <row r="841" spans="1:6" x14ac:dyDescent="0.25">
      <c r="A841" s="7"/>
      <c r="E841" s="7"/>
      <c r="F841" s="7"/>
    </row>
    <row r="842" spans="1:6" x14ac:dyDescent="0.25">
      <c r="A842" s="7"/>
      <c r="E842" s="7"/>
      <c r="F842" s="7"/>
    </row>
    <row r="843" spans="1:6" x14ac:dyDescent="0.25">
      <c r="A843" s="7"/>
      <c r="E843" s="7"/>
      <c r="F843" s="7"/>
    </row>
    <row r="844" spans="1:6" x14ac:dyDescent="0.25">
      <c r="A844" s="7"/>
      <c r="E844" s="7"/>
      <c r="F844" s="7"/>
    </row>
    <row r="845" spans="1:6" x14ac:dyDescent="0.25">
      <c r="A845" s="7"/>
      <c r="E845" s="7"/>
      <c r="F845" s="7"/>
    </row>
    <row r="846" spans="1:6" x14ac:dyDescent="0.25">
      <c r="A846" s="7"/>
      <c r="E846" s="7"/>
      <c r="F846" s="7"/>
    </row>
    <row r="847" spans="1:6" x14ac:dyDescent="0.25">
      <c r="A847" s="7"/>
      <c r="E847" s="7"/>
      <c r="F847" s="7"/>
    </row>
    <row r="848" spans="1:6" x14ac:dyDescent="0.25">
      <c r="A848" s="7"/>
      <c r="E848" s="7"/>
      <c r="F848" s="7"/>
    </row>
    <row r="849" spans="1:6" x14ac:dyDescent="0.25">
      <c r="A849" s="7"/>
      <c r="E849" s="7"/>
      <c r="F849" s="7"/>
    </row>
    <row r="850" spans="1:6" x14ac:dyDescent="0.25">
      <c r="A850" s="7"/>
      <c r="E850" s="7"/>
      <c r="F850" s="7"/>
    </row>
    <row r="851" spans="1:6" x14ac:dyDescent="0.25">
      <c r="A851" s="7"/>
      <c r="E851" s="7"/>
      <c r="F851" s="7"/>
    </row>
    <row r="852" spans="1:6" x14ac:dyDescent="0.25">
      <c r="A852" s="7"/>
      <c r="E852" s="7"/>
      <c r="F852" s="7"/>
    </row>
    <row r="853" spans="1:6" x14ac:dyDescent="0.25">
      <c r="A853" s="7"/>
      <c r="E853" s="7"/>
      <c r="F853" s="7"/>
    </row>
    <row r="854" spans="1:6" x14ac:dyDescent="0.25">
      <c r="A854" s="7"/>
      <c r="E854" s="7"/>
      <c r="F854" s="7"/>
    </row>
    <row r="855" spans="1:6" x14ac:dyDescent="0.25">
      <c r="A855" s="7"/>
      <c r="E855" s="7"/>
      <c r="F855" s="7"/>
    </row>
    <row r="856" spans="1:6" x14ac:dyDescent="0.25">
      <c r="A856" s="7"/>
      <c r="E856" s="7"/>
      <c r="F856" s="7"/>
    </row>
    <row r="857" spans="1:6" x14ac:dyDescent="0.25">
      <c r="A857" s="7"/>
      <c r="E857" s="7"/>
      <c r="F857" s="7"/>
    </row>
    <row r="858" spans="1:6" x14ac:dyDescent="0.25">
      <c r="A858" s="7"/>
      <c r="E858" s="7"/>
      <c r="F858" s="7"/>
    </row>
    <row r="859" spans="1:6" x14ac:dyDescent="0.25">
      <c r="A859" s="7"/>
      <c r="E859" s="7"/>
      <c r="F859" s="7"/>
    </row>
    <row r="860" spans="1:6" x14ac:dyDescent="0.25">
      <c r="A860" s="7"/>
      <c r="E860" s="7"/>
      <c r="F860" s="7"/>
    </row>
    <row r="861" spans="1:6" x14ac:dyDescent="0.25">
      <c r="A861" s="7"/>
      <c r="E861" s="7"/>
      <c r="F861" s="7"/>
    </row>
    <row r="862" spans="1:6" x14ac:dyDescent="0.25">
      <c r="A862" s="7"/>
      <c r="E862" s="7"/>
      <c r="F862" s="7"/>
    </row>
    <row r="863" spans="1:6" x14ac:dyDescent="0.25">
      <c r="A863" s="7"/>
      <c r="E863" s="7"/>
      <c r="F863" s="7"/>
    </row>
    <row r="864" spans="1:6" x14ac:dyDescent="0.25">
      <c r="A864" s="7"/>
      <c r="E864" s="7"/>
      <c r="F864" s="7"/>
    </row>
    <row r="865" spans="1:6" x14ac:dyDescent="0.25">
      <c r="A865" s="7"/>
      <c r="E865" s="7"/>
      <c r="F865" s="7"/>
    </row>
    <row r="866" spans="1:6" x14ac:dyDescent="0.25">
      <c r="A866" s="7"/>
      <c r="E866" s="7"/>
      <c r="F866" s="7"/>
    </row>
    <row r="867" spans="1:6" x14ac:dyDescent="0.25">
      <c r="A867" s="7"/>
      <c r="E867" s="7"/>
      <c r="F867" s="7"/>
    </row>
    <row r="868" spans="1:6" x14ac:dyDescent="0.25">
      <c r="A868" s="7"/>
      <c r="E868" s="7"/>
      <c r="F868" s="7"/>
    </row>
    <row r="869" spans="1:6" x14ac:dyDescent="0.25">
      <c r="A869" s="7"/>
      <c r="E869" s="7"/>
      <c r="F869" s="7"/>
    </row>
    <row r="870" spans="1:6" x14ac:dyDescent="0.25">
      <c r="A870" s="7"/>
      <c r="E870" s="7"/>
      <c r="F870" s="7"/>
    </row>
    <row r="871" spans="1:6" x14ac:dyDescent="0.25">
      <c r="A871" s="7"/>
      <c r="E871" s="7"/>
      <c r="F871" s="7"/>
    </row>
    <row r="872" spans="1:6" x14ac:dyDescent="0.25">
      <c r="A872" s="7"/>
      <c r="E872" s="7"/>
      <c r="F872" s="7"/>
    </row>
    <row r="873" spans="1:6" x14ac:dyDescent="0.25">
      <c r="A873" s="7"/>
      <c r="E873" s="7"/>
      <c r="F873" s="7"/>
    </row>
    <row r="874" spans="1:6" x14ac:dyDescent="0.25">
      <c r="A874" s="7"/>
      <c r="E874" s="7"/>
      <c r="F874" s="7"/>
    </row>
    <row r="875" spans="1:6" x14ac:dyDescent="0.25">
      <c r="A875" s="7"/>
      <c r="E875" s="7"/>
      <c r="F875" s="7"/>
    </row>
    <row r="876" spans="1:6" x14ac:dyDescent="0.25">
      <c r="A876" s="7"/>
      <c r="E876" s="7"/>
      <c r="F876" s="7"/>
    </row>
    <row r="877" spans="1:6" x14ac:dyDescent="0.25">
      <c r="A877" s="7"/>
      <c r="E877" s="7"/>
      <c r="F877" s="7"/>
    </row>
    <row r="878" spans="1:6" x14ac:dyDescent="0.25">
      <c r="A878" s="7"/>
      <c r="E878" s="7"/>
      <c r="F878" s="7"/>
    </row>
    <row r="879" spans="1:6" x14ac:dyDescent="0.25">
      <c r="A879" s="7"/>
      <c r="E879" s="7"/>
      <c r="F879" s="7"/>
    </row>
    <row r="880" spans="1:6" x14ac:dyDescent="0.25">
      <c r="A880" s="7"/>
      <c r="E880" s="7"/>
      <c r="F880" s="7"/>
    </row>
    <row r="881" spans="1:6" x14ac:dyDescent="0.25">
      <c r="A881" s="7"/>
      <c r="E881" s="7"/>
      <c r="F881" s="7"/>
    </row>
    <row r="882" spans="1:6" x14ac:dyDescent="0.25">
      <c r="A882" s="7"/>
      <c r="E882" s="7"/>
      <c r="F882" s="7"/>
    </row>
    <row r="883" spans="1:6" x14ac:dyDescent="0.25">
      <c r="A883" s="7"/>
      <c r="E883" s="7"/>
      <c r="F883" s="7"/>
    </row>
    <row r="884" spans="1:6" x14ac:dyDescent="0.25">
      <c r="A884" s="7"/>
      <c r="E884" s="7"/>
      <c r="F884" s="7"/>
    </row>
    <row r="885" spans="1:6" x14ac:dyDescent="0.25">
      <c r="A885" s="7"/>
      <c r="E885" s="7"/>
      <c r="F885" s="7"/>
    </row>
    <row r="886" spans="1:6" x14ac:dyDescent="0.25">
      <c r="A886" s="7"/>
      <c r="E886" s="7"/>
      <c r="F886" s="7"/>
    </row>
    <row r="887" spans="1:6" x14ac:dyDescent="0.25">
      <c r="A887" s="7"/>
      <c r="E887" s="7"/>
      <c r="F887" s="7"/>
    </row>
    <row r="888" spans="1:6" x14ac:dyDescent="0.25">
      <c r="A888" s="7"/>
      <c r="E888" s="7"/>
      <c r="F888" s="7"/>
    </row>
    <row r="889" spans="1:6" x14ac:dyDescent="0.25">
      <c r="A889" s="7"/>
      <c r="E889" s="7"/>
      <c r="F889" s="7"/>
    </row>
    <row r="890" spans="1:6" x14ac:dyDescent="0.25">
      <c r="A890" s="7"/>
      <c r="E890" s="7"/>
      <c r="F890" s="7"/>
    </row>
    <row r="891" spans="1:6" x14ac:dyDescent="0.25">
      <c r="A891" s="7"/>
      <c r="E891" s="7"/>
      <c r="F891" s="7"/>
    </row>
    <row r="892" spans="1:6" x14ac:dyDescent="0.25">
      <c r="A892" s="7"/>
      <c r="E892" s="7"/>
      <c r="F892" s="7"/>
    </row>
    <row r="893" spans="1:6" x14ac:dyDescent="0.25">
      <c r="A893" s="7"/>
      <c r="E893" s="7"/>
      <c r="F893" s="7"/>
    </row>
    <row r="894" spans="1:6" x14ac:dyDescent="0.25">
      <c r="A894" s="7"/>
      <c r="E894" s="7"/>
      <c r="F894" s="7"/>
    </row>
    <row r="895" spans="1:6" x14ac:dyDescent="0.25">
      <c r="A895" s="7"/>
      <c r="E895" s="7"/>
      <c r="F895" s="7"/>
    </row>
    <row r="896" spans="1:6" x14ac:dyDescent="0.25">
      <c r="A896" s="7"/>
      <c r="E896" s="7"/>
      <c r="F896" s="7"/>
    </row>
    <row r="897" spans="1:6" x14ac:dyDescent="0.25">
      <c r="A897" s="7"/>
      <c r="E897" s="7"/>
      <c r="F897" s="7"/>
    </row>
    <row r="898" spans="1:6" x14ac:dyDescent="0.25">
      <c r="A898" s="7"/>
      <c r="E898" s="7"/>
      <c r="F898" s="7"/>
    </row>
    <row r="899" spans="1:6" x14ac:dyDescent="0.25">
      <c r="A899" s="7"/>
      <c r="E899" s="7"/>
      <c r="F899" s="7"/>
    </row>
    <row r="900" spans="1:6" x14ac:dyDescent="0.25">
      <c r="A900" s="7"/>
      <c r="E900" s="7"/>
      <c r="F900" s="7"/>
    </row>
    <row r="901" spans="1:6" x14ac:dyDescent="0.25">
      <c r="A901" s="7"/>
      <c r="E901" s="7"/>
      <c r="F901" s="7"/>
    </row>
    <row r="902" spans="1:6" x14ac:dyDescent="0.25">
      <c r="A902" s="7"/>
      <c r="E902" s="7"/>
      <c r="F902" s="7"/>
    </row>
    <row r="903" spans="1:6" x14ac:dyDescent="0.25">
      <c r="A903" s="7"/>
      <c r="E903" s="7"/>
      <c r="F903" s="7"/>
    </row>
    <row r="904" spans="1:6" x14ac:dyDescent="0.25">
      <c r="A904" s="7"/>
      <c r="E904" s="7"/>
      <c r="F904" s="7"/>
    </row>
    <row r="905" spans="1:6" x14ac:dyDescent="0.25">
      <c r="A905" s="7"/>
      <c r="E905" s="7"/>
      <c r="F905" s="7"/>
    </row>
    <row r="906" spans="1:6" x14ac:dyDescent="0.25">
      <c r="A906" s="7"/>
      <c r="E906" s="7"/>
      <c r="F906" s="7"/>
    </row>
    <row r="907" spans="1:6" x14ac:dyDescent="0.25">
      <c r="A907" s="7"/>
      <c r="E907" s="7"/>
      <c r="F907" s="7"/>
    </row>
    <row r="908" spans="1:6" x14ac:dyDescent="0.25">
      <c r="A908" s="7"/>
      <c r="E908" s="7"/>
      <c r="F908" s="7"/>
    </row>
    <row r="909" spans="1:6" x14ac:dyDescent="0.25">
      <c r="A909" s="7"/>
      <c r="E909" s="7"/>
      <c r="F909" s="7"/>
    </row>
    <row r="910" spans="1:6" x14ac:dyDescent="0.25">
      <c r="A910" s="7"/>
      <c r="E910" s="7"/>
      <c r="F910" s="7"/>
    </row>
    <row r="911" spans="1:6" x14ac:dyDescent="0.25">
      <c r="A911" s="7"/>
      <c r="E911" s="7"/>
      <c r="F911" s="7"/>
    </row>
    <row r="912" spans="1:6" x14ac:dyDescent="0.25">
      <c r="A912" s="7"/>
      <c r="E912" s="7"/>
      <c r="F912" s="7"/>
    </row>
    <row r="913" spans="1:6" x14ac:dyDescent="0.25">
      <c r="A913" s="7"/>
      <c r="E913" s="7"/>
      <c r="F913" s="7"/>
    </row>
    <row r="914" spans="1:6" x14ac:dyDescent="0.25">
      <c r="A914" s="7"/>
      <c r="E914" s="7"/>
      <c r="F914" s="7"/>
    </row>
    <row r="915" spans="1:6" x14ac:dyDescent="0.25">
      <c r="A915" s="7"/>
      <c r="E915" s="7"/>
      <c r="F915" s="7"/>
    </row>
    <row r="916" spans="1:6" x14ac:dyDescent="0.25">
      <c r="A916" s="7"/>
      <c r="E916" s="7"/>
      <c r="F916" s="7"/>
    </row>
    <row r="917" spans="1:6" x14ac:dyDescent="0.25">
      <c r="A917" s="7"/>
      <c r="E917" s="7"/>
      <c r="F917" s="7"/>
    </row>
    <row r="918" spans="1:6" x14ac:dyDescent="0.25">
      <c r="A918" s="7"/>
      <c r="E918" s="7"/>
      <c r="F918" s="7"/>
    </row>
    <row r="919" spans="1:6" x14ac:dyDescent="0.25">
      <c r="A919" s="7"/>
      <c r="E919" s="7"/>
      <c r="F919" s="7"/>
    </row>
    <row r="920" spans="1:6" x14ac:dyDescent="0.25">
      <c r="A920" s="7"/>
      <c r="E920" s="7"/>
      <c r="F920" s="7"/>
    </row>
    <row r="921" spans="1:6" x14ac:dyDescent="0.25">
      <c r="A921" s="7"/>
      <c r="E921" s="7"/>
      <c r="F921" s="7"/>
    </row>
    <row r="922" spans="1:6" x14ac:dyDescent="0.25">
      <c r="A922" s="7"/>
      <c r="E922" s="7"/>
      <c r="F922" s="7"/>
    </row>
    <row r="923" spans="1:6" x14ac:dyDescent="0.25">
      <c r="A923" s="7"/>
      <c r="E923" s="7"/>
      <c r="F923" s="7"/>
    </row>
    <row r="924" spans="1:6" x14ac:dyDescent="0.25">
      <c r="A924" s="7"/>
      <c r="E924" s="7"/>
      <c r="F924" s="7"/>
    </row>
    <row r="925" spans="1:6" x14ac:dyDescent="0.25">
      <c r="A925" s="7"/>
      <c r="E925" s="7"/>
      <c r="F925" s="7"/>
    </row>
    <row r="926" spans="1:6" x14ac:dyDescent="0.25">
      <c r="A926" s="7"/>
      <c r="E926" s="7"/>
      <c r="F926" s="7"/>
    </row>
    <row r="927" spans="1:6" x14ac:dyDescent="0.25">
      <c r="A927" s="7"/>
      <c r="E927" s="7"/>
      <c r="F927" s="7"/>
    </row>
    <row r="928" spans="1:6" x14ac:dyDescent="0.25">
      <c r="A928" s="7"/>
      <c r="E928" s="7"/>
      <c r="F928" s="7"/>
    </row>
    <row r="929" spans="1:6" x14ac:dyDescent="0.25">
      <c r="A929" s="7"/>
      <c r="E929" s="7"/>
      <c r="F929" s="7"/>
    </row>
    <row r="930" spans="1:6" x14ac:dyDescent="0.25">
      <c r="A930" s="7"/>
      <c r="E930" s="7"/>
      <c r="F930" s="7"/>
    </row>
    <row r="931" spans="1:6" x14ac:dyDescent="0.25">
      <c r="A931" s="7"/>
      <c r="E931" s="7"/>
      <c r="F931" s="7"/>
    </row>
    <row r="932" spans="1:6" x14ac:dyDescent="0.25">
      <c r="A932" s="7"/>
      <c r="E932" s="7"/>
      <c r="F932" s="7"/>
    </row>
    <row r="933" spans="1:6" x14ac:dyDescent="0.25">
      <c r="A933" s="7"/>
      <c r="E933" s="7"/>
      <c r="F933" s="7"/>
    </row>
    <row r="934" spans="1:6" x14ac:dyDescent="0.25">
      <c r="A934" s="7"/>
      <c r="E934" s="7"/>
      <c r="F934" s="7"/>
    </row>
    <row r="935" spans="1:6" x14ac:dyDescent="0.25">
      <c r="A935" s="7"/>
      <c r="E935" s="7"/>
      <c r="F935" s="7"/>
    </row>
    <row r="936" spans="1:6" x14ac:dyDescent="0.25">
      <c r="A936" s="7"/>
      <c r="E936" s="7"/>
      <c r="F936" s="7"/>
    </row>
    <row r="937" spans="1:6" x14ac:dyDescent="0.25">
      <c r="A937" s="7"/>
      <c r="E937" s="7"/>
      <c r="F937" s="7"/>
    </row>
    <row r="938" spans="1:6" x14ac:dyDescent="0.25">
      <c r="A938" s="7"/>
      <c r="E938" s="7"/>
      <c r="F938" s="7"/>
    </row>
    <row r="939" spans="1:6" x14ac:dyDescent="0.25">
      <c r="A939" s="7"/>
      <c r="E939" s="7"/>
      <c r="F939" s="7"/>
    </row>
    <row r="940" spans="1:6" x14ac:dyDescent="0.25">
      <c r="A940" s="7"/>
      <c r="E940" s="7"/>
      <c r="F940" s="7"/>
    </row>
    <row r="941" spans="1:6" x14ac:dyDescent="0.25">
      <c r="A941" s="7"/>
      <c r="E941" s="7"/>
      <c r="F941" s="7"/>
    </row>
    <row r="942" spans="1:6" x14ac:dyDescent="0.25">
      <c r="A942" s="7"/>
      <c r="E942" s="7"/>
      <c r="F942" s="7"/>
    </row>
    <row r="943" spans="1:6" x14ac:dyDescent="0.25">
      <c r="A943" s="7"/>
      <c r="E943" s="7"/>
      <c r="F943" s="7"/>
    </row>
    <row r="944" spans="1:6" x14ac:dyDescent="0.25">
      <c r="A944" s="7"/>
      <c r="E944" s="7"/>
      <c r="F944" s="7"/>
    </row>
    <row r="945" spans="1:6" x14ac:dyDescent="0.25">
      <c r="A945" s="7"/>
      <c r="E945" s="7"/>
      <c r="F945" s="7"/>
    </row>
    <row r="946" spans="1:6" x14ac:dyDescent="0.25">
      <c r="A946" s="7"/>
      <c r="E946" s="7"/>
      <c r="F946" s="7"/>
    </row>
    <row r="947" spans="1:6" x14ac:dyDescent="0.25">
      <c r="A947" s="7"/>
      <c r="E947" s="7"/>
      <c r="F947" s="7"/>
    </row>
    <row r="948" spans="1:6" x14ac:dyDescent="0.25">
      <c r="A948" s="7"/>
      <c r="E948" s="7"/>
      <c r="F948" s="7"/>
    </row>
    <row r="949" spans="1:6" x14ac:dyDescent="0.25">
      <c r="A949" s="7"/>
      <c r="E949" s="7"/>
      <c r="F949" s="7"/>
    </row>
    <row r="950" spans="1:6" x14ac:dyDescent="0.25">
      <c r="A950" s="7"/>
      <c r="E950" s="7"/>
      <c r="F950" s="7"/>
    </row>
    <row r="951" spans="1:6" x14ac:dyDescent="0.25">
      <c r="A951" s="7"/>
      <c r="E951" s="7"/>
      <c r="F951" s="7"/>
    </row>
    <row r="952" spans="1:6" x14ac:dyDescent="0.25">
      <c r="A952" s="7"/>
      <c r="E952" s="7"/>
      <c r="F952" s="7"/>
    </row>
    <row r="953" spans="1:6" x14ac:dyDescent="0.25">
      <c r="A953" s="7"/>
      <c r="E953" s="7"/>
      <c r="F953" s="7"/>
    </row>
    <row r="954" spans="1:6" x14ac:dyDescent="0.25">
      <c r="A954" s="7"/>
      <c r="E954" s="7"/>
      <c r="F954" s="7"/>
    </row>
    <row r="955" spans="1:6" x14ac:dyDescent="0.25">
      <c r="A955" s="7"/>
      <c r="E955" s="7"/>
      <c r="F955" s="7"/>
    </row>
    <row r="956" spans="1:6" x14ac:dyDescent="0.25">
      <c r="A956" s="7"/>
      <c r="E956" s="7"/>
      <c r="F956" s="7"/>
    </row>
    <row r="957" spans="1:6" x14ac:dyDescent="0.25">
      <c r="A957" s="7"/>
      <c r="E957" s="7"/>
      <c r="F957" s="7"/>
    </row>
    <row r="958" spans="1:6" x14ac:dyDescent="0.25">
      <c r="A958" s="7"/>
      <c r="E958" s="7"/>
      <c r="F958" s="7"/>
    </row>
    <row r="959" spans="1:6" x14ac:dyDescent="0.25">
      <c r="A959" s="7"/>
      <c r="E959" s="7"/>
      <c r="F959" s="7"/>
    </row>
    <row r="960" spans="1:6" x14ac:dyDescent="0.25">
      <c r="A960" s="7"/>
      <c r="E960" s="7"/>
      <c r="F960" s="7"/>
    </row>
    <row r="961" spans="1:6" x14ac:dyDescent="0.25">
      <c r="A961" s="7"/>
      <c r="E961" s="7"/>
      <c r="F961" s="7"/>
    </row>
    <row r="962" spans="1:6" x14ac:dyDescent="0.25">
      <c r="A962" s="7"/>
      <c r="E962" s="7"/>
      <c r="F962" s="7"/>
    </row>
    <row r="963" spans="1:6" x14ac:dyDescent="0.25">
      <c r="A963" s="7"/>
      <c r="E963" s="7"/>
      <c r="F963" s="7"/>
    </row>
    <row r="964" spans="1:6" x14ac:dyDescent="0.25">
      <c r="A964" s="7"/>
      <c r="E964" s="7"/>
      <c r="F964" s="7"/>
    </row>
    <row r="965" spans="1:6" x14ac:dyDescent="0.25">
      <c r="A965" s="7"/>
      <c r="E965" s="7"/>
      <c r="F965" s="7"/>
    </row>
    <row r="966" spans="1:6" x14ac:dyDescent="0.25">
      <c r="A966" s="7"/>
      <c r="E966" s="7"/>
      <c r="F966" s="7"/>
    </row>
    <row r="967" spans="1:6" x14ac:dyDescent="0.25">
      <c r="A967" s="7"/>
      <c r="E967" s="7"/>
      <c r="F967" s="7"/>
    </row>
    <row r="968" spans="1:6" x14ac:dyDescent="0.25">
      <c r="A968" s="7"/>
      <c r="E968" s="7"/>
      <c r="F968" s="7"/>
    </row>
    <row r="969" spans="1:6" x14ac:dyDescent="0.25">
      <c r="A969" s="7"/>
      <c r="E969" s="7"/>
      <c r="F969" s="7"/>
    </row>
    <row r="970" spans="1:6" x14ac:dyDescent="0.25">
      <c r="A970" s="7"/>
      <c r="E970" s="7"/>
      <c r="F970" s="7"/>
    </row>
    <row r="971" spans="1:6" x14ac:dyDescent="0.25">
      <c r="A971" s="7"/>
      <c r="E971" s="7"/>
      <c r="F971" s="7"/>
    </row>
    <row r="972" spans="1:6" x14ac:dyDescent="0.25">
      <c r="A972" s="7"/>
      <c r="E972" s="7"/>
      <c r="F972" s="7"/>
    </row>
    <row r="973" spans="1:6" x14ac:dyDescent="0.25">
      <c r="A973" s="7"/>
      <c r="E973" s="7"/>
      <c r="F973" s="7"/>
    </row>
    <row r="974" spans="1:6" x14ac:dyDescent="0.25">
      <c r="A974" s="7"/>
      <c r="E974" s="7"/>
      <c r="F974" s="7"/>
    </row>
    <row r="975" spans="1:6" x14ac:dyDescent="0.25">
      <c r="A975" s="7"/>
      <c r="E975" s="7"/>
      <c r="F975" s="7"/>
    </row>
    <row r="976" spans="1:6" x14ac:dyDescent="0.25">
      <c r="A976" s="7"/>
      <c r="E976" s="7"/>
      <c r="F976" s="7"/>
    </row>
    <row r="977" spans="1:6" x14ac:dyDescent="0.25">
      <c r="A977" s="7"/>
      <c r="E977" s="7"/>
      <c r="F977" s="7"/>
    </row>
    <row r="978" spans="1:6" x14ac:dyDescent="0.25">
      <c r="A978" s="7"/>
      <c r="E978" s="7"/>
      <c r="F978" s="7"/>
    </row>
    <row r="979" spans="1:6" x14ac:dyDescent="0.25">
      <c r="A979" s="7"/>
      <c r="E979" s="7"/>
      <c r="F979" s="7"/>
    </row>
    <row r="980" spans="1:6" x14ac:dyDescent="0.25">
      <c r="A980" s="7"/>
      <c r="E980" s="7"/>
      <c r="F980" s="7"/>
    </row>
    <row r="981" spans="1:6" x14ac:dyDescent="0.25">
      <c r="A981" s="7"/>
      <c r="E981" s="7"/>
      <c r="F981" s="7"/>
    </row>
    <row r="982" spans="1:6" x14ac:dyDescent="0.25">
      <c r="A982" s="7"/>
      <c r="E982" s="7"/>
      <c r="F982" s="7"/>
    </row>
    <row r="983" spans="1:6" x14ac:dyDescent="0.25">
      <c r="A983" s="7"/>
      <c r="E983" s="7"/>
      <c r="F983" s="7"/>
    </row>
    <row r="984" spans="1:6" x14ac:dyDescent="0.25">
      <c r="A984" s="7"/>
      <c r="E984" s="7"/>
      <c r="F984" s="7"/>
    </row>
    <row r="985" spans="1:6" x14ac:dyDescent="0.25">
      <c r="A985" s="7"/>
      <c r="E985" s="7"/>
      <c r="F985" s="7"/>
    </row>
    <row r="986" spans="1:6" x14ac:dyDescent="0.25">
      <c r="A986" s="7"/>
      <c r="E986" s="7"/>
      <c r="F986" s="7"/>
    </row>
    <row r="987" spans="1:6" x14ac:dyDescent="0.25">
      <c r="A987" s="7"/>
      <c r="E987" s="7"/>
      <c r="F987" s="7"/>
    </row>
    <row r="988" spans="1:6" x14ac:dyDescent="0.25">
      <c r="A988" s="7"/>
      <c r="E988" s="7"/>
      <c r="F988" s="7"/>
    </row>
    <row r="989" spans="1:6" x14ac:dyDescent="0.25">
      <c r="A989" s="7"/>
      <c r="E989" s="7"/>
      <c r="F989" s="7"/>
    </row>
    <row r="990" spans="1:6" x14ac:dyDescent="0.25">
      <c r="A990" s="7"/>
      <c r="E990" s="7"/>
      <c r="F990" s="7"/>
    </row>
    <row r="991" spans="1:6" x14ac:dyDescent="0.25">
      <c r="A991" s="7"/>
      <c r="E991" s="7"/>
      <c r="F991" s="7"/>
    </row>
    <row r="992" spans="1:6" x14ac:dyDescent="0.25">
      <c r="A992" s="7"/>
      <c r="E992" s="7"/>
      <c r="F992" s="7"/>
    </row>
    <row r="993" spans="1:6" x14ac:dyDescent="0.25">
      <c r="A993" s="7"/>
      <c r="E993" s="7"/>
      <c r="F993" s="7"/>
    </row>
    <row r="994" spans="1:6" x14ac:dyDescent="0.25">
      <c r="A994" s="7"/>
      <c r="E994" s="7"/>
      <c r="F994" s="7"/>
    </row>
    <row r="995" spans="1:6" x14ac:dyDescent="0.25">
      <c r="A995" s="7"/>
      <c r="E995" s="7"/>
      <c r="F995" s="7"/>
    </row>
    <row r="996" spans="1:6" x14ac:dyDescent="0.25">
      <c r="A996" s="7"/>
      <c r="E996" s="7"/>
      <c r="F996" s="7"/>
    </row>
    <row r="997" spans="1:6" x14ac:dyDescent="0.25">
      <c r="A997" s="7"/>
      <c r="E997" s="7"/>
      <c r="F997" s="7"/>
    </row>
    <row r="998" spans="1:6" x14ac:dyDescent="0.25">
      <c r="A998" s="7"/>
      <c r="E998" s="7"/>
      <c r="F998" s="7"/>
    </row>
    <row r="999" spans="1:6" x14ac:dyDescent="0.25">
      <c r="A999" s="7"/>
      <c r="E999" s="7"/>
      <c r="F999" s="7"/>
    </row>
    <row r="1000" spans="1:6" x14ac:dyDescent="0.25">
      <c r="A1000" s="7"/>
      <c r="E1000" s="7"/>
      <c r="F1000" s="7"/>
    </row>
    <row r="1001" spans="1:6" x14ac:dyDescent="0.25">
      <c r="A1001" s="7"/>
      <c r="E1001" s="7"/>
      <c r="F1001" s="7"/>
    </row>
    <row r="1002" spans="1:6" x14ac:dyDescent="0.25">
      <c r="A1002" s="7"/>
      <c r="E1002" s="7"/>
      <c r="F1002" s="7"/>
    </row>
  </sheetData>
  <mergeCells count="4">
    <mergeCell ref="A1:I1"/>
    <mergeCell ref="A2:I2"/>
    <mergeCell ref="B3:C3"/>
    <mergeCell ref="A16:I16"/>
  </mergeCells>
  <printOptions horizontalCentered="1" gridLines="1"/>
  <pageMargins left="0.25" right="0.25" top="0.75" bottom="0.75" header="0" footer="0"/>
  <pageSetup paperSize="5" fitToHeight="0" pageOrder="overThenDown" orientation="landscape" cellComments="atEnd"/>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outlinePr summaryBelow="0" summaryRight="0"/>
    <pageSetUpPr fitToPage="1"/>
  </sheetPr>
  <dimension ref="A1:W1002"/>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46.33203125" customWidth="1"/>
    <col min="2" max="2" width="7.33203125" customWidth="1"/>
    <col min="3" max="4" width="7.88671875" customWidth="1"/>
    <col min="5" max="5" width="22.21875" customWidth="1"/>
    <col min="6" max="6" width="14.6640625" customWidth="1"/>
  </cols>
  <sheetData>
    <row r="1" spans="1:23" x14ac:dyDescent="0.25">
      <c r="A1" s="141" t="s">
        <v>1006</v>
      </c>
      <c r="B1" s="142"/>
      <c r="C1" s="142"/>
      <c r="D1" s="142"/>
      <c r="E1" s="142"/>
      <c r="F1" s="142"/>
      <c r="G1" s="142"/>
      <c r="H1" s="142"/>
      <c r="I1" s="143"/>
    </row>
    <row r="2" spans="1:23" x14ac:dyDescent="0.25">
      <c r="A2" s="144" t="s">
        <v>1007</v>
      </c>
      <c r="B2" s="142"/>
      <c r="C2" s="142"/>
      <c r="D2" s="142"/>
      <c r="E2" s="142"/>
      <c r="F2" s="142"/>
      <c r="G2" s="142"/>
      <c r="H2" s="142"/>
      <c r="I2" s="143"/>
    </row>
    <row r="3" spans="1:23" x14ac:dyDescent="0.25">
      <c r="A3" s="43" t="s">
        <v>374</v>
      </c>
      <c r="B3" s="145" t="s">
        <v>408</v>
      </c>
      <c r="C3" s="143"/>
      <c r="D3" s="49" t="s">
        <v>370</v>
      </c>
      <c r="E3" s="50" t="s">
        <v>371</v>
      </c>
      <c r="F3" s="51" t="s">
        <v>372</v>
      </c>
      <c r="G3" s="52" t="s">
        <v>373</v>
      </c>
      <c r="H3" s="53" t="s">
        <v>409</v>
      </c>
      <c r="I3" s="53" t="s">
        <v>410</v>
      </c>
      <c r="J3" s="7"/>
      <c r="K3" s="7"/>
      <c r="L3" s="7"/>
      <c r="M3" s="7"/>
      <c r="N3" s="7"/>
      <c r="O3" s="7"/>
      <c r="P3" s="7"/>
      <c r="Q3" s="7"/>
      <c r="R3" s="7"/>
      <c r="S3" s="7"/>
      <c r="T3" s="7"/>
      <c r="U3" s="7"/>
      <c r="V3" s="7"/>
      <c r="W3" s="7"/>
    </row>
    <row r="4" spans="1:23" x14ac:dyDescent="0.25">
      <c r="A4" s="41" t="s">
        <v>411</v>
      </c>
      <c r="B4" s="54">
        <f>SUM(B5:B8)/4</f>
        <v>1</v>
      </c>
      <c r="C4" s="55">
        <f>D4*B4</f>
        <v>0.7</v>
      </c>
      <c r="D4" s="56">
        <v>0.7</v>
      </c>
      <c r="E4" s="57"/>
      <c r="F4" s="57"/>
      <c r="G4" s="58"/>
      <c r="H4" s="58"/>
      <c r="I4" s="58"/>
    </row>
    <row r="5" spans="1:23" x14ac:dyDescent="0.25">
      <c r="A5" s="42" t="s">
        <v>1008</v>
      </c>
      <c r="B5" s="59">
        <v>1</v>
      </c>
      <c r="C5" s="60"/>
      <c r="D5" s="60"/>
      <c r="E5" s="42"/>
      <c r="F5" s="61"/>
      <c r="G5" s="59">
        <v>0.8</v>
      </c>
      <c r="H5" s="59">
        <v>0.8</v>
      </c>
      <c r="I5" s="59">
        <v>1</v>
      </c>
    </row>
    <row r="6" spans="1:23" x14ac:dyDescent="0.25">
      <c r="A6" s="42" t="s">
        <v>1009</v>
      </c>
      <c r="B6" s="59">
        <v>1</v>
      </c>
      <c r="C6" s="60"/>
      <c r="D6" s="60"/>
      <c r="E6" s="42"/>
      <c r="F6" s="61"/>
      <c r="G6" s="59">
        <v>0.8</v>
      </c>
      <c r="H6" s="59">
        <v>0.8</v>
      </c>
      <c r="I6" s="59">
        <v>1</v>
      </c>
    </row>
    <row r="7" spans="1:23" x14ac:dyDescent="0.25">
      <c r="A7" s="42" t="s">
        <v>1010</v>
      </c>
      <c r="B7" s="59">
        <v>1</v>
      </c>
      <c r="C7" s="60"/>
      <c r="D7" s="60"/>
      <c r="E7" s="42"/>
      <c r="F7" s="61"/>
      <c r="G7" s="59">
        <v>0.8</v>
      </c>
      <c r="H7" s="59">
        <v>0.8</v>
      </c>
      <c r="I7" s="59">
        <v>1</v>
      </c>
    </row>
    <row r="8" spans="1:23" x14ac:dyDescent="0.25">
      <c r="A8" s="42" t="s">
        <v>1011</v>
      </c>
      <c r="B8" s="59">
        <v>1</v>
      </c>
      <c r="C8" s="60"/>
      <c r="D8" s="60"/>
      <c r="E8" s="42"/>
      <c r="F8" s="42"/>
      <c r="G8" s="59">
        <v>0.8</v>
      </c>
      <c r="H8" s="59">
        <v>0.8</v>
      </c>
      <c r="I8" s="59">
        <v>1</v>
      </c>
    </row>
    <row r="9" spans="1:23" x14ac:dyDescent="0.25">
      <c r="A9" s="41" t="s">
        <v>415</v>
      </c>
      <c r="B9" s="54">
        <f>SUM(B10:B11)/1</f>
        <v>1</v>
      </c>
      <c r="C9" s="55">
        <f>D9*B9</f>
        <v>0.2</v>
      </c>
      <c r="D9" s="56">
        <v>0.2</v>
      </c>
      <c r="E9" s="57"/>
      <c r="F9" s="57"/>
      <c r="G9" s="58"/>
      <c r="H9" s="58"/>
      <c r="I9" s="58"/>
    </row>
    <row r="10" spans="1:23" x14ac:dyDescent="0.25">
      <c r="A10" s="42" t="s">
        <v>1012</v>
      </c>
      <c r="B10" s="59">
        <v>1</v>
      </c>
      <c r="C10" s="60"/>
      <c r="D10" s="60"/>
      <c r="E10" s="42"/>
      <c r="F10" s="63"/>
      <c r="G10" s="59">
        <v>1</v>
      </c>
      <c r="H10" s="59"/>
      <c r="I10" s="59"/>
    </row>
    <row r="11" spans="1:23" x14ac:dyDescent="0.25">
      <c r="A11" s="43"/>
      <c r="B11" s="62"/>
      <c r="C11" s="60"/>
      <c r="D11" s="60"/>
      <c r="E11" s="42"/>
      <c r="F11" s="61"/>
      <c r="G11" s="59"/>
      <c r="H11" s="59"/>
      <c r="I11" s="59"/>
    </row>
    <row r="12" spans="1:23" x14ac:dyDescent="0.25">
      <c r="A12" s="41" t="s">
        <v>385</v>
      </c>
      <c r="B12" s="54">
        <f>SUM(B13:B14)/2</f>
        <v>1</v>
      </c>
      <c r="C12" s="55">
        <f>D12*B12</f>
        <v>0.1</v>
      </c>
      <c r="D12" s="56">
        <v>0.1</v>
      </c>
      <c r="E12" s="57"/>
      <c r="F12" s="57"/>
      <c r="G12" s="58"/>
      <c r="H12" s="58"/>
      <c r="I12" s="58"/>
    </row>
    <row r="13" spans="1:23" x14ac:dyDescent="0.25">
      <c r="A13" s="42" t="s">
        <v>386</v>
      </c>
      <c r="B13" s="59">
        <v>1</v>
      </c>
      <c r="C13" s="60"/>
      <c r="D13" s="53"/>
      <c r="E13" s="42"/>
      <c r="F13" s="42" t="s">
        <v>425</v>
      </c>
      <c r="G13" s="59">
        <v>0.8</v>
      </c>
      <c r="H13" s="59">
        <v>0.8</v>
      </c>
      <c r="I13" s="59">
        <v>1</v>
      </c>
    </row>
    <row r="14" spans="1:23" x14ac:dyDescent="0.25">
      <c r="A14" s="42" t="s">
        <v>387</v>
      </c>
      <c r="B14" s="59">
        <v>1</v>
      </c>
      <c r="C14" s="60"/>
      <c r="D14" s="60"/>
      <c r="E14" s="42"/>
      <c r="F14" s="42" t="s">
        <v>419</v>
      </c>
      <c r="G14" s="59">
        <v>0.8</v>
      </c>
      <c r="H14" s="59">
        <v>0.8</v>
      </c>
      <c r="I14" s="59">
        <v>1</v>
      </c>
    </row>
    <row r="15" spans="1:23" x14ac:dyDescent="0.25">
      <c r="A15" s="42"/>
      <c r="B15" s="60"/>
      <c r="C15" s="64">
        <f t="shared" ref="C15:D15" si="0">SUM(C4+C9+C12)</f>
        <v>0.99999999999999989</v>
      </c>
      <c r="D15" s="64">
        <f t="shared" si="0"/>
        <v>0.99999999999999989</v>
      </c>
      <c r="E15" s="42"/>
      <c r="F15" s="42"/>
      <c r="G15" s="60"/>
      <c r="H15" s="60"/>
      <c r="I15" s="60"/>
    </row>
    <row r="16" spans="1:23" x14ac:dyDescent="0.25">
      <c r="A16" s="152" t="s">
        <v>1013</v>
      </c>
      <c r="B16" s="142"/>
      <c r="C16" s="142"/>
      <c r="D16" s="142"/>
      <c r="E16" s="142"/>
      <c r="F16" s="142"/>
      <c r="G16" s="142"/>
      <c r="H16" s="142"/>
      <c r="I16" s="143"/>
    </row>
    <row r="17" spans="1:9" x14ac:dyDescent="0.25">
      <c r="A17" s="66" t="s">
        <v>1014</v>
      </c>
      <c r="B17" s="67" t="s">
        <v>427</v>
      </c>
      <c r="C17" s="64"/>
      <c r="D17" s="64"/>
      <c r="E17" s="68" t="s">
        <v>193</v>
      </c>
      <c r="F17" s="42" t="s">
        <v>425</v>
      </c>
      <c r="G17" s="42"/>
      <c r="H17" s="60"/>
      <c r="I17" s="60"/>
    </row>
    <row r="18" spans="1:9" x14ac:dyDescent="0.25">
      <c r="A18" s="66" t="s">
        <v>1015</v>
      </c>
      <c r="B18" s="67" t="s">
        <v>427</v>
      </c>
      <c r="C18" s="64"/>
      <c r="D18" s="64"/>
      <c r="E18" s="68" t="s">
        <v>199</v>
      </c>
      <c r="F18" s="42" t="s">
        <v>425</v>
      </c>
      <c r="G18" s="42"/>
      <c r="H18" s="60"/>
      <c r="I18" s="60"/>
    </row>
    <row r="19" spans="1:9" x14ac:dyDescent="0.25">
      <c r="A19" s="66" t="s">
        <v>1016</v>
      </c>
      <c r="B19" s="67" t="s">
        <v>427</v>
      </c>
      <c r="C19" s="64"/>
      <c r="D19" s="64"/>
      <c r="E19" s="68" t="s">
        <v>203</v>
      </c>
      <c r="F19" s="42" t="s">
        <v>425</v>
      </c>
      <c r="G19" s="42"/>
      <c r="H19" s="60"/>
      <c r="I19" s="60"/>
    </row>
    <row r="20" spans="1:9" x14ac:dyDescent="0.25">
      <c r="A20" s="7"/>
      <c r="E20" s="7"/>
      <c r="F20" s="7"/>
    </row>
    <row r="21" spans="1:9" x14ac:dyDescent="0.25">
      <c r="A21" s="7"/>
      <c r="E21" s="7"/>
      <c r="F21" s="7"/>
    </row>
    <row r="22" spans="1:9" x14ac:dyDescent="0.25">
      <c r="A22" s="7"/>
      <c r="E22" s="7"/>
      <c r="F22" s="7"/>
    </row>
    <row r="23" spans="1:9" x14ac:dyDescent="0.25">
      <c r="A23" s="7"/>
      <c r="E23" s="7"/>
      <c r="F23" s="7"/>
    </row>
    <row r="24" spans="1:9" x14ac:dyDescent="0.25">
      <c r="A24" s="7"/>
      <c r="E24" s="7"/>
      <c r="F24" s="7"/>
    </row>
    <row r="25" spans="1:9" x14ac:dyDescent="0.25">
      <c r="A25" s="7"/>
      <c r="E25" s="7"/>
      <c r="F25" s="7"/>
    </row>
    <row r="26" spans="1:9" x14ac:dyDescent="0.25">
      <c r="A26" s="7"/>
      <c r="E26" s="7"/>
      <c r="F26" s="7"/>
    </row>
    <row r="27" spans="1:9" x14ac:dyDescent="0.25">
      <c r="A27" s="7"/>
      <c r="E27" s="7"/>
      <c r="F27" s="7"/>
    </row>
    <row r="28" spans="1:9" x14ac:dyDescent="0.25">
      <c r="A28" s="7"/>
      <c r="E28" s="7"/>
      <c r="F28" s="7"/>
    </row>
    <row r="29" spans="1:9" x14ac:dyDescent="0.25">
      <c r="A29" s="7"/>
      <c r="E29" s="7"/>
      <c r="F29" s="7"/>
    </row>
    <row r="30" spans="1:9" x14ac:dyDescent="0.25">
      <c r="A30" s="7"/>
      <c r="E30" s="7"/>
      <c r="F30" s="7"/>
    </row>
    <row r="31" spans="1:9" x14ac:dyDescent="0.25">
      <c r="A31" s="7"/>
      <c r="E31" s="7"/>
      <c r="F31" s="7"/>
    </row>
    <row r="32" spans="1:9" x14ac:dyDescent="0.25">
      <c r="A32" s="7"/>
      <c r="E32" s="7"/>
      <c r="F32" s="7"/>
    </row>
    <row r="33" spans="1:6" x14ac:dyDescent="0.25">
      <c r="A33" s="7"/>
      <c r="E33" s="7"/>
      <c r="F33" s="7"/>
    </row>
    <row r="34" spans="1:6" x14ac:dyDescent="0.25">
      <c r="A34" s="7"/>
      <c r="E34" s="7"/>
      <c r="F34" s="7"/>
    </row>
    <row r="35" spans="1:6" x14ac:dyDescent="0.25">
      <c r="A35" s="7"/>
      <c r="E35" s="7"/>
      <c r="F35" s="7"/>
    </row>
    <row r="36" spans="1:6" x14ac:dyDescent="0.25">
      <c r="A36" s="7"/>
      <c r="E36" s="7"/>
      <c r="F36" s="7"/>
    </row>
    <row r="37" spans="1:6" x14ac:dyDescent="0.25">
      <c r="A37" s="7"/>
      <c r="E37" s="7"/>
      <c r="F37" s="7"/>
    </row>
    <row r="38" spans="1:6" x14ac:dyDescent="0.25">
      <c r="A38" s="7"/>
      <c r="E38" s="7"/>
      <c r="F38" s="7"/>
    </row>
    <row r="39" spans="1:6" x14ac:dyDescent="0.25">
      <c r="A39" s="7"/>
      <c r="E39" s="7"/>
      <c r="F39" s="7"/>
    </row>
    <row r="40" spans="1:6" x14ac:dyDescent="0.25">
      <c r="A40" s="7"/>
      <c r="E40" s="7"/>
      <c r="F40" s="7"/>
    </row>
    <row r="41" spans="1:6" x14ac:dyDescent="0.25">
      <c r="A41" s="7"/>
      <c r="E41" s="7"/>
      <c r="F41" s="7"/>
    </row>
    <row r="42" spans="1:6" x14ac:dyDescent="0.25">
      <c r="A42" s="7"/>
      <c r="E42" s="7"/>
      <c r="F42" s="7"/>
    </row>
    <row r="43" spans="1:6" x14ac:dyDescent="0.25">
      <c r="A43" s="7"/>
      <c r="E43" s="7"/>
      <c r="F43" s="7"/>
    </row>
    <row r="44" spans="1:6" x14ac:dyDescent="0.25">
      <c r="A44" s="7"/>
      <c r="E44" s="7"/>
      <c r="F44" s="7"/>
    </row>
    <row r="45" spans="1:6" x14ac:dyDescent="0.25">
      <c r="A45" s="7"/>
      <c r="E45" s="7"/>
      <c r="F45" s="7"/>
    </row>
    <row r="46" spans="1:6" x14ac:dyDescent="0.25">
      <c r="A46" s="7"/>
      <c r="E46" s="7"/>
      <c r="F46" s="7"/>
    </row>
    <row r="47" spans="1:6" x14ac:dyDescent="0.25">
      <c r="A47" s="7"/>
      <c r="E47" s="7"/>
      <c r="F47" s="7"/>
    </row>
    <row r="48" spans="1:6" x14ac:dyDescent="0.25">
      <c r="A48" s="7"/>
      <c r="E48" s="7"/>
      <c r="F48" s="7"/>
    </row>
    <row r="49" spans="1:6" x14ac:dyDescent="0.25">
      <c r="A49" s="7"/>
      <c r="E49" s="7"/>
      <c r="F49" s="7"/>
    </row>
    <row r="50" spans="1:6" x14ac:dyDescent="0.25">
      <c r="A50" s="7"/>
      <c r="E50" s="7"/>
      <c r="F50" s="7"/>
    </row>
    <row r="51" spans="1:6" x14ac:dyDescent="0.25">
      <c r="A51" s="7"/>
      <c r="E51" s="7"/>
      <c r="F51" s="7"/>
    </row>
    <row r="52" spans="1:6" x14ac:dyDescent="0.25">
      <c r="A52" s="7"/>
      <c r="E52" s="7"/>
      <c r="F52" s="7"/>
    </row>
    <row r="53" spans="1:6" x14ac:dyDescent="0.25">
      <c r="A53" s="7"/>
      <c r="E53" s="7"/>
      <c r="F53" s="7"/>
    </row>
    <row r="54" spans="1:6" x14ac:dyDescent="0.25">
      <c r="A54" s="7"/>
      <c r="E54" s="7"/>
      <c r="F54" s="7"/>
    </row>
    <row r="55" spans="1:6" x14ac:dyDescent="0.25">
      <c r="A55" s="7"/>
      <c r="E55" s="7"/>
      <c r="F55" s="7"/>
    </row>
    <row r="56" spans="1:6" x14ac:dyDescent="0.25">
      <c r="A56" s="7"/>
      <c r="E56" s="7"/>
      <c r="F56" s="7"/>
    </row>
    <row r="57" spans="1:6" x14ac:dyDescent="0.25">
      <c r="A57" s="7"/>
      <c r="E57" s="7"/>
      <c r="F57" s="7"/>
    </row>
    <row r="58" spans="1:6" x14ac:dyDescent="0.25">
      <c r="A58" s="7"/>
      <c r="E58" s="7"/>
      <c r="F58" s="7"/>
    </row>
    <row r="59" spans="1:6" x14ac:dyDescent="0.25">
      <c r="A59" s="7"/>
      <c r="E59" s="7"/>
      <c r="F59" s="7"/>
    </row>
    <row r="60" spans="1:6" x14ac:dyDescent="0.25">
      <c r="A60" s="7"/>
      <c r="E60" s="7"/>
      <c r="F60" s="7"/>
    </row>
    <row r="61" spans="1:6" x14ac:dyDescent="0.25">
      <c r="A61" s="7"/>
      <c r="E61" s="7"/>
      <c r="F61" s="7"/>
    </row>
    <row r="62" spans="1:6" x14ac:dyDescent="0.25">
      <c r="A62" s="7"/>
      <c r="E62" s="7"/>
      <c r="F62" s="7"/>
    </row>
    <row r="63" spans="1:6" x14ac:dyDescent="0.25">
      <c r="A63" s="7"/>
      <c r="E63" s="7"/>
      <c r="F63" s="7"/>
    </row>
    <row r="64" spans="1:6" x14ac:dyDescent="0.25">
      <c r="A64" s="7"/>
      <c r="E64" s="7"/>
      <c r="F64" s="7"/>
    </row>
    <row r="65" spans="1:6" x14ac:dyDescent="0.25">
      <c r="A65" s="7"/>
      <c r="E65" s="7"/>
      <c r="F65" s="7"/>
    </row>
    <row r="66" spans="1:6" x14ac:dyDescent="0.25">
      <c r="A66" s="7"/>
      <c r="E66" s="7"/>
      <c r="F66" s="7"/>
    </row>
    <row r="67" spans="1:6" x14ac:dyDescent="0.25">
      <c r="A67" s="7"/>
      <c r="E67" s="7"/>
      <c r="F67" s="7"/>
    </row>
    <row r="68" spans="1:6" x14ac:dyDescent="0.25">
      <c r="A68" s="7"/>
      <c r="E68" s="7"/>
      <c r="F68" s="7"/>
    </row>
    <row r="69" spans="1:6" x14ac:dyDescent="0.25">
      <c r="A69" s="7"/>
      <c r="E69" s="7"/>
      <c r="F69" s="7"/>
    </row>
    <row r="70" spans="1:6" x14ac:dyDescent="0.25">
      <c r="A70" s="7"/>
      <c r="E70" s="7"/>
      <c r="F70" s="7"/>
    </row>
    <row r="71" spans="1:6" x14ac:dyDescent="0.25">
      <c r="A71" s="7"/>
      <c r="E71" s="7"/>
      <c r="F71" s="7"/>
    </row>
    <row r="72" spans="1:6" x14ac:dyDescent="0.25">
      <c r="A72" s="7"/>
      <c r="E72" s="7"/>
      <c r="F72" s="7"/>
    </row>
    <row r="73" spans="1:6" x14ac:dyDescent="0.25">
      <c r="A73" s="7"/>
      <c r="E73" s="7"/>
      <c r="F73" s="7"/>
    </row>
    <row r="74" spans="1:6" x14ac:dyDescent="0.25">
      <c r="A74" s="7"/>
      <c r="E74" s="7"/>
      <c r="F74" s="7"/>
    </row>
    <row r="75" spans="1:6" x14ac:dyDescent="0.25">
      <c r="A75" s="7"/>
      <c r="E75" s="7"/>
      <c r="F75" s="7"/>
    </row>
    <row r="76" spans="1:6" x14ac:dyDescent="0.25">
      <c r="A76" s="7"/>
      <c r="E76" s="7"/>
      <c r="F76" s="7"/>
    </row>
    <row r="77" spans="1:6" x14ac:dyDescent="0.25">
      <c r="A77" s="7"/>
      <c r="E77" s="7"/>
      <c r="F77" s="7"/>
    </row>
    <row r="78" spans="1:6" x14ac:dyDescent="0.25">
      <c r="A78" s="7"/>
      <c r="E78" s="7"/>
      <c r="F78" s="7"/>
    </row>
    <row r="79" spans="1:6" x14ac:dyDescent="0.25">
      <c r="A79" s="7"/>
      <c r="E79" s="7"/>
      <c r="F79" s="7"/>
    </row>
    <row r="80" spans="1:6" x14ac:dyDescent="0.25">
      <c r="A80" s="7"/>
      <c r="E80" s="7"/>
      <c r="F80" s="7"/>
    </row>
    <row r="81" spans="1:6" x14ac:dyDescent="0.25">
      <c r="A81" s="7"/>
      <c r="E81" s="7"/>
      <c r="F81" s="7"/>
    </row>
    <row r="82" spans="1:6" x14ac:dyDescent="0.25">
      <c r="A82" s="7"/>
      <c r="E82" s="7"/>
      <c r="F82" s="7"/>
    </row>
    <row r="83" spans="1:6" x14ac:dyDescent="0.25">
      <c r="A83" s="7"/>
      <c r="E83" s="7"/>
      <c r="F83" s="7"/>
    </row>
    <row r="84" spans="1:6" x14ac:dyDescent="0.25">
      <c r="A84" s="7"/>
      <c r="E84" s="7"/>
      <c r="F84" s="7"/>
    </row>
    <row r="85" spans="1:6" x14ac:dyDescent="0.25">
      <c r="A85" s="7"/>
      <c r="E85" s="7"/>
      <c r="F85" s="7"/>
    </row>
    <row r="86" spans="1:6" x14ac:dyDescent="0.25">
      <c r="A86" s="7"/>
      <c r="E86" s="7"/>
      <c r="F86" s="7"/>
    </row>
    <row r="87" spans="1:6" x14ac:dyDescent="0.25">
      <c r="A87" s="7"/>
      <c r="E87" s="7"/>
      <c r="F87" s="7"/>
    </row>
    <row r="88" spans="1:6" x14ac:dyDescent="0.25">
      <c r="A88" s="7"/>
      <c r="E88" s="7"/>
      <c r="F88" s="7"/>
    </row>
    <row r="89" spans="1:6" x14ac:dyDescent="0.25">
      <c r="A89" s="7"/>
      <c r="E89" s="7"/>
      <c r="F89" s="7"/>
    </row>
    <row r="90" spans="1:6" x14ac:dyDescent="0.25">
      <c r="A90" s="7"/>
      <c r="E90" s="7"/>
      <c r="F90" s="7"/>
    </row>
    <row r="91" spans="1:6" x14ac:dyDescent="0.25">
      <c r="A91" s="7"/>
      <c r="E91" s="7"/>
      <c r="F91" s="7"/>
    </row>
    <row r="92" spans="1:6" x14ac:dyDescent="0.25">
      <c r="A92" s="7"/>
      <c r="E92" s="7"/>
      <c r="F92" s="7"/>
    </row>
    <row r="93" spans="1:6" x14ac:dyDescent="0.25">
      <c r="A93" s="7"/>
      <c r="E93" s="7"/>
      <c r="F93" s="7"/>
    </row>
    <row r="94" spans="1:6" x14ac:dyDescent="0.25">
      <c r="A94" s="7"/>
      <c r="E94" s="7"/>
      <c r="F94" s="7"/>
    </row>
    <row r="95" spans="1:6" x14ac:dyDescent="0.25">
      <c r="A95" s="7"/>
      <c r="E95" s="7"/>
      <c r="F95" s="7"/>
    </row>
    <row r="96" spans="1:6" x14ac:dyDescent="0.25">
      <c r="A96" s="7"/>
      <c r="E96" s="7"/>
      <c r="F96" s="7"/>
    </row>
    <row r="97" spans="1:6" x14ac:dyDescent="0.25">
      <c r="A97" s="7"/>
      <c r="E97" s="7"/>
      <c r="F97" s="7"/>
    </row>
    <row r="98" spans="1:6" x14ac:dyDescent="0.25">
      <c r="A98" s="7"/>
      <c r="E98" s="7"/>
      <c r="F98" s="7"/>
    </row>
    <row r="99" spans="1:6" x14ac:dyDescent="0.25">
      <c r="A99" s="7"/>
      <c r="E99" s="7"/>
      <c r="F99" s="7"/>
    </row>
    <row r="100" spans="1:6" x14ac:dyDescent="0.25">
      <c r="A100" s="7"/>
      <c r="E100" s="7"/>
      <c r="F100" s="7"/>
    </row>
    <row r="101" spans="1:6" x14ac:dyDescent="0.25">
      <c r="A101" s="7"/>
      <c r="E101" s="7"/>
      <c r="F101" s="7"/>
    </row>
    <row r="102" spans="1:6" x14ac:dyDescent="0.25">
      <c r="A102" s="7"/>
      <c r="E102" s="7"/>
      <c r="F102" s="7"/>
    </row>
    <row r="103" spans="1:6" x14ac:dyDescent="0.25">
      <c r="A103" s="7"/>
      <c r="E103" s="7"/>
      <c r="F103" s="7"/>
    </row>
    <row r="104" spans="1:6" x14ac:dyDescent="0.25">
      <c r="A104" s="7"/>
      <c r="E104" s="7"/>
      <c r="F104" s="7"/>
    </row>
    <row r="105" spans="1:6" x14ac:dyDescent="0.25">
      <c r="A105" s="7"/>
      <c r="E105" s="7"/>
      <c r="F105" s="7"/>
    </row>
    <row r="106" spans="1:6" x14ac:dyDescent="0.25">
      <c r="A106" s="7"/>
      <c r="E106" s="7"/>
      <c r="F106" s="7"/>
    </row>
    <row r="107" spans="1:6" x14ac:dyDescent="0.25">
      <c r="A107" s="7"/>
      <c r="E107" s="7"/>
      <c r="F107" s="7"/>
    </row>
    <row r="108" spans="1:6" x14ac:dyDescent="0.25">
      <c r="A108" s="7"/>
      <c r="E108" s="7"/>
      <c r="F108" s="7"/>
    </row>
    <row r="109" spans="1:6" x14ac:dyDescent="0.25">
      <c r="A109" s="7"/>
      <c r="E109" s="7"/>
      <c r="F109" s="7"/>
    </row>
    <row r="110" spans="1:6" x14ac:dyDescent="0.25">
      <c r="A110" s="7"/>
      <c r="E110" s="7"/>
      <c r="F110" s="7"/>
    </row>
    <row r="111" spans="1:6" x14ac:dyDescent="0.25">
      <c r="A111" s="7"/>
      <c r="E111" s="7"/>
      <c r="F111" s="7"/>
    </row>
    <row r="112" spans="1:6" x14ac:dyDescent="0.25">
      <c r="A112" s="7"/>
      <c r="E112" s="7"/>
      <c r="F112" s="7"/>
    </row>
    <row r="113" spans="1:6" x14ac:dyDescent="0.25">
      <c r="A113" s="7"/>
      <c r="E113" s="7"/>
      <c r="F113" s="7"/>
    </row>
    <row r="114" spans="1:6" x14ac:dyDescent="0.25">
      <c r="A114" s="7"/>
      <c r="E114" s="7"/>
      <c r="F114" s="7"/>
    </row>
    <row r="115" spans="1:6" x14ac:dyDescent="0.25">
      <c r="A115" s="7"/>
      <c r="E115" s="7"/>
      <c r="F115" s="7"/>
    </row>
    <row r="116" spans="1:6" x14ac:dyDescent="0.25">
      <c r="A116" s="7"/>
      <c r="E116" s="7"/>
      <c r="F116" s="7"/>
    </row>
    <row r="117" spans="1:6" x14ac:dyDescent="0.25">
      <c r="A117" s="7"/>
      <c r="E117" s="7"/>
      <c r="F117" s="7"/>
    </row>
    <row r="118" spans="1:6" x14ac:dyDescent="0.25">
      <c r="A118" s="7"/>
      <c r="E118" s="7"/>
      <c r="F118" s="7"/>
    </row>
    <row r="119" spans="1:6" x14ac:dyDescent="0.25">
      <c r="A119" s="7"/>
      <c r="E119" s="7"/>
      <c r="F119" s="7"/>
    </row>
    <row r="120" spans="1:6" x14ac:dyDescent="0.25">
      <c r="A120" s="7"/>
      <c r="E120" s="7"/>
      <c r="F120" s="7"/>
    </row>
    <row r="121" spans="1:6" x14ac:dyDescent="0.25">
      <c r="A121" s="7"/>
      <c r="E121" s="7"/>
      <c r="F121" s="7"/>
    </row>
    <row r="122" spans="1:6" x14ac:dyDescent="0.25">
      <c r="A122" s="7"/>
      <c r="E122" s="7"/>
      <c r="F122" s="7"/>
    </row>
    <row r="123" spans="1:6" x14ac:dyDescent="0.25">
      <c r="A123" s="7"/>
      <c r="E123" s="7"/>
      <c r="F123" s="7"/>
    </row>
    <row r="124" spans="1:6" x14ac:dyDescent="0.25">
      <c r="A124" s="7"/>
      <c r="E124" s="7"/>
      <c r="F124" s="7"/>
    </row>
    <row r="125" spans="1:6" x14ac:dyDescent="0.25">
      <c r="A125" s="7"/>
      <c r="E125" s="7"/>
      <c r="F125" s="7"/>
    </row>
    <row r="126" spans="1:6" x14ac:dyDescent="0.25">
      <c r="A126" s="7"/>
      <c r="E126" s="7"/>
      <c r="F126" s="7"/>
    </row>
    <row r="127" spans="1:6" x14ac:dyDescent="0.25">
      <c r="A127" s="7"/>
      <c r="E127" s="7"/>
      <c r="F127" s="7"/>
    </row>
    <row r="128" spans="1:6" x14ac:dyDescent="0.25">
      <c r="A128" s="7"/>
      <c r="E128" s="7"/>
      <c r="F128" s="7"/>
    </row>
    <row r="129" spans="1:6" x14ac:dyDescent="0.25">
      <c r="A129" s="7"/>
      <c r="E129" s="7"/>
      <c r="F129" s="7"/>
    </row>
    <row r="130" spans="1:6" x14ac:dyDescent="0.25">
      <c r="A130" s="7"/>
      <c r="E130" s="7"/>
      <c r="F130" s="7"/>
    </row>
    <row r="131" spans="1:6" x14ac:dyDescent="0.25">
      <c r="A131" s="7"/>
      <c r="E131" s="7"/>
      <c r="F131" s="7"/>
    </row>
    <row r="132" spans="1:6" x14ac:dyDescent="0.25">
      <c r="A132" s="7"/>
      <c r="E132" s="7"/>
      <c r="F132" s="7"/>
    </row>
    <row r="133" spans="1:6" x14ac:dyDescent="0.25">
      <c r="A133" s="7"/>
      <c r="E133" s="7"/>
      <c r="F133" s="7"/>
    </row>
    <row r="134" spans="1:6" x14ac:dyDescent="0.25">
      <c r="A134" s="7"/>
      <c r="E134" s="7"/>
      <c r="F134" s="7"/>
    </row>
    <row r="135" spans="1:6" x14ac:dyDescent="0.25">
      <c r="A135" s="7"/>
      <c r="E135" s="7"/>
      <c r="F135" s="7"/>
    </row>
    <row r="136" spans="1:6" x14ac:dyDescent="0.25">
      <c r="A136" s="7"/>
      <c r="E136" s="7"/>
      <c r="F136" s="7"/>
    </row>
    <row r="137" spans="1:6" x14ac:dyDescent="0.25">
      <c r="A137" s="7"/>
      <c r="E137" s="7"/>
      <c r="F137" s="7"/>
    </row>
    <row r="138" spans="1:6" x14ac:dyDescent="0.25">
      <c r="A138" s="7"/>
      <c r="E138" s="7"/>
      <c r="F138" s="7"/>
    </row>
    <row r="139" spans="1:6" x14ac:dyDescent="0.25">
      <c r="A139" s="7"/>
      <c r="E139" s="7"/>
      <c r="F139" s="7"/>
    </row>
    <row r="140" spans="1:6" x14ac:dyDescent="0.25">
      <c r="A140" s="7"/>
      <c r="E140" s="7"/>
      <c r="F140" s="7"/>
    </row>
    <row r="141" spans="1:6" x14ac:dyDescent="0.25">
      <c r="A141" s="7"/>
      <c r="E141" s="7"/>
      <c r="F141" s="7"/>
    </row>
    <row r="142" spans="1:6" x14ac:dyDescent="0.25">
      <c r="A142" s="7"/>
      <c r="E142" s="7"/>
      <c r="F142" s="7"/>
    </row>
    <row r="143" spans="1:6" x14ac:dyDescent="0.25">
      <c r="A143" s="7"/>
      <c r="E143" s="7"/>
      <c r="F143" s="7"/>
    </row>
    <row r="144" spans="1:6" x14ac:dyDescent="0.25">
      <c r="A144" s="7"/>
      <c r="E144" s="7"/>
      <c r="F144" s="7"/>
    </row>
    <row r="145" spans="1:6" x14ac:dyDescent="0.25">
      <c r="A145" s="7"/>
      <c r="E145" s="7"/>
      <c r="F145" s="7"/>
    </row>
    <row r="146" spans="1:6" x14ac:dyDescent="0.25">
      <c r="A146" s="7"/>
      <c r="E146" s="7"/>
      <c r="F146" s="7"/>
    </row>
    <row r="147" spans="1:6" x14ac:dyDescent="0.25">
      <c r="A147" s="7"/>
      <c r="E147" s="7"/>
      <c r="F147" s="7"/>
    </row>
    <row r="148" spans="1:6" x14ac:dyDescent="0.25">
      <c r="A148" s="7"/>
      <c r="E148" s="7"/>
      <c r="F148" s="7"/>
    </row>
    <row r="149" spans="1:6" x14ac:dyDescent="0.25">
      <c r="A149" s="7"/>
      <c r="E149" s="7"/>
      <c r="F149" s="7"/>
    </row>
    <row r="150" spans="1:6" x14ac:dyDescent="0.25">
      <c r="A150" s="7"/>
      <c r="E150" s="7"/>
      <c r="F150" s="7"/>
    </row>
    <row r="151" spans="1:6" x14ac:dyDescent="0.25">
      <c r="A151" s="7"/>
      <c r="E151" s="7"/>
      <c r="F151" s="7"/>
    </row>
    <row r="152" spans="1:6" x14ac:dyDescent="0.25">
      <c r="A152" s="7"/>
      <c r="E152" s="7"/>
      <c r="F152" s="7"/>
    </row>
    <row r="153" spans="1:6" x14ac:dyDescent="0.25">
      <c r="A153" s="7"/>
      <c r="E153" s="7"/>
      <c r="F153" s="7"/>
    </row>
    <row r="154" spans="1:6" x14ac:dyDescent="0.25">
      <c r="A154" s="7"/>
      <c r="E154" s="7"/>
      <c r="F154" s="7"/>
    </row>
    <row r="155" spans="1:6" x14ac:dyDescent="0.25">
      <c r="A155" s="7"/>
      <c r="E155" s="7"/>
      <c r="F155" s="7"/>
    </row>
    <row r="156" spans="1:6" x14ac:dyDescent="0.25">
      <c r="A156" s="7"/>
      <c r="E156" s="7"/>
      <c r="F156" s="7"/>
    </row>
    <row r="157" spans="1:6" x14ac:dyDescent="0.25">
      <c r="A157" s="7"/>
      <c r="E157" s="7"/>
      <c r="F157" s="7"/>
    </row>
    <row r="158" spans="1:6" x14ac:dyDescent="0.25">
      <c r="A158" s="7"/>
      <c r="E158" s="7"/>
      <c r="F158" s="7"/>
    </row>
    <row r="159" spans="1:6" x14ac:dyDescent="0.25">
      <c r="A159" s="7"/>
      <c r="E159" s="7"/>
      <c r="F159" s="7"/>
    </row>
    <row r="160" spans="1:6" x14ac:dyDescent="0.25">
      <c r="A160" s="7"/>
      <c r="E160" s="7"/>
      <c r="F160" s="7"/>
    </row>
    <row r="161" spans="1:6" x14ac:dyDescent="0.25">
      <c r="A161" s="7"/>
      <c r="E161" s="7"/>
      <c r="F161" s="7"/>
    </row>
    <row r="162" spans="1:6" x14ac:dyDescent="0.25">
      <c r="A162" s="7"/>
      <c r="E162" s="7"/>
      <c r="F162" s="7"/>
    </row>
    <row r="163" spans="1:6" x14ac:dyDescent="0.25">
      <c r="A163" s="7"/>
      <c r="E163" s="7"/>
      <c r="F163" s="7"/>
    </row>
    <row r="164" spans="1:6" x14ac:dyDescent="0.25">
      <c r="A164" s="7"/>
      <c r="E164" s="7"/>
      <c r="F164" s="7"/>
    </row>
    <row r="165" spans="1:6" x14ac:dyDescent="0.25">
      <c r="A165" s="7"/>
      <c r="E165" s="7"/>
      <c r="F165" s="7"/>
    </row>
    <row r="166" spans="1:6" x14ac:dyDescent="0.25">
      <c r="A166" s="7"/>
      <c r="E166" s="7"/>
      <c r="F166" s="7"/>
    </row>
    <row r="167" spans="1:6" x14ac:dyDescent="0.25">
      <c r="A167" s="7"/>
      <c r="E167" s="7"/>
      <c r="F167" s="7"/>
    </row>
    <row r="168" spans="1:6" x14ac:dyDescent="0.25">
      <c r="A168" s="7"/>
      <c r="E168" s="7"/>
      <c r="F168" s="7"/>
    </row>
    <row r="169" spans="1:6" x14ac:dyDescent="0.25">
      <c r="A169" s="7"/>
      <c r="E169" s="7"/>
      <c r="F169" s="7"/>
    </row>
    <row r="170" spans="1:6" x14ac:dyDescent="0.25">
      <c r="A170" s="7"/>
      <c r="E170" s="7"/>
      <c r="F170" s="7"/>
    </row>
    <row r="171" spans="1:6" x14ac:dyDescent="0.25">
      <c r="A171" s="7"/>
      <c r="E171" s="7"/>
      <c r="F171" s="7"/>
    </row>
    <row r="172" spans="1:6" x14ac:dyDescent="0.25">
      <c r="A172" s="7"/>
      <c r="E172" s="7"/>
      <c r="F172" s="7"/>
    </row>
    <row r="173" spans="1:6" x14ac:dyDescent="0.25">
      <c r="A173" s="7"/>
      <c r="E173" s="7"/>
      <c r="F173" s="7"/>
    </row>
    <row r="174" spans="1:6" x14ac:dyDescent="0.25">
      <c r="A174" s="7"/>
      <c r="E174" s="7"/>
      <c r="F174" s="7"/>
    </row>
    <row r="175" spans="1:6" x14ac:dyDescent="0.25">
      <c r="A175" s="7"/>
      <c r="E175" s="7"/>
      <c r="F175" s="7"/>
    </row>
    <row r="176" spans="1:6" x14ac:dyDescent="0.25">
      <c r="A176" s="7"/>
      <c r="E176" s="7"/>
      <c r="F176" s="7"/>
    </row>
    <row r="177" spans="1:6" x14ac:dyDescent="0.25">
      <c r="A177" s="7"/>
      <c r="E177" s="7"/>
      <c r="F177" s="7"/>
    </row>
    <row r="178" spans="1:6" x14ac:dyDescent="0.25">
      <c r="A178" s="7"/>
      <c r="E178" s="7"/>
      <c r="F178" s="7"/>
    </row>
    <row r="179" spans="1:6" x14ac:dyDescent="0.25">
      <c r="A179" s="7"/>
      <c r="E179" s="7"/>
      <c r="F179" s="7"/>
    </row>
    <row r="180" spans="1:6" x14ac:dyDescent="0.25">
      <c r="A180" s="7"/>
      <c r="E180" s="7"/>
      <c r="F180" s="7"/>
    </row>
    <row r="181" spans="1:6" x14ac:dyDescent="0.25">
      <c r="A181" s="7"/>
      <c r="E181" s="7"/>
      <c r="F181" s="7"/>
    </row>
    <row r="182" spans="1:6" x14ac:dyDescent="0.25">
      <c r="A182" s="7"/>
      <c r="E182" s="7"/>
      <c r="F182" s="7"/>
    </row>
    <row r="183" spans="1:6" x14ac:dyDescent="0.25">
      <c r="A183" s="7"/>
      <c r="E183" s="7"/>
      <c r="F183" s="7"/>
    </row>
    <row r="184" spans="1:6" x14ac:dyDescent="0.25">
      <c r="A184" s="7"/>
      <c r="E184" s="7"/>
      <c r="F184" s="7"/>
    </row>
    <row r="185" spans="1:6" x14ac:dyDescent="0.25">
      <c r="A185" s="7"/>
      <c r="E185" s="7"/>
      <c r="F185" s="7"/>
    </row>
    <row r="186" spans="1:6" x14ac:dyDescent="0.25">
      <c r="A186" s="7"/>
      <c r="E186" s="7"/>
      <c r="F186" s="7"/>
    </row>
    <row r="187" spans="1:6" x14ac:dyDescent="0.25">
      <c r="A187" s="7"/>
      <c r="E187" s="7"/>
      <c r="F187" s="7"/>
    </row>
    <row r="188" spans="1:6" x14ac:dyDescent="0.25">
      <c r="A188" s="7"/>
      <c r="E188" s="7"/>
      <c r="F188" s="7"/>
    </row>
    <row r="189" spans="1:6" x14ac:dyDescent="0.25">
      <c r="A189" s="7"/>
      <c r="E189" s="7"/>
      <c r="F189" s="7"/>
    </row>
    <row r="190" spans="1:6" x14ac:dyDescent="0.25">
      <c r="A190" s="7"/>
      <c r="E190" s="7"/>
      <c r="F190" s="7"/>
    </row>
    <row r="191" spans="1:6" x14ac:dyDescent="0.25">
      <c r="A191" s="7"/>
      <c r="E191" s="7"/>
      <c r="F191" s="7"/>
    </row>
    <row r="192" spans="1:6" x14ac:dyDescent="0.25">
      <c r="A192" s="7"/>
      <c r="E192" s="7"/>
      <c r="F192" s="7"/>
    </row>
    <row r="193" spans="1:6" x14ac:dyDescent="0.25">
      <c r="A193" s="7"/>
      <c r="E193" s="7"/>
      <c r="F193" s="7"/>
    </row>
    <row r="194" spans="1:6" x14ac:dyDescent="0.25">
      <c r="A194" s="7"/>
      <c r="E194" s="7"/>
      <c r="F194" s="7"/>
    </row>
    <row r="195" spans="1:6" x14ac:dyDescent="0.25">
      <c r="A195" s="7"/>
      <c r="E195" s="7"/>
      <c r="F195" s="7"/>
    </row>
    <row r="196" spans="1:6" x14ac:dyDescent="0.25">
      <c r="A196" s="7"/>
      <c r="E196" s="7"/>
      <c r="F196" s="7"/>
    </row>
    <row r="197" spans="1:6" x14ac:dyDescent="0.25">
      <c r="A197" s="7"/>
      <c r="E197" s="7"/>
      <c r="F197" s="7"/>
    </row>
    <row r="198" spans="1:6" x14ac:dyDescent="0.25">
      <c r="A198" s="7"/>
      <c r="E198" s="7"/>
      <c r="F198" s="7"/>
    </row>
    <row r="199" spans="1:6" x14ac:dyDescent="0.25">
      <c r="A199" s="7"/>
      <c r="E199" s="7"/>
      <c r="F199" s="7"/>
    </row>
    <row r="200" spans="1:6" x14ac:dyDescent="0.25">
      <c r="A200" s="7"/>
      <c r="E200" s="7"/>
      <c r="F200" s="7"/>
    </row>
    <row r="201" spans="1:6" x14ac:dyDescent="0.25">
      <c r="A201" s="7"/>
      <c r="E201" s="7"/>
      <c r="F201" s="7"/>
    </row>
    <row r="202" spans="1:6" x14ac:dyDescent="0.25">
      <c r="A202" s="7"/>
      <c r="E202" s="7"/>
      <c r="F202" s="7"/>
    </row>
    <row r="203" spans="1:6" x14ac:dyDescent="0.25">
      <c r="A203" s="7"/>
      <c r="E203" s="7"/>
      <c r="F203" s="7"/>
    </row>
    <row r="204" spans="1:6" x14ac:dyDescent="0.25">
      <c r="A204" s="7"/>
      <c r="E204" s="7"/>
      <c r="F204" s="7"/>
    </row>
    <row r="205" spans="1:6" x14ac:dyDescent="0.25">
      <c r="A205" s="7"/>
      <c r="E205" s="7"/>
      <c r="F205" s="7"/>
    </row>
    <row r="206" spans="1:6" x14ac:dyDescent="0.25">
      <c r="A206" s="7"/>
      <c r="E206" s="7"/>
      <c r="F206" s="7"/>
    </row>
    <row r="207" spans="1:6" x14ac:dyDescent="0.25">
      <c r="A207" s="7"/>
      <c r="E207" s="7"/>
      <c r="F207" s="7"/>
    </row>
    <row r="208" spans="1:6" x14ac:dyDescent="0.25">
      <c r="A208" s="7"/>
      <c r="E208" s="7"/>
      <c r="F208" s="7"/>
    </row>
    <row r="209" spans="1:6" x14ac:dyDescent="0.25">
      <c r="A209" s="7"/>
      <c r="E209" s="7"/>
      <c r="F209" s="7"/>
    </row>
    <row r="210" spans="1:6" x14ac:dyDescent="0.25">
      <c r="A210" s="7"/>
      <c r="E210" s="7"/>
      <c r="F210" s="7"/>
    </row>
    <row r="211" spans="1:6" x14ac:dyDescent="0.25">
      <c r="A211" s="7"/>
      <c r="E211" s="7"/>
      <c r="F211" s="7"/>
    </row>
    <row r="212" spans="1:6" x14ac:dyDescent="0.25">
      <c r="A212" s="7"/>
      <c r="E212" s="7"/>
      <c r="F212" s="7"/>
    </row>
    <row r="213" spans="1:6" x14ac:dyDescent="0.25">
      <c r="A213" s="7"/>
      <c r="E213" s="7"/>
      <c r="F213" s="7"/>
    </row>
    <row r="214" spans="1:6" x14ac:dyDescent="0.25">
      <c r="A214" s="7"/>
      <c r="E214" s="7"/>
      <c r="F214" s="7"/>
    </row>
    <row r="215" spans="1:6" x14ac:dyDescent="0.25">
      <c r="A215" s="7"/>
      <c r="E215" s="7"/>
      <c r="F215" s="7"/>
    </row>
    <row r="216" spans="1:6" x14ac:dyDescent="0.25">
      <c r="A216" s="7"/>
      <c r="E216" s="7"/>
      <c r="F216" s="7"/>
    </row>
    <row r="217" spans="1:6" x14ac:dyDescent="0.25">
      <c r="A217" s="7"/>
      <c r="E217" s="7"/>
      <c r="F217" s="7"/>
    </row>
    <row r="218" spans="1:6" x14ac:dyDescent="0.25">
      <c r="A218" s="7"/>
      <c r="E218" s="7"/>
      <c r="F218" s="7"/>
    </row>
    <row r="219" spans="1:6" x14ac:dyDescent="0.25">
      <c r="A219" s="7"/>
      <c r="E219" s="7"/>
      <c r="F219" s="7"/>
    </row>
    <row r="220" spans="1:6" x14ac:dyDescent="0.25">
      <c r="A220" s="7"/>
      <c r="E220" s="7"/>
      <c r="F220" s="7"/>
    </row>
    <row r="221" spans="1:6" x14ac:dyDescent="0.25">
      <c r="A221" s="7"/>
      <c r="E221" s="7"/>
      <c r="F221" s="7"/>
    </row>
    <row r="222" spans="1:6" x14ac:dyDescent="0.25">
      <c r="A222" s="7"/>
      <c r="E222" s="7"/>
      <c r="F222" s="7"/>
    </row>
    <row r="223" spans="1:6" x14ac:dyDescent="0.25">
      <c r="A223" s="7"/>
      <c r="E223" s="7"/>
      <c r="F223" s="7"/>
    </row>
    <row r="224" spans="1:6" x14ac:dyDescent="0.25">
      <c r="A224" s="7"/>
      <c r="E224" s="7"/>
      <c r="F224" s="7"/>
    </row>
    <row r="225" spans="1:6" x14ac:dyDescent="0.25">
      <c r="A225" s="7"/>
      <c r="E225" s="7"/>
      <c r="F225" s="7"/>
    </row>
    <row r="226" spans="1:6" x14ac:dyDescent="0.25">
      <c r="A226" s="7"/>
      <c r="E226" s="7"/>
      <c r="F226" s="7"/>
    </row>
    <row r="227" spans="1:6" x14ac:dyDescent="0.25">
      <c r="A227" s="7"/>
      <c r="E227" s="7"/>
      <c r="F227" s="7"/>
    </row>
    <row r="228" spans="1:6" x14ac:dyDescent="0.25">
      <c r="A228" s="7"/>
      <c r="E228" s="7"/>
      <c r="F228" s="7"/>
    </row>
    <row r="229" spans="1:6" x14ac:dyDescent="0.25">
      <c r="A229" s="7"/>
      <c r="E229" s="7"/>
      <c r="F229" s="7"/>
    </row>
    <row r="230" spans="1:6" x14ac:dyDescent="0.25">
      <c r="A230" s="7"/>
      <c r="E230" s="7"/>
      <c r="F230" s="7"/>
    </row>
    <row r="231" spans="1:6" x14ac:dyDescent="0.25">
      <c r="A231" s="7"/>
      <c r="E231" s="7"/>
      <c r="F231" s="7"/>
    </row>
    <row r="232" spans="1:6" x14ac:dyDescent="0.25">
      <c r="A232" s="7"/>
      <c r="E232" s="7"/>
      <c r="F232" s="7"/>
    </row>
    <row r="233" spans="1:6" x14ac:dyDescent="0.25">
      <c r="A233" s="7"/>
      <c r="E233" s="7"/>
      <c r="F233" s="7"/>
    </row>
    <row r="234" spans="1:6" x14ac:dyDescent="0.25">
      <c r="A234" s="7"/>
      <c r="E234" s="7"/>
      <c r="F234" s="7"/>
    </row>
    <row r="235" spans="1:6" x14ac:dyDescent="0.25">
      <c r="A235" s="7"/>
      <c r="E235" s="7"/>
      <c r="F235" s="7"/>
    </row>
    <row r="236" spans="1:6" x14ac:dyDescent="0.25">
      <c r="A236" s="7"/>
      <c r="E236" s="7"/>
      <c r="F236" s="7"/>
    </row>
    <row r="237" spans="1:6" x14ac:dyDescent="0.25">
      <c r="A237" s="7"/>
      <c r="E237" s="7"/>
      <c r="F237" s="7"/>
    </row>
    <row r="238" spans="1:6" x14ac:dyDescent="0.25">
      <c r="A238" s="7"/>
      <c r="E238" s="7"/>
      <c r="F238" s="7"/>
    </row>
    <row r="239" spans="1:6" x14ac:dyDescent="0.25">
      <c r="A239" s="7"/>
      <c r="E239" s="7"/>
      <c r="F239" s="7"/>
    </row>
    <row r="240" spans="1:6" x14ac:dyDescent="0.25">
      <c r="A240" s="7"/>
      <c r="E240" s="7"/>
      <c r="F240" s="7"/>
    </row>
    <row r="241" spans="1:6" x14ac:dyDescent="0.25">
      <c r="A241" s="7"/>
      <c r="E241" s="7"/>
      <c r="F241" s="7"/>
    </row>
    <row r="242" spans="1:6" x14ac:dyDescent="0.25">
      <c r="A242" s="7"/>
      <c r="E242" s="7"/>
      <c r="F242" s="7"/>
    </row>
    <row r="243" spans="1:6" x14ac:dyDescent="0.25">
      <c r="A243" s="7"/>
      <c r="E243" s="7"/>
      <c r="F243" s="7"/>
    </row>
    <row r="244" spans="1:6" x14ac:dyDescent="0.25">
      <c r="A244" s="7"/>
      <c r="E244" s="7"/>
      <c r="F244" s="7"/>
    </row>
    <row r="245" spans="1:6" x14ac:dyDescent="0.25">
      <c r="A245" s="7"/>
      <c r="E245" s="7"/>
      <c r="F245" s="7"/>
    </row>
    <row r="246" spans="1:6" x14ac:dyDescent="0.25">
      <c r="A246" s="7"/>
      <c r="E246" s="7"/>
      <c r="F246" s="7"/>
    </row>
    <row r="247" spans="1:6" x14ac:dyDescent="0.25">
      <c r="A247" s="7"/>
      <c r="E247" s="7"/>
      <c r="F247" s="7"/>
    </row>
    <row r="248" spans="1:6" x14ac:dyDescent="0.25">
      <c r="A248" s="7"/>
      <c r="E248" s="7"/>
      <c r="F248" s="7"/>
    </row>
    <row r="249" spans="1:6" x14ac:dyDescent="0.25">
      <c r="A249" s="7"/>
      <c r="E249" s="7"/>
      <c r="F249" s="7"/>
    </row>
    <row r="250" spans="1:6" x14ac:dyDescent="0.25">
      <c r="A250" s="7"/>
      <c r="E250" s="7"/>
      <c r="F250" s="7"/>
    </row>
    <row r="251" spans="1:6" x14ac:dyDescent="0.25">
      <c r="A251" s="7"/>
      <c r="E251" s="7"/>
      <c r="F251" s="7"/>
    </row>
    <row r="252" spans="1:6" x14ac:dyDescent="0.25">
      <c r="A252" s="7"/>
      <c r="E252" s="7"/>
      <c r="F252" s="7"/>
    </row>
    <row r="253" spans="1:6" x14ac:dyDescent="0.25">
      <c r="A253" s="7"/>
      <c r="E253" s="7"/>
      <c r="F253" s="7"/>
    </row>
    <row r="254" spans="1:6" x14ac:dyDescent="0.25">
      <c r="A254" s="7"/>
      <c r="E254" s="7"/>
      <c r="F254" s="7"/>
    </row>
    <row r="255" spans="1:6" x14ac:dyDescent="0.25">
      <c r="A255" s="7"/>
      <c r="E255" s="7"/>
      <c r="F255" s="7"/>
    </row>
    <row r="256" spans="1:6" x14ac:dyDescent="0.25">
      <c r="A256" s="7"/>
      <c r="E256" s="7"/>
      <c r="F256" s="7"/>
    </row>
    <row r="257" spans="1:6" x14ac:dyDescent="0.25">
      <c r="A257" s="7"/>
      <c r="E257" s="7"/>
      <c r="F257" s="7"/>
    </row>
    <row r="258" spans="1:6" x14ac:dyDescent="0.25">
      <c r="A258" s="7"/>
      <c r="E258" s="7"/>
      <c r="F258" s="7"/>
    </row>
    <row r="259" spans="1:6" x14ac:dyDescent="0.25">
      <c r="A259" s="7"/>
      <c r="E259" s="7"/>
      <c r="F259" s="7"/>
    </row>
    <row r="260" spans="1:6" x14ac:dyDescent="0.25">
      <c r="A260" s="7"/>
      <c r="E260" s="7"/>
      <c r="F260" s="7"/>
    </row>
    <row r="261" spans="1:6" x14ac:dyDescent="0.25">
      <c r="A261" s="7"/>
      <c r="E261" s="7"/>
      <c r="F261" s="7"/>
    </row>
    <row r="262" spans="1:6" x14ac:dyDescent="0.25">
      <c r="A262" s="7"/>
      <c r="E262" s="7"/>
      <c r="F262" s="7"/>
    </row>
    <row r="263" spans="1:6" x14ac:dyDescent="0.25">
      <c r="A263" s="7"/>
      <c r="E263" s="7"/>
      <c r="F263" s="7"/>
    </row>
    <row r="264" spans="1:6" x14ac:dyDescent="0.25">
      <c r="A264" s="7"/>
      <c r="E264" s="7"/>
      <c r="F264" s="7"/>
    </row>
    <row r="265" spans="1:6" x14ac:dyDescent="0.25">
      <c r="A265" s="7"/>
      <c r="E265" s="7"/>
      <c r="F265" s="7"/>
    </row>
    <row r="266" spans="1:6" x14ac:dyDescent="0.25">
      <c r="A266" s="7"/>
      <c r="E266" s="7"/>
      <c r="F266" s="7"/>
    </row>
    <row r="267" spans="1:6" x14ac:dyDescent="0.25">
      <c r="A267" s="7"/>
      <c r="E267" s="7"/>
      <c r="F267" s="7"/>
    </row>
    <row r="268" spans="1:6" x14ac:dyDescent="0.25">
      <c r="A268" s="7"/>
      <c r="E268" s="7"/>
      <c r="F268" s="7"/>
    </row>
    <row r="269" spans="1:6" x14ac:dyDescent="0.25">
      <c r="A269" s="7"/>
      <c r="E269" s="7"/>
      <c r="F269" s="7"/>
    </row>
    <row r="270" spans="1:6" x14ac:dyDescent="0.25">
      <c r="A270" s="7"/>
      <c r="E270" s="7"/>
      <c r="F270" s="7"/>
    </row>
    <row r="271" spans="1:6" x14ac:dyDescent="0.25">
      <c r="A271" s="7"/>
      <c r="E271" s="7"/>
      <c r="F271" s="7"/>
    </row>
    <row r="272" spans="1:6" x14ac:dyDescent="0.25">
      <c r="A272" s="7"/>
      <c r="E272" s="7"/>
      <c r="F272" s="7"/>
    </row>
    <row r="273" spans="1:6" x14ac:dyDescent="0.25">
      <c r="A273" s="7"/>
      <c r="E273" s="7"/>
      <c r="F273" s="7"/>
    </row>
    <row r="274" spans="1:6" x14ac:dyDescent="0.25">
      <c r="A274" s="7"/>
      <c r="E274" s="7"/>
      <c r="F274" s="7"/>
    </row>
    <row r="275" spans="1:6" x14ac:dyDescent="0.25">
      <c r="A275" s="7"/>
      <c r="E275" s="7"/>
      <c r="F275" s="7"/>
    </row>
    <row r="276" spans="1:6" x14ac:dyDescent="0.25">
      <c r="A276" s="7"/>
      <c r="E276" s="7"/>
      <c r="F276" s="7"/>
    </row>
    <row r="277" spans="1:6" x14ac:dyDescent="0.25">
      <c r="A277" s="7"/>
      <c r="E277" s="7"/>
      <c r="F277" s="7"/>
    </row>
    <row r="278" spans="1:6" x14ac:dyDescent="0.25">
      <c r="A278" s="7"/>
      <c r="E278" s="7"/>
      <c r="F278" s="7"/>
    </row>
    <row r="279" spans="1:6" x14ac:dyDescent="0.25">
      <c r="A279" s="7"/>
      <c r="E279" s="7"/>
      <c r="F279" s="7"/>
    </row>
    <row r="280" spans="1:6" x14ac:dyDescent="0.25">
      <c r="A280" s="7"/>
      <c r="E280" s="7"/>
      <c r="F280" s="7"/>
    </row>
    <row r="281" spans="1:6" x14ac:dyDescent="0.25">
      <c r="A281" s="7"/>
      <c r="E281" s="7"/>
      <c r="F281" s="7"/>
    </row>
    <row r="282" spans="1:6" x14ac:dyDescent="0.25">
      <c r="A282" s="7"/>
      <c r="E282" s="7"/>
      <c r="F282" s="7"/>
    </row>
    <row r="283" spans="1:6" x14ac:dyDescent="0.25">
      <c r="A283" s="7"/>
      <c r="E283" s="7"/>
      <c r="F283" s="7"/>
    </row>
    <row r="284" spans="1:6" x14ac:dyDescent="0.25">
      <c r="A284" s="7"/>
      <c r="E284" s="7"/>
      <c r="F284" s="7"/>
    </row>
    <row r="285" spans="1:6" x14ac:dyDescent="0.25">
      <c r="A285" s="7"/>
      <c r="E285" s="7"/>
      <c r="F285" s="7"/>
    </row>
    <row r="286" spans="1:6" x14ac:dyDescent="0.25">
      <c r="A286" s="7"/>
      <c r="E286" s="7"/>
      <c r="F286" s="7"/>
    </row>
    <row r="287" spans="1:6" x14ac:dyDescent="0.25">
      <c r="A287" s="7"/>
      <c r="E287" s="7"/>
      <c r="F287" s="7"/>
    </row>
    <row r="288" spans="1:6" x14ac:dyDescent="0.25">
      <c r="A288" s="7"/>
      <c r="E288" s="7"/>
      <c r="F288" s="7"/>
    </row>
    <row r="289" spans="1:6" x14ac:dyDescent="0.25">
      <c r="A289" s="7"/>
      <c r="E289" s="7"/>
      <c r="F289" s="7"/>
    </row>
    <row r="290" spans="1:6" x14ac:dyDescent="0.25">
      <c r="A290" s="7"/>
      <c r="E290" s="7"/>
      <c r="F290" s="7"/>
    </row>
    <row r="291" spans="1:6" x14ac:dyDescent="0.25">
      <c r="A291" s="7"/>
      <c r="E291" s="7"/>
      <c r="F291" s="7"/>
    </row>
    <row r="292" spans="1:6" x14ac:dyDescent="0.25">
      <c r="A292" s="7"/>
      <c r="E292" s="7"/>
      <c r="F292" s="7"/>
    </row>
    <row r="293" spans="1:6" x14ac:dyDescent="0.25">
      <c r="A293" s="7"/>
      <c r="E293" s="7"/>
      <c r="F293" s="7"/>
    </row>
    <row r="294" spans="1:6" x14ac:dyDescent="0.25">
      <c r="A294" s="7"/>
      <c r="E294" s="7"/>
      <c r="F294" s="7"/>
    </row>
    <row r="295" spans="1:6" x14ac:dyDescent="0.25">
      <c r="A295" s="7"/>
      <c r="E295" s="7"/>
      <c r="F295" s="7"/>
    </row>
    <row r="296" spans="1:6" x14ac:dyDescent="0.25">
      <c r="A296" s="7"/>
      <c r="E296" s="7"/>
      <c r="F296" s="7"/>
    </row>
    <row r="297" spans="1:6" x14ac:dyDescent="0.25">
      <c r="A297" s="7"/>
      <c r="E297" s="7"/>
      <c r="F297" s="7"/>
    </row>
    <row r="298" spans="1:6" x14ac:dyDescent="0.25">
      <c r="A298" s="7"/>
      <c r="E298" s="7"/>
      <c r="F298" s="7"/>
    </row>
    <row r="299" spans="1:6" x14ac:dyDescent="0.25">
      <c r="A299" s="7"/>
      <c r="E299" s="7"/>
      <c r="F299" s="7"/>
    </row>
    <row r="300" spans="1:6" x14ac:dyDescent="0.25">
      <c r="A300" s="7"/>
      <c r="E300" s="7"/>
      <c r="F300" s="7"/>
    </row>
    <row r="301" spans="1:6" x14ac:dyDescent="0.25">
      <c r="A301" s="7"/>
      <c r="E301" s="7"/>
      <c r="F301" s="7"/>
    </row>
    <row r="302" spans="1:6" x14ac:dyDescent="0.25">
      <c r="A302" s="7"/>
      <c r="E302" s="7"/>
      <c r="F302" s="7"/>
    </row>
    <row r="303" spans="1:6" x14ac:dyDescent="0.25">
      <c r="A303" s="7"/>
      <c r="E303" s="7"/>
      <c r="F303" s="7"/>
    </row>
    <row r="304" spans="1:6" x14ac:dyDescent="0.25">
      <c r="A304" s="7"/>
      <c r="E304" s="7"/>
      <c r="F304" s="7"/>
    </row>
    <row r="305" spans="1:6" x14ac:dyDescent="0.25">
      <c r="A305" s="7"/>
      <c r="E305" s="7"/>
      <c r="F305" s="7"/>
    </row>
    <row r="306" spans="1:6" x14ac:dyDescent="0.25">
      <c r="A306" s="7"/>
      <c r="E306" s="7"/>
      <c r="F306" s="7"/>
    </row>
    <row r="307" spans="1:6" x14ac:dyDescent="0.25">
      <c r="A307" s="7"/>
      <c r="E307" s="7"/>
      <c r="F307" s="7"/>
    </row>
    <row r="308" spans="1:6" x14ac:dyDescent="0.25">
      <c r="A308" s="7"/>
      <c r="E308" s="7"/>
      <c r="F308" s="7"/>
    </row>
    <row r="309" spans="1:6" x14ac:dyDescent="0.25">
      <c r="A309" s="7"/>
      <c r="E309" s="7"/>
      <c r="F309" s="7"/>
    </row>
    <row r="310" spans="1:6" x14ac:dyDescent="0.25">
      <c r="A310" s="7"/>
      <c r="E310" s="7"/>
      <c r="F310" s="7"/>
    </row>
    <row r="311" spans="1:6" x14ac:dyDescent="0.25">
      <c r="A311" s="7"/>
      <c r="E311" s="7"/>
      <c r="F311" s="7"/>
    </row>
    <row r="312" spans="1:6" x14ac:dyDescent="0.25">
      <c r="A312" s="7"/>
      <c r="E312" s="7"/>
      <c r="F312" s="7"/>
    </row>
    <row r="313" spans="1:6" x14ac:dyDescent="0.25">
      <c r="A313" s="7"/>
      <c r="E313" s="7"/>
      <c r="F313" s="7"/>
    </row>
    <row r="314" spans="1:6" x14ac:dyDescent="0.25">
      <c r="A314" s="7"/>
      <c r="E314" s="7"/>
      <c r="F314" s="7"/>
    </row>
    <row r="315" spans="1:6" x14ac:dyDescent="0.25">
      <c r="A315" s="7"/>
      <c r="E315" s="7"/>
      <c r="F315" s="7"/>
    </row>
    <row r="316" spans="1:6" x14ac:dyDescent="0.25">
      <c r="A316" s="7"/>
      <c r="E316" s="7"/>
      <c r="F316" s="7"/>
    </row>
    <row r="317" spans="1:6" x14ac:dyDescent="0.25">
      <c r="A317" s="7"/>
      <c r="E317" s="7"/>
      <c r="F317" s="7"/>
    </row>
    <row r="318" spans="1:6" x14ac:dyDescent="0.25">
      <c r="A318" s="7"/>
      <c r="E318" s="7"/>
      <c r="F318" s="7"/>
    </row>
    <row r="319" spans="1:6" x14ac:dyDescent="0.25">
      <c r="A319" s="7"/>
      <c r="E319" s="7"/>
      <c r="F319" s="7"/>
    </row>
    <row r="320" spans="1:6" x14ac:dyDescent="0.25">
      <c r="A320" s="7"/>
      <c r="E320" s="7"/>
      <c r="F320" s="7"/>
    </row>
    <row r="321" spans="1:6" x14ac:dyDescent="0.25">
      <c r="A321" s="7"/>
      <c r="E321" s="7"/>
      <c r="F321" s="7"/>
    </row>
    <row r="322" spans="1:6" x14ac:dyDescent="0.25">
      <c r="A322" s="7"/>
      <c r="E322" s="7"/>
      <c r="F322" s="7"/>
    </row>
    <row r="323" spans="1:6" x14ac:dyDescent="0.25">
      <c r="A323" s="7"/>
      <c r="E323" s="7"/>
      <c r="F323" s="7"/>
    </row>
    <row r="324" spans="1:6" x14ac:dyDescent="0.25">
      <c r="A324" s="7"/>
      <c r="E324" s="7"/>
      <c r="F324" s="7"/>
    </row>
    <row r="325" spans="1:6" x14ac:dyDescent="0.25">
      <c r="A325" s="7"/>
      <c r="E325" s="7"/>
      <c r="F325" s="7"/>
    </row>
    <row r="326" spans="1:6" x14ac:dyDescent="0.25">
      <c r="A326" s="7"/>
      <c r="E326" s="7"/>
      <c r="F326" s="7"/>
    </row>
    <row r="327" spans="1:6" x14ac:dyDescent="0.25">
      <c r="A327" s="7"/>
      <c r="E327" s="7"/>
      <c r="F327" s="7"/>
    </row>
    <row r="328" spans="1:6" x14ac:dyDescent="0.25">
      <c r="A328" s="7"/>
      <c r="E328" s="7"/>
      <c r="F328" s="7"/>
    </row>
    <row r="329" spans="1:6" x14ac:dyDescent="0.25">
      <c r="A329" s="7"/>
      <c r="E329" s="7"/>
      <c r="F329" s="7"/>
    </row>
    <row r="330" spans="1:6" x14ac:dyDescent="0.25">
      <c r="A330" s="7"/>
      <c r="E330" s="7"/>
      <c r="F330" s="7"/>
    </row>
    <row r="331" spans="1:6" x14ac:dyDescent="0.25">
      <c r="A331" s="7"/>
      <c r="E331" s="7"/>
      <c r="F331" s="7"/>
    </row>
    <row r="332" spans="1:6" x14ac:dyDescent="0.25">
      <c r="A332" s="7"/>
      <c r="E332" s="7"/>
      <c r="F332" s="7"/>
    </row>
    <row r="333" spans="1:6" x14ac:dyDescent="0.25">
      <c r="A333" s="7"/>
      <c r="E333" s="7"/>
      <c r="F333" s="7"/>
    </row>
    <row r="334" spans="1:6" x14ac:dyDescent="0.25">
      <c r="A334" s="7"/>
      <c r="E334" s="7"/>
      <c r="F334" s="7"/>
    </row>
    <row r="335" spans="1:6" x14ac:dyDescent="0.25">
      <c r="A335" s="7"/>
      <c r="E335" s="7"/>
      <c r="F335" s="7"/>
    </row>
    <row r="336" spans="1:6" x14ac:dyDescent="0.25">
      <c r="A336" s="7"/>
      <c r="E336" s="7"/>
      <c r="F336" s="7"/>
    </row>
    <row r="337" spans="1:6" x14ac:dyDescent="0.25">
      <c r="A337" s="7"/>
      <c r="E337" s="7"/>
      <c r="F337" s="7"/>
    </row>
    <row r="338" spans="1:6" x14ac:dyDescent="0.25">
      <c r="A338" s="7"/>
      <c r="E338" s="7"/>
      <c r="F338" s="7"/>
    </row>
    <row r="339" spans="1:6" x14ac:dyDescent="0.25">
      <c r="A339" s="7"/>
      <c r="E339" s="7"/>
      <c r="F339" s="7"/>
    </row>
    <row r="340" spans="1:6" x14ac:dyDescent="0.25">
      <c r="A340" s="7"/>
      <c r="E340" s="7"/>
      <c r="F340" s="7"/>
    </row>
    <row r="341" spans="1:6" x14ac:dyDescent="0.25">
      <c r="A341" s="7"/>
      <c r="E341" s="7"/>
      <c r="F341" s="7"/>
    </row>
    <row r="342" spans="1:6" x14ac:dyDescent="0.25">
      <c r="A342" s="7"/>
      <c r="E342" s="7"/>
      <c r="F342" s="7"/>
    </row>
    <row r="343" spans="1:6" x14ac:dyDescent="0.25">
      <c r="A343" s="7"/>
      <c r="E343" s="7"/>
      <c r="F343" s="7"/>
    </row>
    <row r="344" spans="1:6" x14ac:dyDescent="0.25">
      <c r="A344" s="7"/>
      <c r="E344" s="7"/>
      <c r="F344" s="7"/>
    </row>
    <row r="345" spans="1:6" x14ac:dyDescent="0.25">
      <c r="A345" s="7"/>
      <c r="E345" s="7"/>
      <c r="F345" s="7"/>
    </row>
    <row r="346" spans="1:6" x14ac:dyDescent="0.25">
      <c r="A346" s="7"/>
      <c r="E346" s="7"/>
      <c r="F346" s="7"/>
    </row>
    <row r="347" spans="1:6" x14ac:dyDescent="0.25">
      <c r="A347" s="7"/>
      <c r="E347" s="7"/>
      <c r="F347" s="7"/>
    </row>
    <row r="348" spans="1:6" x14ac:dyDescent="0.25">
      <c r="A348" s="7"/>
      <c r="E348" s="7"/>
      <c r="F348" s="7"/>
    </row>
    <row r="349" spans="1:6" x14ac:dyDescent="0.25">
      <c r="A349" s="7"/>
      <c r="E349" s="7"/>
      <c r="F349" s="7"/>
    </row>
    <row r="350" spans="1:6" x14ac:dyDescent="0.25">
      <c r="A350" s="7"/>
      <c r="E350" s="7"/>
      <c r="F350" s="7"/>
    </row>
    <row r="351" spans="1:6" x14ac:dyDescent="0.25">
      <c r="A351" s="7"/>
      <c r="E351" s="7"/>
      <c r="F351" s="7"/>
    </row>
    <row r="352" spans="1:6" x14ac:dyDescent="0.25">
      <c r="A352" s="7"/>
      <c r="E352" s="7"/>
      <c r="F352" s="7"/>
    </row>
    <row r="353" spans="1:6" x14ac:dyDescent="0.25">
      <c r="A353" s="7"/>
      <c r="E353" s="7"/>
      <c r="F353" s="7"/>
    </row>
    <row r="354" spans="1:6" x14ac:dyDescent="0.25">
      <c r="A354" s="7"/>
      <c r="E354" s="7"/>
      <c r="F354" s="7"/>
    </row>
    <row r="355" spans="1:6" x14ac:dyDescent="0.25">
      <c r="A355" s="7"/>
      <c r="E355" s="7"/>
      <c r="F355" s="7"/>
    </row>
    <row r="356" spans="1:6" x14ac:dyDescent="0.25">
      <c r="A356" s="7"/>
      <c r="E356" s="7"/>
      <c r="F356" s="7"/>
    </row>
    <row r="357" spans="1:6" x14ac:dyDescent="0.25">
      <c r="A357" s="7"/>
      <c r="E357" s="7"/>
      <c r="F357" s="7"/>
    </row>
    <row r="358" spans="1:6" x14ac:dyDescent="0.25">
      <c r="A358" s="7"/>
      <c r="E358" s="7"/>
      <c r="F358" s="7"/>
    </row>
    <row r="359" spans="1:6" x14ac:dyDescent="0.25">
      <c r="A359" s="7"/>
      <c r="E359" s="7"/>
      <c r="F359" s="7"/>
    </row>
    <row r="360" spans="1:6" x14ac:dyDescent="0.25">
      <c r="A360" s="7"/>
      <c r="E360" s="7"/>
      <c r="F360" s="7"/>
    </row>
    <row r="361" spans="1:6" x14ac:dyDescent="0.25">
      <c r="A361" s="7"/>
      <c r="E361" s="7"/>
      <c r="F361" s="7"/>
    </row>
    <row r="362" spans="1:6" x14ac:dyDescent="0.25">
      <c r="A362" s="7"/>
      <c r="E362" s="7"/>
      <c r="F362" s="7"/>
    </row>
    <row r="363" spans="1:6" x14ac:dyDescent="0.25">
      <c r="A363" s="7"/>
      <c r="E363" s="7"/>
      <c r="F363" s="7"/>
    </row>
    <row r="364" spans="1:6" x14ac:dyDescent="0.25">
      <c r="A364" s="7"/>
      <c r="E364" s="7"/>
      <c r="F364" s="7"/>
    </row>
    <row r="365" spans="1:6" x14ac:dyDescent="0.25">
      <c r="A365" s="7"/>
      <c r="E365" s="7"/>
      <c r="F365" s="7"/>
    </row>
    <row r="366" spans="1:6" x14ac:dyDescent="0.25">
      <c r="A366" s="7"/>
      <c r="E366" s="7"/>
      <c r="F366" s="7"/>
    </row>
    <row r="367" spans="1:6" x14ac:dyDescent="0.25">
      <c r="A367" s="7"/>
      <c r="E367" s="7"/>
      <c r="F367" s="7"/>
    </row>
    <row r="368" spans="1:6" x14ac:dyDescent="0.25">
      <c r="A368" s="7"/>
      <c r="E368" s="7"/>
      <c r="F368" s="7"/>
    </row>
    <row r="369" spans="1:6" x14ac:dyDescent="0.25">
      <c r="A369" s="7"/>
      <c r="E369" s="7"/>
      <c r="F369" s="7"/>
    </row>
    <row r="370" spans="1:6" x14ac:dyDescent="0.25">
      <c r="A370" s="7"/>
      <c r="E370" s="7"/>
      <c r="F370" s="7"/>
    </row>
    <row r="371" spans="1:6" x14ac:dyDescent="0.25">
      <c r="A371" s="7"/>
      <c r="E371" s="7"/>
      <c r="F371" s="7"/>
    </row>
    <row r="372" spans="1:6" x14ac:dyDescent="0.25">
      <c r="A372" s="7"/>
      <c r="E372" s="7"/>
      <c r="F372" s="7"/>
    </row>
    <row r="373" spans="1:6" x14ac:dyDescent="0.25">
      <c r="A373" s="7"/>
      <c r="E373" s="7"/>
      <c r="F373" s="7"/>
    </row>
    <row r="374" spans="1:6" x14ac:dyDescent="0.25">
      <c r="A374" s="7"/>
      <c r="E374" s="7"/>
      <c r="F374" s="7"/>
    </row>
    <row r="375" spans="1:6" x14ac:dyDescent="0.25">
      <c r="A375" s="7"/>
      <c r="E375" s="7"/>
      <c r="F375" s="7"/>
    </row>
    <row r="376" spans="1:6" x14ac:dyDescent="0.25">
      <c r="A376" s="7"/>
      <c r="E376" s="7"/>
      <c r="F376" s="7"/>
    </row>
    <row r="377" spans="1:6" x14ac:dyDescent="0.25">
      <c r="A377" s="7"/>
      <c r="E377" s="7"/>
      <c r="F377" s="7"/>
    </row>
    <row r="378" spans="1:6" x14ac:dyDescent="0.25">
      <c r="A378" s="7"/>
      <c r="E378" s="7"/>
      <c r="F378" s="7"/>
    </row>
    <row r="379" spans="1:6" x14ac:dyDescent="0.25">
      <c r="A379" s="7"/>
      <c r="E379" s="7"/>
      <c r="F379" s="7"/>
    </row>
    <row r="380" spans="1:6" x14ac:dyDescent="0.25">
      <c r="A380" s="7"/>
      <c r="E380" s="7"/>
      <c r="F380" s="7"/>
    </row>
    <row r="381" spans="1:6" x14ac:dyDescent="0.25">
      <c r="A381" s="7"/>
      <c r="E381" s="7"/>
      <c r="F381" s="7"/>
    </row>
    <row r="382" spans="1:6" x14ac:dyDescent="0.25">
      <c r="A382" s="7"/>
      <c r="E382" s="7"/>
      <c r="F382" s="7"/>
    </row>
    <row r="383" spans="1:6" x14ac:dyDescent="0.25">
      <c r="A383" s="7"/>
      <c r="E383" s="7"/>
      <c r="F383" s="7"/>
    </row>
    <row r="384" spans="1:6" x14ac:dyDescent="0.25">
      <c r="A384" s="7"/>
      <c r="E384" s="7"/>
      <c r="F384" s="7"/>
    </row>
    <row r="385" spans="1:6" x14ac:dyDescent="0.25">
      <c r="A385" s="7"/>
      <c r="E385" s="7"/>
      <c r="F385" s="7"/>
    </row>
    <row r="386" spans="1:6" x14ac:dyDescent="0.25">
      <c r="A386" s="7"/>
      <c r="E386" s="7"/>
      <c r="F386" s="7"/>
    </row>
    <row r="387" spans="1:6" x14ac:dyDescent="0.25">
      <c r="A387" s="7"/>
      <c r="E387" s="7"/>
      <c r="F387" s="7"/>
    </row>
    <row r="388" spans="1:6" x14ac:dyDescent="0.25">
      <c r="A388" s="7"/>
      <c r="E388" s="7"/>
      <c r="F388" s="7"/>
    </row>
    <row r="389" spans="1:6" x14ac:dyDescent="0.25">
      <c r="A389" s="7"/>
      <c r="E389" s="7"/>
      <c r="F389" s="7"/>
    </row>
    <row r="390" spans="1:6" x14ac:dyDescent="0.25">
      <c r="A390" s="7"/>
      <c r="E390" s="7"/>
      <c r="F390" s="7"/>
    </row>
    <row r="391" spans="1:6" x14ac:dyDescent="0.25">
      <c r="A391" s="7"/>
      <c r="E391" s="7"/>
      <c r="F391" s="7"/>
    </row>
    <row r="392" spans="1:6" x14ac:dyDescent="0.25">
      <c r="A392" s="7"/>
      <c r="E392" s="7"/>
      <c r="F392" s="7"/>
    </row>
    <row r="393" spans="1:6" x14ac:dyDescent="0.25">
      <c r="A393" s="7"/>
      <c r="E393" s="7"/>
      <c r="F393" s="7"/>
    </row>
    <row r="394" spans="1:6" x14ac:dyDescent="0.25">
      <c r="A394" s="7"/>
      <c r="E394" s="7"/>
      <c r="F394" s="7"/>
    </row>
    <row r="395" spans="1:6" x14ac:dyDescent="0.25">
      <c r="A395" s="7"/>
      <c r="E395" s="7"/>
      <c r="F395" s="7"/>
    </row>
    <row r="396" spans="1:6" x14ac:dyDescent="0.25">
      <c r="A396" s="7"/>
      <c r="E396" s="7"/>
      <c r="F396" s="7"/>
    </row>
    <row r="397" spans="1:6" x14ac:dyDescent="0.25">
      <c r="A397" s="7"/>
      <c r="E397" s="7"/>
      <c r="F397" s="7"/>
    </row>
    <row r="398" spans="1:6" x14ac:dyDescent="0.25">
      <c r="A398" s="7"/>
      <c r="E398" s="7"/>
      <c r="F398" s="7"/>
    </row>
    <row r="399" spans="1:6" x14ac:dyDescent="0.25">
      <c r="A399" s="7"/>
      <c r="E399" s="7"/>
      <c r="F399" s="7"/>
    </row>
    <row r="400" spans="1:6" x14ac:dyDescent="0.25">
      <c r="A400" s="7"/>
      <c r="E400" s="7"/>
      <c r="F400" s="7"/>
    </row>
    <row r="401" spans="1:6" x14ac:dyDescent="0.25">
      <c r="A401" s="7"/>
      <c r="E401" s="7"/>
      <c r="F401" s="7"/>
    </row>
    <row r="402" spans="1:6" x14ac:dyDescent="0.25">
      <c r="A402" s="7"/>
      <c r="E402" s="7"/>
      <c r="F402" s="7"/>
    </row>
    <row r="403" spans="1:6" x14ac:dyDescent="0.25">
      <c r="A403" s="7"/>
      <c r="E403" s="7"/>
      <c r="F403" s="7"/>
    </row>
    <row r="404" spans="1:6" x14ac:dyDescent="0.25">
      <c r="A404" s="7"/>
      <c r="E404" s="7"/>
      <c r="F404" s="7"/>
    </row>
    <row r="405" spans="1:6" x14ac:dyDescent="0.25">
      <c r="A405" s="7"/>
      <c r="E405" s="7"/>
      <c r="F405" s="7"/>
    </row>
    <row r="406" spans="1:6" x14ac:dyDescent="0.25">
      <c r="A406" s="7"/>
      <c r="E406" s="7"/>
      <c r="F406" s="7"/>
    </row>
    <row r="407" spans="1:6" x14ac:dyDescent="0.25">
      <c r="A407" s="7"/>
      <c r="E407" s="7"/>
      <c r="F407" s="7"/>
    </row>
    <row r="408" spans="1:6" x14ac:dyDescent="0.25">
      <c r="A408" s="7"/>
      <c r="E408" s="7"/>
      <c r="F408" s="7"/>
    </row>
    <row r="409" spans="1:6" x14ac:dyDescent="0.25">
      <c r="A409" s="7"/>
      <c r="E409" s="7"/>
      <c r="F409" s="7"/>
    </row>
    <row r="410" spans="1:6" x14ac:dyDescent="0.25">
      <c r="A410" s="7"/>
      <c r="E410" s="7"/>
      <c r="F410" s="7"/>
    </row>
    <row r="411" spans="1:6" x14ac:dyDescent="0.25">
      <c r="A411" s="7"/>
      <c r="E411" s="7"/>
      <c r="F411" s="7"/>
    </row>
    <row r="412" spans="1:6" x14ac:dyDescent="0.25">
      <c r="A412" s="7"/>
      <c r="E412" s="7"/>
      <c r="F412" s="7"/>
    </row>
    <row r="413" spans="1:6" x14ac:dyDescent="0.25">
      <c r="A413" s="7"/>
      <c r="E413" s="7"/>
      <c r="F413" s="7"/>
    </row>
    <row r="414" spans="1:6" x14ac:dyDescent="0.25">
      <c r="A414" s="7"/>
      <c r="E414" s="7"/>
      <c r="F414" s="7"/>
    </row>
    <row r="415" spans="1:6" x14ac:dyDescent="0.25">
      <c r="A415" s="7"/>
      <c r="E415" s="7"/>
      <c r="F415" s="7"/>
    </row>
    <row r="416" spans="1:6" x14ac:dyDescent="0.25">
      <c r="A416" s="7"/>
      <c r="E416" s="7"/>
      <c r="F416" s="7"/>
    </row>
    <row r="417" spans="1:6" x14ac:dyDescent="0.25">
      <c r="A417" s="7"/>
      <c r="E417" s="7"/>
      <c r="F417" s="7"/>
    </row>
    <row r="418" spans="1:6" x14ac:dyDescent="0.25">
      <c r="A418" s="7"/>
      <c r="E418" s="7"/>
      <c r="F418" s="7"/>
    </row>
    <row r="419" spans="1:6" x14ac:dyDescent="0.25">
      <c r="A419" s="7"/>
      <c r="E419" s="7"/>
      <c r="F419" s="7"/>
    </row>
    <row r="420" spans="1:6" x14ac:dyDescent="0.25">
      <c r="A420" s="7"/>
      <c r="E420" s="7"/>
      <c r="F420" s="7"/>
    </row>
    <row r="421" spans="1:6" x14ac:dyDescent="0.25">
      <c r="A421" s="7"/>
      <c r="E421" s="7"/>
      <c r="F421" s="7"/>
    </row>
    <row r="422" spans="1:6" x14ac:dyDescent="0.25">
      <c r="A422" s="7"/>
      <c r="E422" s="7"/>
      <c r="F422" s="7"/>
    </row>
    <row r="423" spans="1:6" x14ac:dyDescent="0.25">
      <c r="A423" s="7"/>
      <c r="E423" s="7"/>
      <c r="F423" s="7"/>
    </row>
    <row r="424" spans="1:6" x14ac:dyDescent="0.25">
      <c r="A424" s="7"/>
      <c r="E424" s="7"/>
      <c r="F424" s="7"/>
    </row>
    <row r="425" spans="1:6" x14ac:dyDescent="0.25">
      <c r="A425" s="7"/>
      <c r="E425" s="7"/>
      <c r="F425" s="7"/>
    </row>
    <row r="426" spans="1:6" x14ac:dyDescent="0.25">
      <c r="A426" s="7"/>
      <c r="E426" s="7"/>
      <c r="F426" s="7"/>
    </row>
    <row r="427" spans="1:6" x14ac:dyDescent="0.25">
      <c r="A427" s="7"/>
      <c r="E427" s="7"/>
      <c r="F427" s="7"/>
    </row>
    <row r="428" spans="1:6" x14ac:dyDescent="0.25">
      <c r="A428" s="7"/>
      <c r="E428" s="7"/>
      <c r="F428" s="7"/>
    </row>
    <row r="429" spans="1:6" x14ac:dyDescent="0.25">
      <c r="A429" s="7"/>
      <c r="E429" s="7"/>
      <c r="F429" s="7"/>
    </row>
    <row r="430" spans="1:6" x14ac:dyDescent="0.25">
      <c r="A430" s="7"/>
      <c r="E430" s="7"/>
      <c r="F430" s="7"/>
    </row>
    <row r="431" spans="1:6" x14ac:dyDescent="0.25">
      <c r="A431" s="7"/>
      <c r="E431" s="7"/>
      <c r="F431" s="7"/>
    </row>
    <row r="432" spans="1:6" x14ac:dyDescent="0.25">
      <c r="A432" s="7"/>
      <c r="E432" s="7"/>
      <c r="F432" s="7"/>
    </row>
    <row r="433" spans="1:6" x14ac:dyDescent="0.25">
      <c r="A433" s="7"/>
      <c r="E433" s="7"/>
      <c r="F433" s="7"/>
    </row>
    <row r="434" spans="1:6" x14ac:dyDescent="0.25">
      <c r="A434" s="7"/>
      <c r="E434" s="7"/>
      <c r="F434" s="7"/>
    </row>
    <row r="435" spans="1:6" x14ac:dyDescent="0.25">
      <c r="A435" s="7"/>
      <c r="E435" s="7"/>
      <c r="F435" s="7"/>
    </row>
    <row r="436" spans="1:6" x14ac:dyDescent="0.25">
      <c r="A436" s="7"/>
      <c r="E436" s="7"/>
      <c r="F436" s="7"/>
    </row>
    <row r="437" spans="1:6" x14ac:dyDescent="0.25">
      <c r="A437" s="7"/>
      <c r="E437" s="7"/>
      <c r="F437" s="7"/>
    </row>
    <row r="438" spans="1:6" x14ac:dyDescent="0.25">
      <c r="A438" s="7"/>
      <c r="E438" s="7"/>
      <c r="F438" s="7"/>
    </row>
    <row r="439" spans="1:6" x14ac:dyDescent="0.25">
      <c r="A439" s="7"/>
      <c r="E439" s="7"/>
      <c r="F439" s="7"/>
    </row>
    <row r="440" spans="1:6" x14ac:dyDescent="0.25">
      <c r="A440" s="7"/>
      <c r="E440" s="7"/>
      <c r="F440" s="7"/>
    </row>
    <row r="441" spans="1:6" x14ac:dyDescent="0.25">
      <c r="A441" s="7"/>
      <c r="E441" s="7"/>
      <c r="F441" s="7"/>
    </row>
    <row r="442" spans="1:6" x14ac:dyDescent="0.25">
      <c r="A442" s="7"/>
      <c r="E442" s="7"/>
      <c r="F442" s="7"/>
    </row>
    <row r="443" spans="1:6" x14ac:dyDescent="0.25">
      <c r="A443" s="7"/>
      <c r="E443" s="7"/>
      <c r="F443" s="7"/>
    </row>
    <row r="444" spans="1:6" x14ac:dyDescent="0.25">
      <c r="A444" s="7"/>
      <c r="E444" s="7"/>
      <c r="F444" s="7"/>
    </row>
    <row r="445" spans="1:6" x14ac:dyDescent="0.25">
      <c r="A445" s="7"/>
      <c r="E445" s="7"/>
      <c r="F445" s="7"/>
    </row>
    <row r="446" spans="1:6" x14ac:dyDescent="0.25">
      <c r="A446" s="7"/>
      <c r="E446" s="7"/>
      <c r="F446" s="7"/>
    </row>
    <row r="447" spans="1:6" x14ac:dyDescent="0.25">
      <c r="A447" s="7"/>
      <c r="E447" s="7"/>
      <c r="F447" s="7"/>
    </row>
    <row r="448" spans="1:6" x14ac:dyDescent="0.25">
      <c r="A448" s="7"/>
      <c r="E448" s="7"/>
      <c r="F448" s="7"/>
    </row>
    <row r="449" spans="1:6" x14ac:dyDescent="0.25">
      <c r="A449" s="7"/>
      <c r="E449" s="7"/>
      <c r="F449" s="7"/>
    </row>
    <row r="450" spans="1:6" x14ac:dyDescent="0.25">
      <c r="A450" s="7"/>
      <c r="E450" s="7"/>
      <c r="F450" s="7"/>
    </row>
    <row r="451" spans="1:6" x14ac:dyDescent="0.25">
      <c r="A451" s="7"/>
      <c r="E451" s="7"/>
      <c r="F451" s="7"/>
    </row>
    <row r="452" spans="1:6" x14ac:dyDescent="0.25">
      <c r="A452" s="7"/>
      <c r="E452" s="7"/>
      <c r="F452" s="7"/>
    </row>
    <row r="453" spans="1:6" x14ac:dyDescent="0.25">
      <c r="A453" s="7"/>
      <c r="E453" s="7"/>
      <c r="F453" s="7"/>
    </row>
    <row r="454" spans="1:6" x14ac:dyDescent="0.25">
      <c r="A454" s="7"/>
      <c r="E454" s="7"/>
      <c r="F454" s="7"/>
    </row>
    <row r="455" spans="1:6" x14ac:dyDescent="0.25">
      <c r="A455" s="7"/>
      <c r="E455" s="7"/>
      <c r="F455" s="7"/>
    </row>
    <row r="456" spans="1:6" x14ac:dyDescent="0.25">
      <c r="A456" s="7"/>
      <c r="E456" s="7"/>
      <c r="F456" s="7"/>
    </row>
    <row r="457" spans="1:6" x14ac:dyDescent="0.25">
      <c r="A457" s="7"/>
      <c r="E457" s="7"/>
      <c r="F457" s="7"/>
    </row>
    <row r="458" spans="1:6" x14ac:dyDescent="0.25">
      <c r="A458" s="7"/>
      <c r="E458" s="7"/>
      <c r="F458" s="7"/>
    </row>
    <row r="459" spans="1:6" x14ac:dyDescent="0.25">
      <c r="A459" s="7"/>
      <c r="E459" s="7"/>
      <c r="F459" s="7"/>
    </row>
    <row r="460" spans="1:6" x14ac:dyDescent="0.25">
      <c r="A460" s="7"/>
      <c r="E460" s="7"/>
      <c r="F460" s="7"/>
    </row>
    <row r="461" spans="1:6" x14ac:dyDescent="0.25">
      <c r="A461" s="7"/>
      <c r="E461" s="7"/>
      <c r="F461" s="7"/>
    </row>
    <row r="462" spans="1:6" x14ac:dyDescent="0.25">
      <c r="A462" s="7"/>
      <c r="E462" s="7"/>
      <c r="F462" s="7"/>
    </row>
    <row r="463" spans="1:6" x14ac:dyDescent="0.25">
      <c r="A463" s="7"/>
      <c r="E463" s="7"/>
      <c r="F463" s="7"/>
    </row>
    <row r="464" spans="1:6" x14ac:dyDescent="0.25">
      <c r="A464" s="7"/>
      <c r="E464" s="7"/>
      <c r="F464" s="7"/>
    </row>
    <row r="465" spans="1:6" x14ac:dyDescent="0.25">
      <c r="A465" s="7"/>
      <c r="E465" s="7"/>
      <c r="F465" s="7"/>
    </row>
    <row r="466" spans="1:6" x14ac:dyDescent="0.25">
      <c r="A466" s="7"/>
      <c r="E466" s="7"/>
      <c r="F466" s="7"/>
    </row>
    <row r="467" spans="1:6" x14ac:dyDescent="0.25">
      <c r="A467" s="7"/>
      <c r="E467" s="7"/>
      <c r="F467" s="7"/>
    </row>
    <row r="468" spans="1:6" x14ac:dyDescent="0.25">
      <c r="A468" s="7"/>
      <c r="E468" s="7"/>
      <c r="F468" s="7"/>
    </row>
    <row r="469" spans="1:6" x14ac:dyDescent="0.25">
      <c r="A469" s="7"/>
      <c r="E469" s="7"/>
      <c r="F469" s="7"/>
    </row>
    <row r="470" spans="1:6" x14ac:dyDescent="0.25">
      <c r="A470" s="7"/>
      <c r="E470" s="7"/>
      <c r="F470" s="7"/>
    </row>
    <row r="471" spans="1:6" x14ac:dyDescent="0.25">
      <c r="A471" s="7"/>
      <c r="E471" s="7"/>
      <c r="F471" s="7"/>
    </row>
    <row r="472" spans="1:6" x14ac:dyDescent="0.25">
      <c r="A472" s="7"/>
      <c r="E472" s="7"/>
      <c r="F472" s="7"/>
    </row>
    <row r="473" spans="1:6" x14ac:dyDescent="0.25">
      <c r="A473" s="7"/>
      <c r="E473" s="7"/>
      <c r="F473" s="7"/>
    </row>
    <row r="474" spans="1:6" x14ac:dyDescent="0.25">
      <c r="A474" s="7"/>
      <c r="E474" s="7"/>
      <c r="F474" s="7"/>
    </row>
    <row r="475" spans="1:6" x14ac:dyDescent="0.25">
      <c r="A475" s="7"/>
      <c r="E475" s="7"/>
      <c r="F475" s="7"/>
    </row>
    <row r="476" spans="1:6" x14ac:dyDescent="0.25">
      <c r="A476" s="7"/>
      <c r="E476" s="7"/>
      <c r="F476" s="7"/>
    </row>
    <row r="477" spans="1:6" x14ac:dyDescent="0.25">
      <c r="A477" s="7"/>
      <c r="E477" s="7"/>
      <c r="F477" s="7"/>
    </row>
    <row r="478" spans="1:6" x14ac:dyDescent="0.25">
      <c r="A478" s="7"/>
      <c r="E478" s="7"/>
      <c r="F478" s="7"/>
    </row>
    <row r="479" spans="1:6" x14ac:dyDescent="0.25">
      <c r="A479" s="7"/>
      <c r="E479" s="7"/>
      <c r="F479" s="7"/>
    </row>
    <row r="480" spans="1:6" x14ac:dyDescent="0.25">
      <c r="A480" s="7"/>
      <c r="E480" s="7"/>
      <c r="F480" s="7"/>
    </row>
    <row r="481" spans="1:6" x14ac:dyDescent="0.25">
      <c r="A481" s="7"/>
      <c r="E481" s="7"/>
      <c r="F481" s="7"/>
    </row>
    <row r="482" spans="1:6" x14ac:dyDescent="0.25">
      <c r="A482" s="7"/>
      <c r="E482" s="7"/>
      <c r="F482" s="7"/>
    </row>
    <row r="483" spans="1:6" x14ac:dyDescent="0.25">
      <c r="A483" s="7"/>
      <c r="E483" s="7"/>
      <c r="F483" s="7"/>
    </row>
    <row r="484" spans="1:6" x14ac:dyDescent="0.25">
      <c r="A484" s="7"/>
      <c r="E484" s="7"/>
      <c r="F484" s="7"/>
    </row>
    <row r="485" spans="1:6" x14ac:dyDescent="0.25">
      <c r="A485" s="7"/>
      <c r="E485" s="7"/>
      <c r="F485" s="7"/>
    </row>
    <row r="486" spans="1:6" x14ac:dyDescent="0.25">
      <c r="A486" s="7"/>
      <c r="E486" s="7"/>
      <c r="F486" s="7"/>
    </row>
    <row r="487" spans="1:6" x14ac:dyDescent="0.25">
      <c r="A487" s="7"/>
      <c r="E487" s="7"/>
      <c r="F487" s="7"/>
    </row>
    <row r="488" spans="1:6" x14ac:dyDescent="0.25">
      <c r="A488" s="7"/>
      <c r="E488" s="7"/>
      <c r="F488" s="7"/>
    </row>
    <row r="489" spans="1:6" x14ac:dyDescent="0.25">
      <c r="A489" s="7"/>
      <c r="E489" s="7"/>
      <c r="F489" s="7"/>
    </row>
    <row r="490" spans="1:6" x14ac:dyDescent="0.25">
      <c r="A490" s="7"/>
      <c r="E490" s="7"/>
      <c r="F490" s="7"/>
    </row>
    <row r="491" spans="1:6" x14ac:dyDescent="0.25">
      <c r="A491" s="7"/>
      <c r="E491" s="7"/>
      <c r="F491" s="7"/>
    </row>
    <row r="492" spans="1:6" x14ac:dyDescent="0.25">
      <c r="A492" s="7"/>
      <c r="E492" s="7"/>
      <c r="F492" s="7"/>
    </row>
    <row r="493" spans="1:6" x14ac:dyDescent="0.25">
      <c r="A493" s="7"/>
      <c r="E493" s="7"/>
      <c r="F493" s="7"/>
    </row>
    <row r="494" spans="1:6" x14ac:dyDescent="0.25">
      <c r="A494" s="7"/>
      <c r="E494" s="7"/>
      <c r="F494" s="7"/>
    </row>
    <row r="495" spans="1:6" x14ac:dyDescent="0.25">
      <c r="A495" s="7"/>
      <c r="E495" s="7"/>
      <c r="F495" s="7"/>
    </row>
    <row r="496" spans="1:6" x14ac:dyDescent="0.25">
      <c r="A496" s="7"/>
      <c r="E496" s="7"/>
      <c r="F496" s="7"/>
    </row>
    <row r="497" spans="1:6" x14ac:dyDescent="0.25">
      <c r="A497" s="7"/>
      <c r="E497" s="7"/>
      <c r="F497" s="7"/>
    </row>
    <row r="498" spans="1:6" x14ac:dyDescent="0.25">
      <c r="A498" s="7"/>
      <c r="E498" s="7"/>
      <c r="F498" s="7"/>
    </row>
    <row r="499" spans="1:6" x14ac:dyDescent="0.25">
      <c r="A499" s="7"/>
      <c r="E499" s="7"/>
      <c r="F499" s="7"/>
    </row>
    <row r="500" spans="1:6" x14ac:dyDescent="0.25">
      <c r="A500" s="7"/>
      <c r="E500" s="7"/>
      <c r="F500" s="7"/>
    </row>
    <row r="501" spans="1:6" x14ac:dyDescent="0.25">
      <c r="A501" s="7"/>
      <c r="E501" s="7"/>
      <c r="F501" s="7"/>
    </row>
    <row r="502" spans="1:6" x14ac:dyDescent="0.25">
      <c r="A502" s="7"/>
      <c r="E502" s="7"/>
      <c r="F502" s="7"/>
    </row>
    <row r="503" spans="1:6" x14ac:dyDescent="0.25">
      <c r="A503" s="7"/>
      <c r="E503" s="7"/>
      <c r="F503" s="7"/>
    </row>
    <row r="504" spans="1:6" x14ac:dyDescent="0.25">
      <c r="A504" s="7"/>
      <c r="E504" s="7"/>
      <c r="F504" s="7"/>
    </row>
    <row r="505" spans="1:6" x14ac:dyDescent="0.25">
      <c r="A505" s="7"/>
      <c r="E505" s="7"/>
      <c r="F505" s="7"/>
    </row>
    <row r="506" spans="1:6" x14ac:dyDescent="0.25">
      <c r="A506" s="7"/>
      <c r="E506" s="7"/>
      <c r="F506" s="7"/>
    </row>
    <row r="507" spans="1:6" x14ac:dyDescent="0.25">
      <c r="A507" s="7"/>
      <c r="E507" s="7"/>
      <c r="F507" s="7"/>
    </row>
    <row r="508" spans="1:6" x14ac:dyDescent="0.25">
      <c r="A508" s="7"/>
      <c r="E508" s="7"/>
      <c r="F508" s="7"/>
    </row>
    <row r="509" spans="1:6" x14ac:dyDescent="0.25">
      <c r="A509" s="7"/>
      <c r="E509" s="7"/>
      <c r="F509" s="7"/>
    </row>
    <row r="510" spans="1:6" x14ac:dyDescent="0.25">
      <c r="A510" s="7"/>
      <c r="E510" s="7"/>
      <c r="F510" s="7"/>
    </row>
    <row r="511" spans="1:6" x14ac:dyDescent="0.25">
      <c r="A511" s="7"/>
      <c r="E511" s="7"/>
      <c r="F511" s="7"/>
    </row>
    <row r="512" spans="1:6" x14ac:dyDescent="0.25">
      <c r="A512" s="7"/>
      <c r="E512" s="7"/>
      <c r="F512" s="7"/>
    </row>
    <row r="513" spans="1:6" x14ac:dyDescent="0.25">
      <c r="A513" s="7"/>
      <c r="E513" s="7"/>
      <c r="F513" s="7"/>
    </row>
    <row r="514" spans="1:6" x14ac:dyDescent="0.25">
      <c r="A514" s="7"/>
      <c r="E514" s="7"/>
      <c r="F514" s="7"/>
    </row>
    <row r="515" spans="1:6" x14ac:dyDescent="0.25">
      <c r="A515" s="7"/>
      <c r="E515" s="7"/>
      <c r="F515" s="7"/>
    </row>
    <row r="516" spans="1:6" x14ac:dyDescent="0.25">
      <c r="A516" s="7"/>
      <c r="E516" s="7"/>
      <c r="F516" s="7"/>
    </row>
    <row r="517" spans="1:6" x14ac:dyDescent="0.25">
      <c r="A517" s="7"/>
      <c r="E517" s="7"/>
      <c r="F517" s="7"/>
    </row>
    <row r="518" spans="1:6" x14ac:dyDescent="0.25">
      <c r="A518" s="7"/>
      <c r="E518" s="7"/>
      <c r="F518" s="7"/>
    </row>
    <row r="519" spans="1:6" x14ac:dyDescent="0.25">
      <c r="A519" s="7"/>
      <c r="E519" s="7"/>
      <c r="F519" s="7"/>
    </row>
    <row r="520" spans="1:6" x14ac:dyDescent="0.25">
      <c r="A520" s="7"/>
      <c r="E520" s="7"/>
      <c r="F520" s="7"/>
    </row>
    <row r="521" spans="1:6" x14ac:dyDescent="0.25">
      <c r="A521" s="7"/>
      <c r="E521" s="7"/>
      <c r="F521" s="7"/>
    </row>
    <row r="522" spans="1:6" x14ac:dyDescent="0.25">
      <c r="A522" s="7"/>
      <c r="E522" s="7"/>
      <c r="F522" s="7"/>
    </row>
    <row r="523" spans="1:6" x14ac:dyDescent="0.25">
      <c r="A523" s="7"/>
      <c r="E523" s="7"/>
      <c r="F523" s="7"/>
    </row>
    <row r="524" spans="1:6" x14ac:dyDescent="0.25">
      <c r="A524" s="7"/>
      <c r="E524" s="7"/>
      <c r="F524" s="7"/>
    </row>
    <row r="525" spans="1:6" x14ac:dyDescent="0.25">
      <c r="A525" s="7"/>
      <c r="E525" s="7"/>
      <c r="F525" s="7"/>
    </row>
    <row r="526" spans="1:6" x14ac:dyDescent="0.25">
      <c r="A526" s="7"/>
      <c r="E526" s="7"/>
      <c r="F526" s="7"/>
    </row>
    <row r="527" spans="1:6" x14ac:dyDescent="0.25">
      <c r="A527" s="7"/>
      <c r="E527" s="7"/>
      <c r="F527" s="7"/>
    </row>
    <row r="528" spans="1:6" x14ac:dyDescent="0.25">
      <c r="A528" s="7"/>
      <c r="E528" s="7"/>
      <c r="F528" s="7"/>
    </row>
    <row r="529" spans="1:6" x14ac:dyDescent="0.25">
      <c r="A529" s="7"/>
      <c r="E529" s="7"/>
      <c r="F529" s="7"/>
    </row>
    <row r="530" spans="1:6" x14ac:dyDescent="0.25">
      <c r="A530" s="7"/>
      <c r="E530" s="7"/>
      <c r="F530" s="7"/>
    </row>
    <row r="531" spans="1:6" x14ac:dyDescent="0.25">
      <c r="A531" s="7"/>
      <c r="E531" s="7"/>
      <c r="F531" s="7"/>
    </row>
    <row r="532" spans="1:6" x14ac:dyDescent="0.25">
      <c r="A532" s="7"/>
      <c r="E532" s="7"/>
      <c r="F532" s="7"/>
    </row>
    <row r="533" spans="1:6" x14ac:dyDescent="0.25">
      <c r="A533" s="7"/>
      <c r="E533" s="7"/>
      <c r="F533" s="7"/>
    </row>
    <row r="534" spans="1:6" x14ac:dyDescent="0.25">
      <c r="A534" s="7"/>
      <c r="E534" s="7"/>
      <c r="F534" s="7"/>
    </row>
    <row r="535" spans="1:6" x14ac:dyDescent="0.25">
      <c r="A535" s="7"/>
      <c r="E535" s="7"/>
      <c r="F535" s="7"/>
    </row>
    <row r="536" spans="1:6" x14ac:dyDescent="0.25">
      <c r="A536" s="7"/>
      <c r="E536" s="7"/>
      <c r="F536" s="7"/>
    </row>
    <row r="537" spans="1:6" x14ac:dyDescent="0.25">
      <c r="A537" s="7"/>
      <c r="E537" s="7"/>
      <c r="F537" s="7"/>
    </row>
    <row r="538" spans="1:6" x14ac:dyDescent="0.25">
      <c r="A538" s="7"/>
      <c r="E538" s="7"/>
      <c r="F538" s="7"/>
    </row>
    <row r="539" spans="1:6" x14ac:dyDescent="0.25">
      <c r="A539" s="7"/>
      <c r="E539" s="7"/>
      <c r="F539" s="7"/>
    </row>
    <row r="540" spans="1:6" x14ac:dyDescent="0.25">
      <c r="A540" s="7"/>
      <c r="E540" s="7"/>
      <c r="F540" s="7"/>
    </row>
    <row r="541" spans="1:6" x14ac:dyDescent="0.25">
      <c r="A541" s="7"/>
      <c r="E541" s="7"/>
      <c r="F541" s="7"/>
    </row>
    <row r="542" spans="1:6" x14ac:dyDescent="0.25">
      <c r="A542" s="7"/>
      <c r="E542" s="7"/>
      <c r="F542" s="7"/>
    </row>
    <row r="543" spans="1:6" x14ac:dyDescent="0.25">
      <c r="A543" s="7"/>
      <c r="E543" s="7"/>
      <c r="F543" s="7"/>
    </row>
    <row r="544" spans="1:6" x14ac:dyDescent="0.25">
      <c r="A544" s="7"/>
      <c r="E544" s="7"/>
      <c r="F544" s="7"/>
    </row>
    <row r="545" spans="1:6" x14ac:dyDescent="0.25">
      <c r="A545" s="7"/>
      <c r="E545" s="7"/>
      <c r="F545" s="7"/>
    </row>
    <row r="546" spans="1:6" x14ac:dyDescent="0.25">
      <c r="A546" s="7"/>
      <c r="E546" s="7"/>
      <c r="F546" s="7"/>
    </row>
    <row r="547" spans="1:6" x14ac:dyDescent="0.25">
      <c r="A547" s="7"/>
      <c r="E547" s="7"/>
      <c r="F547" s="7"/>
    </row>
    <row r="548" spans="1:6" x14ac:dyDescent="0.25">
      <c r="A548" s="7"/>
      <c r="E548" s="7"/>
      <c r="F548" s="7"/>
    </row>
    <row r="549" spans="1:6" x14ac:dyDescent="0.25">
      <c r="A549" s="7"/>
      <c r="E549" s="7"/>
      <c r="F549" s="7"/>
    </row>
    <row r="550" spans="1:6" x14ac:dyDescent="0.25">
      <c r="A550" s="7"/>
      <c r="E550" s="7"/>
      <c r="F550" s="7"/>
    </row>
    <row r="551" spans="1:6" x14ac:dyDescent="0.25">
      <c r="A551" s="7"/>
      <c r="E551" s="7"/>
      <c r="F551" s="7"/>
    </row>
    <row r="552" spans="1:6" x14ac:dyDescent="0.25">
      <c r="A552" s="7"/>
      <c r="E552" s="7"/>
      <c r="F552" s="7"/>
    </row>
    <row r="553" spans="1:6" x14ac:dyDescent="0.25">
      <c r="A553" s="7"/>
      <c r="E553" s="7"/>
      <c r="F553" s="7"/>
    </row>
    <row r="554" spans="1:6" x14ac:dyDescent="0.25">
      <c r="A554" s="7"/>
      <c r="E554" s="7"/>
      <c r="F554" s="7"/>
    </row>
    <row r="555" spans="1:6" x14ac:dyDescent="0.25">
      <c r="A555" s="7"/>
      <c r="E555" s="7"/>
      <c r="F555" s="7"/>
    </row>
    <row r="556" spans="1:6" x14ac:dyDescent="0.25">
      <c r="A556" s="7"/>
      <c r="E556" s="7"/>
      <c r="F556" s="7"/>
    </row>
    <row r="557" spans="1:6" x14ac:dyDescent="0.25">
      <c r="A557" s="7"/>
      <c r="E557" s="7"/>
      <c r="F557" s="7"/>
    </row>
    <row r="558" spans="1:6" x14ac:dyDescent="0.25">
      <c r="A558" s="7"/>
      <c r="E558" s="7"/>
      <c r="F558" s="7"/>
    </row>
    <row r="559" spans="1:6" x14ac:dyDescent="0.25">
      <c r="A559" s="7"/>
      <c r="E559" s="7"/>
      <c r="F559" s="7"/>
    </row>
    <row r="560" spans="1:6" x14ac:dyDescent="0.25">
      <c r="A560" s="7"/>
      <c r="E560" s="7"/>
      <c r="F560" s="7"/>
    </row>
    <row r="561" spans="1:6" x14ac:dyDescent="0.25">
      <c r="A561" s="7"/>
      <c r="E561" s="7"/>
      <c r="F561" s="7"/>
    </row>
    <row r="562" spans="1:6" x14ac:dyDescent="0.25">
      <c r="A562" s="7"/>
      <c r="E562" s="7"/>
      <c r="F562" s="7"/>
    </row>
    <row r="563" spans="1:6" x14ac:dyDescent="0.25">
      <c r="A563" s="7"/>
      <c r="E563" s="7"/>
      <c r="F563" s="7"/>
    </row>
    <row r="564" spans="1:6" x14ac:dyDescent="0.25">
      <c r="A564" s="7"/>
      <c r="E564" s="7"/>
      <c r="F564" s="7"/>
    </row>
    <row r="565" spans="1:6" x14ac:dyDescent="0.25">
      <c r="A565" s="7"/>
      <c r="E565" s="7"/>
      <c r="F565" s="7"/>
    </row>
    <row r="566" spans="1:6" x14ac:dyDescent="0.25">
      <c r="A566" s="7"/>
      <c r="E566" s="7"/>
      <c r="F566" s="7"/>
    </row>
    <row r="567" spans="1:6" x14ac:dyDescent="0.25">
      <c r="A567" s="7"/>
      <c r="E567" s="7"/>
      <c r="F567" s="7"/>
    </row>
    <row r="568" spans="1:6" x14ac:dyDescent="0.25">
      <c r="A568" s="7"/>
      <c r="E568" s="7"/>
      <c r="F568" s="7"/>
    </row>
    <row r="569" spans="1:6" x14ac:dyDescent="0.25">
      <c r="A569" s="7"/>
      <c r="E569" s="7"/>
      <c r="F569" s="7"/>
    </row>
    <row r="570" spans="1:6" x14ac:dyDescent="0.25">
      <c r="A570" s="7"/>
      <c r="E570" s="7"/>
      <c r="F570" s="7"/>
    </row>
    <row r="571" spans="1:6" x14ac:dyDescent="0.25">
      <c r="A571" s="7"/>
      <c r="E571" s="7"/>
      <c r="F571" s="7"/>
    </row>
    <row r="572" spans="1:6" x14ac:dyDescent="0.25">
      <c r="A572" s="7"/>
      <c r="E572" s="7"/>
      <c r="F572" s="7"/>
    </row>
    <row r="573" spans="1:6" x14ac:dyDescent="0.25">
      <c r="A573" s="7"/>
      <c r="E573" s="7"/>
      <c r="F573" s="7"/>
    </row>
    <row r="574" spans="1:6" x14ac:dyDescent="0.25">
      <c r="A574" s="7"/>
      <c r="E574" s="7"/>
      <c r="F574" s="7"/>
    </row>
    <row r="575" spans="1:6" x14ac:dyDescent="0.25">
      <c r="A575" s="7"/>
      <c r="E575" s="7"/>
      <c r="F575" s="7"/>
    </row>
    <row r="576" spans="1:6" x14ac:dyDescent="0.25">
      <c r="A576" s="7"/>
      <c r="E576" s="7"/>
      <c r="F576" s="7"/>
    </row>
    <row r="577" spans="1:6" x14ac:dyDescent="0.25">
      <c r="A577" s="7"/>
      <c r="E577" s="7"/>
      <c r="F577" s="7"/>
    </row>
    <row r="578" spans="1:6" x14ac:dyDescent="0.25">
      <c r="A578" s="7"/>
      <c r="E578" s="7"/>
      <c r="F578" s="7"/>
    </row>
    <row r="579" spans="1:6" x14ac:dyDescent="0.25">
      <c r="A579" s="7"/>
      <c r="E579" s="7"/>
      <c r="F579" s="7"/>
    </row>
    <row r="580" spans="1:6" x14ac:dyDescent="0.25">
      <c r="A580" s="7"/>
      <c r="E580" s="7"/>
      <c r="F580" s="7"/>
    </row>
    <row r="581" spans="1:6" x14ac:dyDescent="0.25">
      <c r="A581" s="7"/>
      <c r="E581" s="7"/>
      <c r="F581" s="7"/>
    </row>
    <row r="582" spans="1:6" x14ac:dyDescent="0.25">
      <c r="A582" s="7"/>
      <c r="E582" s="7"/>
      <c r="F582" s="7"/>
    </row>
    <row r="583" spans="1:6" x14ac:dyDescent="0.25">
      <c r="A583" s="7"/>
      <c r="E583" s="7"/>
      <c r="F583" s="7"/>
    </row>
    <row r="584" spans="1:6" x14ac:dyDescent="0.25">
      <c r="A584" s="7"/>
      <c r="E584" s="7"/>
      <c r="F584" s="7"/>
    </row>
    <row r="585" spans="1:6" x14ac:dyDescent="0.25">
      <c r="A585" s="7"/>
      <c r="E585" s="7"/>
      <c r="F585" s="7"/>
    </row>
    <row r="586" spans="1:6" x14ac:dyDescent="0.25">
      <c r="A586" s="7"/>
      <c r="E586" s="7"/>
      <c r="F586" s="7"/>
    </row>
    <row r="587" spans="1:6" x14ac:dyDescent="0.25">
      <c r="A587" s="7"/>
      <c r="E587" s="7"/>
      <c r="F587" s="7"/>
    </row>
    <row r="588" spans="1:6" x14ac:dyDescent="0.25">
      <c r="A588" s="7"/>
      <c r="E588" s="7"/>
      <c r="F588" s="7"/>
    </row>
    <row r="589" spans="1:6" x14ac:dyDescent="0.25">
      <c r="A589" s="7"/>
      <c r="E589" s="7"/>
      <c r="F589" s="7"/>
    </row>
    <row r="590" spans="1:6" x14ac:dyDescent="0.25">
      <c r="A590" s="7"/>
      <c r="E590" s="7"/>
      <c r="F590" s="7"/>
    </row>
    <row r="591" spans="1:6" x14ac:dyDescent="0.25">
      <c r="A591" s="7"/>
      <c r="E591" s="7"/>
      <c r="F591" s="7"/>
    </row>
    <row r="592" spans="1:6" x14ac:dyDescent="0.25">
      <c r="A592" s="7"/>
      <c r="E592" s="7"/>
      <c r="F592" s="7"/>
    </row>
    <row r="593" spans="1:6" x14ac:dyDescent="0.25">
      <c r="A593" s="7"/>
      <c r="E593" s="7"/>
      <c r="F593" s="7"/>
    </row>
    <row r="594" spans="1:6" x14ac:dyDescent="0.25">
      <c r="A594" s="7"/>
      <c r="E594" s="7"/>
      <c r="F594" s="7"/>
    </row>
    <row r="595" spans="1:6" x14ac:dyDescent="0.25">
      <c r="A595" s="7"/>
      <c r="E595" s="7"/>
      <c r="F595" s="7"/>
    </row>
    <row r="596" spans="1:6" x14ac:dyDescent="0.25">
      <c r="A596" s="7"/>
      <c r="E596" s="7"/>
      <c r="F596" s="7"/>
    </row>
    <row r="597" spans="1:6" x14ac:dyDescent="0.25">
      <c r="A597" s="7"/>
      <c r="E597" s="7"/>
      <c r="F597" s="7"/>
    </row>
    <row r="598" spans="1:6" x14ac:dyDescent="0.25">
      <c r="A598" s="7"/>
      <c r="E598" s="7"/>
      <c r="F598" s="7"/>
    </row>
    <row r="599" spans="1:6" x14ac:dyDescent="0.25">
      <c r="A599" s="7"/>
      <c r="E599" s="7"/>
      <c r="F599" s="7"/>
    </row>
    <row r="600" spans="1:6" x14ac:dyDescent="0.25">
      <c r="A600" s="7"/>
      <c r="E600" s="7"/>
      <c r="F600" s="7"/>
    </row>
    <row r="601" spans="1:6" x14ac:dyDescent="0.25">
      <c r="A601" s="7"/>
      <c r="E601" s="7"/>
      <c r="F601" s="7"/>
    </row>
    <row r="602" spans="1:6" x14ac:dyDescent="0.25">
      <c r="A602" s="7"/>
      <c r="E602" s="7"/>
      <c r="F602" s="7"/>
    </row>
    <row r="603" spans="1:6" x14ac:dyDescent="0.25">
      <c r="A603" s="7"/>
      <c r="E603" s="7"/>
      <c r="F603" s="7"/>
    </row>
    <row r="604" spans="1:6" x14ac:dyDescent="0.25">
      <c r="A604" s="7"/>
      <c r="E604" s="7"/>
      <c r="F604" s="7"/>
    </row>
    <row r="605" spans="1:6" x14ac:dyDescent="0.25">
      <c r="A605" s="7"/>
      <c r="E605" s="7"/>
      <c r="F605" s="7"/>
    </row>
    <row r="606" spans="1:6" x14ac:dyDescent="0.25">
      <c r="A606" s="7"/>
      <c r="E606" s="7"/>
      <c r="F606" s="7"/>
    </row>
    <row r="607" spans="1:6" x14ac:dyDescent="0.25">
      <c r="A607" s="7"/>
      <c r="E607" s="7"/>
      <c r="F607" s="7"/>
    </row>
    <row r="608" spans="1:6" x14ac:dyDescent="0.25">
      <c r="A608" s="7"/>
      <c r="E608" s="7"/>
      <c r="F608" s="7"/>
    </row>
    <row r="609" spans="1:6" x14ac:dyDescent="0.25">
      <c r="A609" s="7"/>
      <c r="E609" s="7"/>
      <c r="F609" s="7"/>
    </row>
    <row r="610" spans="1:6" x14ac:dyDescent="0.25">
      <c r="A610" s="7"/>
      <c r="E610" s="7"/>
      <c r="F610" s="7"/>
    </row>
    <row r="611" spans="1:6" x14ac:dyDescent="0.25">
      <c r="A611" s="7"/>
      <c r="E611" s="7"/>
      <c r="F611" s="7"/>
    </row>
    <row r="612" spans="1:6" x14ac:dyDescent="0.25">
      <c r="A612" s="7"/>
      <c r="E612" s="7"/>
      <c r="F612" s="7"/>
    </row>
    <row r="613" spans="1:6" x14ac:dyDescent="0.25">
      <c r="A613" s="7"/>
      <c r="E613" s="7"/>
      <c r="F613" s="7"/>
    </row>
    <row r="614" spans="1:6" x14ac:dyDescent="0.25">
      <c r="A614" s="7"/>
      <c r="E614" s="7"/>
      <c r="F614" s="7"/>
    </row>
    <row r="615" spans="1:6" x14ac:dyDescent="0.25">
      <c r="A615" s="7"/>
      <c r="E615" s="7"/>
      <c r="F615" s="7"/>
    </row>
    <row r="616" spans="1:6" x14ac:dyDescent="0.25">
      <c r="A616" s="7"/>
      <c r="E616" s="7"/>
      <c r="F616" s="7"/>
    </row>
    <row r="617" spans="1:6" x14ac:dyDescent="0.25">
      <c r="A617" s="7"/>
      <c r="E617" s="7"/>
      <c r="F617" s="7"/>
    </row>
    <row r="618" spans="1:6" x14ac:dyDescent="0.25">
      <c r="A618" s="7"/>
      <c r="E618" s="7"/>
      <c r="F618" s="7"/>
    </row>
    <row r="619" spans="1:6" x14ac:dyDescent="0.25">
      <c r="A619" s="7"/>
      <c r="E619" s="7"/>
      <c r="F619" s="7"/>
    </row>
    <row r="620" spans="1:6" x14ac:dyDescent="0.25">
      <c r="A620" s="7"/>
      <c r="E620" s="7"/>
      <c r="F620" s="7"/>
    </row>
    <row r="621" spans="1:6" x14ac:dyDescent="0.25">
      <c r="A621" s="7"/>
      <c r="E621" s="7"/>
      <c r="F621" s="7"/>
    </row>
    <row r="622" spans="1:6" x14ac:dyDescent="0.25">
      <c r="A622" s="7"/>
      <c r="E622" s="7"/>
      <c r="F622" s="7"/>
    </row>
    <row r="623" spans="1:6" x14ac:dyDescent="0.25">
      <c r="A623" s="7"/>
      <c r="E623" s="7"/>
      <c r="F623" s="7"/>
    </row>
    <row r="624" spans="1:6" x14ac:dyDescent="0.25">
      <c r="A624" s="7"/>
      <c r="E624" s="7"/>
      <c r="F624" s="7"/>
    </row>
    <row r="625" spans="1:6" x14ac:dyDescent="0.25">
      <c r="A625" s="7"/>
      <c r="E625" s="7"/>
      <c r="F625" s="7"/>
    </row>
    <row r="626" spans="1:6" x14ac:dyDescent="0.25">
      <c r="A626" s="7"/>
      <c r="E626" s="7"/>
      <c r="F626" s="7"/>
    </row>
    <row r="627" spans="1:6" x14ac:dyDescent="0.25">
      <c r="A627" s="7"/>
      <c r="E627" s="7"/>
      <c r="F627" s="7"/>
    </row>
    <row r="628" spans="1:6" x14ac:dyDescent="0.25">
      <c r="A628" s="7"/>
      <c r="E628" s="7"/>
      <c r="F628" s="7"/>
    </row>
    <row r="629" spans="1:6" x14ac:dyDescent="0.25">
      <c r="A629" s="7"/>
      <c r="E629" s="7"/>
      <c r="F629" s="7"/>
    </row>
    <row r="630" spans="1:6" x14ac:dyDescent="0.25">
      <c r="A630" s="7"/>
      <c r="E630" s="7"/>
      <c r="F630" s="7"/>
    </row>
    <row r="631" spans="1:6" x14ac:dyDescent="0.25">
      <c r="A631" s="7"/>
      <c r="E631" s="7"/>
      <c r="F631" s="7"/>
    </row>
    <row r="632" spans="1:6" x14ac:dyDescent="0.25">
      <c r="A632" s="7"/>
      <c r="E632" s="7"/>
      <c r="F632" s="7"/>
    </row>
    <row r="633" spans="1:6" x14ac:dyDescent="0.25">
      <c r="A633" s="7"/>
      <c r="E633" s="7"/>
      <c r="F633" s="7"/>
    </row>
    <row r="634" spans="1:6" x14ac:dyDescent="0.25">
      <c r="A634" s="7"/>
      <c r="E634" s="7"/>
      <c r="F634" s="7"/>
    </row>
    <row r="635" spans="1:6" x14ac:dyDescent="0.25">
      <c r="A635" s="7"/>
      <c r="E635" s="7"/>
      <c r="F635" s="7"/>
    </row>
    <row r="636" spans="1:6" x14ac:dyDescent="0.25">
      <c r="A636" s="7"/>
      <c r="E636" s="7"/>
      <c r="F636" s="7"/>
    </row>
    <row r="637" spans="1:6" x14ac:dyDescent="0.25">
      <c r="A637" s="7"/>
      <c r="E637" s="7"/>
      <c r="F637" s="7"/>
    </row>
    <row r="638" spans="1:6" x14ac:dyDescent="0.25">
      <c r="A638" s="7"/>
      <c r="E638" s="7"/>
      <c r="F638" s="7"/>
    </row>
    <row r="639" spans="1:6" x14ac:dyDescent="0.25">
      <c r="A639" s="7"/>
      <c r="E639" s="7"/>
      <c r="F639" s="7"/>
    </row>
    <row r="640" spans="1:6" x14ac:dyDescent="0.25">
      <c r="A640" s="7"/>
      <c r="E640" s="7"/>
      <c r="F640" s="7"/>
    </row>
    <row r="641" spans="1:6" x14ac:dyDescent="0.25">
      <c r="A641" s="7"/>
      <c r="E641" s="7"/>
      <c r="F641" s="7"/>
    </row>
    <row r="642" spans="1:6" x14ac:dyDescent="0.25">
      <c r="A642" s="7"/>
      <c r="E642" s="7"/>
      <c r="F642" s="7"/>
    </row>
    <row r="643" spans="1:6" x14ac:dyDescent="0.25">
      <c r="A643" s="7"/>
      <c r="E643" s="7"/>
      <c r="F643" s="7"/>
    </row>
    <row r="644" spans="1:6" x14ac:dyDescent="0.25">
      <c r="A644" s="7"/>
      <c r="E644" s="7"/>
      <c r="F644" s="7"/>
    </row>
    <row r="645" spans="1:6" x14ac:dyDescent="0.25">
      <c r="A645" s="7"/>
      <c r="E645" s="7"/>
      <c r="F645" s="7"/>
    </row>
    <row r="646" spans="1:6" x14ac:dyDescent="0.25">
      <c r="A646" s="7"/>
      <c r="E646" s="7"/>
      <c r="F646" s="7"/>
    </row>
    <row r="647" spans="1:6" x14ac:dyDescent="0.25">
      <c r="A647" s="7"/>
      <c r="E647" s="7"/>
      <c r="F647" s="7"/>
    </row>
    <row r="648" spans="1:6" x14ac:dyDescent="0.25">
      <c r="A648" s="7"/>
      <c r="E648" s="7"/>
      <c r="F648" s="7"/>
    </row>
    <row r="649" spans="1:6" x14ac:dyDescent="0.25">
      <c r="A649" s="7"/>
      <c r="E649" s="7"/>
      <c r="F649" s="7"/>
    </row>
    <row r="650" spans="1:6" x14ac:dyDescent="0.25">
      <c r="A650" s="7"/>
      <c r="E650" s="7"/>
      <c r="F650" s="7"/>
    </row>
    <row r="651" spans="1:6" x14ac:dyDescent="0.25">
      <c r="A651" s="7"/>
      <c r="E651" s="7"/>
      <c r="F651" s="7"/>
    </row>
    <row r="652" spans="1:6" x14ac:dyDescent="0.25">
      <c r="A652" s="7"/>
      <c r="E652" s="7"/>
      <c r="F652" s="7"/>
    </row>
    <row r="653" spans="1:6" x14ac:dyDescent="0.25">
      <c r="A653" s="7"/>
      <c r="E653" s="7"/>
      <c r="F653" s="7"/>
    </row>
    <row r="654" spans="1:6" x14ac:dyDescent="0.25">
      <c r="A654" s="7"/>
      <c r="E654" s="7"/>
      <c r="F654" s="7"/>
    </row>
    <row r="655" spans="1:6" x14ac:dyDescent="0.25">
      <c r="A655" s="7"/>
      <c r="E655" s="7"/>
      <c r="F655" s="7"/>
    </row>
    <row r="656" spans="1:6" x14ac:dyDescent="0.25">
      <c r="A656" s="7"/>
      <c r="E656" s="7"/>
      <c r="F656" s="7"/>
    </row>
    <row r="657" spans="1:6" x14ac:dyDescent="0.25">
      <c r="A657" s="7"/>
      <c r="E657" s="7"/>
      <c r="F657" s="7"/>
    </row>
    <row r="658" spans="1:6" x14ac:dyDescent="0.25">
      <c r="A658" s="7"/>
      <c r="E658" s="7"/>
      <c r="F658" s="7"/>
    </row>
    <row r="659" spans="1:6" x14ac:dyDescent="0.25">
      <c r="A659" s="7"/>
      <c r="E659" s="7"/>
      <c r="F659" s="7"/>
    </row>
    <row r="660" spans="1:6" x14ac:dyDescent="0.25">
      <c r="A660" s="7"/>
      <c r="E660" s="7"/>
      <c r="F660" s="7"/>
    </row>
    <row r="661" spans="1:6" x14ac:dyDescent="0.25">
      <c r="A661" s="7"/>
      <c r="E661" s="7"/>
      <c r="F661" s="7"/>
    </row>
    <row r="662" spans="1:6" x14ac:dyDescent="0.25">
      <c r="A662" s="7"/>
      <c r="E662" s="7"/>
      <c r="F662" s="7"/>
    </row>
    <row r="663" spans="1:6" x14ac:dyDescent="0.25">
      <c r="A663" s="7"/>
      <c r="E663" s="7"/>
      <c r="F663" s="7"/>
    </row>
    <row r="664" spans="1:6" x14ac:dyDescent="0.25">
      <c r="A664" s="7"/>
      <c r="E664" s="7"/>
      <c r="F664" s="7"/>
    </row>
    <row r="665" spans="1:6" x14ac:dyDescent="0.25">
      <c r="A665" s="7"/>
      <c r="E665" s="7"/>
      <c r="F665" s="7"/>
    </row>
    <row r="666" spans="1:6" x14ac:dyDescent="0.25">
      <c r="A666" s="7"/>
      <c r="E666" s="7"/>
      <c r="F666" s="7"/>
    </row>
    <row r="667" spans="1:6" x14ac:dyDescent="0.25">
      <c r="A667" s="7"/>
      <c r="E667" s="7"/>
      <c r="F667" s="7"/>
    </row>
    <row r="668" spans="1:6" x14ac:dyDescent="0.25">
      <c r="A668" s="7"/>
      <c r="E668" s="7"/>
      <c r="F668" s="7"/>
    </row>
    <row r="669" spans="1:6" x14ac:dyDescent="0.25">
      <c r="A669" s="7"/>
      <c r="E669" s="7"/>
      <c r="F669" s="7"/>
    </row>
    <row r="670" spans="1:6" x14ac:dyDescent="0.25">
      <c r="A670" s="7"/>
      <c r="E670" s="7"/>
      <c r="F670" s="7"/>
    </row>
    <row r="671" spans="1:6" x14ac:dyDescent="0.25">
      <c r="A671" s="7"/>
      <c r="E671" s="7"/>
      <c r="F671" s="7"/>
    </row>
    <row r="672" spans="1:6" x14ac:dyDescent="0.25">
      <c r="A672" s="7"/>
      <c r="E672" s="7"/>
      <c r="F672" s="7"/>
    </row>
    <row r="673" spans="1:6" x14ac:dyDescent="0.25">
      <c r="A673" s="7"/>
      <c r="E673" s="7"/>
      <c r="F673" s="7"/>
    </row>
    <row r="674" spans="1:6" x14ac:dyDescent="0.25">
      <c r="A674" s="7"/>
      <c r="E674" s="7"/>
      <c r="F674" s="7"/>
    </row>
    <row r="675" spans="1:6" x14ac:dyDescent="0.25">
      <c r="A675" s="7"/>
      <c r="E675" s="7"/>
      <c r="F675" s="7"/>
    </row>
    <row r="676" spans="1:6" x14ac:dyDescent="0.25">
      <c r="A676" s="7"/>
      <c r="E676" s="7"/>
      <c r="F676" s="7"/>
    </row>
    <row r="677" spans="1:6" x14ac:dyDescent="0.25">
      <c r="A677" s="7"/>
      <c r="E677" s="7"/>
      <c r="F677" s="7"/>
    </row>
    <row r="678" spans="1:6" x14ac:dyDescent="0.25">
      <c r="A678" s="7"/>
      <c r="E678" s="7"/>
      <c r="F678" s="7"/>
    </row>
    <row r="679" spans="1:6" x14ac:dyDescent="0.25">
      <c r="A679" s="7"/>
      <c r="E679" s="7"/>
      <c r="F679" s="7"/>
    </row>
    <row r="680" spans="1:6" x14ac:dyDescent="0.25">
      <c r="A680" s="7"/>
      <c r="E680" s="7"/>
      <c r="F680" s="7"/>
    </row>
    <row r="681" spans="1:6" x14ac:dyDescent="0.25">
      <c r="A681" s="7"/>
      <c r="E681" s="7"/>
      <c r="F681" s="7"/>
    </row>
    <row r="682" spans="1:6" x14ac:dyDescent="0.25">
      <c r="A682" s="7"/>
      <c r="E682" s="7"/>
      <c r="F682" s="7"/>
    </row>
    <row r="683" spans="1:6" x14ac:dyDescent="0.25">
      <c r="A683" s="7"/>
      <c r="E683" s="7"/>
      <c r="F683" s="7"/>
    </row>
    <row r="684" spans="1:6" x14ac:dyDescent="0.25">
      <c r="A684" s="7"/>
      <c r="E684" s="7"/>
      <c r="F684" s="7"/>
    </row>
    <row r="685" spans="1:6" x14ac:dyDescent="0.25">
      <c r="A685" s="7"/>
      <c r="E685" s="7"/>
      <c r="F685" s="7"/>
    </row>
    <row r="686" spans="1:6" x14ac:dyDescent="0.25">
      <c r="A686" s="7"/>
      <c r="E686" s="7"/>
      <c r="F686" s="7"/>
    </row>
    <row r="687" spans="1:6" x14ac:dyDescent="0.25">
      <c r="A687" s="7"/>
      <c r="E687" s="7"/>
      <c r="F687" s="7"/>
    </row>
    <row r="688" spans="1:6" x14ac:dyDescent="0.25">
      <c r="A688" s="7"/>
      <c r="E688" s="7"/>
      <c r="F688" s="7"/>
    </row>
    <row r="689" spans="1:6" x14ac:dyDescent="0.25">
      <c r="A689" s="7"/>
      <c r="E689" s="7"/>
      <c r="F689" s="7"/>
    </row>
    <row r="690" spans="1:6" x14ac:dyDescent="0.25">
      <c r="A690" s="7"/>
      <c r="E690" s="7"/>
      <c r="F690" s="7"/>
    </row>
    <row r="691" spans="1:6" x14ac:dyDescent="0.25">
      <c r="A691" s="7"/>
      <c r="E691" s="7"/>
      <c r="F691" s="7"/>
    </row>
    <row r="692" spans="1:6" x14ac:dyDescent="0.25">
      <c r="A692" s="7"/>
      <c r="E692" s="7"/>
      <c r="F692" s="7"/>
    </row>
    <row r="693" spans="1:6" x14ac:dyDescent="0.25">
      <c r="A693" s="7"/>
      <c r="E693" s="7"/>
      <c r="F693" s="7"/>
    </row>
    <row r="694" spans="1:6" x14ac:dyDescent="0.25">
      <c r="A694" s="7"/>
      <c r="E694" s="7"/>
      <c r="F694" s="7"/>
    </row>
    <row r="695" spans="1:6" x14ac:dyDescent="0.25">
      <c r="A695" s="7"/>
      <c r="E695" s="7"/>
      <c r="F695" s="7"/>
    </row>
    <row r="696" spans="1:6" x14ac:dyDescent="0.25">
      <c r="A696" s="7"/>
      <c r="E696" s="7"/>
      <c r="F696" s="7"/>
    </row>
    <row r="697" spans="1:6" x14ac:dyDescent="0.25">
      <c r="A697" s="7"/>
      <c r="E697" s="7"/>
      <c r="F697" s="7"/>
    </row>
    <row r="698" spans="1:6" x14ac:dyDescent="0.25">
      <c r="A698" s="7"/>
      <c r="E698" s="7"/>
      <c r="F698" s="7"/>
    </row>
    <row r="699" spans="1:6" x14ac:dyDescent="0.25">
      <c r="A699" s="7"/>
      <c r="E699" s="7"/>
      <c r="F699" s="7"/>
    </row>
    <row r="700" spans="1:6" x14ac:dyDescent="0.25">
      <c r="A700" s="7"/>
      <c r="E700" s="7"/>
      <c r="F700" s="7"/>
    </row>
    <row r="701" spans="1:6" x14ac:dyDescent="0.25">
      <c r="A701" s="7"/>
      <c r="E701" s="7"/>
      <c r="F701" s="7"/>
    </row>
    <row r="702" spans="1:6" x14ac:dyDescent="0.25">
      <c r="A702" s="7"/>
      <c r="E702" s="7"/>
      <c r="F702" s="7"/>
    </row>
    <row r="703" spans="1:6" x14ac:dyDescent="0.25">
      <c r="A703" s="7"/>
      <c r="E703" s="7"/>
      <c r="F703" s="7"/>
    </row>
    <row r="704" spans="1:6" x14ac:dyDescent="0.25">
      <c r="A704" s="7"/>
      <c r="E704" s="7"/>
      <c r="F704" s="7"/>
    </row>
    <row r="705" spans="1:6" x14ac:dyDescent="0.25">
      <c r="A705" s="7"/>
      <c r="E705" s="7"/>
      <c r="F705" s="7"/>
    </row>
    <row r="706" spans="1:6" x14ac:dyDescent="0.25">
      <c r="A706" s="7"/>
      <c r="E706" s="7"/>
      <c r="F706" s="7"/>
    </row>
    <row r="707" spans="1:6" x14ac:dyDescent="0.25">
      <c r="A707" s="7"/>
      <c r="E707" s="7"/>
      <c r="F707" s="7"/>
    </row>
    <row r="708" spans="1:6" x14ac:dyDescent="0.25">
      <c r="A708" s="7"/>
      <c r="E708" s="7"/>
      <c r="F708" s="7"/>
    </row>
    <row r="709" spans="1:6" x14ac:dyDescent="0.25">
      <c r="A709" s="7"/>
      <c r="E709" s="7"/>
      <c r="F709" s="7"/>
    </row>
    <row r="710" spans="1:6" x14ac:dyDescent="0.25">
      <c r="A710" s="7"/>
      <c r="E710" s="7"/>
      <c r="F710" s="7"/>
    </row>
    <row r="711" spans="1:6" x14ac:dyDescent="0.25">
      <c r="A711" s="7"/>
      <c r="E711" s="7"/>
      <c r="F711" s="7"/>
    </row>
    <row r="712" spans="1:6" x14ac:dyDescent="0.25">
      <c r="A712" s="7"/>
      <c r="E712" s="7"/>
      <c r="F712" s="7"/>
    </row>
    <row r="713" spans="1:6" x14ac:dyDescent="0.25">
      <c r="A713" s="7"/>
      <c r="E713" s="7"/>
      <c r="F713" s="7"/>
    </row>
    <row r="714" spans="1:6" x14ac:dyDescent="0.25">
      <c r="A714" s="7"/>
      <c r="E714" s="7"/>
      <c r="F714" s="7"/>
    </row>
    <row r="715" spans="1:6" x14ac:dyDescent="0.25">
      <c r="A715" s="7"/>
      <c r="E715" s="7"/>
      <c r="F715" s="7"/>
    </row>
    <row r="716" spans="1:6" x14ac:dyDescent="0.25">
      <c r="A716" s="7"/>
      <c r="E716" s="7"/>
      <c r="F716" s="7"/>
    </row>
    <row r="717" spans="1:6" x14ac:dyDescent="0.25">
      <c r="A717" s="7"/>
      <c r="E717" s="7"/>
      <c r="F717" s="7"/>
    </row>
    <row r="718" spans="1:6" x14ac:dyDescent="0.25">
      <c r="A718" s="7"/>
      <c r="E718" s="7"/>
      <c r="F718" s="7"/>
    </row>
    <row r="719" spans="1:6" x14ac:dyDescent="0.25">
      <c r="A719" s="7"/>
      <c r="E719" s="7"/>
      <c r="F719" s="7"/>
    </row>
    <row r="720" spans="1:6" x14ac:dyDescent="0.25">
      <c r="A720" s="7"/>
      <c r="E720" s="7"/>
      <c r="F720" s="7"/>
    </row>
    <row r="721" spans="1:6" x14ac:dyDescent="0.25">
      <c r="A721" s="7"/>
      <c r="E721" s="7"/>
      <c r="F721" s="7"/>
    </row>
    <row r="722" spans="1:6" x14ac:dyDescent="0.25">
      <c r="A722" s="7"/>
      <c r="E722" s="7"/>
      <c r="F722" s="7"/>
    </row>
    <row r="723" spans="1:6" x14ac:dyDescent="0.25">
      <c r="A723" s="7"/>
      <c r="E723" s="7"/>
      <c r="F723" s="7"/>
    </row>
    <row r="724" spans="1:6" x14ac:dyDescent="0.25">
      <c r="A724" s="7"/>
      <c r="E724" s="7"/>
      <c r="F724" s="7"/>
    </row>
    <row r="725" spans="1:6" x14ac:dyDescent="0.25">
      <c r="A725" s="7"/>
      <c r="E725" s="7"/>
      <c r="F725" s="7"/>
    </row>
    <row r="726" spans="1:6" x14ac:dyDescent="0.25">
      <c r="A726" s="7"/>
      <c r="E726" s="7"/>
      <c r="F726" s="7"/>
    </row>
    <row r="727" spans="1:6" x14ac:dyDescent="0.25">
      <c r="A727" s="7"/>
      <c r="E727" s="7"/>
      <c r="F727" s="7"/>
    </row>
    <row r="728" spans="1:6" x14ac:dyDescent="0.25">
      <c r="A728" s="7"/>
      <c r="E728" s="7"/>
      <c r="F728" s="7"/>
    </row>
    <row r="729" spans="1:6" x14ac:dyDescent="0.25">
      <c r="A729" s="7"/>
      <c r="E729" s="7"/>
      <c r="F729" s="7"/>
    </row>
    <row r="730" spans="1:6" x14ac:dyDescent="0.25">
      <c r="A730" s="7"/>
      <c r="E730" s="7"/>
      <c r="F730" s="7"/>
    </row>
    <row r="731" spans="1:6" x14ac:dyDescent="0.25">
      <c r="A731" s="7"/>
      <c r="E731" s="7"/>
      <c r="F731" s="7"/>
    </row>
    <row r="732" spans="1:6" x14ac:dyDescent="0.25">
      <c r="A732" s="7"/>
      <c r="E732" s="7"/>
      <c r="F732" s="7"/>
    </row>
    <row r="733" spans="1:6" x14ac:dyDescent="0.25">
      <c r="A733" s="7"/>
      <c r="E733" s="7"/>
      <c r="F733" s="7"/>
    </row>
    <row r="734" spans="1:6" x14ac:dyDescent="0.25">
      <c r="A734" s="7"/>
      <c r="E734" s="7"/>
      <c r="F734" s="7"/>
    </row>
    <row r="735" spans="1:6" x14ac:dyDescent="0.25">
      <c r="A735" s="7"/>
      <c r="E735" s="7"/>
      <c r="F735" s="7"/>
    </row>
    <row r="736" spans="1:6" x14ac:dyDescent="0.25">
      <c r="A736" s="7"/>
      <c r="E736" s="7"/>
      <c r="F736" s="7"/>
    </row>
    <row r="737" spans="1:6" x14ac:dyDescent="0.25">
      <c r="A737" s="7"/>
      <c r="E737" s="7"/>
      <c r="F737" s="7"/>
    </row>
    <row r="738" spans="1:6" x14ac:dyDescent="0.25">
      <c r="A738" s="7"/>
      <c r="E738" s="7"/>
      <c r="F738" s="7"/>
    </row>
    <row r="739" spans="1:6" x14ac:dyDescent="0.25">
      <c r="A739" s="7"/>
      <c r="E739" s="7"/>
      <c r="F739" s="7"/>
    </row>
    <row r="740" spans="1:6" x14ac:dyDescent="0.25">
      <c r="A740" s="7"/>
      <c r="E740" s="7"/>
      <c r="F740" s="7"/>
    </row>
    <row r="741" spans="1:6" x14ac:dyDescent="0.25">
      <c r="A741" s="7"/>
      <c r="E741" s="7"/>
      <c r="F741" s="7"/>
    </row>
    <row r="742" spans="1:6" x14ac:dyDescent="0.25">
      <c r="A742" s="7"/>
      <c r="E742" s="7"/>
      <c r="F742" s="7"/>
    </row>
    <row r="743" spans="1:6" x14ac:dyDescent="0.25">
      <c r="A743" s="7"/>
      <c r="E743" s="7"/>
      <c r="F743" s="7"/>
    </row>
    <row r="744" spans="1:6" x14ac:dyDescent="0.25">
      <c r="A744" s="7"/>
      <c r="E744" s="7"/>
      <c r="F744" s="7"/>
    </row>
    <row r="745" spans="1:6" x14ac:dyDescent="0.25">
      <c r="A745" s="7"/>
      <c r="E745" s="7"/>
      <c r="F745" s="7"/>
    </row>
    <row r="746" spans="1:6" x14ac:dyDescent="0.25">
      <c r="A746" s="7"/>
      <c r="E746" s="7"/>
      <c r="F746" s="7"/>
    </row>
    <row r="747" spans="1:6" x14ac:dyDescent="0.25">
      <c r="A747" s="7"/>
      <c r="E747" s="7"/>
      <c r="F747" s="7"/>
    </row>
    <row r="748" spans="1:6" x14ac:dyDescent="0.25">
      <c r="A748" s="7"/>
      <c r="E748" s="7"/>
      <c r="F748" s="7"/>
    </row>
    <row r="749" spans="1:6" x14ac:dyDescent="0.25">
      <c r="A749" s="7"/>
      <c r="E749" s="7"/>
      <c r="F749" s="7"/>
    </row>
    <row r="750" spans="1:6" x14ac:dyDescent="0.25">
      <c r="A750" s="7"/>
      <c r="E750" s="7"/>
      <c r="F750" s="7"/>
    </row>
    <row r="751" spans="1:6" x14ac:dyDescent="0.25">
      <c r="A751" s="7"/>
      <c r="E751" s="7"/>
      <c r="F751" s="7"/>
    </row>
    <row r="752" spans="1:6" x14ac:dyDescent="0.25">
      <c r="A752" s="7"/>
      <c r="E752" s="7"/>
      <c r="F752" s="7"/>
    </row>
    <row r="753" spans="1:6" x14ac:dyDescent="0.25">
      <c r="A753" s="7"/>
      <c r="E753" s="7"/>
      <c r="F753" s="7"/>
    </row>
    <row r="754" spans="1:6" x14ac:dyDescent="0.25">
      <c r="A754" s="7"/>
      <c r="E754" s="7"/>
      <c r="F754" s="7"/>
    </row>
    <row r="755" spans="1:6" x14ac:dyDescent="0.25">
      <c r="A755" s="7"/>
      <c r="E755" s="7"/>
      <c r="F755" s="7"/>
    </row>
    <row r="756" spans="1:6" x14ac:dyDescent="0.25">
      <c r="A756" s="7"/>
      <c r="E756" s="7"/>
      <c r="F756" s="7"/>
    </row>
    <row r="757" spans="1:6" x14ac:dyDescent="0.25">
      <c r="A757" s="7"/>
      <c r="E757" s="7"/>
      <c r="F757" s="7"/>
    </row>
    <row r="758" spans="1:6" x14ac:dyDescent="0.25">
      <c r="A758" s="7"/>
      <c r="E758" s="7"/>
      <c r="F758" s="7"/>
    </row>
    <row r="759" spans="1:6" x14ac:dyDescent="0.25">
      <c r="A759" s="7"/>
      <c r="E759" s="7"/>
      <c r="F759" s="7"/>
    </row>
    <row r="760" spans="1:6" x14ac:dyDescent="0.25">
      <c r="A760" s="7"/>
      <c r="E760" s="7"/>
      <c r="F760" s="7"/>
    </row>
    <row r="761" spans="1:6" x14ac:dyDescent="0.25">
      <c r="A761" s="7"/>
      <c r="E761" s="7"/>
      <c r="F761" s="7"/>
    </row>
    <row r="762" spans="1:6" x14ac:dyDescent="0.25">
      <c r="A762" s="7"/>
      <c r="E762" s="7"/>
      <c r="F762" s="7"/>
    </row>
    <row r="763" spans="1:6" x14ac:dyDescent="0.25">
      <c r="A763" s="7"/>
      <c r="E763" s="7"/>
      <c r="F763" s="7"/>
    </row>
    <row r="764" spans="1:6" x14ac:dyDescent="0.25">
      <c r="A764" s="7"/>
      <c r="E764" s="7"/>
      <c r="F764" s="7"/>
    </row>
    <row r="765" spans="1:6" x14ac:dyDescent="0.25">
      <c r="A765" s="7"/>
      <c r="E765" s="7"/>
      <c r="F765" s="7"/>
    </row>
    <row r="766" spans="1:6" x14ac:dyDescent="0.25">
      <c r="A766" s="7"/>
      <c r="E766" s="7"/>
      <c r="F766" s="7"/>
    </row>
    <row r="767" spans="1:6" x14ac:dyDescent="0.25">
      <c r="A767" s="7"/>
      <c r="E767" s="7"/>
      <c r="F767" s="7"/>
    </row>
    <row r="768" spans="1:6" x14ac:dyDescent="0.25">
      <c r="A768" s="7"/>
      <c r="E768" s="7"/>
      <c r="F768" s="7"/>
    </row>
    <row r="769" spans="1:6" x14ac:dyDescent="0.25">
      <c r="A769" s="7"/>
      <c r="E769" s="7"/>
      <c r="F769" s="7"/>
    </row>
    <row r="770" spans="1:6" x14ac:dyDescent="0.25">
      <c r="A770" s="7"/>
      <c r="E770" s="7"/>
      <c r="F770" s="7"/>
    </row>
    <row r="771" spans="1:6" x14ac:dyDescent="0.25">
      <c r="A771" s="7"/>
      <c r="E771" s="7"/>
      <c r="F771" s="7"/>
    </row>
    <row r="772" spans="1:6" x14ac:dyDescent="0.25">
      <c r="A772" s="7"/>
      <c r="E772" s="7"/>
      <c r="F772" s="7"/>
    </row>
    <row r="773" spans="1:6" x14ac:dyDescent="0.25">
      <c r="A773" s="7"/>
      <c r="E773" s="7"/>
      <c r="F773" s="7"/>
    </row>
    <row r="774" spans="1:6" x14ac:dyDescent="0.25">
      <c r="A774" s="7"/>
      <c r="E774" s="7"/>
      <c r="F774" s="7"/>
    </row>
    <row r="775" spans="1:6" x14ac:dyDescent="0.25">
      <c r="A775" s="7"/>
      <c r="E775" s="7"/>
      <c r="F775" s="7"/>
    </row>
    <row r="776" spans="1:6" x14ac:dyDescent="0.25">
      <c r="A776" s="7"/>
      <c r="E776" s="7"/>
      <c r="F776" s="7"/>
    </row>
    <row r="777" spans="1:6" x14ac:dyDescent="0.25">
      <c r="A777" s="7"/>
      <c r="E777" s="7"/>
      <c r="F777" s="7"/>
    </row>
    <row r="778" spans="1:6" x14ac:dyDescent="0.25">
      <c r="A778" s="7"/>
      <c r="E778" s="7"/>
      <c r="F778" s="7"/>
    </row>
    <row r="779" spans="1:6" x14ac:dyDescent="0.25">
      <c r="A779" s="7"/>
      <c r="E779" s="7"/>
      <c r="F779" s="7"/>
    </row>
    <row r="780" spans="1:6" x14ac:dyDescent="0.25">
      <c r="A780" s="7"/>
      <c r="E780" s="7"/>
      <c r="F780" s="7"/>
    </row>
    <row r="781" spans="1:6" x14ac:dyDescent="0.25">
      <c r="A781" s="7"/>
      <c r="E781" s="7"/>
      <c r="F781" s="7"/>
    </row>
    <row r="782" spans="1:6" x14ac:dyDescent="0.25">
      <c r="A782" s="7"/>
      <c r="E782" s="7"/>
      <c r="F782" s="7"/>
    </row>
    <row r="783" spans="1:6" x14ac:dyDescent="0.25">
      <c r="A783" s="7"/>
      <c r="E783" s="7"/>
      <c r="F783" s="7"/>
    </row>
    <row r="784" spans="1:6" x14ac:dyDescent="0.25">
      <c r="A784" s="7"/>
      <c r="E784" s="7"/>
      <c r="F784" s="7"/>
    </row>
    <row r="785" spans="1:6" x14ac:dyDescent="0.25">
      <c r="A785" s="7"/>
      <c r="E785" s="7"/>
      <c r="F785" s="7"/>
    </row>
    <row r="786" spans="1:6" x14ac:dyDescent="0.25">
      <c r="A786" s="7"/>
      <c r="E786" s="7"/>
      <c r="F786" s="7"/>
    </row>
    <row r="787" spans="1:6" x14ac:dyDescent="0.25">
      <c r="A787" s="7"/>
      <c r="E787" s="7"/>
      <c r="F787" s="7"/>
    </row>
    <row r="788" spans="1:6" x14ac:dyDescent="0.25">
      <c r="A788" s="7"/>
      <c r="E788" s="7"/>
      <c r="F788" s="7"/>
    </row>
    <row r="789" spans="1:6" x14ac:dyDescent="0.25">
      <c r="A789" s="7"/>
      <c r="E789" s="7"/>
      <c r="F789" s="7"/>
    </row>
    <row r="790" spans="1:6" x14ac:dyDescent="0.25">
      <c r="A790" s="7"/>
      <c r="E790" s="7"/>
      <c r="F790" s="7"/>
    </row>
    <row r="791" spans="1:6" x14ac:dyDescent="0.25">
      <c r="A791" s="7"/>
      <c r="E791" s="7"/>
      <c r="F791" s="7"/>
    </row>
    <row r="792" spans="1:6" x14ac:dyDescent="0.25">
      <c r="A792" s="7"/>
      <c r="E792" s="7"/>
      <c r="F792" s="7"/>
    </row>
    <row r="793" spans="1:6" x14ac:dyDescent="0.25">
      <c r="A793" s="7"/>
      <c r="E793" s="7"/>
      <c r="F793" s="7"/>
    </row>
    <row r="794" spans="1:6" x14ac:dyDescent="0.25">
      <c r="A794" s="7"/>
      <c r="E794" s="7"/>
      <c r="F794" s="7"/>
    </row>
    <row r="795" spans="1:6" x14ac:dyDescent="0.25">
      <c r="A795" s="7"/>
      <c r="E795" s="7"/>
      <c r="F795" s="7"/>
    </row>
    <row r="796" spans="1:6" x14ac:dyDescent="0.25">
      <c r="A796" s="7"/>
      <c r="E796" s="7"/>
      <c r="F796" s="7"/>
    </row>
    <row r="797" spans="1:6" x14ac:dyDescent="0.25">
      <c r="A797" s="7"/>
      <c r="E797" s="7"/>
      <c r="F797" s="7"/>
    </row>
    <row r="798" spans="1:6" x14ac:dyDescent="0.25">
      <c r="A798" s="7"/>
      <c r="E798" s="7"/>
      <c r="F798" s="7"/>
    </row>
    <row r="799" spans="1:6" x14ac:dyDescent="0.25">
      <c r="A799" s="7"/>
      <c r="E799" s="7"/>
      <c r="F799" s="7"/>
    </row>
    <row r="800" spans="1:6" x14ac:dyDescent="0.25">
      <c r="A800" s="7"/>
      <c r="E800" s="7"/>
      <c r="F800" s="7"/>
    </row>
    <row r="801" spans="1:6" x14ac:dyDescent="0.25">
      <c r="A801" s="7"/>
      <c r="E801" s="7"/>
      <c r="F801" s="7"/>
    </row>
    <row r="802" spans="1:6" x14ac:dyDescent="0.25">
      <c r="A802" s="7"/>
      <c r="E802" s="7"/>
      <c r="F802" s="7"/>
    </row>
    <row r="803" spans="1:6" x14ac:dyDescent="0.25">
      <c r="A803" s="7"/>
      <c r="E803" s="7"/>
      <c r="F803" s="7"/>
    </row>
    <row r="804" spans="1:6" x14ac:dyDescent="0.25">
      <c r="A804" s="7"/>
      <c r="E804" s="7"/>
      <c r="F804" s="7"/>
    </row>
    <row r="805" spans="1:6" x14ac:dyDescent="0.25">
      <c r="A805" s="7"/>
      <c r="E805" s="7"/>
      <c r="F805" s="7"/>
    </row>
    <row r="806" spans="1:6" x14ac:dyDescent="0.25">
      <c r="A806" s="7"/>
      <c r="E806" s="7"/>
      <c r="F806" s="7"/>
    </row>
    <row r="807" spans="1:6" x14ac:dyDescent="0.25">
      <c r="A807" s="7"/>
      <c r="E807" s="7"/>
      <c r="F807" s="7"/>
    </row>
    <row r="808" spans="1:6" x14ac:dyDescent="0.25">
      <c r="A808" s="7"/>
      <c r="E808" s="7"/>
      <c r="F808" s="7"/>
    </row>
    <row r="809" spans="1:6" x14ac:dyDescent="0.25">
      <c r="A809" s="7"/>
      <c r="E809" s="7"/>
      <c r="F809" s="7"/>
    </row>
    <row r="810" spans="1:6" x14ac:dyDescent="0.25">
      <c r="A810" s="7"/>
      <c r="E810" s="7"/>
      <c r="F810" s="7"/>
    </row>
    <row r="811" spans="1:6" x14ac:dyDescent="0.25">
      <c r="A811" s="7"/>
      <c r="E811" s="7"/>
      <c r="F811" s="7"/>
    </row>
    <row r="812" spans="1:6" x14ac:dyDescent="0.25">
      <c r="A812" s="7"/>
      <c r="E812" s="7"/>
      <c r="F812" s="7"/>
    </row>
    <row r="813" spans="1:6" x14ac:dyDescent="0.25">
      <c r="A813" s="7"/>
      <c r="E813" s="7"/>
      <c r="F813" s="7"/>
    </row>
    <row r="814" spans="1:6" x14ac:dyDescent="0.25">
      <c r="A814" s="7"/>
      <c r="E814" s="7"/>
      <c r="F814" s="7"/>
    </row>
    <row r="815" spans="1:6" x14ac:dyDescent="0.25">
      <c r="A815" s="7"/>
      <c r="E815" s="7"/>
      <c r="F815" s="7"/>
    </row>
    <row r="816" spans="1:6" x14ac:dyDescent="0.25">
      <c r="A816" s="7"/>
      <c r="E816" s="7"/>
      <c r="F816" s="7"/>
    </row>
    <row r="817" spans="1:6" x14ac:dyDescent="0.25">
      <c r="A817" s="7"/>
      <c r="E817" s="7"/>
      <c r="F817" s="7"/>
    </row>
    <row r="818" spans="1:6" x14ac:dyDescent="0.25">
      <c r="A818" s="7"/>
      <c r="E818" s="7"/>
      <c r="F818" s="7"/>
    </row>
    <row r="819" spans="1:6" x14ac:dyDescent="0.25">
      <c r="A819" s="7"/>
      <c r="E819" s="7"/>
      <c r="F819" s="7"/>
    </row>
    <row r="820" spans="1:6" x14ac:dyDescent="0.25">
      <c r="A820" s="7"/>
      <c r="E820" s="7"/>
      <c r="F820" s="7"/>
    </row>
    <row r="821" spans="1:6" x14ac:dyDescent="0.25">
      <c r="A821" s="7"/>
      <c r="E821" s="7"/>
      <c r="F821" s="7"/>
    </row>
    <row r="822" spans="1:6" x14ac:dyDescent="0.25">
      <c r="A822" s="7"/>
      <c r="E822" s="7"/>
      <c r="F822" s="7"/>
    </row>
    <row r="823" spans="1:6" x14ac:dyDescent="0.25">
      <c r="A823" s="7"/>
      <c r="E823" s="7"/>
      <c r="F823" s="7"/>
    </row>
    <row r="824" spans="1:6" x14ac:dyDescent="0.25">
      <c r="A824" s="7"/>
      <c r="E824" s="7"/>
      <c r="F824" s="7"/>
    </row>
    <row r="825" spans="1:6" x14ac:dyDescent="0.25">
      <c r="A825" s="7"/>
      <c r="E825" s="7"/>
      <c r="F825" s="7"/>
    </row>
    <row r="826" spans="1:6" x14ac:dyDescent="0.25">
      <c r="A826" s="7"/>
      <c r="E826" s="7"/>
      <c r="F826" s="7"/>
    </row>
    <row r="827" spans="1:6" x14ac:dyDescent="0.25">
      <c r="A827" s="7"/>
      <c r="E827" s="7"/>
      <c r="F827" s="7"/>
    </row>
    <row r="828" spans="1:6" x14ac:dyDescent="0.25">
      <c r="A828" s="7"/>
      <c r="E828" s="7"/>
      <c r="F828" s="7"/>
    </row>
    <row r="829" spans="1:6" x14ac:dyDescent="0.25">
      <c r="A829" s="7"/>
      <c r="E829" s="7"/>
      <c r="F829" s="7"/>
    </row>
    <row r="830" spans="1:6" x14ac:dyDescent="0.25">
      <c r="A830" s="7"/>
      <c r="E830" s="7"/>
      <c r="F830" s="7"/>
    </row>
    <row r="831" spans="1:6" x14ac:dyDescent="0.25">
      <c r="A831" s="7"/>
      <c r="E831" s="7"/>
      <c r="F831" s="7"/>
    </row>
    <row r="832" spans="1:6" x14ac:dyDescent="0.25">
      <c r="A832" s="7"/>
      <c r="E832" s="7"/>
      <c r="F832" s="7"/>
    </row>
    <row r="833" spans="1:6" x14ac:dyDescent="0.25">
      <c r="A833" s="7"/>
      <c r="E833" s="7"/>
      <c r="F833" s="7"/>
    </row>
    <row r="834" spans="1:6" x14ac:dyDescent="0.25">
      <c r="A834" s="7"/>
      <c r="E834" s="7"/>
      <c r="F834" s="7"/>
    </row>
    <row r="835" spans="1:6" x14ac:dyDescent="0.25">
      <c r="A835" s="7"/>
      <c r="E835" s="7"/>
      <c r="F835" s="7"/>
    </row>
    <row r="836" spans="1:6" x14ac:dyDescent="0.25">
      <c r="A836" s="7"/>
      <c r="E836" s="7"/>
      <c r="F836" s="7"/>
    </row>
    <row r="837" spans="1:6" x14ac:dyDescent="0.25">
      <c r="A837" s="7"/>
      <c r="E837" s="7"/>
      <c r="F837" s="7"/>
    </row>
    <row r="838" spans="1:6" x14ac:dyDescent="0.25">
      <c r="A838" s="7"/>
      <c r="E838" s="7"/>
      <c r="F838" s="7"/>
    </row>
    <row r="839" spans="1:6" x14ac:dyDescent="0.25">
      <c r="A839" s="7"/>
      <c r="E839" s="7"/>
      <c r="F839" s="7"/>
    </row>
    <row r="840" spans="1:6" x14ac:dyDescent="0.25">
      <c r="A840" s="7"/>
      <c r="E840" s="7"/>
      <c r="F840" s="7"/>
    </row>
    <row r="841" spans="1:6" x14ac:dyDescent="0.25">
      <c r="A841" s="7"/>
      <c r="E841" s="7"/>
      <c r="F841" s="7"/>
    </row>
    <row r="842" spans="1:6" x14ac:dyDescent="0.25">
      <c r="A842" s="7"/>
      <c r="E842" s="7"/>
      <c r="F842" s="7"/>
    </row>
    <row r="843" spans="1:6" x14ac:dyDescent="0.25">
      <c r="A843" s="7"/>
      <c r="E843" s="7"/>
      <c r="F843" s="7"/>
    </row>
    <row r="844" spans="1:6" x14ac:dyDescent="0.25">
      <c r="A844" s="7"/>
      <c r="E844" s="7"/>
      <c r="F844" s="7"/>
    </row>
    <row r="845" spans="1:6" x14ac:dyDescent="0.25">
      <c r="A845" s="7"/>
      <c r="E845" s="7"/>
      <c r="F845" s="7"/>
    </row>
    <row r="846" spans="1:6" x14ac:dyDescent="0.25">
      <c r="A846" s="7"/>
      <c r="E846" s="7"/>
      <c r="F846" s="7"/>
    </row>
    <row r="847" spans="1:6" x14ac:dyDescent="0.25">
      <c r="A847" s="7"/>
      <c r="E847" s="7"/>
      <c r="F847" s="7"/>
    </row>
    <row r="848" spans="1:6" x14ac:dyDescent="0.25">
      <c r="A848" s="7"/>
      <c r="E848" s="7"/>
      <c r="F848" s="7"/>
    </row>
    <row r="849" spans="1:6" x14ac:dyDescent="0.25">
      <c r="A849" s="7"/>
      <c r="E849" s="7"/>
      <c r="F849" s="7"/>
    </row>
    <row r="850" spans="1:6" x14ac:dyDescent="0.25">
      <c r="A850" s="7"/>
      <c r="E850" s="7"/>
      <c r="F850" s="7"/>
    </row>
    <row r="851" spans="1:6" x14ac:dyDescent="0.25">
      <c r="A851" s="7"/>
      <c r="E851" s="7"/>
      <c r="F851" s="7"/>
    </row>
    <row r="852" spans="1:6" x14ac:dyDescent="0.25">
      <c r="A852" s="7"/>
      <c r="E852" s="7"/>
      <c r="F852" s="7"/>
    </row>
    <row r="853" spans="1:6" x14ac:dyDescent="0.25">
      <c r="A853" s="7"/>
      <c r="E853" s="7"/>
      <c r="F853" s="7"/>
    </row>
    <row r="854" spans="1:6" x14ac:dyDescent="0.25">
      <c r="A854" s="7"/>
      <c r="E854" s="7"/>
      <c r="F854" s="7"/>
    </row>
    <row r="855" spans="1:6" x14ac:dyDescent="0.25">
      <c r="A855" s="7"/>
      <c r="E855" s="7"/>
      <c r="F855" s="7"/>
    </row>
    <row r="856" spans="1:6" x14ac:dyDescent="0.25">
      <c r="A856" s="7"/>
      <c r="E856" s="7"/>
      <c r="F856" s="7"/>
    </row>
    <row r="857" spans="1:6" x14ac:dyDescent="0.25">
      <c r="A857" s="7"/>
      <c r="E857" s="7"/>
      <c r="F857" s="7"/>
    </row>
    <row r="858" spans="1:6" x14ac:dyDescent="0.25">
      <c r="A858" s="7"/>
      <c r="E858" s="7"/>
      <c r="F858" s="7"/>
    </row>
    <row r="859" spans="1:6" x14ac:dyDescent="0.25">
      <c r="A859" s="7"/>
      <c r="E859" s="7"/>
      <c r="F859" s="7"/>
    </row>
    <row r="860" spans="1:6" x14ac:dyDescent="0.25">
      <c r="A860" s="7"/>
      <c r="E860" s="7"/>
      <c r="F860" s="7"/>
    </row>
    <row r="861" spans="1:6" x14ac:dyDescent="0.25">
      <c r="A861" s="7"/>
      <c r="E861" s="7"/>
      <c r="F861" s="7"/>
    </row>
    <row r="862" spans="1:6" x14ac:dyDescent="0.25">
      <c r="A862" s="7"/>
      <c r="E862" s="7"/>
      <c r="F862" s="7"/>
    </row>
    <row r="863" spans="1:6" x14ac:dyDescent="0.25">
      <c r="A863" s="7"/>
      <c r="E863" s="7"/>
      <c r="F863" s="7"/>
    </row>
    <row r="864" spans="1:6" x14ac:dyDescent="0.25">
      <c r="A864" s="7"/>
      <c r="E864" s="7"/>
      <c r="F864" s="7"/>
    </row>
    <row r="865" spans="1:6" x14ac:dyDescent="0.25">
      <c r="A865" s="7"/>
      <c r="E865" s="7"/>
      <c r="F865" s="7"/>
    </row>
    <row r="866" spans="1:6" x14ac:dyDescent="0.25">
      <c r="A866" s="7"/>
      <c r="E866" s="7"/>
      <c r="F866" s="7"/>
    </row>
    <row r="867" spans="1:6" x14ac:dyDescent="0.25">
      <c r="A867" s="7"/>
      <c r="E867" s="7"/>
      <c r="F867" s="7"/>
    </row>
    <row r="868" spans="1:6" x14ac:dyDescent="0.25">
      <c r="A868" s="7"/>
      <c r="E868" s="7"/>
      <c r="F868" s="7"/>
    </row>
    <row r="869" spans="1:6" x14ac:dyDescent="0.25">
      <c r="A869" s="7"/>
      <c r="E869" s="7"/>
      <c r="F869" s="7"/>
    </row>
    <row r="870" spans="1:6" x14ac:dyDescent="0.25">
      <c r="A870" s="7"/>
      <c r="E870" s="7"/>
      <c r="F870" s="7"/>
    </row>
    <row r="871" spans="1:6" x14ac:dyDescent="0.25">
      <c r="A871" s="7"/>
      <c r="E871" s="7"/>
      <c r="F871" s="7"/>
    </row>
    <row r="872" spans="1:6" x14ac:dyDescent="0.25">
      <c r="A872" s="7"/>
      <c r="E872" s="7"/>
      <c r="F872" s="7"/>
    </row>
    <row r="873" spans="1:6" x14ac:dyDescent="0.25">
      <c r="A873" s="7"/>
      <c r="E873" s="7"/>
      <c r="F873" s="7"/>
    </row>
    <row r="874" spans="1:6" x14ac:dyDescent="0.25">
      <c r="A874" s="7"/>
      <c r="E874" s="7"/>
      <c r="F874" s="7"/>
    </row>
    <row r="875" spans="1:6" x14ac:dyDescent="0.25">
      <c r="A875" s="7"/>
      <c r="E875" s="7"/>
      <c r="F875" s="7"/>
    </row>
    <row r="876" spans="1:6" x14ac:dyDescent="0.25">
      <c r="A876" s="7"/>
      <c r="E876" s="7"/>
      <c r="F876" s="7"/>
    </row>
    <row r="877" spans="1:6" x14ac:dyDescent="0.25">
      <c r="A877" s="7"/>
      <c r="E877" s="7"/>
      <c r="F877" s="7"/>
    </row>
    <row r="878" spans="1:6" x14ac:dyDescent="0.25">
      <c r="A878" s="7"/>
      <c r="E878" s="7"/>
      <c r="F878" s="7"/>
    </row>
    <row r="879" spans="1:6" x14ac:dyDescent="0.25">
      <c r="A879" s="7"/>
      <c r="E879" s="7"/>
      <c r="F879" s="7"/>
    </row>
    <row r="880" spans="1:6" x14ac:dyDescent="0.25">
      <c r="A880" s="7"/>
      <c r="E880" s="7"/>
      <c r="F880" s="7"/>
    </row>
    <row r="881" spans="1:6" x14ac:dyDescent="0.25">
      <c r="A881" s="7"/>
      <c r="E881" s="7"/>
      <c r="F881" s="7"/>
    </row>
    <row r="882" spans="1:6" x14ac:dyDescent="0.25">
      <c r="A882" s="7"/>
      <c r="E882" s="7"/>
      <c r="F882" s="7"/>
    </row>
    <row r="883" spans="1:6" x14ac:dyDescent="0.25">
      <c r="A883" s="7"/>
      <c r="E883" s="7"/>
      <c r="F883" s="7"/>
    </row>
    <row r="884" spans="1:6" x14ac:dyDescent="0.25">
      <c r="A884" s="7"/>
      <c r="E884" s="7"/>
      <c r="F884" s="7"/>
    </row>
    <row r="885" spans="1:6" x14ac:dyDescent="0.25">
      <c r="A885" s="7"/>
      <c r="E885" s="7"/>
      <c r="F885" s="7"/>
    </row>
    <row r="886" spans="1:6" x14ac:dyDescent="0.25">
      <c r="A886" s="7"/>
      <c r="E886" s="7"/>
      <c r="F886" s="7"/>
    </row>
    <row r="887" spans="1:6" x14ac:dyDescent="0.25">
      <c r="A887" s="7"/>
      <c r="E887" s="7"/>
      <c r="F887" s="7"/>
    </row>
    <row r="888" spans="1:6" x14ac:dyDescent="0.25">
      <c r="A888" s="7"/>
      <c r="E888" s="7"/>
      <c r="F888" s="7"/>
    </row>
    <row r="889" spans="1:6" x14ac:dyDescent="0.25">
      <c r="A889" s="7"/>
      <c r="E889" s="7"/>
      <c r="F889" s="7"/>
    </row>
    <row r="890" spans="1:6" x14ac:dyDescent="0.25">
      <c r="A890" s="7"/>
      <c r="E890" s="7"/>
      <c r="F890" s="7"/>
    </row>
    <row r="891" spans="1:6" x14ac:dyDescent="0.25">
      <c r="A891" s="7"/>
      <c r="E891" s="7"/>
      <c r="F891" s="7"/>
    </row>
    <row r="892" spans="1:6" x14ac:dyDescent="0.25">
      <c r="A892" s="7"/>
      <c r="E892" s="7"/>
      <c r="F892" s="7"/>
    </row>
    <row r="893" spans="1:6" x14ac:dyDescent="0.25">
      <c r="A893" s="7"/>
      <c r="E893" s="7"/>
      <c r="F893" s="7"/>
    </row>
    <row r="894" spans="1:6" x14ac:dyDescent="0.25">
      <c r="A894" s="7"/>
      <c r="E894" s="7"/>
      <c r="F894" s="7"/>
    </row>
    <row r="895" spans="1:6" x14ac:dyDescent="0.25">
      <c r="A895" s="7"/>
      <c r="E895" s="7"/>
      <c r="F895" s="7"/>
    </row>
    <row r="896" spans="1:6" x14ac:dyDescent="0.25">
      <c r="A896" s="7"/>
      <c r="E896" s="7"/>
      <c r="F896" s="7"/>
    </row>
    <row r="897" spans="1:6" x14ac:dyDescent="0.25">
      <c r="A897" s="7"/>
      <c r="E897" s="7"/>
      <c r="F897" s="7"/>
    </row>
    <row r="898" spans="1:6" x14ac:dyDescent="0.25">
      <c r="A898" s="7"/>
      <c r="E898" s="7"/>
      <c r="F898" s="7"/>
    </row>
    <row r="899" spans="1:6" x14ac:dyDescent="0.25">
      <c r="A899" s="7"/>
      <c r="E899" s="7"/>
      <c r="F899" s="7"/>
    </row>
    <row r="900" spans="1:6" x14ac:dyDescent="0.25">
      <c r="A900" s="7"/>
      <c r="E900" s="7"/>
      <c r="F900" s="7"/>
    </row>
    <row r="901" spans="1:6" x14ac:dyDescent="0.25">
      <c r="A901" s="7"/>
      <c r="E901" s="7"/>
      <c r="F901" s="7"/>
    </row>
    <row r="902" spans="1:6" x14ac:dyDescent="0.25">
      <c r="A902" s="7"/>
      <c r="E902" s="7"/>
      <c r="F902" s="7"/>
    </row>
    <row r="903" spans="1:6" x14ac:dyDescent="0.25">
      <c r="A903" s="7"/>
      <c r="E903" s="7"/>
      <c r="F903" s="7"/>
    </row>
    <row r="904" spans="1:6" x14ac:dyDescent="0.25">
      <c r="A904" s="7"/>
      <c r="E904" s="7"/>
      <c r="F904" s="7"/>
    </row>
    <row r="905" spans="1:6" x14ac:dyDescent="0.25">
      <c r="A905" s="7"/>
      <c r="E905" s="7"/>
      <c r="F905" s="7"/>
    </row>
    <row r="906" spans="1:6" x14ac:dyDescent="0.25">
      <c r="A906" s="7"/>
      <c r="E906" s="7"/>
      <c r="F906" s="7"/>
    </row>
    <row r="907" spans="1:6" x14ac:dyDescent="0.25">
      <c r="A907" s="7"/>
      <c r="E907" s="7"/>
      <c r="F907" s="7"/>
    </row>
    <row r="908" spans="1:6" x14ac:dyDescent="0.25">
      <c r="A908" s="7"/>
      <c r="E908" s="7"/>
      <c r="F908" s="7"/>
    </row>
    <row r="909" spans="1:6" x14ac:dyDescent="0.25">
      <c r="A909" s="7"/>
      <c r="E909" s="7"/>
      <c r="F909" s="7"/>
    </row>
    <row r="910" spans="1:6" x14ac:dyDescent="0.25">
      <c r="A910" s="7"/>
      <c r="E910" s="7"/>
      <c r="F910" s="7"/>
    </row>
    <row r="911" spans="1:6" x14ac:dyDescent="0.25">
      <c r="A911" s="7"/>
      <c r="E911" s="7"/>
      <c r="F911" s="7"/>
    </row>
    <row r="912" spans="1:6" x14ac:dyDescent="0.25">
      <c r="A912" s="7"/>
      <c r="E912" s="7"/>
      <c r="F912" s="7"/>
    </row>
    <row r="913" spans="1:6" x14ac:dyDescent="0.25">
      <c r="A913" s="7"/>
      <c r="E913" s="7"/>
      <c r="F913" s="7"/>
    </row>
    <row r="914" spans="1:6" x14ac:dyDescent="0.25">
      <c r="A914" s="7"/>
      <c r="E914" s="7"/>
      <c r="F914" s="7"/>
    </row>
    <row r="915" spans="1:6" x14ac:dyDescent="0.25">
      <c r="A915" s="7"/>
      <c r="E915" s="7"/>
      <c r="F915" s="7"/>
    </row>
    <row r="916" spans="1:6" x14ac:dyDescent="0.25">
      <c r="A916" s="7"/>
      <c r="E916" s="7"/>
      <c r="F916" s="7"/>
    </row>
    <row r="917" spans="1:6" x14ac:dyDescent="0.25">
      <c r="A917" s="7"/>
      <c r="E917" s="7"/>
      <c r="F917" s="7"/>
    </row>
    <row r="918" spans="1:6" x14ac:dyDescent="0.25">
      <c r="A918" s="7"/>
      <c r="E918" s="7"/>
      <c r="F918" s="7"/>
    </row>
    <row r="919" spans="1:6" x14ac:dyDescent="0.25">
      <c r="A919" s="7"/>
      <c r="E919" s="7"/>
      <c r="F919" s="7"/>
    </row>
    <row r="920" spans="1:6" x14ac:dyDescent="0.25">
      <c r="A920" s="7"/>
      <c r="E920" s="7"/>
      <c r="F920" s="7"/>
    </row>
    <row r="921" spans="1:6" x14ac:dyDescent="0.25">
      <c r="A921" s="7"/>
      <c r="E921" s="7"/>
      <c r="F921" s="7"/>
    </row>
    <row r="922" spans="1:6" x14ac:dyDescent="0.25">
      <c r="A922" s="7"/>
      <c r="E922" s="7"/>
      <c r="F922" s="7"/>
    </row>
    <row r="923" spans="1:6" x14ac:dyDescent="0.25">
      <c r="A923" s="7"/>
      <c r="E923" s="7"/>
      <c r="F923" s="7"/>
    </row>
    <row r="924" spans="1:6" x14ac:dyDescent="0.25">
      <c r="A924" s="7"/>
      <c r="E924" s="7"/>
      <c r="F924" s="7"/>
    </row>
    <row r="925" spans="1:6" x14ac:dyDescent="0.25">
      <c r="A925" s="7"/>
      <c r="E925" s="7"/>
      <c r="F925" s="7"/>
    </row>
    <row r="926" spans="1:6" x14ac:dyDescent="0.25">
      <c r="A926" s="7"/>
      <c r="E926" s="7"/>
      <c r="F926" s="7"/>
    </row>
    <row r="927" spans="1:6" x14ac:dyDescent="0.25">
      <c r="A927" s="7"/>
      <c r="E927" s="7"/>
      <c r="F927" s="7"/>
    </row>
    <row r="928" spans="1:6" x14ac:dyDescent="0.25">
      <c r="A928" s="7"/>
      <c r="E928" s="7"/>
      <c r="F928" s="7"/>
    </row>
    <row r="929" spans="1:6" x14ac:dyDescent="0.25">
      <c r="A929" s="7"/>
      <c r="E929" s="7"/>
      <c r="F929" s="7"/>
    </row>
    <row r="930" spans="1:6" x14ac:dyDescent="0.25">
      <c r="A930" s="7"/>
      <c r="E930" s="7"/>
      <c r="F930" s="7"/>
    </row>
    <row r="931" spans="1:6" x14ac:dyDescent="0.25">
      <c r="A931" s="7"/>
      <c r="E931" s="7"/>
      <c r="F931" s="7"/>
    </row>
    <row r="932" spans="1:6" x14ac:dyDescent="0.25">
      <c r="A932" s="7"/>
      <c r="E932" s="7"/>
      <c r="F932" s="7"/>
    </row>
    <row r="933" spans="1:6" x14ac:dyDescent="0.25">
      <c r="A933" s="7"/>
      <c r="E933" s="7"/>
      <c r="F933" s="7"/>
    </row>
    <row r="934" spans="1:6" x14ac:dyDescent="0.25">
      <c r="A934" s="7"/>
      <c r="E934" s="7"/>
      <c r="F934" s="7"/>
    </row>
    <row r="935" spans="1:6" x14ac:dyDescent="0.25">
      <c r="A935" s="7"/>
      <c r="E935" s="7"/>
      <c r="F935" s="7"/>
    </row>
    <row r="936" spans="1:6" x14ac:dyDescent="0.25">
      <c r="A936" s="7"/>
      <c r="E936" s="7"/>
      <c r="F936" s="7"/>
    </row>
    <row r="937" spans="1:6" x14ac:dyDescent="0.25">
      <c r="A937" s="7"/>
      <c r="E937" s="7"/>
      <c r="F937" s="7"/>
    </row>
    <row r="938" spans="1:6" x14ac:dyDescent="0.25">
      <c r="A938" s="7"/>
      <c r="E938" s="7"/>
      <c r="F938" s="7"/>
    </row>
    <row r="939" spans="1:6" x14ac:dyDescent="0.25">
      <c r="A939" s="7"/>
      <c r="E939" s="7"/>
      <c r="F939" s="7"/>
    </row>
    <row r="940" spans="1:6" x14ac:dyDescent="0.25">
      <c r="A940" s="7"/>
      <c r="E940" s="7"/>
      <c r="F940" s="7"/>
    </row>
    <row r="941" spans="1:6" x14ac:dyDescent="0.25">
      <c r="A941" s="7"/>
      <c r="E941" s="7"/>
      <c r="F941" s="7"/>
    </row>
    <row r="942" spans="1:6" x14ac:dyDescent="0.25">
      <c r="A942" s="7"/>
      <c r="E942" s="7"/>
      <c r="F942" s="7"/>
    </row>
    <row r="943" spans="1:6" x14ac:dyDescent="0.25">
      <c r="A943" s="7"/>
      <c r="E943" s="7"/>
      <c r="F943" s="7"/>
    </row>
    <row r="944" spans="1:6" x14ac:dyDescent="0.25">
      <c r="A944" s="7"/>
      <c r="E944" s="7"/>
      <c r="F944" s="7"/>
    </row>
    <row r="945" spans="1:6" x14ac:dyDescent="0.25">
      <c r="A945" s="7"/>
      <c r="E945" s="7"/>
      <c r="F945" s="7"/>
    </row>
    <row r="946" spans="1:6" x14ac:dyDescent="0.25">
      <c r="A946" s="7"/>
      <c r="E946" s="7"/>
      <c r="F946" s="7"/>
    </row>
    <row r="947" spans="1:6" x14ac:dyDescent="0.25">
      <c r="A947" s="7"/>
      <c r="E947" s="7"/>
      <c r="F947" s="7"/>
    </row>
    <row r="948" spans="1:6" x14ac:dyDescent="0.25">
      <c r="A948" s="7"/>
      <c r="E948" s="7"/>
      <c r="F948" s="7"/>
    </row>
    <row r="949" spans="1:6" x14ac:dyDescent="0.25">
      <c r="A949" s="7"/>
      <c r="E949" s="7"/>
      <c r="F949" s="7"/>
    </row>
    <row r="950" spans="1:6" x14ac:dyDescent="0.25">
      <c r="A950" s="7"/>
      <c r="E950" s="7"/>
      <c r="F950" s="7"/>
    </row>
    <row r="951" spans="1:6" x14ac:dyDescent="0.25">
      <c r="A951" s="7"/>
      <c r="E951" s="7"/>
      <c r="F951" s="7"/>
    </row>
    <row r="952" spans="1:6" x14ac:dyDescent="0.25">
      <c r="A952" s="7"/>
      <c r="E952" s="7"/>
      <c r="F952" s="7"/>
    </row>
    <row r="953" spans="1:6" x14ac:dyDescent="0.25">
      <c r="A953" s="7"/>
      <c r="E953" s="7"/>
      <c r="F953" s="7"/>
    </row>
    <row r="954" spans="1:6" x14ac:dyDescent="0.25">
      <c r="A954" s="7"/>
      <c r="E954" s="7"/>
      <c r="F954" s="7"/>
    </row>
    <row r="955" spans="1:6" x14ac:dyDescent="0.25">
      <c r="A955" s="7"/>
      <c r="E955" s="7"/>
      <c r="F955" s="7"/>
    </row>
    <row r="956" spans="1:6" x14ac:dyDescent="0.25">
      <c r="A956" s="7"/>
      <c r="E956" s="7"/>
      <c r="F956" s="7"/>
    </row>
    <row r="957" spans="1:6" x14ac:dyDescent="0.25">
      <c r="A957" s="7"/>
      <c r="E957" s="7"/>
      <c r="F957" s="7"/>
    </row>
    <row r="958" spans="1:6" x14ac:dyDescent="0.25">
      <c r="A958" s="7"/>
      <c r="E958" s="7"/>
      <c r="F958" s="7"/>
    </row>
    <row r="959" spans="1:6" x14ac:dyDescent="0.25">
      <c r="A959" s="7"/>
      <c r="E959" s="7"/>
      <c r="F959" s="7"/>
    </row>
    <row r="960" spans="1:6" x14ac:dyDescent="0.25">
      <c r="A960" s="7"/>
      <c r="E960" s="7"/>
      <c r="F960" s="7"/>
    </row>
    <row r="961" spans="1:6" x14ac:dyDescent="0.25">
      <c r="A961" s="7"/>
      <c r="E961" s="7"/>
      <c r="F961" s="7"/>
    </row>
    <row r="962" spans="1:6" x14ac:dyDescent="0.25">
      <c r="A962" s="7"/>
      <c r="E962" s="7"/>
      <c r="F962" s="7"/>
    </row>
    <row r="963" spans="1:6" x14ac:dyDescent="0.25">
      <c r="A963" s="7"/>
      <c r="E963" s="7"/>
      <c r="F963" s="7"/>
    </row>
    <row r="964" spans="1:6" x14ac:dyDescent="0.25">
      <c r="A964" s="7"/>
      <c r="E964" s="7"/>
      <c r="F964" s="7"/>
    </row>
    <row r="965" spans="1:6" x14ac:dyDescent="0.25">
      <c r="A965" s="7"/>
      <c r="E965" s="7"/>
      <c r="F965" s="7"/>
    </row>
    <row r="966" spans="1:6" x14ac:dyDescent="0.25">
      <c r="A966" s="7"/>
      <c r="E966" s="7"/>
      <c r="F966" s="7"/>
    </row>
    <row r="967" spans="1:6" x14ac:dyDescent="0.25">
      <c r="A967" s="7"/>
      <c r="E967" s="7"/>
      <c r="F967" s="7"/>
    </row>
    <row r="968" spans="1:6" x14ac:dyDescent="0.25">
      <c r="A968" s="7"/>
      <c r="E968" s="7"/>
      <c r="F968" s="7"/>
    </row>
    <row r="969" spans="1:6" x14ac:dyDescent="0.25">
      <c r="A969" s="7"/>
      <c r="E969" s="7"/>
      <c r="F969" s="7"/>
    </row>
    <row r="970" spans="1:6" x14ac:dyDescent="0.25">
      <c r="A970" s="7"/>
      <c r="E970" s="7"/>
      <c r="F970" s="7"/>
    </row>
    <row r="971" spans="1:6" x14ac:dyDescent="0.25">
      <c r="A971" s="7"/>
      <c r="E971" s="7"/>
      <c r="F971" s="7"/>
    </row>
    <row r="972" spans="1:6" x14ac:dyDescent="0.25">
      <c r="A972" s="7"/>
      <c r="E972" s="7"/>
      <c r="F972" s="7"/>
    </row>
    <row r="973" spans="1:6" x14ac:dyDescent="0.25">
      <c r="A973" s="7"/>
      <c r="E973" s="7"/>
      <c r="F973" s="7"/>
    </row>
    <row r="974" spans="1:6" x14ac:dyDescent="0.25">
      <c r="A974" s="7"/>
      <c r="E974" s="7"/>
      <c r="F974" s="7"/>
    </row>
    <row r="975" spans="1:6" x14ac:dyDescent="0.25">
      <c r="A975" s="7"/>
      <c r="E975" s="7"/>
      <c r="F975" s="7"/>
    </row>
    <row r="976" spans="1:6" x14ac:dyDescent="0.25">
      <c r="A976" s="7"/>
      <c r="E976" s="7"/>
      <c r="F976" s="7"/>
    </row>
    <row r="977" spans="1:6" x14ac:dyDescent="0.25">
      <c r="A977" s="7"/>
      <c r="E977" s="7"/>
      <c r="F977" s="7"/>
    </row>
    <row r="978" spans="1:6" x14ac:dyDescent="0.25">
      <c r="A978" s="7"/>
      <c r="E978" s="7"/>
      <c r="F978" s="7"/>
    </row>
    <row r="979" spans="1:6" x14ac:dyDescent="0.25">
      <c r="A979" s="7"/>
      <c r="E979" s="7"/>
      <c r="F979" s="7"/>
    </row>
    <row r="980" spans="1:6" x14ac:dyDescent="0.25">
      <c r="A980" s="7"/>
      <c r="E980" s="7"/>
      <c r="F980" s="7"/>
    </row>
    <row r="981" spans="1:6" x14ac:dyDescent="0.25">
      <c r="A981" s="7"/>
      <c r="E981" s="7"/>
      <c r="F981" s="7"/>
    </row>
    <row r="982" spans="1:6" x14ac:dyDescent="0.25">
      <c r="A982" s="7"/>
      <c r="E982" s="7"/>
      <c r="F982" s="7"/>
    </row>
    <row r="983" spans="1:6" x14ac:dyDescent="0.25">
      <c r="A983" s="7"/>
      <c r="E983" s="7"/>
      <c r="F983" s="7"/>
    </row>
    <row r="984" spans="1:6" x14ac:dyDescent="0.25">
      <c r="A984" s="7"/>
      <c r="E984" s="7"/>
      <c r="F984" s="7"/>
    </row>
    <row r="985" spans="1:6" x14ac:dyDescent="0.25">
      <c r="A985" s="7"/>
      <c r="E985" s="7"/>
      <c r="F985" s="7"/>
    </row>
    <row r="986" spans="1:6" x14ac:dyDescent="0.25">
      <c r="A986" s="7"/>
      <c r="E986" s="7"/>
      <c r="F986" s="7"/>
    </row>
    <row r="987" spans="1:6" x14ac:dyDescent="0.25">
      <c r="A987" s="7"/>
      <c r="E987" s="7"/>
      <c r="F987" s="7"/>
    </row>
    <row r="988" spans="1:6" x14ac:dyDescent="0.25">
      <c r="A988" s="7"/>
      <c r="E988" s="7"/>
      <c r="F988" s="7"/>
    </row>
    <row r="989" spans="1:6" x14ac:dyDescent="0.25">
      <c r="A989" s="7"/>
      <c r="E989" s="7"/>
      <c r="F989" s="7"/>
    </row>
    <row r="990" spans="1:6" x14ac:dyDescent="0.25">
      <c r="A990" s="7"/>
      <c r="E990" s="7"/>
      <c r="F990" s="7"/>
    </row>
    <row r="991" spans="1:6" x14ac:dyDescent="0.25">
      <c r="A991" s="7"/>
      <c r="E991" s="7"/>
      <c r="F991" s="7"/>
    </row>
    <row r="992" spans="1:6" x14ac:dyDescent="0.25">
      <c r="A992" s="7"/>
      <c r="E992" s="7"/>
      <c r="F992" s="7"/>
    </row>
    <row r="993" spans="1:6" x14ac:dyDescent="0.25">
      <c r="A993" s="7"/>
      <c r="E993" s="7"/>
      <c r="F993" s="7"/>
    </row>
    <row r="994" spans="1:6" x14ac:dyDescent="0.25">
      <c r="A994" s="7"/>
      <c r="E994" s="7"/>
      <c r="F994" s="7"/>
    </row>
    <row r="995" spans="1:6" x14ac:dyDescent="0.25">
      <c r="A995" s="7"/>
      <c r="E995" s="7"/>
      <c r="F995" s="7"/>
    </row>
    <row r="996" spans="1:6" x14ac:dyDescent="0.25">
      <c r="A996" s="7"/>
      <c r="E996" s="7"/>
      <c r="F996" s="7"/>
    </row>
    <row r="997" spans="1:6" x14ac:dyDescent="0.25">
      <c r="A997" s="7"/>
      <c r="E997" s="7"/>
      <c r="F997" s="7"/>
    </row>
    <row r="998" spans="1:6" x14ac:dyDescent="0.25">
      <c r="A998" s="7"/>
      <c r="E998" s="7"/>
      <c r="F998" s="7"/>
    </row>
    <row r="999" spans="1:6" x14ac:dyDescent="0.25">
      <c r="A999" s="7"/>
      <c r="E999" s="7"/>
      <c r="F999" s="7"/>
    </row>
    <row r="1000" spans="1:6" x14ac:dyDescent="0.25">
      <c r="A1000" s="7"/>
      <c r="E1000" s="7"/>
      <c r="F1000" s="7"/>
    </row>
    <row r="1001" spans="1:6" x14ac:dyDescent="0.25">
      <c r="A1001" s="7"/>
      <c r="E1001" s="7"/>
      <c r="F1001" s="7"/>
    </row>
    <row r="1002" spans="1:6" x14ac:dyDescent="0.25">
      <c r="A1002" s="7"/>
      <c r="E1002" s="7"/>
      <c r="F1002" s="7"/>
    </row>
  </sheetData>
  <mergeCells count="4">
    <mergeCell ref="A1:I1"/>
    <mergeCell ref="A2:I2"/>
    <mergeCell ref="B3:C3"/>
    <mergeCell ref="A16:I16"/>
  </mergeCells>
  <printOptions horizontalCentered="1" gridLines="1"/>
  <pageMargins left="0.25" right="0.25" top="0.75" bottom="0.75" header="0" footer="0"/>
  <pageSetup fitToHeight="0" pageOrder="overThenDown" orientation="landscape" cellComments="atEnd"/>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outlinePr summaryBelow="0" summaryRight="0"/>
    <pageSetUpPr fitToPage="1"/>
  </sheetPr>
  <dimension ref="A1:V1002"/>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46.33203125" customWidth="1"/>
    <col min="2" max="2" width="7.33203125" customWidth="1"/>
    <col min="3" max="4" width="7.88671875" customWidth="1"/>
    <col min="5" max="5" width="22.21875" customWidth="1"/>
    <col min="6" max="6" width="14.6640625" customWidth="1"/>
  </cols>
  <sheetData>
    <row r="1" spans="1:22" x14ac:dyDescent="0.25">
      <c r="A1" s="141" t="s">
        <v>1017</v>
      </c>
      <c r="B1" s="142"/>
      <c r="C1" s="142"/>
      <c r="D1" s="142"/>
      <c r="E1" s="142"/>
      <c r="F1" s="142"/>
      <c r="G1" s="142"/>
      <c r="H1" s="142"/>
      <c r="I1" s="143"/>
    </row>
    <row r="2" spans="1:22" x14ac:dyDescent="0.25">
      <c r="A2" s="144" t="s">
        <v>1018</v>
      </c>
      <c r="B2" s="142"/>
      <c r="C2" s="142"/>
      <c r="D2" s="142"/>
      <c r="E2" s="142"/>
      <c r="F2" s="142"/>
      <c r="G2" s="142"/>
      <c r="H2" s="142"/>
      <c r="I2" s="143"/>
    </row>
    <row r="3" spans="1:22" x14ac:dyDescent="0.25">
      <c r="A3" s="43" t="s">
        <v>374</v>
      </c>
      <c r="B3" s="145" t="s">
        <v>408</v>
      </c>
      <c r="C3" s="143"/>
      <c r="D3" s="49" t="s">
        <v>370</v>
      </c>
      <c r="E3" s="50" t="s">
        <v>371</v>
      </c>
      <c r="F3" s="51" t="s">
        <v>372</v>
      </c>
      <c r="G3" s="52" t="s">
        <v>373</v>
      </c>
      <c r="H3" s="53" t="s">
        <v>409</v>
      </c>
      <c r="I3" s="53" t="s">
        <v>410</v>
      </c>
      <c r="J3" s="7"/>
      <c r="K3" s="7"/>
      <c r="L3" s="7"/>
      <c r="M3" s="7"/>
      <c r="N3" s="7"/>
      <c r="O3" s="7"/>
      <c r="P3" s="7"/>
      <c r="Q3" s="7"/>
      <c r="R3" s="7"/>
      <c r="S3" s="7"/>
      <c r="T3" s="7"/>
      <c r="U3" s="7"/>
      <c r="V3" s="7"/>
    </row>
    <row r="4" spans="1:22" x14ac:dyDescent="0.25">
      <c r="A4" s="41" t="s">
        <v>411</v>
      </c>
      <c r="B4" s="54">
        <f>SUM(B5:B8)/4</f>
        <v>1</v>
      </c>
      <c r="C4" s="55">
        <f>D4*B4</f>
        <v>0.7</v>
      </c>
      <c r="D4" s="56">
        <v>0.7</v>
      </c>
      <c r="E4" s="57"/>
      <c r="F4" s="57"/>
      <c r="G4" s="58"/>
      <c r="H4" s="58"/>
      <c r="I4" s="58"/>
    </row>
    <row r="5" spans="1:22" x14ac:dyDescent="0.25">
      <c r="A5" s="42" t="s">
        <v>1019</v>
      </c>
      <c r="B5" s="59">
        <v>1</v>
      </c>
      <c r="C5" s="60"/>
      <c r="D5" s="60"/>
      <c r="E5" s="42"/>
      <c r="F5" s="61"/>
      <c r="G5" s="59">
        <v>0.8</v>
      </c>
      <c r="H5" s="59">
        <v>0.8</v>
      </c>
      <c r="I5" s="59">
        <v>1</v>
      </c>
    </row>
    <row r="6" spans="1:22" x14ac:dyDescent="0.25">
      <c r="A6" s="42" t="s">
        <v>1020</v>
      </c>
      <c r="B6" s="59">
        <v>1</v>
      </c>
      <c r="C6" s="60"/>
      <c r="D6" s="60"/>
      <c r="E6" s="42"/>
      <c r="F6" s="61"/>
      <c r="G6" s="59">
        <v>0.8</v>
      </c>
      <c r="H6" s="59">
        <v>0.8</v>
      </c>
      <c r="I6" s="59">
        <v>1</v>
      </c>
    </row>
    <row r="7" spans="1:22" x14ac:dyDescent="0.25">
      <c r="A7" s="42" t="s">
        <v>1021</v>
      </c>
      <c r="B7" s="59">
        <v>1</v>
      </c>
      <c r="C7" s="60"/>
      <c r="D7" s="60"/>
      <c r="E7" s="42"/>
      <c r="F7" s="61"/>
      <c r="G7" s="59">
        <v>0.8</v>
      </c>
      <c r="H7" s="59">
        <v>0.8</v>
      </c>
      <c r="I7" s="59">
        <v>1</v>
      </c>
    </row>
    <row r="8" spans="1:22" x14ac:dyDescent="0.25">
      <c r="A8" s="42" t="s">
        <v>1022</v>
      </c>
      <c r="B8" s="59">
        <v>1</v>
      </c>
      <c r="C8" s="60"/>
      <c r="D8" s="60"/>
      <c r="E8" s="42"/>
      <c r="F8" s="42"/>
      <c r="G8" s="59">
        <v>0.8</v>
      </c>
      <c r="H8" s="59">
        <v>0.8</v>
      </c>
      <c r="I8" s="59">
        <v>1</v>
      </c>
    </row>
    <row r="9" spans="1:22" x14ac:dyDescent="0.25">
      <c r="A9" s="41" t="s">
        <v>415</v>
      </c>
      <c r="B9" s="54">
        <f>SUM(B10:B11)/1</f>
        <v>1</v>
      </c>
      <c r="C9" s="55">
        <f>D9*B9</f>
        <v>0.2</v>
      </c>
      <c r="D9" s="56">
        <v>0.2</v>
      </c>
      <c r="E9" s="57"/>
      <c r="F9" s="57"/>
      <c r="G9" s="58"/>
      <c r="H9" s="58"/>
      <c r="I9" s="58"/>
    </row>
    <row r="10" spans="1:22" x14ac:dyDescent="0.25">
      <c r="A10" s="42" t="s">
        <v>1023</v>
      </c>
      <c r="B10" s="59">
        <v>1</v>
      </c>
      <c r="C10" s="60"/>
      <c r="D10" s="60"/>
      <c r="E10" s="42"/>
      <c r="F10" s="63"/>
      <c r="G10" s="59">
        <v>1</v>
      </c>
      <c r="H10" s="59"/>
      <c r="I10" s="59"/>
    </row>
    <row r="11" spans="1:22" x14ac:dyDescent="0.25">
      <c r="A11" s="42" t="s">
        <v>1024</v>
      </c>
      <c r="B11" s="62"/>
      <c r="C11" s="60"/>
      <c r="D11" s="60"/>
      <c r="E11" s="42"/>
      <c r="F11" s="61"/>
      <c r="G11" s="59"/>
      <c r="H11" s="59"/>
      <c r="I11" s="59"/>
    </row>
    <row r="12" spans="1:22" x14ac:dyDescent="0.25">
      <c r="A12" s="41" t="s">
        <v>385</v>
      </c>
      <c r="B12" s="54">
        <f>SUM(B13:B14)/2</f>
        <v>1</v>
      </c>
      <c r="C12" s="55">
        <f>D12*B12</f>
        <v>0.1</v>
      </c>
      <c r="D12" s="56">
        <v>0.1</v>
      </c>
      <c r="E12" s="57"/>
      <c r="F12" s="57"/>
      <c r="G12" s="58"/>
      <c r="H12" s="58"/>
      <c r="I12" s="58"/>
    </row>
    <row r="13" spans="1:22" x14ac:dyDescent="0.25">
      <c r="A13" s="42" t="s">
        <v>386</v>
      </c>
      <c r="B13" s="59">
        <v>1</v>
      </c>
      <c r="C13" s="60"/>
      <c r="D13" s="53"/>
      <c r="E13" s="42"/>
      <c r="F13" s="42" t="s">
        <v>425</v>
      </c>
      <c r="G13" s="59">
        <v>0.8</v>
      </c>
      <c r="H13" s="59">
        <v>0.8</v>
      </c>
      <c r="I13" s="59">
        <v>1</v>
      </c>
    </row>
    <row r="14" spans="1:22" x14ac:dyDescent="0.25">
      <c r="A14" s="42" t="s">
        <v>387</v>
      </c>
      <c r="B14" s="59">
        <v>1</v>
      </c>
      <c r="C14" s="60"/>
      <c r="D14" s="60"/>
      <c r="E14" s="42"/>
      <c r="F14" s="42" t="s">
        <v>419</v>
      </c>
      <c r="G14" s="59">
        <v>0.8</v>
      </c>
      <c r="H14" s="59">
        <v>0.8</v>
      </c>
      <c r="I14" s="59">
        <v>1</v>
      </c>
    </row>
    <row r="15" spans="1:22" x14ac:dyDescent="0.25">
      <c r="A15" s="42"/>
      <c r="B15" s="60"/>
      <c r="C15" s="64">
        <f t="shared" ref="C15:D15" si="0">SUM(C4+C9+C12)</f>
        <v>0.99999999999999989</v>
      </c>
      <c r="D15" s="64">
        <f t="shared" si="0"/>
        <v>0.99999999999999989</v>
      </c>
      <c r="E15" s="42"/>
      <c r="F15" s="42"/>
      <c r="G15" s="60"/>
      <c r="H15" s="60"/>
      <c r="I15" s="60"/>
    </row>
    <row r="16" spans="1:22" x14ac:dyDescent="0.25">
      <c r="A16" s="152" t="s">
        <v>1025</v>
      </c>
      <c r="B16" s="142"/>
      <c r="C16" s="142"/>
      <c r="D16" s="142"/>
      <c r="E16" s="142"/>
      <c r="F16" s="142"/>
      <c r="G16" s="142"/>
      <c r="H16" s="142"/>
      <c r="I16" s="143"/>
    </row>
    <row r="17" spans="1:9" x14ac:dyDescent="0.25">
      <c r="A17" s="66" t="s">
        <v>1026</v>
      </c>
      <c r="B17" s="67" t="s">
        <v>427</v>
      </c>
      <c r="C17" s="64"/>
      <c r="D17" s="64"/>
      <c r="E17" s="68" t="s">
        <v>193</v>
      </c>
      <c r="F17" s="42" t="s">
        <v>425</v>
      </c>
      <c r="G17" s="42"/>
      <c r="H17" s="60"/>
      <c r="I17" s="60"/>
    </row>
    <row r="18" spans="1:9" x14ac:dyDescent="0.25">
      <c r="A18" s="66" t="s">
        <v>1027</v>
      </c>
      <c r="B18" s="67" t="s">
        <v>427</v>
      </c>
      <c r="C18" s="64"/>
      <c r="D18" s="64"/>
      <c r="E18" s="68" t="s">
        <v>199</v>
      </c>
      <c r="F18" s="42" t="s">
        <v>425</v>
      </c>
      <c r="G18" s="42"/>
      <c r="H18" s="60"/>
      <c r="I18" s="60"/>
    </row>
    <row r="19" spans="1:9" x14ac:dyDescent="0.25">
      <c r="A19" s="66" t="s">
        <v>1028</v>
      </c>
      <c r="B19" s="67" t="s">
        <v>427</v>
      </c>
      <c r="C19" s="64"/>
      <c r="D19" s="64"/>
      <c r="E19" s="68" t="s">
        <v>203</v>
      </c>
      <c r="F19" s="42" t="s">
        <v>425</v>
      </c>
      <c r="G19" s="42"/>
      <c r="H19" s="60"/>
      <c r="I19" s="60"/>
    </row>
    <row r="20" spans="1:9" x14ac:dyDescent="0.25">
      <c r="A20" s="7"/>
      <c r="E20" s="7"/>
      <c r="F20" s="7"/>
    </row>
    <row r="21" spans="1:9" x14ac:dyDescent="0.25">
      <c r="A21" s="7"/>
      <c r="E21" s="7"/>
      <c r="F21" s="7"/>
    </row>
    <row r="22" spans="1:9" x14ac:dyDescent="0.25">
      <c r="A22" s="7"/>
      <c r="E22" s="7"/>
      <c r="F22" s="7"/>
    </row>
    <row r="23" spans="1:9" x14ac:dyDescent="0.25">
      <c r="A23" s="7"/>
      <c r="E23" s="7"/>
      <c r="F23" s="7"/>
    </row>
    <row r="24" spans="1:9" x14ac:dyDescent="0.25">
      <c r="A24" s="7"/>
      <c r="E24" s="7"/>
      <c r="F24" s="7"/>
    </row>
    <row r="25" spans="1:9" x14ac:dyDescent="0.25">
      <c r="A25" s="7"/>
      <c r="E25" s="7"/>
      <c r="F25" s="7"/>
    </row>
    <row r="26" spans="1:9" x14ac:dyDescent="0.25">
      <c r="A26" s="7"/>
      <c r="E26" s="7"/>
      <c r="F26" s="7"/>
    </row>
    <row r="27" spans="1:9" x14ac:dyDescent="0.25">
      <c r="A27" s="7"/>
      <c r="E27" s="7"/>
      <c r="F27" s="7"/>
    </row>
    <row r="28" spans="1:9" x14ac:dyDescent="0.25">
      <c r="A28" s="7"/>
      <c r="E28" s="7"/>
      <c r="F28" s="7"/>
    </row>
    <row r="29" spans="1:9" x14ac:dyDescent="0.25">
      <c r="A29" s="7"/>
      <c r="E29" s="7"/>
      <c r="F29" s="7"/>
    </row>
    <row r="30" spans="1:9" x14ac:dyDescent="0.25">
      <c r="A30" s="7"/>
      <c r="E30" s="7"/>
      <c r="F30" s="7"/>
    </row>
    <row r="31" spans="1:9" x14ac:dyDescent="0.25">
      <c r="A31" s="7"/>
      <c r="E31" s="7"/>
      <c r="F31" s="7"/>
    </row>
    <row r="32" spans="1:9" x14ac:dyDescent="0.25">
      <c r="A32" s="7"/>
      <c r="E32" s="7"/>
      <c r="F32" s="7"/>
    </row>
    <row r="33" spans="1:6" x14ac:dyDescent="0.25">
      <c r="A33" s="7"/>
      <c r="E33" s="7"/>
      <c r="F33" s="7"/>
    </row>
    <row r="34" spans="1:6" x14ac:dyDescent="0.25">
      <c r="A34" s="7"/>
      <c r="E34" s="7"/>
      <c r="F34" s="7"/>
    </row>
    <row r="35" spans="1:6" x14ac:dyDescent="0.25">
      <c r="A35" s="7"/>
      <c r="E35" s="7"/>
      <c r="F35" s="7"/>
    </row>
    <row r="36" spans="1:6" x14ac:dyDescent="0.25">
      <c r="A36" s="7"/>
      <c r="E36" s="7"/>
      <c r="F36" s="7"/>
    </row>
    <row r="37" spans="1:6" x14ac:dyDescent="0.25">
      <c r="A37" s="7"/>
      <c r="E37" s="7"/>
      <c r="F37" s="7"/>
    </row>
    <row r="38" spans="1:6" x14ac:dyDescent="0.25">
      <c r="A38" s="7"/>
      <c r="E38" s="7"/>
      <c r="F38" s="7"/>
    </row>
    <row r="39" spans="1:6" x14ac:dyDescent="0.25">
      <c r="A39" s="7"/>
      <c r="E39" s="7"/>
      <c r="F39" s="7"/>
    </row>
    <row r="40" spans="1:6" x14ac:dyDescent="0.25">
      <c r="A40" s="7"/>
      <c r="E40" s="7"/>
      <c r="F40" s="7"/>
    </row>
    <row r="41" spans="1:6" x14ac:dyDescent="0.25">
      <c r="A41" s="7"/>
      <c r="E41" s="7"/>
      <c r="F41" s="7"/>
    </row>
    <row r="42" spans="1:6" x14ac:dyDescent="0.25">
      <c r="A42" s="7"/>
      <c r="E42" s="7"/>
      <c r="F42" s="7"/>
    </row>
    <row r="43" spans="1:6" x14ac:dyDescent="0.25">
      <c r="A43" s="7"/>
      <c r="E43" s="7"/>
      <c r="F43" s="7"/>
    </row>
    <row r="44" spans="1:6" x14ac:dyDescent="0.25">
      <c r="A44" s="7"/>
      <c r="E44" s="7"/>
      <c r="F44" s="7"/>
    </row>
    <row r="45" spans="1:6" x14ac:dyDescent="0.25">
      <c r="A45" s="7"/>
      <c r="E45" s="7"/>
      <c r="F45" s="7"/>
    </row>
    <row r="46" spans="1:6" x14ac:dyDescent="0.25">
      <c r="A46" s="7"/>
      <c r="E46" s="7"/>
      <c r="F46" s="7"/>
    </row>
    <row r="47" spans="1:6" x14ac:dyDescent="0.25">
      <c r="A47" s="7"/>
      <c r="E47" s="7"/>
      <c r="F47" s="7"/>
    </row>
    <row r="48" spans="1:6" x14ac:dyDescent="0.25">
      <c r="A48" s="7"/>
      <c r="E48" s="7"/>
      <c r="F48" s="7"/>
    </row>
    <row r="49" spans="1:6" x14ac:dyDescent="0.25">
      <c r="A49" s="7"/>
      <c r="E49" s="7"/>
      <c r="F49" s="7"/>
    </row>
    <row r="50" spans="1:6" x14ac:dyDescent="0.25">
      <c r="A50" s="7"/>
      <c r="E50" s="7"/>
      <c r="F50" s="7"/>
    </row>
    <row r="51" spans="1:6" x14ac:dyDescent="0.25">
      <c r="A51" s="7"/>
      <c r="E51" s="7"/>
      <c r="F51" s="7"/>
    </row>
    <row r="52" spans="1:6" x14ac:dyDescent="0.25">
      <c r="A52" s="7"/>
      <c r="E52" s="7"/>
      <c r="F52" s="7"/>
    </row>
    <row r="53" spans="1:6" x14ac:dyDescent="0.25">
      <c r="A53" s="7"/>
      <c r="E53" s="7"/>
      <c r="F53" s="7"/>
    </row>
    <row r="54" spans="1:6" x14ac:dyDescent="0.25">
      <c r="A54" s="7"/>
      <c r="E54" s="7"/>
      <c r="F54" s="7"/>
    </row>
    <row r="55" spans="1:6" x14ac:dyDescent="0.25">
      <c r="A55" s="7"/>
      <c r="E55" s="7"/>
      <c r="F55" s="7"/>
    </row>
    <row r="56" spans="1:6" x14ac:dyDescent="0.25">
      <c r="A56" s="7"/>
      <c r="E56" s="7"/>
      <c r="F56" s="7"/>
    </row>
    <row r="57" spans="1:6" x14ac:dyDescent="0.25">
      <c r="A57" s="7"/>
      <c r="E57" s="7"/>
      <c r="F57" s="7"/>
    </row>
    <row r="58" spans="1:6" x14ac:dyDescent="0.25">
      <c r="A58" s="7"/>
      <c r="E58" s="7"/>
      <c r="F58" s="7"/>
    </row>
    <row r="59" spans="1:6" x14ac:dyDescent="0.25">
      <c r="A59" s="7"/>
      <c r="E59" s="7"/>
      <c r="F59" s="7"/>
    </row>
    <row r="60" spans="1:6" x14ac:dyDescent="0.25">
      <c r="A60" s="7"/>
      <c r="E60" s="7"/>
      <c r="F60" s="7"/>
    </row>
    <row r="61" spans="1:6" x14ac:dyDescent="0.25">
      <c r="A61" s="7"/>
      <c r="E61" s="7"/>
      <c r="F61" s="7"/>
    </row>
    <row r="62" spans="1:6" x14ac:dyDescent="0.25">
      <c r="A62" s="7"/>
      <c r="E62" s="7"/>
      <c r="F62" s="7"/>
    </row>
    <row r="63" spans="1:6" x14ac:dyDescent="0.25">
      <c r="A63" s="7"/>
      <c r="E63" s="7"/>
      <c r="F63" s="7"/>
    </row>
    <row r="64" spans="1:6" x14ac:dyDescent="0.25">
      <c r="A64" s="7"/>
      <c r="E64" s="7"/>
      <c r="F64" s="7"/>
    </row>
    <row r="65" spans="1:6" x14ac:dyDescent="0.25">
      <c r="A65" s="7"/>
      <c r="E65" s="7"/>
      <c r="F65" s="7"/>
    </row>
    <row r="66" spans="1:6" x14ac:dyDescent="0.25">
      <c r="A66" s="7"/>
      <c r="E66" s="7"/>
      <c r="F66" s="7"/>
    </row>
    <row r="67" spans="1:6" x14ac:dyDescent="0.25">
      <c r="A67" s="7"/>
      <c r="E67" s="7"/>
      <c r="F67" s="7"/>
    </row>
    <row r="68" spans="1:6" x14ac:dyDescent="0.25">
      <c r="A68" s="7"/>
      <c r="E68" s="7"/>
      <c r="F68" s="7"/>
    </row>
    <row r="69" spans="1:6" x14ac:dyDescent="0.25">
      <c r="A69" s="7"/>
      <c r="E69" s="7"/>
      <c r="F69" s="7"/>
    </row>
    <row r="70" spans="1:6" x14ac:dyDescent="0.25">
      <c r="A70" s="7"/>
      <c r="E70" s="7"/>
      <c r="F70" s="7"/>
    </row>
    <row r="71" spans="1:6" x14ac:dyDescent="0.25">
      <c r="A71" s="7"/>
      <c r="E71" s="7"/>
      <c r="F71" s="7"/>
    </row>
    <row r="72" spans="1:6" x14ac:dyDescent="0.25">
      <c r="A72" s="7"/>
      <c r="E72" s="7"/>
      <c r="F72" s="7"/>
    </row>
    <row r="73" spans="1:6" x14ac:dyDescent="0.25">
      <c r="A73" s="7"/>
      <c r="E73" s="7"/>
      <c r="F73" s="7"/>
    </row>
    <row r="74" spans="1:6" x14ac:dyDescent="0.25">
      <c r="A74" s="7"/>
      <c r="E74" s="7"/>
      <c r="F74" s="7"/>
    </row>
    <row r="75" spans="1:6" x14ac:dyDescent="0.25">
      <c r="A75" s="7"/>
      <c r="E75" s="7"/>
      <c r="F75" s="7"/>
    </row>
    <row r="76" spans="1:6" x14ac:dyDescent="0.25">
      <c r="A76" s="7"/>
      <c r="E76" s="7"/>
      <c r="F76" s="7"/>
    </row>
    <row r="77" spans="1:6" x14ac:dyDescent="0.25">
      <c r="A77" s="7"/>
      <c r="E77" s="7"/>
      <c r="F77" s="7"/>
    </row>
    <row r="78" spans="1:6" x14ac:dyDescent="0.25">
      <c r="A78" s="7"/>
      <c r="E78" s="7"/>
      <c r="F78" s="7"/>
    </row>
    <row r="79" spans="1:6" x14ac:dyDescent="0.25">
      <c r="A79" s="7"/>
      <c r="E79" s="7"/>
      <c r="F79" s="7"/>
    </row>
    <row r="80" spans="1:6" x14ac:dyDescent="0.25">
      <c r="A80" s="7"/>
      <c r="E80" s="7"/>
      <c r="F80" s="7"/>
    </row>
    <row r="81" spans="1:6" x14ac:dyDescent="0.25">
      <c r="A81" s="7"/>
      <c r="E81" s="7"/>
      <c r="F81" s="7"/>
    </row>
    <row r="82" spans="1:6" x14ac:dyDescent="0.25">
      <c r="A82" s="7"/>
      <c r="E82" s="7"/>
      <c r="F82" s="7"/>
    </row>
    <row r="83" spans="1:6" x14ac:dyDescent="0.25">
      <c r="A83" s="7"/>
      <c r="E83" s="7"/>
      <c r="F83" s="7"/>
    </row>
    <row r="84" spans="1:6" x14ac:dyDescent="0.25">
      <c r="A84" s="7"/>
      <c r="E84" s="7"/>
      <c r="F84" s="7"/>
    </row>
    <row r="85" spans="1:6" x14ac:dyDescent="0.25">
      <c r="A85" s="7"/>
      <c r="E85" s="7"/>
      <c r="F85" s="7"/>
    </row>
    <row r="86" spans="1:6" x14ac:dyDescent="0.25">
      <c r="A86" s="7"/>
      <c r="E86" s="7"/>
      <c r="F86" s="7"/>
    </row>
    <row r="87" spans="1:6" x14ac:dyDescent="0.25">
      <c r="A87" s="7"/>
      <c r="E87" s="7"/>
      <c r="F87" s="7"/>
    </row>
    <row r="88" spans="1:6" x14ac:dyDescent="0.25">
      <c r="A88" s="7"/>
      <c r="E88" s="7"/>
      <c r="F88" s="7"/>
    </row>
    <row r="89" spans="1:6" x14ac:dyDescent="0.25">
      <c r="A89" s="7"/>
      <c r="E89" s="7"/>
      <c r="F89" s="7"/>
    </row>
    <row r="90" spans="1:6" x14ac:dyDescent="0.25">
      <c r="A90" s="7"/>
      <c r="E90" s="7"/>
      <c r="F90" s="7"/>
    </row>
    <row r="91" spans="1:6" x14ac:dyDescent="0.25">
      <c r="A91" s="7"/>
      <c r="E91" s="7"/>
      <c r="F91" s="7"/>
    </row>
    <row r="92" spans="1:6" x14ac:dyDescent="0.25">
      <c r="A92" s="7"/>
      <c r="E92" s="7"/>
      <c r="F92" s="7"/>
    </row>
    <row r="93" spans="1:6" x14ac:dyDescent="0.25">
      <c r="A93" s="7"/>
      <c r="E93" s="7"/>
      <c r="F93" s="7"/>
    </row>
    <row r="94" spans="1:6" x14ac:dyDescent="0.25">
      <c r="A94" s="7"/>
      <c r="E94" s="7"/>
      <c r="F94" s="7"/>
    </row>
    <row r="95" spans="1:6" x14ac:dyDescent="0.25">
      <c r="A95" s="7"/>
      <c r="E95" s="7"/>
      <c r="F95" s="7"/>
    </row>
    <row r="96" spans="1:6" x14ac:dyDescent="0.25">
      <c r="A96" s="7"/>
      <c r="E96" s="7"/>
      <c r="F96" s="7"/>
    </row>
    <row r="97" spans="1:6" x14ac:dyDescent="0.25">
      <c r="A97" s="7"/>
      <c r="E97" s="7"/>
      <c r="F97" s="7"/>
    </row>
    <row r="98" spans="1:6" x14ac:dyDescent="0.25">
      <c r="A98" s="7"/>
      <c r="E98" s="7"/>
      <c r="F98" s="7"/>
    </row>
    <row r="99" spans="1:6" x14ac:dyDescent="0.25">
      <c r="A99" s="7"/>
      <c r="E99" s="7"/>
      <c r="F99" s="7"/>
    </row>
    <row r="100" spans="1:6" x14ac:dyDescent="0.25">
      <c r="A100" s="7"/>
      <c r="E100" s="7"/>
      <c r="F100" s="7"/>
    </row>
    <row r="101" spans="1:6" x14ac:dyDescent="0.25">
      <c r="A101" s="7"/>
      <c r="E101" s="7"/>
      <c r="F101" s="7"/>
    </row>
    <row r="102" spans="1:6" x14ac:dyDescent="0.25">
      <c r="A102" s="7"/>
      <c r="E102" s="7"/>
      <c r="F102" s="7"/>
    </row>
    <row r="103" spans="1:6" x14ac:dyDescent="0.25">
      <c r="A103" s="7"/>
      <c r="E103" s="7"/>
      <c r="F103" s="7"/>
    </row>
    <row r="104" spans="1:6" x14ac:dyDescent="0.25">
      <c r="A104" s="7"/>
      <c r="E104" s="7"/>
      <c r="F104" s="7"/>
    </row>
    <row r="105" spans="1:6" x14ac:dyDescent="0.25">
      <c r="A105" s="7"/>
      <c r="E105" s="7"/>
      <c r="F105" s="7"/>
    </row>
    <row r="106" spans="1:6" x14ac:dyDescent="0.25">
      <c r="A106" s="7"/>
      <c r="E106" s="7"/>
      <c r="F106" s="7"/>
    </row>
    <row r="107" spans="1:6" x14ac:dyDescent="0.25">
      <c r="A107" s="7"/>
      <c r="E107" s="7"/>
      <c r="F107" s="7"/>
    </row>
    <row r="108" spans="1:6" x14ac:dyDescent="0.25">
      <c r="A108" s="7"/>
      <c r="E108" s="7"/>
      <c r="F108" s="7"/>
    </row>
    <row r="109" spans="1:6" x14ac:dyDescent="0.25">
      <c r="A109" s="7"/>
      <c r="E109" s="7"/>
      <c r="F109" s="7"/>
    </row>
    <row r="110" spans="1:6" x14ac:dyDescent="0.25">
      <c r="A110" s="7"/>
      <c r="E110" s="7"/>
      <c r="F110" s="7"/>
    </row>
    <row r="111" spans="1:6" x14ac:dyDescent="0.25">
      <c r="A111" s="7"/>
      <c r="E111" s="7"/>
      <c r="F111" s="7"/>
    </row>
    <row r="112" spans="1:6" x14ac:dyDescent="0.25">
      <c r="A112" s="7"/>
      <c r="E112" s="7"/>
      <c r="F112" s="7"/>
    </row>
    <row r="113" spans="1:6" x14ac:dyDescent="0.25">
      <c r="A113" s="7"/>
      <c r="E113" s="7"/>
      <c r="F113" s="7"/>
    </row>
    <row r="114" spans="1:6" x14ac:dyDescent="0.25">
      <c r="A114" s="7"/>
      <c r="E114" s="7"/>
      <c r="F114" s="7"/>
    </row>
    <row r="115" spans="1:6" x14ac:dyDescent="0.25">
      <c r="A115" s="7"/>
      <c r="E115" s="7"/>
      <c r="F115" s="7"/>
    </row>
    <row r="116" spans="1:6" x14ac:dyDescent="0.25">
      <c r="A116" s="7"/>
      <c r="E116" s="7"/>
      <c r="F116" s="7"/>
    </row>
    <row r="117" spans="1:6" x14ac:dyDescent="0.25">
      <c r="A117" s="7"/>
      <c r="E117" s="7"/>
      <c r="F117" s="7"/>
    </row>
    <row r="118" spans="1:6" x14ac:dyDescent="0.25">
      <c r="A118" s="7"/>
      <c r="E118" s="7"/>
      <c r="F118" s="7"/>
    </row>
    <row r="119" spans="1:6" x14ac:dyDescent="0.25">
      <c r="A119" s="7"/>
      <c r="E119" s="7"/>
      <c r="F119" s="7"/>
    </row>
    <row r="120" spans="1:6" x14ac:dyDescent="0.25">
      <c r="A120" s="7"/>
      <c r="E120" s="7"/>
      <c r="F120" s="7"/>
    </row>
    <row r="121" spans="1:6" x14ac:dyDescent="0.25">
      <c r="A121" s="7"/>
      <c r="E121" s="7"/>
      <c r="F121" s="7"/>
    </row>
    <row r="122" spans="1:6" x14ac:dyDescent="0.25">
      <c r="A122" s="7"/>
      <c r="E122" s="7"/>
      <c r="F122" s="7"/>
    </row>
    <row r="123" spans="1:6" x14ac:dyDescent="0.25">
      <c r="A123" s="7"/>
      <c r="E123" s="7"/>
      <c r="F123" s="7"/>
    </row>
    <row r="124" spans="1:6" x14ac:dyDescent="0.25">
      <c r="A124" s="7"/>
      <c r="E124" s="7"/>
      <c r="F124" s="7"/>
    </row>
    <row r="125" spans="1:6" x14ac:dyDescent="0.25">
      <c r="A125" s="7"/>
      <c r="E125" s="7"/>
      <c r="F125" s="7"/>
    </row>
    <row r="126" spans="1:6" x14ac:dyDescent="0.25">
      <c r="A126" s="7"/>
      <c r="E126" s="7"/>
      <c r="F126" s="7"/>
    </row>
    <row r="127" spans="1:6" x14ac:dyDescent="0.25">
      <c r="A127" s="7"/>
      <c r="E127" s="7"/>
      <c r="F127" s="7"/>
    </row>
    <row r="128" spans="1:6" x14ac:dyDescent="0.25">
      <c r="A128" s="7"/>
      <c r="E128" s="7"/>
      <c r="F128" s="7"/>
    </row>
    <row r="129" spans="1:6" x14ac:dyDescent="0.25">
      <c r="A129" s="7"/>
      <c r="E129" s="7"/>
      <c r="F129" s="7"/>
    </row>
    <row r="130" spans="1:6" x14ac:dyDescent="0.25">
      <c r="A130" s="7"/>
      <c r="E130" s="7"/>
      <c r="F130" s="7"/>
    </row>
    <row r="131" spans="1:6" x14ac:dyDescent="0.25">
      <c r="A131" s="7"/>
      <c r="E131" s="7"/>
      <c r="F131" s="7"/>
    </row>
    <row r="132" spans="1:6" x14ac:dyDescent="0.25">
      <c r="A132" s="7"/>
      <c r="E132" s="7"/>
      <c r="F132" s="7"/>
    </row>
    <row r="133" spans="1:6" x14ac:dyDescent="0.25">
      <c r="A133" s="7"/>
      <c r="E133" s="7"/>
      <c r="F133" s="7"/>
    </row>
    <row r="134" spans="1:6" x14ac:dyDescent="0.25">
      <c r="A134" s="7"/>
      <c r="E134" s="7"/>
      <c r="F134" s="7"/>
    </row>
    <row r="135" spans="1:6" x14ac:dyDescent="0.25">
      <c r="A135" s="7"/>
      <c r="E135" s="7"/>
      <c r="F135" s="7"/>
    </row>
    <row r="136" spans="1:6" x14ac:dyDescent="0.25">
      <c r="A136" s="7"/>
      <c r="E136" s="7"/>
      <c r="F136" s="7"/>
    </row>
    <row r="137" spans="1:6" x14ac:dyDescent="0.25">
      <c r="A137" s="7"/>
      <c r="E137" s="7"/>
      <c r="F137" s="7"/>
    </row>
    <row r="138" spans="1:6" x14ac:dyDescent="0.25">
      <c r="A138" s="7"/>
      <c r="E138" s="7"/>
      <c r="F138" s="7"/>
    </row>
    <row r="139" spans="1:6" x14ac:dyDescent="0.25">
      <c r="A139" s="7"/>
      <c r="E139" s="7"/>
      <c r="F139" s="7"/>
    </row>
    <row r="140" spans="1:6" x14ac:dyDescent="0.25">
      <c r="A140" s="7"/>
      <c r="E140" s="7"/>
      <c r="F140" s="7"/>
    </row>
    <row r="141" spans="1:6" x14ac:dyDescent="0.25">
      <c r="A141" s="7"/>
      <c r="E141" s="7"/>
      <c r="F141" s="7"/>
    </row>
    <row r="142" spans="1:6" x14ac:dyDescent="0.25">
      <c r="A142" s="7"/>
      <c r="E142" s="7"/>
      <c r="F142" s="7"/>
    </row>
    <row r="143" spans="1:6" x14ac:dyDescent="0.25">
      <c r="A143" s="7"/>
      <c r="E143" s="7"/>
      <c r="F143" s="7"/>
    </row>
    <row r="144" spans="1:6" x14ac:dyDescent="0.25">
      <c r="A144" s="7"/>
      <c r="E144" s="7"/>
      <c r="F144" s="7"/>
    </row>
    <row r="145" spans="1:6" x14ac:dyDescent="0.25">
      <c r="A145" s="7"/>
      <c r="E145" s="7"/>
      <c r="F145" s="7"/>
    </row>
    <row r="146" spans="1:6" x14ac:dyDescent="0.25">
      <c r="A146" s="7"/>
      <c r="E146" s="7"/>
      <c r="F146" s="7"/>
    </row>
    <row r="147" spans="1:6" x14ac:dyDescent="0.25">
      <c r="A147" s="7"/>
      <c r="E147" s="7"/>
      <c r="F147" s="7"/>
    </row>
    <row r="148" spans="1:6" x14ac:dyDescent="0.25">
      <c r="A148" s="7"/>
      <c r="E148" s="7"/>
      <c r="F148" s="7"/>
    </row>
    <row r="149" spans="1:6" x14ac:dyDescent="0.25">
      <c r="A149" s="7"/>
      <c r="E149" s="7"/>
      <c r="F149" s="7"/>
    </row>
    <row r="150" spans="1:6" x14ac:dyDescent="0.25">
      <c r="A150" s="7"/>
      <c r="E150" s="7"/>
      <c r="F150" s="7"/>
    </row>
    <row r="151" spans="1:6" x14ac:dyDescent="0.25">
      <c r="A151" s="7"/>
      <c r="E151" s="7"/>
      <c r="F151" s="7"/>
    </row>
    <row r="152" spans="1:6" x14ac:dyDescent="0.25">
      <c r="A152" s="7"/>
      <c r="E152" s="7"/>
      <c r="F152" s="7"/>
    </row>
    <row r="153" spans="1:6" x14ac:dyDescent="0.25">
      <c r="A153" s="7"/>
      <c r="E153" s="7"/>
      <c r="F153" s="7"/>
    </row>
    <row r="154" spans="1:6" x14ac:dyDescent="0.25">
      <c r="A154" s="7"/>
      <c r="E154" s="7"/>
      <c r="F154" s="7"/>
    </row>
    <row r="155" spans="1:6" x14ac:dyDescent="0.25">
      <c r="A155" s="7"/>
      <c r="E155" s="7"/>
      <c r="F155" s="7"/>
    </row>
    <row r="156" spans="1:6" x14ac:dyDescent="0.25">
      <c r="A156" s="7"/>
      <c r="E156" s="7"/>
      <c r="F156" s="7"/>
    </row>
    <row r="157" spans="1:6" x14ac:dyDescent="0.25">
      <c r="A157" s="7"/>
      <c r="E157" s="7"/>
      <c r="F157" s="7"/>
    </row>
    <row r="158" spans="1:6" x14ac:dyDescent="0.25">
      <c r="A158" s="7"/>
      <c r="E158" s="7"/>
      <c r="F158" s="7"/>
    </row>
    <row r="159" spans="1:6" x14ac:dyDescent="0.25">
      <c r="A159" s="7"/>
      <c r="E159" s="7"/>
      <c r="F159" s="7"/>
    </row>
    <row r="160" spans="1:6" x14ac:dyDescent="0.25">
      <c r="A160" s="7"/>
      <c r="E160" s="7"/>
      <c r="F160" s="7"/>
    </row>
    <row r="161" spans="1:6" x14ac:dyDescent="0.25">
      <c r="A161" s="7"/>
      <c r="E161" s="7"/>
      <c r="F161" s="7"/>
    </row>
    <row r="162" spans="1:6" x14ac:dyDescent="0.25">
      <c r="A162" s="7"/>
      <c r="E162" s="7"/>
      <c r="F162" s="7"/>
    </row>
    <row r="163" spans="1:6" x14ac:dyDescent="0.25">
      <c r="A163" s="7"/>
      <c r="E163" s="7"/>
      <c r="F163" s="7"/>
    </row>
    <row r="164" spans="1:6" x14ac:dyDescent="0.25">
      <c r="A164" s="7"/>
      <c r="E164" s="7"/>
      <c r="F164" s="7"/>
    </row>
    <row r="165" spans="1:6" x14ac:dyDescent="0.25">
      <c r="A165" s="7"/>
      <c r="E165" s="7"/>
      <c r="F165" s="7"/>
    </row>
    <row r="166" spans="1:6" x14ac:dyDescent="0.25">
      <c r="A166" s="7"/>
      <c r="E166" s="7"/>
      <c r="F166" s="7"/>
    </row>
    <row r="167" spans="1:6" x14ac:dyDescent="0.25">
      <c r="A167" s="7"/>
      <c r="E167" s="7"/>
      <c r="F167" s="7"/>
    </row>
    <row r="168" spans="1:6" x14ac:dyDescent="0.25">
      <c r="A168" s="7"/>
      <c r="E168" s="7"/>
      <c r="F168" s="7"/>
    </row>
    <row r="169" spans="1:6" x14ac:dyDescent="0.25">
      <c r="A169" s="7"/>
      <c r="E169" s="7"/>
      <c r="F169" s="7"/>
    </row>
    <row r="170" spans="1:6" x14ac:dyDescent="0.25">
      <c r="A170" s="7"/>
      <c r="E170" s="7"/>
      <c r="F170" s="7"/>
    </row>
    <row r="171" spans="1:6" x14ac:dyDescent="0.25">
      <c r="A171" s="7"/>
      <c r="E171" s="7"/>
      <c r="F171" s="7"/>
    </row>
    <row r="172" spans="1:6" x14ac:dyDescent="0.25">
      <c r="A172" s="7"/>
      <c r="E172" s="7"/>
      <c r="F172" s="7"/>
    </row>
    <row r="173" spans="1:6" x14ac:dyDescent="0.25">
      <c r="A173" s="7"/>
      <c r="E173" s="7"/>
      <c r="F173" s="7"/>
    </row>
    <row r="174" spans="1:6" x14ac:dyDescent="0.25">
      <c r="A174" s="7"/>
      <c r="E174" s="7"/>
      <c r="F174" s="7"/>
    </row>
    <row r="175" spans="1:6" x14ac:dyDescent="0.25">
      <c r="A175" s="7"/>
      <c r="E175" s="7"/>
      <c r="F175" s="7"/>
    </row>
    <row r="176" spans="1:6" x14ac:dyDescent="0.25">
      <c r="A176" s="7"/>
      <c r="E176" s="7"/>
      <c r="F176" s="7"/>
    </row>
    <row r="177" spans="1:6" x14ac:dyDescent="0.25">
      <c r="A177" s="7"/>
      <c r="E177" s="7"/>
      <c r="F177" s="7"/>
    </row>
    <row r="178" spans="1:6" x14ac:dyDescent="0.25">
      <c r="A178" s="7"/>
      <c r="E178" s="7"/>
      <c r="F178" s="7"/>
    </row>
    <row r="179" spans="1:6" x14ac:dyDescent="0.25">
      <c r="A179" s="7"/>
      <c r="E179" s="7"/>
      <c r="F179" s="7"/>
    </row>
    <row r="180" spans="1:6" x14ac:dyDescent="0.25">
      <c r="A180" s="7"/>
      <c r="E180" s="7"/>
      <c r="F180" s="7"/>
    </row>
    <row r="181" spans="1:6" x14ac:dyDescent="0.25">
      <c r="A181" s="7"/>
      <c r="E181" s="7"/>
      <c r="F181" s="7"/>
    </row>
    <row r="182" spans="1:6" x14ac:dyDescent="0.25">
      <c r="A182" s="7"/>
      <c r="E182" s="7"/>
      <c r="F182" s="7"/>
    </row>
    <row r="183" spans="1:6" x14ac:dyDescent="0.25">
      <c r="A183" s="7"/>
      <c r="E183" s="7"/>
      <c r="F183" s="7"/>
    </row>
    <row r="184" spans="1:6" x14ac:dyDescent="0.25">
      <c r="A184" s="7"/>
      <c r="E184" s="7"/>
      <c r="F184" s="7"/>
    </row>
    <row r="185" spans="1:6" x14ac:dyDescent="0.25">
      <c r="A185" s="7"/>
      <c r="E185" s="7"/>
      <c r="F185" s="7"/>
    </row>
    <row r="186" spans="1:6" x14ac:dyDescent="0.25">
      <c r="A186" s="7"/>
      <c r="E186" s="7"/>
      <c r="F186" s="7"/>
    </row>
    <row r="187" spans="1:6" x14ac:dyDescent="0.25">
      <c r="A187" s="7"/>
      <c r="E187" s="7"/>
      <c r="F187" s="7"/>
    </row>
    <row r="188" spans="1:6" x14ac:dyDescent="0.25">
      <c r="A188" s="7"/>
      <c r="E188" s="7"/>
      <c r="F188" s="7"/>
    </row>
    <row r="189" spans="1:6" x14ac:dyDescent="0.25">
      <c r="A189" s="7"/>
      <c r="E189" s="7"/>
      <c r="F189" s="7"/>
    </row>
    <row r="190" spans="1:6" x14ac:dyDescent="0.25">
      <c r="A190" s="7"/>
      <c r="E190" s="7"/>
      <c r="F190" s="7"/>
    </row>
    <row r="191" spans="1:6" x14ac:dyDescent="0.25">
      <c r="A191" s="7"/>
      <c r="E191" s="7"/>
      <c r="F191" s="7"/>
    </row>
    <row r="192" spans="1:6" x14ac:dyDescent="0.25">
      <c r="A192" s="7"/>
      <c r="E192" s="7"/>
      <c r="F192" s="7"/>
    </row>
    <row r="193" spans="1:6" x14ac:dyDescent="0.25">
      <c r="A193" s="7"/>
      <c r="E193" s="7"/>
      <c r="F193" s="7"/>
    </row>
    <row r="194" spans="1:6" x14ac:dyDescent="0.25">
      <c r="A194" s="7"/>
      <c r="E194" s="7"/>
      <c r="F194" s="7"/>
    </row>
    <row r="195" spans="1:6" x14ac:dyDescent="0.25">
      <c r="A195" s="7"/>
      <c r="E195" s="7"/>
      <c r="F195" s="7"/>
    </row>
    <row r="196" spans="1:6" x14ac:dyDescent="0.25">
      <c r="A196" s="7"/>
      <c r="E196" s="7"/>
      <c r="F196" s="7"/>
    </row>
    <row r="197" spans="1:6" x14ac:dyDescent="0.25">
      <c r="A197" s="7"/>
      <c r="E197" s="7"/>
      <c r="F197" s="7"/>
    </row>
    <row r="198" spans="1:6" x14ac:dyDescent="0.25">
      <c r="A198" s="7"/>
      <c r="E198" s="7"/>
      <c r="F198" s="7"/>
    </row>
    <row r="199" spans="1:6" x14ac:dyDescent="0.25">
      <c r="A199" s="7"/>
      <c r="E199" s="7"/>
      <c r="F199" s="7"/>
    </row>
    <row r="200" spans="1:6" x14ac:dyDescent="0.25">
      <c r="A200" s="7"/>
      <c r="E200" s="7"/>
      <c r="F200" s="7"/>
    </row>
    <row r="201" spans="1:6" x14ac:dyDescent="0.25">
      <c r="A201" s="7"/>
      <c r="E201" s="7"/>
      <c r="F201" s="7"/>
    </row>
    <row r="202" spans="1:6" x14ac:dyDescent="0.25">
      <c r="A202" s="7"/>
      <c r="E202" s="7"/>
      <c r="F202" s="7"/>
    </row>
    <row r="203" spans="1:6" x14ac:dyDescent="0.25">
      <c r="A203" s="7"/>
      <c r="E203" s="7"/>
      <c r="F203" s="7"/>
    </row>
    <row r="204" spans="1:6" x14ac:dyDescent="0.25">
      <c r="A204" s="7"/>
      <c r="E204" s="7"/>
      <c r="F204" s="7"/>
    </row>
    <row r="205" spans="1:6" x14ac:dyDescent="0.25">
      <c r="A205" s="7"/>
      <c r="E205" s="7"/>
      <c r="F205" s="7"/>
    </row>
    <row r="206" spans="1:6" x14ac:dyDescent="0.25">
      <c r="A206" s="7"/>
      <c r="E206" s="7"/>
      <c r="F206" s="7"/>
    </row>
    <row r="207" spans="1:6" x14ac:dyDescent="0.25">
      <c r="A207" s="7"/>
      <c r="E207" s="7"/>
      <c r="F207" s="7"/>
    </row>
    <row r="208" spans="1:6" x14ac:dyDescent="0.25">
      <c r="A208" s="7"/>
      <c r="E208" s="7"/>
      <c r="F208" s="7"/>
    </row>
    <row r="209" spans="1:6" x14ac:dyDescent="0.25">
      <c r="A209" s="7"/>
      <c r="E209" s="7"/>
      <c r="F209" s="7"/>
    </row>
    <row r="210" spans="1:6" x14ac:dyDescent="0.25">
      <c r="A210" s="7"/>
      <c r="E210" s="7"/>
      <c r="F210" s="7"/>
    </row>
    <row r="211" spans="1:6" x14ac:dyDescent="0.25">
      <c r="A211" s="7"/>
      <c r="E211" s="7"/>
      <c r="F211" s="7"/>
    </row>
    <row r="212" spans="1:6" x14ac:dyDescent="0.25">
      <c r="A212" s="7"/>
      <c r="E212" s="7"/>
      <c r="F212" s="7"/>
    </row>
    <row r="213" spans="1:6" x14ac:dyDescent="0.25">
      <c r="A213" s="7"/>
      <c r="E213" s="7"/>
      <c r="F213" s="7"/>
    </row>
    <row r="214" spans="1:6" x14ac:dyDescent="0.25">
      <c r="A214" s="7"/>
      <c r="E214" s="7"/>
      <c r="F214" s="7"/>
    </row>
    <row r="215" spans="1:6" x14ac:dyDescent="0.25">
      <c r="A215" s="7"/>
      <c r="E215" s="7"/>
      <c r="F215" s="7"/>
    </row>
    <row r="216" spans="1:6" x14ac:dyDescent="0.25">
      <c r="A216" s="7"/>
      <c r="E216" s="7"/>
      <c r="F216" s="7"/>
    </row>
    <row r="217" spans="1:6" x14ac:dyDescent="0.25">
      <c r="A217" s="7"/>
      <c r="E217" s="7"/>
      <c r="F217" s="7"/>
    </row>
    <row r="218" spans="1:6" x14ac:dyDescent="0.25">
      <c r="A218" s="7"/>
      <c r="E218" s="7"/>
      <c r="F218" s="7"/>
    </row>
    <row r="219" spans="1:6" x14ac:dyDescent="0.25">
      <c r="A219" s="7"/>
      <c r="E219" s="7"/>
      <c r="F219" s="7"/>
    </row>
    <row r="220" spans="1:6" x14ac:dyDescent="0.25">
      <c r="A220" s="7"/>
      <c r="E220" s="7"/>
      <c r="F220" s="7"/>
    </row>
    <row r="221" spans="1:6" x14ac:dyDescent="0.25">
      <c r="A221" s="7"/>
      <c r="E221" s="7"/>
      <c r="F221" s="7"/>
    </row>
    <row r="222" spans="1:6" x14ac:dyDescent="0.25">
      <c r="A222" s="7"/>
      <c r="E222" s="7"/>
      <c r="F222" s="7"/>
    </row>
    <row r="223" spans="1:6" x14ac:dyDescent="0.25">
      <c r="A223" s="7"/>
      <c r="E223" s="7"/>
      <c r="F223" s="7"/>
    </row>
    <row r="224" spans="1:6" x14ac:dyDescent="0.25">
      <c r="A224" s="7"/>
      <c r="E224" s="7"/>
      <c r="F224" s="7"/>
    </row>
    <row r="225" spans="1:6" x14ac:dyDescent="0.25">
      <c r="A225" s="7"/>
      <c r="E225" s="7"/>
      <c r="F225" s="7"/>
    </row>
    <row r="226" spans="1:6" x14ac:dyDescent="0.25">
      <c r="A226" s="7"/>
      <c r="E226" s="7"/>
      <c r="F226" s="7"/>
    </row>
    <row r="227" spans="1:6" x14ac:dyDescent="0.25">
      <c r="A227" s="7"/>
      <c r="E227" s="7"/>
      <c r="F227" s="7"/>
    </row>
    <row r="228" spans="1:6" x14ac:dyDescent="0.25">
      <c r="A228" s="7"/>
      <c r="E228" s="7"/>
      <c r="F228" s="7"/>
    </row>
    <row r="229" spans="1:6" x14ac:dyDescent="0.25">
      <c r="A229" s="7"/>
      <c r="E229" s="7"/>
      <c r="F229" s="7"/>
    </row>
    <row r="230" spans="1:6" x14ac:dyDescent="0.25">
      <c r="A230" s="7"/>
      <c r="E230" s="7"/>
      <c r="F230" s="7"/>
    </row>
    <row r="231" spans="1:6" x14ac:dyDescent="0.25">
      <c r="A231" s="7"/>
      <c r="E231" s="7"/>
      <c r="F231" s="7"/>
    </row>
    <row r="232" spans="1:6" x14ac:dyDescent="0.25">
      <c r="A232" s="7"/>
      <c r="E232" s="7"/>
      <c r="F232" s="7"/>
    </row>
    <row r="233" spans="1:6" x14ac:dyDescent="0.25">
      <c r="A233" s="7"/>
      <c r="E233" s="7"/>
      <c r="F233" s="7"/>
    </row>
    <row r="234" spans="1:6" x14ac:dyDescent="0.25">
      <c r="A234" s="7"/>
      <c r="E234" s="7"/>
      <c r="F234" s="7"/>
    </row>
    <row r="235" spans="1:6" x14ac:dyDescent="0.25">
      <c r="A235" s="7"/>
      <c r="E235" s="7"/>
      <c r="F235" s="7"/>
    </row>
    <row r="236" spans="1:6" x14ac:dyDescent="0.25">
      <c r="A236" s="7"/>
      <c r="E236" s="7"/>
      <c r="F236" s="7"/>
    </row>
    <row r="237" spans="1:6" x14ac:dyDescent="0.25">
      <c r="A237" s="7"/>
      <c r="E237" s="7"/>
      <c r="F237" s="7"/>
    </row>
    <row r="238" spans="1:6" x14ac:dyDescent="0.25">
      <c r="A238" s="7"/>
      <c r="E238" s="7"/>
      <c r="F238" s="7"/>
    </row>
    <row r="239" spans="1:6" x14ac:dyDescent="0.25">
      <c r="A239" s="7"/>
      <c r="E239" s="7"/>
      <c r="F239" s="7"/>
    </row>
    <row r="240" spans="1:6" x14ac:dyDescent="0.25">
      <c r="A240" s="7"/>
      <c r="E240" s="7"/>
      <c r="F240" s="7"/>
    </row>
    <row r="241" spans="1:6" x14ac:dyDescent="0.25">
      <c r="A241" s="7"/>
      <c r="E241" s="7"/>
      <c r="F241" s="7"/>
    </row>
    <row r="242" spans="1:6" x14ac:dyDescent="0.25">
      <c r="A242" s="7"/>
      <c r="E242" s="7"/>
      <c r="F242" s="7"/>
    </row>
    <row r="243" spans="1:6" x14ac:dyDescent="0.25">
      <c r="A243" s="7"/>
      <c r="E243" s="7"/>
      <c r="F243" s="7"/>
    </row>
    <row r="244" spans="1:6" x14ac:dyDescent="0.25">
      <c r="A244" s="7"/>
      <c r="E244" s="7"/>
      <c r="F244" s="7"/>
    </row>
    <row r="245" spans="1:6" x14ac:dyDescent="0.25">
      <c r="A245" s="7"/>
      <c r="E245" s="7"/>
      <c r="F245" s="7"/>
    </row>
    <row r="246" spans="1:6" x14ac:dyDescent="0.25">
      <c r="A246" s="7"/>
      <c r="E246" s="7"/>
      <c r="F246" s="7"/>
    </row>
    <row r="247" spans="1:6" x14ac:dyDescent="0.25">
      <c r="A247" s="7"/>
      <c r="E247" s="7"/>
      <c r="F247" s="7"/>
    </row>
    <row r="248" spans="1:6" x14ac:dyDescent="0.25">
      <c r="A248" s="7"/>
      <c r="E248" s="7"/>
      <c r="F248" s="7"/>
    </row>
    <row r="249" spans="1:6" x14ac:dyDescent="0.25">
      <c r="A249" s="7"/>
      <c r="E249" s="7"/>
      <c r="F249" s="7"/>
    </row>
    <row r="250" spans="1:6" x14ac:dyDescent="0.25">
      <c r="A250" s="7"/>
      <c r="E250" s="7"/>
      <c r="F250" s="7"/>
    </row>
    <row r="251" spans="1:6" x14ac:dyDescent="0.25">
      <c r="A251" s="7"/>
      <c r="E251" s="7"/>
      <c r="F251" s="7"/>
    </row>
    <row r="252" spans="1:6" x14ac:dyDescent="0.25">
      <c r="A252" s="7"/>
      <c r="E252" s="7"/>
      <c r="F252" s="7"/>
    </row>
    <row r="253" spans="1:6" x14ac:dyDescent="0.25">
      <c r="A253" s="7"/>
      <c r="E253" s="7"/>
      <c r="F253" s="7"/>
    </row>
    <row r="254" spans="1:6" x14ac:dyDescent="0.25">
      <c r="A254" s="7"/>
      <c r="E254" s="7"/>
      <c r="F254" s="7"/>
    </row>
    <row r="255" spans="1:6" x14ac:dyDescent="0.25">
      <c r="A255" s="7"/>
      <c r="E255" s="7"/>
      <c r="F255" s="7"/>
    </row>
    <row r="256" spans="1:6" x14ac:dyDescent="0.25">
      <c r="A256" s="7"/>
      <c r="E256" s="7"/>
      <c r="F256" s="7"/>
    </row>
    <row r="257" spans="1:6" x14ac:dyDescent="0.25">
      <c r="A257" s="7"/>
      <c r="E257" s="7"/>
      <c r="F257" s="7"/>
    </row>
    <row r="258" spans="1:6" x14ac:dyDescent="0.25">
      <c r="A258" s="7"/>
      <c r="E258" s="7"/>
      <c r="F258" s="7"/>
    </row>
    <row r="259" spans="1:6" x14ac:dyDescent="0.25">
      <c r="A259" s="7"/>
      <c r="E259" s="7"/>
      <c r="F259" s="7"/>
    </row>
    <row r="260" spans="1:6" x14ac:dyDescent="0.25">
      <c r="A260" s="7"/>
      <c r="E260" s="7"/>
      <c r="F260" s="7"/>
    </row>
    <row r="261" spans="1:6" x14ac:dyDescent="0.25">
      <c r="A261" s="7"/>
      <c r="E261" s="7"/>
      <c r="F261" s="7"/>
    </row>
    <row r="262" spans="1:6" x14ac:dyDescent="0.25">
      <c r="A262" s="7"/>
      <c r="E262" s="7"/>
      <c r="F262" s="7"/>
    </row>
    <row r="263" spans="1:6" x14ac:dyDescent="0.25">
      <c r="A263" s="7"/>
      <c r="E263" s="7"/>
      <c r="F263" s="7"/>
    </row>
    <row r="264" spans="1:6" x14ac:dyDescent="0.25">
      <c r="A264" s="7"/>
      <c r="E264" s="7"/>
      <c r="F264" s="7"/>
    </row>
    <row r="265" spans="1:6" x14ac:dyDescent="0.25">
      <c r="A265" s="7"/>
      <c r="E265" s="7"/>
      <c r="F265" s="7"/>
    </row>
    <row r="266" spans="1:6" x14ac:dyDescent="0.25">
      <c r="A266" s="7"/>
      <c r="E266" s="7"/>
      <c r="F266" s="7"/>
    </row>
    <row r="267" spans="1:6" x14ac:dyDescent="0.25">
      <c r="A267" s="7"/>
      <c r="E267" s="7"/>
      <c r="F267" s="7"/>
    </row>
    <row r="268" spans="1:6" x14ac:dyDescent="0.25">
      <c r="A268" s="7"/>
      <c r="E268" s="7"/>
      <c r="F268" s="7"/>
    </row>
    <row r="269" spans="1:6" x14ac:dyDescent="0.25">
      <c r="A269" s="7"/>
      <c r="E269" s="7"/>
      <c r="F269" s="7"/>
    </row>
    <row r="270" spans="1:6" x14ac:dyDescent="0.25">
      <c r="A270" s="7"/>
      <c r="E270" s="7"/>
      <c r="F270" s="7"/>
    </row>
    <row r="271" spans="1:6" x14ac:dyDescent="0.25">
      <c r="A271" s="7"/>
      <c r="E271" s="7"/>
      <c r="F271" s="7"/>
    </row>
    <row r="272" spans="1:6" x14ac:dyDescent="0.25">
      <c r="A272" s="7"/>
      <c r="E272" s="7"/>
      <c r="F272" s="7"/>
    </row>
    <row r="273" spans="1:6" x14ac:dyDescent="0.25">
      <c r="A273" s="7"/>
      <c r="E273" s="7"/>
      <c r="F273" s="7"/>
    </row>
    <row r="274" spans="1:6" x14ac:dyDescent="0.25">
      <c r="A274" s="7"/>
      <c r="E274" s="7"/>
      <c r="F274" s="7"/>
    </row>
    <row r="275" spans="1:6" x14ac:dyDescent="0.25">
      <c r="A275" s="7"/>
      <c r="E275" s="7"/>
      <c r="F275" s="7"/>
    </row>
    <row r="276" spans="1:6" x14ac:dyDescent="0.25">
      <c r="A276" s="7"/>
      <c r="E276" s="7"/>
      <c r="F276" s="7"/>
    </row>
    <row r="277" spans="1:6" x14ac:dyDescent="0.25">
      <c r="A277" s="7"/>
      <c r="E277" s="7"/>
      <c r="F277" s="7"/>
    </row>
    <row r="278" spans="1:6" x14ac:dyDescent="0.25">
      <c r="A278" s="7"/>
      <c r="E278" s="7"/>
      <c r="F278" s="7"/>
    </row>
    <row r="279" spans="1:6" x14ac:dyDescent="0.25">
      <c r="A279" s="7"/>
      <c r="E279" s="7"/>
      <c r="F279" s="7"/>
    </row>
    <row r="280" spans="1:6" x14ac:dyDescent="0.25">
      <c r="A280" s="7"/>
      <c r="E280" s="7"/>
      <c r="F280" s="7"/>
    </row>
    <row r="281" spans="1:6" x14ac:dyDescent="0.25">
      <c r="A281" s="7"/>
      <c r="E281" s="7"/>
      <c r="F281" s="7"/>
    </row>
    <row r="282" spans="1:6" x14ac:dyDescent="0.25">
      <c r="A282" s="7"/>
      <c r="E282" s="7"/>
      <c r="F282" s="7"/>
    </row>
    <row r="283" spans="1:6" x14ac:dyDescent="0.25">
      <c r="A283" s="7"/>
      <c r="E283" s="7"/>
      <c r="F283" s="7"/>
    </row>
    <row r="284" spans="1:6" x14ac:dyDescent="0.25">
      <c r="A284" s="7"/>
      <c r="E284" s="7"/>
      <c r="F284" s="7"/>
    </row>
    <row r="285" spans="1:6" x14ac:dyDescent="0.25">
      <c r="A285" s="7"/>
      <c r="E285" s="7"/>
      <c r="F285" s="7"/>
    </row>
    <row r="286" spans="1:6" x14ac:dyDescent="0.25">
      <c r="A286" s="7"/>
      <c r="E286" s="7"/>
      <c r="F286" s="7"/>
    </row>
    <row r="287" spans="1:6" x14ac:dyDescent="0.25">
      <c r="A287" s="7"/>
      <c r="E287" s="7"/>
      <c r="F287" s="7"/>
    </row>
    <row r="288" spans="1:6" x14ac:dyDescent="0.25">
      <c r="A288" s="7"/>
      <c r="E288" s="7"/>
      <c r="F288" s="7"/>
    </row>
    <row r="289" spans="1:6" x14ac:dyDescent="0.25">
      <c r="A289" s="7"/>
      <c r="E289" s="7"/>
      <c r="F289" s="7"/>
    </row>
    <row r="290" spans="1:6" x14ac:dyDescent="0.25">
      <c r="A290" s="7"/>
      <c r="E290" s="7"/>
      <c r="F290" s="7"/>
    </row>
    <row r="291" spans="1:6" x14ac:dyDescent="0.25">
      <c r="A291" s="7"/>
      <c r="E291" s="7"/>
      <c r="F291" s="7"/>
    </row>
    <row r="292" spans="1:6" x14ac:dyDescent="0.25">
      <c r="A292" s="7"/>
      <c r="E292" s="7"/>
      <c r="F292" s="7"/>
    </row>
    <row r="293" spans="1:6" x14ac:dyDescent="0.25">
      <c r="A293" s="7"/>
      <c r="E293" s="7"/>
      <c r="F293" s="7"/>
    </row>
    <row r="294" spans="1:6" x14ac:dyDescent="0.25">
      <c r="A294" s="7"/>
      <c r="E294" s="7"/>
      <c r="F294" s="7"/>
    </row>
    <row r="295" spans="1:6" x14ac:dyDescent="0.25">
      <c r="A295" s="7"/>
      <c r="E295" s="7"/>
      <c r="F295" s="7"/>
    </row>
    <row r="296" spans="1:6" x14ac:dyDescent="0.25">
      <c r="A296" s="7"/>
      <c r="E296" s="7"/>
      <c r="F296" s="7"/>
    </row>
    <row r="297" spans="1:6" x14ac:dyDescent="0.25">
      <c r="A297" s="7"/>
      <c r="E297" s="7"/>
      <c r="F297" s="7"/>
    </row>
    <row r="298" spans="1:6" x14ac:dyDescent="0.25">
      <c r="A298" s="7"/>
      <c r="E298" s="7"/>
      <c r="F298" s="7"/>
    </row>
    <row r="299" spans="1:6" x14ac:dyDescent="0.25">
      <c r="A299" s="7"/>
      <c r="E299" s="7"/>
      <c r="F299" s="7"/>
    </row>
    <row r="300" spans="1:6" x14ac:dyDescent="0.25">
      <c r="A300" s="7"/>
      <c r="E300" s="7"/>
      <c r="F300" s="7"/>
    </row>
    <row r="301" spans="1:6" x14ac:dyDescent="0.25">
      <c r="A301" s="7"/>
      <c r="E301" s="7"/>
      <c r="F301" s="7"/>
    </row>
    <row r="302" spans="1:6" x14ac:dyDescent="0.25">
      <c r="A302" s="7"/>
      <c r="E302" s="7"/>
      <c r="F302" s="7"/>
    </row>
    <row r="303" spans="1:6" x14ac:dyDescent="0.25">
      <c r="A303" s="7"/>
      <c r="E303" s="7"/>
      <c r="F303" s="7"/>
    </row>
    <row r="304" spans="1:6" x14ac:dyDescent="0.25">
      <c r="A304" s="7"/>
      <c r="E304" s="7"/>
      <c r="F304" s="7"/>
    </row>
    <row r="305" spans="1:6" x14ac:dyDescent="0.25">
      <c r="A305" s="7"/>
      <c r="E305" s="7"/>
      <c r="F305" s="7"/>
    </row>
    <row r="306" spans="1:6" x14ac:dyDescent="0.25">
      <c r="A306" s="7"/>
      <c r="E306" s="7"/>
      <c r="F306" s="7"/>
    </row>
    <row r="307" spans="1:6" x14ac:dyDescent="0.25">
      <c r="A307" s="7"/>
      <c r="E307" s="7"/>
      <c r="F307" s="7"/>
    </row>
    <row r="308" spans="1:6" x14ac:dyDescent="0.25">
      <c r="A308" s="7"/>
      <c r="E308" s="7"/>
      <c r="F308" s="7"/>
    </row>
    <row r="309" spans="1:6" x14ac:dyDescent="0.25">
      <c r="A309" s="7"/>
      <c r="E309" s="7"/>
      <c r="F309" s="7"/>
    </row>
    <row r="310" spans="1:6" x14ac:dyDescent="0.25">
      <c r="A310" s="7"/>
      <c r="E310" s="7"/>
      <c r="F310" s="7"/>
    </row>
    <row r="311" spans="1:6" x14ac:dyDescent="0.25">
      <c r="A311" s="7"/>
      <c r="E311" s="7"/>
      <c r="F311" s="7"/>
    </row>
    <row r="312" spans="1:6" x14ac:dyDescent="0.25">
      <c r="A312" s="7"/>
      <c r="E312" s="7"/>
      <c r="F312" s="7"/>
    </row>
    <row r="313" spans="1:6" x14ac:dyDescent="0.25">
      <c r="A313" s="7"/>
      <c r="E313" s="7"/>
      <c r="F313" s="7"/>
    </row>
    <row r="314" spans="1:6" x14ac:dyDescent="0.25">
      <c r="A314" s="7"/>
      <c r="E314" s="7"/>
      <c r="F314" s="7"/>
    </row>
    <row r="315" spans="1:6" x14ac:dyDescent="0.25">
      <c r="A315" s="7"/>
      <c r="E315" s="7"/>
      <c r="F315" s="7"/>
    </row>
    <row r="316" spans="1:6" x14ac:dyDescent="0.25">
      <c r="A316" s="7"/>
      <c r="E316" s="7"/>
      <c r="F316" s="7"/>
    </row>
    <row r="317" spans="1:6" x14ac:dyDescent="0.25">
      <c r="A317" s="7"/>
      <c r="E317" s="7"/>
      <c r="F317" s="7"/>
    </row>
    <row r="318" spans="1:6" x14ac:dyDescent="0.25">
      <c r="A318" s="7"/>
      <c r="E318" s="7"/>
      <c r="F318" s="7"/>
    </row>
    <row r="319" spans="1:6" x14ac:dyDescent="0.25">
      <c r="A319" s="7"/>
      <c r="E319" s="7"/>
      <c r="F319" s="7"/>
    </row>
    <row r="320" spans="1:6" x14ac:dyDescent="0.25">
      <c r="A320" s="7"/>
      <c r="E320" s="7"/>
      <c r="F320" s="7"/>
    </row>
    <row r="321" spans="1:6" x14ac:dyDescent="0.25">
      <c r="A321" s="7"/>
      <c r="E321" s="7"/>
      <c r="F321" s="7"/>
    </row>
    <row r="322" spans="1:6" x14ac:dyDescent="0.25">
      <c r="A322" s="7"/>
      <c r="E322" s="7"/>
      <c r="F322" s="7"/>
    </row>
    <row r="323" spans="1:6" x14ac:dyDescent="0.25">
      <c r="A323" s="7"/>
      <c r="E323" s="7"/>
      <c r="F323" s="7"/>
    </row>
    <row r="324" spans="1:6" x14ac:dyDescent="0.25">
      <c r="A324" s="7"/>
      <c r="E324" s="7"/>
      <c r="F324" s="7"/>
    </row>
    <row r="325" spans="1:6" x14ac:dyDescent="0.25">
      <c r="A325" s="7"/>
      <c r="E325" s="7"/>
      <c r="F325" s="7"/>
    </row>
    <row r="326" spans="1:6" x14ac:dyDescent="0.25">
      <c r="A326" s="7"/>
      <c r="E326" s="7"/>
      <c r="F326" s="7"/>
    </row>
    <row r="327" spans="1:6" x14ac:dyDescent="0.25">
      <c r="A327" s="7"/>
      <c r="E327" s="7"/>
      <c r="F327" s="7"/>
    </row>
    <row r="328" spans="1:6" x14ac:dyDescent="0.25">
      <c r="A328" s="7"/>
      <c r="E328" s="7"/>
      <c r="F328" s="7"/>
    </row>
    <row r="329" spans="1:6" x14ac:dyDescent="0.25">
      <c r="A329" s="7"/>
      <c r="E329" s="7"/>
      <c r="F329" s="7"/>
    </row>
    <row r="330" spans="1:6" x14ac:dyDescent="0.25">
      <c r="A330" s="7"/>
      <c r="E330" s="7"/>
      <c r="F330" s="7"/>
    </row>
    <row r="331" spans="1:6" x14ac:dyDescent="0.25">
      <c r="A331" s="7"/>
      <c r="E331" s="7"/>
      <c r="F331" s="7"/>
    </row>
    <row r="332" spans="1:6" x14ac:dyDescent="0.25">
      <c r="A332" s="7"/>
      <c r="E332" s="7"/>
      <c r="F332" s="7"/>
    </row>
    <row r="333" spans="1:6" x14ac:dyDescent="0.25">
      <c r="A333" s="7"/>
      <c r="E333" s="7"/>
      <c r="F333" s="7"/>
    </row>
    <row r="334" spans="1:6" x14ac:dyDescent="0.25">
      <c r="A334" s="7"/>
      <c r="E334" s="7"/>
      <c r="F334" s="7"/>
    </row>
    <row r="335" spans="1:6" x14ac:dyDescent="0.25">
      <c r="A335" s="7"/>
      <c r="E335" s="7"/>
      <c r="F335" s="7"/>
    </row>
    <row r="336" spans="1:6" x14ac:dyDescent="0.25">
      <c r="A336" s="7"/>
      <c r="E336" s="7"/>
      <c r="F336" s="7"/>
    </row>
    <row r="337" spans="1:6" x14ac:dyDescent="0.25">
      <c r="A337" s="7"/>
      <c r="E337" s="7"/>
      <c r="F337" s="7"/>
    </row>
    <row r="338" spans="1:6" x14ac:dyDescent="0.25">
      <c r="A338" s="7"/>
      <c r="E338" s="7"/>
      <c r="F338" s="7"/>
    </row>
    <row r="339" spans="1:6" x14ac:dyDescent="0.25">
      <c r="A339" s="7"/>
      <c r="E339" s="7"/>
      <c r="F339" s="7"/>
    </row>
    <row r="340" spans="1:6" x14ac:dyDescent="0.25">
      <c r="A340" s="7"/>
      <c r="E340" s="7"/>
      <c r="F340" s="7"/>
    </row>
    <row r="341" spans="1:6" x14ac:dyDescent="0.25">
      <c r="A341" s="7"/>
      <c r="E341" s="7"/>
      <c r="F341" s="7"/>
    </row>
    <row r="342" spans="1:6" x14ac:dyDescent="0.25">
      <c r="A342" s="7"/>
      <c r="E342" s="7"/>
      <c r="F342" s="7"/>
    </row>
    <row r="343" spans="1:6" x14ac:dyDescent="0.25">
      <c r="A343" s="7"/>
      <c r="E343" s="7"/>
      <c r="F343" s="7"/>
    </row>
    <row r="344" spans="1:6" x14ac:dyDescent="0.25">
      <c r="A344" s="7"/>
      <c r="E344" s="7"/>
      <c r="F344" s="7"/>
    </row>
    <row r="345" spans="1:6" x14ac:dyDescent="0.25">
      <c r="A345" s="7"/>
      <c r="E345" s="7"/>
      <c r="F345" s="7"/>
    </row>
    <row r="346" spans="1:6" x14ac:dyDescent="0.25">
      <c r="A346" s="7"/>
      <c r="E346" s="7"/>
      <c r="F346" s="7"/>
    </row>
    <row r="347" spans="1:6" x14ac:dyDescent="0.25">
      <c r="A347" s="7"/>
      <c r="E347" s="7"/>
      <c r="F347" s="7"/>
    </row>
    <row r="348" spans="1:6" x14ac:dyDescent="0.25">
      <c r="A348" s="7"/>
      <c r="E348" s="7"/>
      <c r="F348" s="7"/>
    </row>
    <row r="349" spans="1:6" x14ac:dyDescent="0.25">
      <c r="A349" s="7"/>
      <c r="E349" s="7"/>
      <c r="F349" s="7"/>
    </row>
    <row r="350" spans="1:6" x14ac:dyDescent="0.25">
      <c r="A350" s="7"/>
      <c r="E350" s="7"/>
      <c r="F350" s="7"/>
    </row>
    <row r="351" spans="1:6" x14ac:dyDescent="0.25">
      <c r="A351" s="7"/>
      <c r="E351" s="7"/>
      <c r="F351" s="7"/>
    </row>
    <row r="352" spans="1:6" x14ac:dyDescent="0.25">
      <c r="A352" s="7"/>
      <c r="E352" s="7"/>
      <c r="F352" s="7"/>
    </row>
    <row r="353" spans="1:6" x14ac:dyDescent="0.25">
      <c r="A353" s="7"/>
      <c r="E353" s="7"/>
      <c r="F353" s="7"/>
    </row>
    <row r="354" spans="1:6" x14ac:dyDescent="0.25">
      <c r="A354" s="7"/>
      <c r="E354" s="7"/>
      <c r="F354" s="7"/>
    </row>
    <row r="355" spans="1:6" x14ac:dyDescent="0.25">
      <c r="A355" s="7"/>
      <c r="E355" s="7"/>
      <c r="F355" s="7"/>
    </row>
    <row r="356" spans="1:6" x14ac:dyDescent="0.25">
      <c r="A356" s="7"/>
      <c r="E356" s="7"/>
      <c r="F356" s="7"/>
    </row>
    <row r="357" spans="1:6" x14ac:dyDescent="0.25">
      <c r="A357" s="7"/>
      <c r="E357" s="7"/>
      <c r="F357" s="7"/>
    </row>
    <row r="358" spans="1:6" x14ac:dyDescent="0.25">
      <c r="A358" s="7"/>
      <c r="E358" s="7"/>
      <c r="F358" s="7"/>
    </row>
    <row r="359" spans="1:6" x14ac:dyDescent="0.25">
      <c r="A359" s="7"/>
      <c r="E359" s="7"/>
      <c r="F359" s="7"/>
    </row>
    <row r="360" spans="1:6" x14ac:dyDescent="0.25">
      <c r="A360" s="7"/>
      <c r="E360" s="7"/>
      <c r="F360" s="7"/>
    </row>
    <row r="361" spans="1:6" x14ac:dyDescent="0.25">
      <c r="A361" s="7"/>
      <c r="E361" s="7"/>
      <c r="F361" s="7"/>
    </row>
    <row r="362" spans="1:6" x14ac:dyDescent="0.25">
      <c r="A362" s="7"/>
      <c r="E362" s="7"/>
      <c r="F362" s="7"/>
    </row>
    <row r="363" spans="1:6" x14ac:dyDescent="0.25">
      <c r="A363" s="7"/>
      <c r="E363" s="7"/>
      <c r="F363" s="7"/>
    </row>
    <row r="364" spans="1:6" x14ac:dyDescent="0.25">
      <c r="A364" s="7"/>
      <c r="E364" s="7"/>
      <c r="F364" s="7"/>
    </row>
    <row r="365" spans="1:6" x14ac:dyDescent="0.25">
      <c r="A365" s="7"/>
      <c r="E365" s="7"/>
      <c r="F365" s="7"/>
    </row>
    <row r="366" spans="1:6" x14ac:dyDescent="0.25">
      <c r="A366" s="7"/>
      <c r="E366" s="7"/>
      <c r="F366" s="7"/>
    </row>
    <row r="367" spans="1:6" x14ac:dyDescent="0.25">
      <c r="A367" s="7"/>
      <c r="E367" s="7"/>
      <c r="F367" s="7"/>
    </row>
    <row r="368" spans="1:6" x14ac:dyDescent="0.25">
      <c r="A368" s="7"/>
      <c r="E368" s="7"/>
      <c r="F368" s="7"/>
    </row>
    <row r="369" spans="1:6" x14ac:dyDescent="0.25">
      <c r="A369" s="7"/>
      <c r="E369" s="7"/>
      <c r="F369" s="7"/>
    </row>
    <row r="370" spans="1:6" x14ac:dyDescent="0.25">
      <c r="A370" s="7"/>
      <c r="E370" s="7"/>
      <c r="F370" s="7"/>
    </row>
    <row r="371" spans="1:6" x14ac:dyDescent="0.25">
      <c r="A371" s="7"/>
      <c r="E371" s="7"/>
      <c r="F371" s="7"/>
    </row>
    <row r="372" spans="1:6" x14ac:dyDescent="0.25">
      <c r="A372" s="7"/>
      <c r="E372" s="7"/>
      <c r="F372" s="7"/>
    </row>
    <row r="373" spans="1:6" x14ac:dyDescent="0.25">
      <c r="A373" s="7"/>
      <c r="E373" s="7"/>
      <c r="F373" s="7"/>
    </row>
    <row r="374" spans="1:6" x14ac:dyDescent="0.25">
      <c r="A374" s="7"/>
      <c r="E374" s="7"/>
      <c r="F374" s="7"/>
    </row>
    <row r="375" spans="1:6" x14ac:dyDescent="0.25">
      <c r="A375" s="7"/>
      <c r="E375" s="7"/>
      <c r="F375" s="7"/>
    </row>
    <row r="376" spans="1:6" x14ac:dyDescent="0.25">
      <c r="A376" s="7"/>
      <c r="E376" s="7"/>
      <c r="F376" s="7"/>
    </row>
    <row r="377" spans="1:6" x14ac:dyDescent="0.25">
      <c r="A377" s="7"/>
      <c r="E377" s="7"/>
      <c r="F377" s="7"/>
    </row>
    <row r="378" spans="1:6" x14ac:dyDescent="0.25">
      <c r="A378" s="7"/>
      <c r="E378" s="7"/>
      <c r="F378" s="7"/>
    </row>
    <row r="379" spans="1:6" x14ac:dyDescent="0.25">
      <c r="A379" s="7"/>
      <c r="E379" s="7"/>
      <c r="F379" s="7"/>
    </row>
    <row r="380" spans="1:6" x14ac:dyDescent="0.25">
      <c r="A380" s="7"/>
      <c r="E380" s="7"/>
      <c r="F380" s="7"/>
    </row>
    <row r="381" spans="1:6" x14ac:dyDescent="0.25">
      <c r="A381" s="7"/>
      <c r="E381" s="7"/>
      <c r="F381" s="7"/>
    </row>
    <row r="382" spans="1:6" x14ac:dyDescent="0.25">
      <c r="A382" s="7"/>
      <c r="E382" s="7"/>
      <c r="F382" s="7"/>
    </row>
    <row r="383" spans="1:6" x14ac:dyDescent="0.25">
      <c r="A383" s="7"/>
      <c r="E383" s="7"/>
      <c r="F383" s="7"/>
    </row>
    <row r="384" spans="1:6" x14ac:dyDescent="0.25">
      <c r="A384" s="7"/>
      <c r="E384" s="7"/>
      <c r="F384" s="7"/>
    </row>
    <row r="385" spans="1:6" x14ac:dyDescent="0.25">
      <c r="A385" s="7"/>
      <c r="E385" s="7"/>
      <c r="F385" s="7"/>
    </row>
    <row r="386" spans="1:6" x14ac:dyDescent="0.25">
      <c r="A386" s="7"/>
      <c r="E386" s="7"/>
      <c r="F386" s="7"/>
    </row>
    <row r="387" spans="1:6" x14ac:dyDescent="0.25">
      <c r="A387" s="7"/>
      <c r="E387" s="7"/>
      <c r="F387" s="7"/>
    </row>
    <row r="388" spans="1:6" x14ac:dyDescent="0.25">
      <c r="A388" s="7"/>
      <c r="E388" s="7"/>
      <c r="F388" s="7"/>
    </row>
    <row r="389" spans="1:6" x14ac:dyDescent="0.25">
      <c r="A389" s="7"/>
      <c r="E389" s="7"/>
      <c r="F389" s="7"/>
    </row>
    <row r="390" spans="1:6" x14ac:dyDescent="0.25">
      <c r="A390" s="7"/>
      <c r="E390" s="7"/>
      <c r="F390" s="7"/>
    </row>
    <row r="391" spans="1:6" x14ac:dyDescent="0.25">
      <c r="A391" s="7"/>
      <c r="E391" s="7"/>
      <c r="F391" s="7"/>
    </row>
    <row r="392" spans="1:6" x14ac:dyDescent="0.25">
      <c r="A392" s="7"/>
      <c r="E392" s="7"/>
      <c r="F392" s="7"/>
    </row>
    <row r="393" spans="1:6" x14ac:dyDescent="0.25">
      <c r="A393" s="7"/>
      <c r="E393" s="7"/>
      <c r="F393" s="7"/>
    </row>
    <row r="394" spans="1:6" x14ac:dyDescent="0.25">
      <c r="A394" s="7"/>
      <c r="E394" s="7"/>
      <c r="F394" s="7"/>
    </row>
    <row r="395" spans="1:6" x14ac:dyDescent="0.25">
      <c r="A395" s="7"/>
      <c r="E395" s="7"/>
      <c r="F395" s="7"/>
    </row>
    <row r="396" spans="1:6" x14ac:dyDescent="0.25">
      <c r="A396" s="7"/>
      <c r="E396" s="7"/>
      <c r="F396" s="7"/>
    </row>
    <row r="397" spans="1:6" x14ac:dyDescent="0.25">
      <c r="A397" s="7"/>
      <c r="E397" s="7"/>
      <c r="F397" s="7"/>
    </row>
    <row r="398" spans="1:6" x14ac:dyDescent="0.25">
      <c r="A398" s="7"/>
      <c r="E398" s="7"/>
      <c r="F398" s="7"/>
    </row>
    <row r="399" spans="1:6" x14ac:dyDescent="0.25">
      <c r="A399" s="7"/>
      <c r="E399" s="7"/>
      <c r="F399" s="7"/>
    </row>
    <row r="400" spans="1:6" x14ac:dyDescent="0.25">
      <c r="A400" s="7"/>
      <c r="E400" s="7"/>
      <c r="F400" s="7"/>
    </row>
    <row r="401" spans="1:6" x14ac:dyDescent="0.25">
      <c r="A401" s="7"/>
      <c r="E401" s="7"/>
      <c r="F401" s="7"/>
    </row>
    <row r="402" spans="1:6" x14ac:dyDescent="0.25">
      <c r="A402" s="7"/>
      <c r="E402" s="7"/>
      <c r="F402" s="7"/>
    </row>
    <row r="403" spans="1:6" x14ac:dyDescent="0.25">
      <c r="A403" s="7"/>
      <c r="E403" s="7"/>
      <c r="F403" s="7"/>
    </row>
    <row r="404" spans="1:6" x14ac:dyDescent="0.25">
      <c r="A404" s="7"/>
      <c r="E404" s="7"/>
      <c r="F404" s="7"/>
    </row>
    <row r="405" spans="1:6" x14ac:dyDescent="0.25">
      <c r="A405" s="7"/>
      <c r="E405" s="7"/>
      <c r="F405" s="7"/>
    </row>
    <row r="406" spans="1:6" x14ac:dyDescent="0.25">
      <c r="A406" s="7"/>
      <c r="E406" s="7"/>
      <c r="F406" s="7"/>
    </row>
    <row r="407" spans="1:6" x14ac:dyDescent="0.25">
      <c r="A407" s="7"/>
      <c r="E407" s="7"/>
      <c r="F407" s="7"/>
    </row>
    <row r="408" spans="1:6" x14ac:dyDescent="0.25">
      <c r="A408" s="7"/>
      <c r="E408" s="7"/>
      <c r="F408" s="7"/>
    </row>
    <row r="409" spans="1:6" x14ac:dyDescent="0.25">
      <c r="A409" s="7"/>
      <c r="E409" s="7"/>
      <c r="F409" s="7"/>
    </row>
    <row r="410" spans="1:6" x14ac:dyDescent="0.25">
      <c r="A410" s="7"/>
      <c r="E410" s="7"/>
      <c r="F410" s="7"/>
    </row>
    <row r="411" spans="1:6" x14ac:dyDescent="0.25">
      <c r="A411" s="7"/>
      <c r="E411" s="7"/>
      <c r="F411" s="7"/>
    </row>
    <row r="412" spans="1:6" x14ac:dyDescent="0.25">
      <c r="A412" s="7"/>
      <c r="E412" s="7"/>
      <c r="F412" s="7"/>
    </row>
    <row r="413" spans="1:6" x14ac:dyDescent="0.25">
      <c r="A413" s="7"/>
      <c r="E413" s="7"/>
      <c r="F413" s="7"/>
    </row>
    <row r="414" spans="1:6" x14ac:dyDescent="0.25">
      <c r="A414" s="7"/>
      <c r="E414" s="7"/>
      <c r="F414" s="7"/>
    </row>
    <row r="415" spans="1:6" x14ac:dyDescent="0.25">
      <c r="A415" s="7"/>
      <c r="E415" s="7"/>
      <c r="F415" s="7"/>
    </row>
    <row r="416" spans="1:6" x14ac:dyDescent="0.25">
      <c r="A416" s="7"/>
      <c r="E416" s="7"/>
      <c r="F416" s="7"/>
    </row>
    <row r="417" spans="1:6" x14ac:dyDescent="0.25">
      <c r="A417" s="7"/>
      <c r="E417" s="7"/>
      <c r="F417" s="7"/>
    </row>
    <row r="418" spans="1:6" x14ac:dyDescent="0.25">
      <c r="A418" s="7"/>
      <c r="E418" s="7"/>
      <c r="F418" s="7"/>
    </row>
    <row r="419" spans="1:6" x14ac:dyDescent="0.25">
      <c r="A419" s="7"/>
      <c r="E419" s="7"/>
      <c r="F419" s="7"/>
    </row>
    <row r="420" spans="1:6" x14ac:dyDescent="0.25">
      <c r="A420" s="7"/>
      <c r="E420" s="7"/>
      <c r="F420" s="7"/>
    </row>
    <row r="421" spans="1:6" x14ac:dyDescent="0.25">
      <c r="A421" s="7"/>
      <c r="E421" s="7"/>
      <c r="F421" s="7"/>
    </row>
    <row r="422" spans="1:6" x14ac:dyDescent="0.25">
      <c r="A422" s="7"/>
      <c r="E422" s="7"/>
      <c r="F422" s="7"/>
    </row>
    <row r="423" spans="1:6" x14ac:dyDescent="0.25">
      <c r="A423" s="7"/>
      <c r="E423" s="7"/>
      <c r="F423" s="7"/>
    </row>
    <row r="424" spans="1:6" x14ac:dyDescent="0.25">
      <c r="A424" s="7"/>
      <c r="E424" s="7"/>
      <c r="F424" s="7"/>
    </row>
    <row r="425" spans="1:6" x14ac:dyDescent="0.25">
      <c r="A425" s="7"/>
      <c r="E425" s="7"/>
      <c r="F425" s="7"/>
    </row>
    <row r="426" spans="1:6" x14ac:dyDescent="0.25">
      <c r="A426" s="7"/>
      <c r="E426" s="7"/>
      <c r="F426" s="7"/>
    </row>
    <row r="427" spans="1:6" x14ac:dyDescent="0.25">
      <c r="A427" s="7"/>
      <c r="E427" s="7"/>
      <c r="F427" s="7"/>
    </row>
    <row r="428" spans="1:6" x14ac:dyDescent="0.25">
      <c r="A428" s="7"/>
      <c r="E428" s="7"/>
      <c r="F428" s="7"/>
    </row>
    <row r="429" spans="1:6" x14ac:dyDescent="0.25">
      <c r="A429" s="7"/>
      <c r="E429" s="7"/>
      <c r="F429" s="7"/>
    </row>
    <row r="430" spans="1:6" x14ac:dyDescent="0.25">
      <c r="A430" s="7"/>
      <c r="E430" s="7"/>
      <c r="F430" s="7"/>
    </row>
    <row r="431" spans="1:6" x14ac:dyDescent="0.25">
      <c r="A431" s="7"/>
      <c r="E431" s="7"/>
      <c r="F431" s="7"/>
    </row>
    <row r="432" spans="1:6" x14ac:dyDescent="0.25">
      <c r="A432" s="7"/>
      <c r="E432" s="7"/>
      <c r="F432" s="7"/>
    </row>
    <row r="433" spans="1:6" x14ac:dyDescent="0.25">
      <c r="A433" s="7"/>
      <c r="E433" s="7"/>
      <c r="F433" s="7"/>
    </row>
    <row r="434" spans="1:6" x14ac:dyDescent="0.25">
      <c r="A434" s="7"/>
      <c r="E434" s="7"/>
      <c r="F434" s="7"/>
    </row>
    <row r="435" spans="1:6" x14ac:dyDescent="0.25">
      <c r="A435" s="7"/>
      <c r="E435" s="7"/>
      <c r="F435" s="7"/>
    </row>
    <row r="436" spans="1:6" x14ac:dyDescent="0.25">
      <c r="A436" s="7"/>
      <c r="E436" s="7"/>
      <c r="F436" s="7"/>
    </row>
    <row r="437" spans="1:6" x14ac:dyDescent="0.25">
      <c r="A437" s="7"/>
      <c r="E437" s="7"/>
      <c r="F437" s="7"/>
    </row>
    <row r="438" spans="1:6" x14ac:dyDescent="0.25">
      <c r="A438" s="7"/>
      <c r="E438" s="7"/>
      <c r="F438" s="7"/>
    </row>
    <row r="439" spans="1:6" x14ac:dyDescent="0.25">
      <c r="A439" s="7"/>
      <c r="E439" s="7"/>
      <c r="F439" s="7"/>
    </row>
    <row r="440" spans="1:6" x14ac:dyDescent="0.25">
      <c r="A440" s="7"/>
      <c r="E440" s="7"/>
      <c r="F440" s="7"/>
    </row>
    <row r="441" spans="1:6" x14ac:dyDescent="0.25">
      <c r="A441" s="7"/>
      <c r="E441" s="7"/>
      <c r="F441" s="7"/>
    </row>
    <row r="442" spans="1:6" x14ac:dyDescent="0.25">
      <c r="A442" s="7"/>
      <c r="E442" s="7"/>
      <c r="F442" s="7"/>
    </row>
    <row r="443" spans="1:6" x14ac:dyDescent="0.25">
      <c r="A443" s="7"/>
      <c r="E443" s="7"/>
      <c r="F443" s="7"/>
    </row>
    <row r="444" spans="1:6" x14ac:dyDescent="0.25">
      <c r="A444" s="7"/>
      <c r="E444" s="7"/>
      <c r="F444" s="7"/>
    </row>
    <row r="445" spans="1:6" x14ac:dyDescent="0.25">
      <c r="A445" s="7"/>
      <c r="E445" s="7"/>
      <c r="F445" s="7"/>
    </row>
    <row r="446" spans="1:6" x14ac:dyDescent="0.25">
      <c r="A446" s="7"/>
      <c r="E446" s="7"/>
      <c r="F446" s="7"/>
    </row>
    <row r="447" spans="1:6" x14ac:dyDescent="0.25">
      <c r="A447" s="7"/>
      <c r="E447" s="7"/>
      <c r="F447" s="7"/>
    </row>
    <row r="448" spans="1:6" x14ac:dyDescent="0.25">
      <c r="A448" s="7"/>
      <c r="E448" s="7"/>
      <c r="F448" s="7"/>
    </row>
    <row r="449" spans="1:6" x14ac:dyDescent="0.25">
      <c r="A449" s="7"/>
      <c r="E449" s="7"/>
      <c r="F449" s="7"/>
    </row>
    <row r="450" spans="1:6" x14ac:dyDescent="0.25">
      <c r="A450" s="7"/>
      <c r="E450" s="7"/>
      <c r="F450" s="7"/>
    </row>
    <row r="451" spans="1:6" x14ac:dyDescent="0.25">
      <c r="A451" s="7"/>
      <c r="E451" s="7"/>
      <c r="F451" s="7"/>
    </row>
    <row r="452" spans="1:6" x14ac:dyDescent="0.25">
      <c r="A452" s="7"/>
      <c r="E452" s="7"/>
      <c r="F452" s="7"/>
    </row>
    <row r="453" spans="1:6" x14ac:dyDescent="0.25">
      <c r="A453" s="7"/>
      <c r="E453" s="7"/>
      <c r="F453" s="7"/>
    </row>
    <row r="454" spans="1:6" x14ac:dyDescent="0.25">
      <c r="A454" s="7"/>
      <c r="E454" s="7"/>
      <c r="F454" s="7"/>
    </row>
    <row r="455" spans="1:6" x14ac:dyDescent="0.25">
      <c r="A455" s="7"/>
      <c r="E455" s="7"/>
      <c r="F455" s="7"/>
    </row>
    <row r="456" spans="1:6" x14ac:dyDescent="0.25">
      <c r="A456" s="7"/>
      <c r="E456" s="7"/>
      <c r="F456" s="7"/>
    </row>
    <row r="457" spans="1:6" x14ac:dyDescent="0.25">
      <c r="A457" s="7"/>
      <c r="E457" s="7"/>
      <c r="F457" s="7"/>
    </row>
    <row r="458" spans="1:6" x14ac:dyDescent="0.25">
      <c r="A458" s="7"/>
      <c r="E458" s="7"/>
      <c r="F458" s="7"/>
    </row>
    <row r="459" spans="1:6" x14ac:dyDescent="0.25">
      <c r="A459" s="7"/>
      <c r="E459" s="7"/>
      <c r="F459" s="7"/>
    </row>
    <row r="460" spans="1:6" x14ac:dyDescent="0.25">
      <c r="A460" s="7"/>
      <c r="E460" s="7"/>
      <c r="F460" s="7"/>
    </row>
    <row r="461" spans="1:6" x14ac:dyDescent="0.25">
      <c r="A461" s="7"/>
      <c r="E461" s="7"/>
      <c r="F461" s="7"/>
    </row>
    <row r="462" spans="1:6" x14ac:dyDescent="0.25">
      <c r="A462" s="7"/>
      <c r="E462" s="7"/>
      <c r="F462" s="7"/>
    </row>
    <row r="463" spans="1:6" x14ac:dyDescent="0.25">
      <c r="A463" s="7"/>
      <c r="E463" s="7"/>
      <c r="F463" s="7"/>
    </row>
    <row r="464" spans="1:6" x14ac:dyDescent="0.25">
      <c r="A464" s="7"/>
      <c r="E464" s="7"/>
      <c r="F464" s="7"/>
    </row>
    <row r="465" spans="1:6" x14ac:dyDescent="0.25">
      <c r="A465" s="7"/>
      <c r="E465" s="7"/>
      <c r="F465" s="7"/>
    </row>
    <row r="466" spans="1:6" x14ac:dyDescent="0.25">
      <c r="A466" s="7"/>
      <c r="E466" s="7"/>
      <c r="F466" s="7"/>
    </row>
    <row r="467" spans="1:6" x14ac:dyDescent="0.25">
      <c r="A467" s="7"/>
      <c r="E467" s="7"/>
      <c r="F467" s="7"/>
    </row>
    <row r="468" spans="1:6" x14ac:dyDescent="0.25">
      <c r="A468" s="7"/>
      <c r="E468" s="7"/>
      <c r="F468" s="7"/>
    </row>
    <row r="469" spans="1:6" x14ac:dyDescent="0.25">
      <c r="A469" s="7"/>
      <c r="E469" s="7"/>
      <c r="F469" s="7"/>
    </row>
    <row r="470" spans="1:6" x14ac:dyDescent="0.25">
      <c r="A470" s="7"/>
      <c r="E470" s="7"/>
      <c r="F470" s="7"/>
    </row>
    <row r="471" spans="1:6" x14ac:dyDescent="0.25">
      <c r="A471" s="7"/>
      <c r="E471" s="7"/>
      <c r="F471" s="7"/>
    </row>
    <row r="472" spans="1:6" x14ac:dyDescent="0.25">
      <c r="A472" s="7"/>
      <c r="E472" s="7"/>
      <c r="F472" s="7"/>
    </row>
    <row r="473" spans="1:6" x14ac:dyDescent="0.25">
      <c r="A473" s="7"/>
      <c r="E473" s="7"/>
      <c r="F473" s="7"/>
    </row>
    <row r="474" spans="1:6" x14ac:dyDescent="0.25">
      <c r="A474" s="7"/>
      <c r="E474" s="7"/>
      <c r="F474" s="7"/>
    </row>
    <row r="475" spans="1:6" x14ac:dyDescent="0.25">
      <c r="A475" s="7"/>
      <c r="E475" s="7"/>
      <c r="F475" s="7"/>
    </row>
    <row r="476" spans="1:6" x14ac:dyDescent="0.25">
      <c r="A476" s="7"/>
      <c r="E476" s="7"/>
      <c r="F476" s="7"/>
    </row>
    <row r="477" spans="1:6" x14ac:dyDescent="0.25">
      <c r="A477" s="7"/>
      <c r="E477" s="7"/>
      <c r="F477" s="7"/>
    </row>
    <row r="478" spans="1:6" x14ac:dyDescent="0.25">
      <c r="A478" s="7"/>
      <c r="E478" s="7"/>
      <c r="F478" s="7"/>
    </row>
    <row r="479" spans="1:6" x14ac:dyDescent="0.25">
      <c r="A479" s="7"/>
      <c r="E479" s="7"/>
      <c r="F479" s="7"/>
    </row>
    <row r="480" spans="1:6" x14ac:dyDescent="0.25">
      <c r="A480" s="7"/>
      <c r="E480" s="7"/>
      <c r="F480" s="7"/>
    </row>
    <row r="481" spans="1:6" x14ac:dyDescent="0.25">
      <c r="A481" s="7"/>
      <c r="E481" s="7"/>
      <c r="F481" s="7"/>
    </row>
    <row r="482" spans="1:6" x14ac:dyDescent="0.25">
      <c r="A482" s="7"/>
      <c r="E482" s="7"/>
      <c r="F482" s="7"/>
    </row>
    <row r="483" spans="1:6" x14ac:dyDescent="0.25">
      <c r="A483" s="7"/>
      <c r="E483" s="7"/>
      <c r="F483" s="7"/>
    </row>
    <row r="484" spans="1:6" x14ac:dyDescent="0.25">
      <c r="A484" s="7"/>
      <c r="E484" s="7"/>
      <c r="F484" s="7"/>
    </row>
    <row r="485" spans="1:6" x14ac:dyDescent="0.25">
      <c r="A485" s="7"/>
      <c r="E485" s="7"/>
      <c r="F485" s="7"/>
    </row>
    <row r="486" spans="1:6" x14ac:dyDescent="0.25">
      <c r="A486" s="7"/>
      <c r="E486" s="7"/>
      <c r="F486" s="7"/>
    </row>
    <row r="487" spans="1:6" x14ac:dyDescent="0.25">
      <c r="A487" s="7"/>
      <c r="E487" s="7"/>
      <c r="F487" s="7"/>
    </row>
    <row r="488" spans="1:6" x14ac:dyDescent="0.25">
      <c r="A488" s="7"/>
      <c r="E488" s="7"/>
      <c r="F488" s="7"/>
    </row>
    <row r="489" spans="1:6" x14ac:dyDescent="0.25">
      <c r="A489" s="7"/>
      <c r="E489" s="7"/>
      <c r="F489" s="7"/>
    </row>
    <row r="490" spans="1:6" x14ac:dyDescent="0.25">
      <c r="A490" s="7"/>
      <c r="E490" s="7"/>
      <c r="F490" s="7"/>
    </row>
    <row r="491" spans="1:6" x14ac:dyDescent="0.25">
      <c r="A491" s="7"/>
      <c r="E491" s="7"/>
      <c r="F491" s="7"/>
    </row>
    <row r="492" spans="1:6" x14ac:dyDescent="0.25">
      <c r="A492" s="7"/>
      <c r="E492" s="7"/>
      <c r="F492" s="7"/>
    </row>
    <row r="493" spans="1:6" x14ac:dyDescent="0.25">
      <c r="A493" s="7"/>
      <c r="E493" s="7"/>
      <c r="F493" s="7"/>
    </row>
    <row r="494" spans="1:6" x14ac:dyDescent="0.25">
      <c r="A494" s="7"/>
      <c r="E494" s="7"/>
      <c r="F494" s="7"/>
    </row>
    <row r="495" spans="1:6" x14ac:dyDescent="0.25">
      <c r="A495" s="7"/>
      <c r="E495" s="7"/>
      <c r="F495" s="7"/>
    </row>
    <row r="496" spans="1:6" x14ac:dyDescent="0.25">
      <c r="A496" s="7"/>
      <c r="E496" s="7"/>
      <c r="F496" s="7"/>
    </row>
    <row r="497" spans="1:6" x14ac:dyDescent="0.25">
      <c r="A497" s="7"/>
      <c r="E497" s="7"/>
      <c r="F497" s="7"/>
    </row>
    <row r="498" spans="1:6" x14ac:dyDescent="0.25">
      <c r="A498" s="7"/>
      <c r="E498" s="7"/>
      <c r="F498" s="7"/>
    </row>
    <row r="499" spans="1:6" x14ac:dyDescent="0.25">
      <c r="A499" s="7"/>
      <c r="E499" s="7"/>
      <c r="F499" s="7"/>
    </row>
    <row r="500" spans="1:6" x14ac:dyDescent="0.25">
      <c r="A500" s="7"/>
      <c r="E500" s="7"/>
      <c r="F500" s="7"/>
    </row>
    <row r="501" spans="1:6" x14ac:dyDescent="0.25">
      <c r="A501" s="7"/>
      <c r="E501" s="7"/>
      <c r="F501" s="7"/>
    </row>
    <row r="502" spans="1:6" x14ac:dyDescent="0.25">
      <c r="A502" s="7"/>
      <c r="E502" s="7"/>
      <c r="F502" s="7"/>
    </row>
    <row r="503" spans="1:6" x14ac:dyDescent="0.25">
      <c r="A503" s="7"/>
      <c r="E503" s="7"/>
      <c r="F503" s="7"/>
    </row>
    <row r="504" spans="1:6" x14ac:dyDescent="0.25">
      <c r="A504" s="7"/>
      <c r="E504" s="7"/>
      <c r="F504" s="7"/>
    </row>
    <row r="505" spans="1:6" x14ac:dyDescent="0.25">
      <c r="A505" s="7"/>
      <c r="E505" s="7"/>
      <c r="F505" s="7"/>
    </row>
    <row r="506" spans="1:6" x14ac:dyDescent="0.25">
      <c r="A506" s="7"/>
      <c r="E506" s="7"/>
      <c r="F506" s="7"/>
    </row>
    <row r="507" spans="1:6" x14ac:dyDescent="0.25">
      <c r="A507" s="7"/>
      <c r="E507" s="7"/>
      <c r="F507" s="7"/>
    </row>
    <row r="508" spans="1:6" x14ac:dyDescent="0.25">
      <c r="A508" s="7"/>
      <c r="E508" s="7"/>
      <c r="F508" s="7"/>
    </row>
    <row r="509" spans="1:6" x14ac:dyDescent="0.25">
      <c r="A509" s="7"/>
      <c r="E509" s="7"/>
      <c r="F509" s="7"/>
    </row>
    <row r="510" spans="1:6" x14ac:dyDescent="0.25">
      <c r="A510" s="7"/>
      <c r="E510" s="7"/>
      <c r="F510" s="7"/>
    </row>
    <row r="511" spans="1:6" x14ac:dyDescent="0.25">
      <c r="A511" s="7"/>
      <c r="E511" s="7"/>
      <c r="F511" s="7"/>
    </row>
    <row r="512" spans="1:6" x14ac:dyDescent="0.25">
      <c r="A512" s="7"/>
      <c r="E512" s="7"/>
      <c r="F512" s="7"/>
    </row>
    <row r="513" spans="1:6" x14ac:dyDescent="0.25">
      <c r="A513" s="7"/>
      <c r="E513" s="7"/>
      <c r="F513" s="7"/>
    </row>
    <row r="514" spans="1:6" x14ac:dyDescent="0.25">
      <c r="A514" s="7"/>
      <c r="E514" s="7"/>
      <c r="F514" s="7"/>
    </row>
    <row r="515" spans="1:6" x14ac:dyDescent="0.25">
      <c r="A515" s="7"/>
      <c r="E515" s="7"/>
      <c r="F515" s="7"/>
    </row>
    <row r="516" spans="1:6" x14ac:dyDescent="0.25">
      <c r="A516" s="7"/>
      <c r="E516" s="7"/>
      <c r="F516" s="7"/>
    </row>
    <row r="517" spans="1:6" x14ac:dyDescent="0.25">
      <c r="A517" s="7"/>
      <c r="E517" s="7"/>
      <c r="F517" s="7"/>
    </row>
    <row r="518" spans="1:6" x14ac:dyDescent="0.25">
      <c r="A518" s="7"/>
      <c r="E518" s="7"/>
      <c r="F518" s="7"/>
    </row>
    <row r="519" spans="1:6" x14ac:dyDescent="0.25">
      <c r="A519" s="7"/>
      <c r="E519" s="7"/>
      <c r="F519" s="7"/>
    </row>
    <row r="520" spans="1:6" x14ac:dyDescent="0.25">
      <c r="A520" s="7"/>
      <c r="E520" s="7"/>
      <c r="F520" s="7"/>
    </row>
    <row r="521" spans="1:6" x14ac:dyDescent="0.25">
      <c r="A521" s="7"/>
      <c r="E521" s="7"/>
      <c r="F521" s="7"/>
    </row>
    <row r="522" spans="1:6" x14ac:dyDescent="0.25">
      <c r="A522" s="7"/>
      <c r="E522" s="7"/>
      <c r="F522" s="7"/>
    </row>
    <row r="523" spans="1:6" x14ac:dyDescent="0.25">
      <c r="A523" s="7"/>
      <c r="E523" s="7"/>
      <c r="F523" s="7"/>
    </row>
    <row r="524" spans="1:6" x14ac:dyDescent="0.25">
      <c r="A524" s="7"/>
      <c r="E524" s="7"/>
      <c r="F524" s="7"/>
    </row>
    <row r="525" spans="1:6" x14ac:dyDescent="0.25">
      <c r="A525" s="7"/>
      <c r="E525" s="7"/>
      <c r="F525" s="7"/>
    </row>
    <row r="526" spans="1:6" x14ac:dyDescent="0.25">
      <c r="A526" s="7"/>
      <c r="E526" s="7"/>
      <c r="F526" s="7"/>
    </row>
    <row r="527" spans="1:6" x14ac:dyDescent="0.25">
      <c r="A527" s="7"/>
      <c r="E527" s="7"/>
      <c r="F527" s="7"/>
    </row>
    <row r="528" spans="1:6" x14ac:dyDescent="0.25">
      <c r="A528" s="7"/>
      <c r="E528" s="7"/>
      <c r="F528" s="7"/>
    </row>
    <row r="529" spans="1:6" x14ac:dyDescent="0.25">
      <c r="A529" s="7"/>
      <c r="E529" s="7"/>
      <c r="F529" s="7"/>
    </row>
    <row r="530" spans="1:6" x14ac:dyDescent="0.25">
      <c r="A530" s="7"/>
      <c r="E530" s="7"/>
      <c r="F530" s="7"/>
    </row>
    <row r="531" spans="1:6" x14ac:dyDescent="0.25">
      <c r="A531" s="7"/>
      <c r="E531" s="7"/>
      <c r="F531" s="7"/>
    </row>
    <row r="532" spans="1:6" x14ac:dyDescent="0.25">
      <c r="A532" s="7"/>
      <c r="E532" s="7"/>
      <c r="F532" s="7"/>
    </row>
    <row r="533" spans="1:6" x14ac:dyDescent="0.25">
      <c r="A533" s="7"/>
      <c r="E533" s="7"/>
      <c r="F533" s="7"/>
    </row>
    <row r="534" spans="1:6" x14ac:dyDescent="0.25">
      <c r="A534" s="7"/>
      <c r="E534" s="7"/>
      <c r="F534" s="7"/>
    </row>
    <row r="535" spans="1:6" x14ac:dyDescent="0.25">
      <c r="A535" s="7"/>
      <c r="E535" s="7"/>
      <c r="F535" s="7"/>
    </row>
    <row r="536" spans="1:6" x14ac:dyDescent="0.25">
      <c r="A536" s="7"/>
      <c r="E536" s="7"/>
      <c r="F536" s="7"/>
    </row>
    <row r="537" spans="1:6" x14ac:dyDescent="0.25">
      <c r="A537" s="7"/>
      <c r="E537" s="7"/>
      <c r="F537" s="7"/>
    </row>
    <row r="538" spans="1:6" x14ac:dyDescent="0.25">
      <c r="A538" s="7"/>
      <c r="E538" s="7"/>
      <c r="F538" s="7"/>
    </row>
    <row r="539" spans="1:6" x14ac:dyDescent="0.25">
      <c r="A539" s="7"/>
      <c r="E539" s="7"/>
      <c r="F539" s="7"/>
    </row>
    <row r="540" spans="1:6" x14ac:dyDescent="0.25">
      <c r="A540" s="7"/>
      <c r="E540" s="7"/>
      <c r="F540" s="7"/>
    </row>
    <row r="541" spans="1:6" x14ac:dyDescent="0.25">
      <c r="A541" s="7"/>
      <c r="E541" s="7"/>
      <c r="F541" s="7"/>
    </row>
    <row r="542" spans="1:6" x14ac:dyDescent="0.25">
      <c r="A542" s="7"/>
      <c r="E542" s="7"/>
      <c r="F542" s="7"/>
    </row>
    <row r="543" spans="1:6" x14ac:dyDescent="0.25">
      <c r="A543" s="7"/>
      <c r="E543" s="7"/>
      <c r="F543" s="7"/>
    </row>
    <row r="544" spans="1:6" x14ac:dyDescent="0.25">
      <c r="A544" s="7"/>
      <c r="E544" s="7"/>
      <c r="F544" s="7"/>
    </row>
    <row r="545" spans="1:6" x14ac:dyDescent="0.25">
      <c r="A545" s="7"/>
      <c r="E545" s="7"/>
      <c r="F545" s="7"/>
    </row>
    <row r="546" spans="1:6" x14ac:dyDescent="0.25">
      <c r="A546" s="7"/>
      <c r="E546" s="7"/>
      <c r="F546" s="7"/>
    </row>
    <row r="547" spans="1:6" x14ac:dyDescent="0.25">
      <c r="A547" s="7"/>
      <c r="E547" s="7"/>
      <c r="F547" s="7"/>
    </row>
    <row r="548" spans="1:6" x14ac:dyDescent="0.25">
      <c r="A548" s="7"/>
      <c r="E548" s="7"/>
      <c r="F548" s="7"/>
    </row>
    <row r="549" spans="1:6" x14ac:dyDescent="0.25">
      <c r="A549" s="7"/>
      <c r="E549" s="7"/>
      <c r="F549" s="7"/>
    </row>
    <row r="550" spans="1:6" x14ac:dyDescent="0.25">
      <c r="A550" s="7"/>
      <c r="E550" s="7"/>
      <c r="F550" s="7"/>
    </row>
    <row r="551" spans="1:6" x14ac:dyDescent="0.25">
      <c r="A551" s="7"/>
      <c r="E551" s="7"/>
      <c r="F551" s="7"/>
    </row>
    <row r="552" spans="1:6" x14ac:dyDescent="0.25">
      <c r="A552" s="7"/>
      <c r="E552" s="7"/>
      <c r="F552" s="7"/>
    </row>
    <row r="553" spans="1:6" x14ac:dyDescent="0.25">
      <c r="A553" s="7"/>
      <c r="E553" s="7"/>
      <c r="F553" s="7"/>
    </row>
    <row r="554" spans="1:6" x14ac:dyDescent="0.25">
      <c r="A554" s="7"/>
      <c r="E554" s="7"/>
      <c r="F554" s="7"/>
    </row>
    <row r="555" spans="1:6" x14ac:dyDescent="0.25">
      <c r="A555" s="7"/>
      <c r="E555" s="7"/>
      <c r="F555" s="7"/>
    </row>
    <row r="556" spans="1:6" x14ac:dyDescent="0.25">
      <c r="A556" s="7"/>
      <c r="E556" s="7"/>
      <c r="F556" s="7"/>
    </row>
    <row r="557" spans="1:6" x14ac:dyDescent="0.25">
      <c r="A557" s="7"/>
      <c r="E557" s="7"/>
      <c r="F557" s="7"/>
    </row>
    <row r="558" spans="1:6" x14ac:dyDescent="0.25">
      <c r="A558" s="7"/>
      <c r="E558" s="7"/>
      <c r="F558" s="7"/>
    </row>
    <row r="559" spans="1:6" x14ac:dyDescent="0.25">
      <c r="A559" s="7"/>
      <c r="E559" s="7"/>
      <c r="F559" s="7"/>
    </row>
    <row r="560" spans="1:6" x14ac:dyDescent="0.25">
      <c r="A560" s="7"/>
      <c r="E560" s="7"/>
      <c r="F560" s="7"/>
    </row>
    <row r="561" spans="1:6" x14ac:dyDescent="0.25">
      <c r="A561" s="7"/>
      <c r="E561" s="7"/>
      <c r="F561" s="7"/>
    </row>
    <row r="562" spans="1:6" x14ac:dyDescent="0.25">
      <c r="A562" s="7"/>
      <c r="E562" s="7"/>
      <c r="F562" s="7"/>
    </row>
    <row r="563" spans="1:6" x14ac:dyDescent="0.25">
      <c r="A563" s="7"/>
      <c r="E563" s="7"/>
      <c r="F563" s="7"/>
    </row>
    <row r="564" spans="1:6" x14ac:dyDescent="0.25">
      <c r="A564" s="7"/>
      <c r="E564" s="7"/>
      <c r="F564" s="7"/>
    </row>
    <row r="565" spans="1:6" x14ac:dyDescent="0.25">
      <c r="A565" s="7"/>
      <c r="E565" s="7"/>
      <c r="F565" s="7"/>
    </row>
    <row r="566" spans="1:6" x14ac:dyDescent="0.25">
      <c r="A566" s="7"/>
      <c r="E566" s="7"/>
      <c r="F566" s="7"/>
    </row>
    <row r="567" spans="1:6" x14ac:dyDescent="0.25">
      <c r="A567" s="7"/>
      <c r="E567" s="7"/>
      <c r="F567" s="7"/>
    </row>
    <row r="568" spans="1:6" x14ac:dyDescent="0.25">
      <c r="A568" s="7"/>
      <c r="E568" s="7"/>
      <c r="F568" s="7"/>
    </row>
    <row r="569" spans="1:6" x14ac:dyDescent="0.25">
      <c r="A569" s="7"/>
      <c r="E569" s="7"/>
      <c r="F569" s="7"/>
    </row>
    <row r="570" spans="1:6" x14ac:dyDescent="0.25">
      <c r="A570" s="7"/>
      <c r="E570" s="7"/>
      <c r="F570" s="7"/>
    </row>
    <row r="571" spans="1:6" x14ac:dyDescent="0.25">
      <c r="A571" s="7"/>
      <c r="E571" s="7"/>
      <c r="F571" s="7"/>
    </row>
    <row r="572" spans="1:6" x14ac:dyDescent="0.25">
      <c r="A572" s="7"/>
      <c r="E572" s="7"/>
      <c r="F572" s="7"/>
    </row>
    <row r="573" spans="1:6" x14ac:dyDescent="0.25">
      <c r="A573" s="7"/>
      <c r="E573" s="7"/>
      <c r="F573" s="7"/>
    </row>
    <row r="574" spans="1:6" x14ac:dyDescent="0.25">
      <c r="A574" s="7"/>
      <c r="E574" s="7"/>
      <c r="F574" s="7"/>
    </row>
    <row r="575" spans="1:6" x14ac:dyDescent="0.25">
      <c r="A575" s="7"/>
      <c r="E575" s="7"/>
      <c r="F575" s="7"/>
    </row>
    <row r="576" spans="1:6" x14ac:dyDescent="0.25">
      <c r="A576" s="7"/>
      <c r="E576" s="7"/>
      <c r="F576" s="7"/>
    </row>
    <row r="577" spans="1:6" x14ac:dyDescent="0.25">
      <c r="A577" s="7"/>
      <c r="E577" s="7"/>
      <c r="F577" s="7"/>
    </row>
    <row r="578" spans="1:6" x14ac:dyDescent="0.25">
      <c r="A578" s="7"/>
      <c r="E578" s="7"/>
      <c r="F578" s="7"/>
    </row>
    <row r="579" spans="1:6" x14ac:dyDescent="0.25">
      <c r="A579" s="7"/>
      <c r="E579" s="7"/>
      <c r="F579" s="7"/>
    </row>
    <row r="580" spans="1:6" x14ac:dyDescent="0.25">
      <c r="A580" s="7"/>
      <c r="E580" s="7"/>
      <c r="F580" s="7"/>
    </row>
    <row r="581" spans="1:6" x14ac:dyDescent="0.25">
      <c r="A581" s="7"/>
      <c r="E581" s="7"/>
      <c r="F581" s="7"/>
    </row>
    <row r="582" spans="1:6" x14ac:dyDescent="0.25">
      <c r="A582" s="7"/>
      <c r="E582" s="7"/>
      <c r="F582" s="7"/>
    </row>
    <row r="583" spans="1:6" x14ac:dyDescent="0.25">
      <c r="A583" s="7"/>
      <c r="E583" s="7"/>
      <c r="F583" s="7"/>
    </row>
    <row r="584" spans="1:6" x14ac:dyDescent="0.25">
      <c r="A584" s="7"/>
      <c r="E584" s="7"/>
      <c r="F584" s="7"/>
    </row>
    <row r="585" spans="1:6" x14ac:dyDescent="0.25">
      <c r="A585" s="7"/>
      <c r="E585" s="7"/>
      <c r="F585" s="7"/>
    </row>
    <row r="586" spans="1:6" x14ac:dyDescent="0.25">
      <c r="A586" s="7"/>
      <c r="E586" s="7"/>
      <c r="F586" s="7"/>
    </row>
    <row r="587" spans="1:6" x14ac:dyDescent="0.25">
      <c r="A587" s="7"/>
      <c r="E587" s="7"/>
      <c r="F587" s="7"/>
    </row>
    <row r="588" spans="1:6" x14ac:dyDescent="0.25">
      <c r="A588" s="7"/>
      <c r="E588" s="7"/>
      <c r="F588" s="7"/>
    </row>
    <row r="589" spans="1:6" x14ac:dyDescent="0.25">
      <c r="A589" s="7"/>
      <c r="E589" s="7"/>
      <c r="F589" s="7"/>
    </row>
    <row r="590" spans="1:6" x14ac:dyDescent="0.25">
      <c r="A590" s="7"/>
      <c r="E590" s="7"/>
      <c r="F590" s="7"/>
    </row>
    <row r="591" spans="1:6" x14ac:dyDescent="0.25">
      <c r="A591" s="7"/>
      <c r="E591" s="7"/>
      <c r="F591" s="7"/>
    </row>
    <row r="592" spans="1:6" x14ac:dyDescent="0.25">
      <c r="A592" s="7"/>
      <c r="E592" s="7"/>
      <c r="F592" s="7"/>
    </row>
    <row r="593" spans="1:6" x14ac:dyDescent="0.25">
      <c r="A593" s="7"/>
      <c r="E593" s="7"/>
      <c r="F593" s="7"/>
    </row>
    <row r="594" spans="1:6" x14ac:dyDescent="0.25">
      <c r="A594" s="7"/>
      <c r="E594" s="7"/>
      <c r="F594" s="7"/>
    </row>
    <row r="595" spans="1:6" x14ac:dyDescent="0.25">
      <c r="A595" s="7"/>
      <c r="E595" s="7"/>
      <c r="F595" s="7"/>
    </row>
    <row r="596" spans="1:6" x14ac:dyDescent="0.25">
      <c r="A596" s="7"/>
      <c r="E596" s="7"/>
      <c r="F596" s="7"/>
    </row>
    <row r="597" spans="1:6" x14ac:dyDescent="0.25">
      <c r="A597" s="7"/>
      <c r="E597" s="7"/>
      <c r="F597" s="7"/>
    </row>
    <row r="598" spans="1:6" x14ac:dyDescent="0.25">
      <c r="A598" s="7"/>
      <c r="E598" s="7"/>
      <c r="F598" s="7"/>
    </row>
    <row r="599" spans="1:6" x14ac:dyDescent="0.25">
      <c r="A599" s="7"/>
      <c r="E599" s="7"/>
      <c r="F599" s="7"/>
    </row>
    <row r="600" spans="1:6" x14ac:dyDescent="0.25">
      <c r="A600" s="7"/>
      <c r="E600" s="7"/>
      <c r="F600" s="7"/>
    </row>
    <row r="601" spans="1:6" x14ac:dyDescent="0.25">
      <c r="A601" s="7"/>
      <c r="E601" s="7"/>
      <c r="F601" s="7"/>
    </row>
    <row r="602" spans="1:6" x14ac:dyDescent="0.25">
      <c r="A602" s="7"/>
      <c r="E602" s="7"/>
      <c r="F602" s="7"/>
    </row>
    <row r="603" spans="1:6" x14ac:dyDescent="0.25">
      <c r="A603" s="7"/>
      <c r="E603" s="7"/>
      <c r="F603" s="7"/>
    </row>
    <row r="604" spans="1:6" x14ac:dyDescent="0.25">
      <c r="A604" s="7"/>
      <c r="E604" s="7"/>
      <c r="F604" s="7"/>
    </row>
    <row r="605" spans="1:6" x14ac:dyDescent="0.25">
      <c r="A605" s="7"/>
      <c r="E605" s="7"/>
      <c r="F605" s="7"/>
    </row>
    <row r="606" spans="1:6" x14ac:dyDescent="0.25">
      <c r="A606" s="7"/>
      <c r="E606" s="7"/>
      <c r="F606" s="7"/>
    </row>
    <row r="607" spans="1:6" x14ac:dyDescent="0.25">
      <c r="A607" s="7"/>
      <c r="E607" s="7"/>
      <c r="F607" s="7"/>
    </row>
    <row r="608" spans="1:6" x14ac:dyDescent="0.25">
      <c r="A608" s="7"/>
      <c r="E608" s="7"/>
      <c r="F608" s="7"/>
    </row>
    <row r="609" spans="1:6" x14ac:dyDescent="0.25">
      <c r="A609" s="7"/>
      <c r="E609" s="7"/>
      <c r="F609" s="7"/>
    </row>
    <row r="610" spans="1:6" x14ac:dyDescent="0.25">
      <c r="A610" s="7"/>
      <c r="E610" s="7"/>
      <c r="F610" s="7"/>
    </row>
    <row r="611" spans="1:6" x14ac:dyDescent="0.25">
      <c r="A611" s="7"/>
      <c r="E611" s="7"/>
      <c r="F611" s="7"/>
    </row>
    <row r="612" spans="1:6" x14ac:dyDescent="0.25">
      <c r="A612" s="7"/>
      <c r="E612" s="7"/>
      <c r="F612" s="7"/>
    </row>
    <row r="613" spans="1:6" x14ac:dyDescent="0.25">
      <c r="A613" s="7"/>
      <c r="E613" s="7"/>
      <c r="F613" s="7"/>
    </row>
    <row r="614" spans="1:6" x14ac:dyDescent="0.25">
      <c r="A614" s="7"/>
      <c r="E614" s="7"/>
      <c r="F614" s="7"/>
    </row>
    <row r="615" spans="1:6" x14ac:dyDescent="0.25">
      <c r="A615" s="7"/>
      <c r="E615" s="7"/>
      <c r="F615" s="7"/>
    </row>
    <row r="616" spans="1:6" x14ac:dyDescent="0.25">
      <c r="A616" s="7"/>
      <c r="E616" s="7"/>
      <c r="F616" s="7"/>
    </row>
    <row r="617" spans="1:6" x14ac:dyDescent="0.25">
      <c r="A617" s="7"/>
      <c r="E617" s="7"/>
      <c r="F617" s="7"/>
    </row>
    <row r="618" spans="1:6" x14ac:dyDescent="0.25">
      <c r="A618" s="7"/>
      <c r="E618" s="7"/>
      <c r="F618" s="7"/>
    </row>
    <row r="619" spans="1:6" x14ac:dyDescent="0.25">
      <c r="A619" s="7"/>
      <c r="E619" s="7"/>
      <c r="F619" s="7"/>
    </row>
    <row r="620" spans="1:6" x14ac:dyDescent="0.25">
      <c r="A620" s="7"/>
      <c r="E620" s="7"/>
      <c r="F620" s="7"/>
    </row>
    <row r="621" spans="1:6" x14ac:dyDescent="0.25">
      <c r="A621" s="7"/>
      <c r="E621" s="7"/>
      <c r="F621" s="7"/>
    </row>
    <row r="622" spans="1:6" x14ac:dyDescent="0.25">
      <c r="A622" s="7"/>
      <c r="E622" s="7"/>
      <c r="F622" s="7"/>
    </row>
    <row r="623" spans="1:6" x14ac:dyDescent="0.25">
      <c r="A623" s="7"/>
      <c r="E623" s="7"/>
      <c r="F623" s="7"/>
    </row>
    <row r="624" spans="1:6" x14ac:dyDescent="0.25">
      <c r="A624" s="7"/>
      <c r="E624" s="7"/>
      <c r="F624" s="7"/>
    </row>
    <row r="625" spans="1:6" x14ac:dyDescent="0.25">
      <c r="A625" s="7"/>
      <c r="E625" s="7"/>
      <c r="F625" s="7"/>
    </row>
    <row r="626" spans="1:6" x14ac:dyDescent="0.25">
      <c r="A626" s="7"/>
      <c r="E626" s="7"/>
      <c r="F626" s="7"/>
    </row>
    <row r="627" spans="1:6" x14ac:dyDescent="0.25">
      <c r="A627" s="7"/>
      <c r="E627" s="7"/>
      <c r="F627" s="7"/>
    </row>
    <row r="628" spans="1:6" x14ac:dyDescent="0.25">
      <c r="A628" s="7"/>
      <c r="E628" s="7"/>
      <c r="F628" s="7"/>
    </row>
    <row r="629" spans="1:6" x14ac:dyDescent="0.25">
      <c r="A629" s="7"/>
      <c r="E629" s="7"/>
      <c r="F629" s="7"/>
    </row>
    <row r="630" spans="1:6" x14ac:dyDescent="0.25">
      <c r="A630" s="7"/>
      <c r="E630" s="7"/>
      <c r="F630" s="7"/>
    </row>
    <row r="631" spans="1:6" x14ac:dyDescent="0.25">
      <c r="A631" s="7"/>
      <c r="E631" s="7"/>
      <c r="F631" s="7"/>
    </row>
    <row r="632" spans="1:6" x14ac:dyDescent="0.25">
      <c r="A632" s="7"/>
      <c r="E632" s="7"/>
      <c r="F632" s="7"/>
    </row>
    <row r="633" spans="1:6" x14ac:dyDescent="0.25">
      <c r="A633" s="7"/>
      <c r="E633" s="7"/>
      <c r="F633" s="7"/>
    </row>
    <row r="634" spans="1:6" x14ac:dyDescent="0.25">
      <c r="A634" s="7"/>
      <c r="E634" s="7"/>
      <c r="F634" s="7"/>
    </row>
    <row r="635" spans="1:6" x14ac:dyDescent="0.25">
      <c r="A635" s="7"/>
      <c r="E635" s="7"/>
      <c r="F635" s="7"/>
    </row>
    <row r="636" spans="1:6" x14ac:dyDescent="0.25">
      <c r="A636" s="7"/>
      <c r="E636" s="7"/>
      <c r="F636" s="7"/>
    </row>
    <row r="637" spans="1:6" x14ac:dyDescent="0.25">
      <c r="A637" s="7"/>
      <c r="E637" s="7"/>
      <c r="F637" s="7"/>
    </row>
    <row r="638" spans="1:6" x14ac:dyDescent="0.25">
      <c r="A638" s="7"/>
      <c r="E638" s="7"/>
      <c r="F638" s="7"/>
    </row>
    <row r="639" spans="1:6" x14ac:dyDescent="0.25">
      <c r="A639" s="7"/>
      <c r="E639" s="7"/>
      <c r="F639" s="7"/>
    </row>
    <row r="640" spans="1:6" x14ac:dyDescent="0.25">
      <c r="A640" s="7"/>
      <c r="E640" s="7"/>
      <c r="F640" s="7"/>
    </row>
    <row r="641" spans="1:6" x14ac:dyDescent="0.25">
      <c r="A641" s="7"/>
      <c r="E641" s="7"/>
      <c r="F641" s="7"/>
    </row>
    <row r="642" spans="1:6" x14ac:dyDescent="0.25">
      <c r="A642" s="7"/>
      <c r="E642" s="7"/>
      <c r="F642" s="7"/>
    </row>
    <row r="643" spans="1:6" x14ac:dyDescent="0.25">
      <c r="A643" s="7"/>
      <c r="E643" s="7"/>
      <c r="F643" s="7"/>
    </row>
    <row r="644" spans="1:6" x14ac:dyDescent="0.25">
      <c r="A644" s="7"/>
      <c r="E644" s="7"/>
      <c r="F644" s="7"/>
    </row>
    <row r="645" spans="1:6" x14ac:dyDescent="0.25">
      <c r="A645" s="7"/>
      <c r="E645" s="7"/>
      <c r="F645" s="7"/>
    </row>
    <row r="646" spans="1:6" x14ac:dyDescent="0.25">
      <c r="A646" s="7"/>
      <c r="E646" s="7"/>
      <c r="F646" s="7"/>
    </row>
    <row r="647" spans="1:6" x14ac:dyDescent="0.25">
      <c r="A647" s="7"/>
      <c r="E647" s="7"/>
      <c r="F647" s="7"/>
    </row>
    <row r="648" spans="1:6" x14ac:dyDescent="0.25">
      <c r="A648" s="7"/>
      <c r="E648" s="7"/>
      <c r="F648" s="7"/>
    </row>
    <row r="649" spans="1:6" x14ac:dyDescent="0.25">
      <c r="A649" s="7"/>
      <c r="E649" s="7"/>
      <c r="F649" s="7"/>
    </row>
    <row r="650" spans="1:6" x14ac:dyDescent="0.25">
      <c r="A650" s="7"/>
      <c r="E650" s="7"/>
      <c r="F650" s="7"/>
    </row>
    <row r="651" spans="1:6" x14ac:dyDescent="0.25">
      <c r="A651" s="7"/>
      <c r="E651" s="7"/>
      <c r="F651" s="7"/>
    </row>
    <row r="652" spans="1:6" x14ac:dyDescent="0.25">
      <c r="A652" s="7"/>
      <c r="E652" s="7"/>
      <c r="F652" s="7"/>
    </row>
    <row r="653" spans="1:6" x14ac:dyDescent="0.25">
      <c r="A653" s="7"/>
      <c r="E653" s="7"/>
      <c r="F653" s="7"/>
    </row>
    <row r="654" spans="1:6" x14ac:dyDescent="0.25">
      <c r="A654" s="7"/>
      <c r="E654" s="7"/>
      <c r="F654" s="7"/>
    </row>
    <row r="655" spans="1:6" x14ac:dyDescent="0.25">
      <c r="A655" s="7"/>
      <c r="E655" s="7"/>
      <c r="F655" s="7"/>
    </row>
    <row r="656" spans="1:6" x14ac:dyDescent="0.25">
      <c r="A656" s="7"/>
      <c r="E656" s="7"/>
      <c r="F656" s="7"/>
    </row>
    <row r="657" spans="1:6" x14ac:dyDescent="0.25">
      <c r="A657" s="7"/>
      <c r="E657" s="7"/>
      <c r="F657" s="7"/>
    </row>
    <row r="658" spans="1:6" x14ac:dyDescent="0.25">
      <c r="A658" s="7"/>
      <c r="E658" s="7"/>
      <c r="F658" s="7"/>
    </row>
    <row r="659" spans="1:6" x14ac:dyDescent="0.25">
      <c r="A659" s="7"/>
      <c r="E659" s="7"/>
      <c r="F659" s="7"/>
    </row>
    <row r="660" spans="1:6" x14ac:dyDescent="0.25">
      <c r="A660" s="7"/>
      <c r="E660" s="7"/>
      <c r="F660" s="7"/>
    </row>
    <row r="661" spans="1:6" x14ac:dyDescent="0.25">
      <c r="A661" s="7"/>
      <c r="E661" s="7"/>
      <c r="F661" s="7"/>
    </row>
    <row r="662" spans="1:6" x14ac:dyDescent="0.25">
      <c r="A662" s="7"/>
      <c r="E662" s="7"/>
      <c r="F662" s="7"/>
    </row>
    <row r="663" spans="1:6" x14ac:dyDescent="0.25">
      <c r="A663" s="7"/>
      <c r="E663" s="7"/>
      <c r="F663" s="7"/>
    </row>
    <row r="664" spans="1:6" x14ac:dyDescent="0.25">
      <c r="A664" s="7"/>
      <c r="E664" s="7"/>
      <c r="F664" s="7"/>
    </row>
    <row r="665" spans="1:6" x14ac:dyDescent="0.25">
      <c r="A665" s="7"/>
      <c r="E665" s="7"/>
      <c r="F665" s="7"/>
    </row>
    <row r="666" spans="1:6" x14ac:dyDescent="0.25">
      <c r="A666" s="7"/>
      <c r="E666" s="7"/>
      <c r="F666" s="7"/>
    </row>
    <row r="667" spans="1:6" x14ac:dyDescent="0.25">
      <c r="A667" s="7"/>
      <c r="E667" s="7"/>
      <c r="F667" s="7"/>
    </row>
    <row r="668" spans="1:6" x14ac:dyDescent="0.25">
      <c r="A668" s="7"/>
      <c r="E668" s="7"/>
      <c r="F668" s="7"/>
    </row>
    <row r="669" spans="1:6" x14ac:dyDescent="0.25">
      <c r="A669" s="7"/>
      <c r="E669" s="7"/>
      <c r="F669" s="7"/>
    </row>
    <row r="670" spans="1:6" x14ac:dyDescent="0.25">
      <c r="A670" s="7"/>
      <c r="E670" s="7"/>
      <c r="F670" s="7"/>
    </row>
    <row r="671" spans="1:6" x14ac:dyDescent="0.25">
      <c r="A671" s="7"/>
      <c r="E671" s="7"/>
      <c r="F671" s="7"/>
    </row>
    <row r="672" spans="1:6" x14ac:dyDescent="0.25">
      <c r="A672" s="7"/>
      <c r="E672" s="7"/>
      <c r="F672" s="7"/>
    </row>
    <row r="673" spans="1:6" x14ac:dyDescent="0.25">
      <c r="A673" s="7"/>
      <c r="E673" s="7"/>
      <c r="F673" s="7"/>
    </row>
    <row r="674" spans="1:6" x14ac:dyDescent="0.25">
      <c r="A674" s="7"/>
      <c r="E674" s="7"/>
      <c r="F674" s="7"/>
    </row>
    <row r="675" spans="1:6" x14ac:dyDescent="0.25">
      <c r="A675" s="7"/>
      <c r="E675" s="7"/>
      <c r="F675" s="7"/>
    </row>
    <row r="676" spans="1:6" x14ac:dyDescent="0.25">
      <c r="A676" s="7"/>
      <c r="E676" s="7"/>
      <c r="F676" s="7"/>
    </row>
    <row r="677" spans="1:6" x14ac:dyDescent="0.25">
      <c r="A677" s="7"/>
      <c r="E677" s="7"/>
      <c r="F677" s="7"/>
    </row>
    <row r="678" spans="1:6" x14ac:dyDescent="0.25">
      <c r="A678" s="7"/>
      <c r="E678" s="7"/>
      <c r="F678" s="7"/>
    </row>
    <row r="679" spans="1:6" x14ac:dyDescent="0.25">
      <c r="A679" s="7"/>
      <c r="E679" s="7"/>
      <c r="F679" s="7"/>
    </row>
    <row r="680" spans="1:6" x14ac:dyDescent="0.25">
      <c r="A680" s="7"/>
      <c r="E680" s="7"/>
      <c r="F680" s="7"/>
    </row>
    <row r="681" spans="1:6" x14ac:dyDescent="0.25">
      <c r="A681" s="7"/>
      <c r="E681" s="7"/>
      <c r="F681" s="7"/>
    </row>
    <row r="682" spans="1:6" x14ac:dyDescent="0.25">
      <c r="A682" s="7"/>
      <c r="E682" s="7"/>
      <c r="F682" s="7"/>
    </row>
    <row r="683" spans="1:6" x14ac:dyDescent="0.25">
      <c r="A683" s="7"/>
      <c r="E683" s="7"/>
      <c r="F683" s="7"/>
    </row>
    <row r="684" spans="1:6" x14ac:dyDescent="0.25">
      <c r="A684" s="7"/>
      <c r="E684" s="7"/>
      <c r="F684" s="7"/>
    </row>
    <row r="685" spans="1:6" x14ac:dyDescent="0.25">
      <c r="A685" s="7"/>
      <c r="E685" s="7"/>
      <c r="F685" s="7"/>
    </row>
    <row r="686" spans="1:6" x14ac:dyDescent="0.25">
      <c r="A686" s="7"/>
      <c r="E686" s="7"/>
      <c r="F686" s="7"/>
    </row>
    <row r="687" spans="1:6" x14ac:dyDescent="0.25">
      <c r="A687" s="7"/>
      <c r="E687" s="7"/>
      <c r="F687" s="7"/>
    </row>
    <row r="688" spans="1:6" x14ac:dyDescent="0.25">
      <c r="A688" s="7"/>
      <c r="E688" s="7"/>
      <c r="F688" s="7"/>
    </row>
    <row r="689" spans="1:6" x14ac:dyDescent="0.25">
      <c r="A689" s="7"/>
      <c r="E689" s="7"/>
      <c r="F689" s="7"/>
    </row>
    <row r="690" spans="1:6" x14ac:dyDescent="0.25">
      <c r="A690" s="7"/>
      <c r="E690" s="7"/>
      <c r="F690" s="7"/>
    </row>
    <row r="691" spans="1:6" x14ac:dyDescent="0.25">
      <c r="A691" s="7"/>
      <c r="E691" s="7"/>
      <c r="F691" s="7"/>
    </row>
    <row r="692" spans="1:6" x14ac:dyDescent="0.25">
      <c r="A692" s="7"/>
      <c r="E692" s="7"/>
      <c r="F692" s="7"/>
    </row>
    <row r="693" spans="1:6" x14ac:dyDescent="0.25">
      <c r="A693" s="7"/>
      <c r="E693" s="7"/>
      <c r="F693" s="7"/>
    </row>
    <row r="694" spans="1:6" x14ac:dyDescent="0.25">
      <c r="A694" s="7"/>
      <c r="E694" s="7"/>
      <c r="F694" s="7"/>
    </row>
    <row r="695" spans="1:6" x14ac:dyDescent="0.25">
      <c r="A695" s="7"/>
      <c r="E695" s="7"/>
      <c r="F695" s="7"/>
    </row>
    <row r="696" spans="1:6" x14ac:dyDescent="0.25">
      <c r="A696" s="7"/>
      <c r="E696" s="7"/>
      <c r="F696" s="7"/>
    </row>
    <row r="697" spans="1:6" x14ac:dyDescent="0.25">
      <c r="A697" s="7"/>
      <c r="E697" s="7"/>
      <c r="F697" s="7"/>
    </row>
    <row r="698" spans="1:6" x14ac:dyDescent="0.25">
      <c r="A698" s="7"/>
      <c r="E698" s="7"/>
      <c r="F698" s="7"/>
    </row>
    <row r="699" spans="1:6" x14ac:dyDescent="0.25">
      <c r="A699" s="7"/>
      <c r="E699" s="7"/>
      <c r="F699" s="7"/>
    </row>
    <row r="700" spans="1:6" x14ac:dyDescent="0.25">
      <c r="A700" s="7"/>
      <c r="E700" s="7"/>
      <c r="F700" s="7"/>
    </row>
    <row r="701" spans="1:6" x14ac:dyDescent="0.25">
      <c r="A701" s="7"/>
      <c r="E701" s="7"/>
      <c r="F701" s="7"/>
    </row>
    <row r="702" spans="1:6" x14ac:dyDescent="0.25">
      <c r="A702" s="7"/>
      <c r="E702" s="7"/>
      <c r="F702" s="7"/>
    </row>
    <row r="703" spans="1:6" x14ac:dyDescent="0.25">
      <c r="A703" s="7"/>
      <c r="E703" s="7"/>
      <c r="F703" s="7"/>
    </row>
    <row r="704" spans="1:6" x14ac:dyDescent="0.25">
      <c r="A704" s="7"/>
      <c r="E704" s="7"/>
      <c r="F704" s="7"/>
    </row>
    <row r="705" spans="1:6" x14ac:dyDescent="0.25">
      <c r="A705" s="7"/>
      <c r="E705" s="7"/>
      <c r="F705" s="7"/>
    </row>
    <row r="706" spans="1:6" x14ac:dyDescent="0.25">
      <c r="A706" s="7"/>
      <c r="E706" s="7"/>
      <c r="F706" s="7"/>
    </row>
    <row r="707" spans="1:6" x14ac:dyDescent="0.25">
      <c r="A707" s="7"/>
      <c r="E707" s="7"/>
      <c r="F707" s="7"/>
    </row>
    <row r="708" spans="1:6" x14ac:dyDescent="0.25">
      <c r="A708" s="7"/>
      <c r="E708" s="7"/>
      <c r="F708" s="7"/>
    </row>
    <row r="709" spans="1:6" x14ac:dyDescent="0.25">
      <c r="A709" s="7"/>
      <c r="E709" s="7"/>
      <c r="F709" s="7"/>
    </row>
    <row r="710" spans="1:6" x14ac:dyDescent="0.25">
      <c r="A710" s="7"/>
      <c r="E710" s="7"/>
      <c r="F710" s="7"/>
    </row>
    <row r="711" spans="1:6" x14ac:dyDescent="0.25">
      <c r="A711" s="7"/>
      <c r="E711" s="7"/>
      <c r="F711" s="7"/>
    </row>
    <row r="712" spans="1:6" x14ac:dyDescent="0.25">
      <c r="A712" s="7"/>
      <c r="E712" s="7"/>
      <c r="F712" s="7"/>
    </row>
    <row r="713" spans="1:6" x14ac:dyDescent="0.25">
      <c r="A713" s="7"/>
      <c r="E713" s="7"/>
      <c r="F713" s="7"/>
    </row>
    <row r="714" spans="1:6" x14ac:dyDescent="0.25">
      <c r="A714" s="7"/>
      <c r="E714" s="7"/>
      <c r="F714" s="7"/>
    </row>
    <row r="715" spans="1:6" x14ac:dyDescent="0.25">
      <c r="A715" s="7"/>
      <c r="E715" s="7"/>
      <c r="F715" s="7"/>
    </row>
    <row r="716" spans="1:6" x14ac:dyDescent="0.25">
      <c r="A716" s="7"/>
      <c r="E716" s="7"/>
      <c r="F716" s="7"/>
    </row>
    <row r="717" spans="1:6" x14ac:dyDescent="0.25">
      <c r="A717" s="7"/>
      <c r="E717" s="7"/>
      <c r="F717" s="7"/>
    </row>
    <row r="718" spans="1:6" x14ac:dyDescent="0.25">
      <c r="A718" s="7"/>
      <c r="E718" s="7"/>
      <c r="F718" s="7"/>
    </row>
    <row r="719" spans="1:6" x14ac:dyDescent="0.25">
      <c r="A719" s="7"/>
      <c r="E719" s="7"/>
      <c r="F719" s="7"/>
    </row>
    <row r="720" spans="1:6" x14ac:dyDescent="0.25">
      <c r="A720" s="7"/>
      <c r="E720" s="7"/>
      <c r="F720" s="7"/>
    </row>
    <row r="721" spans="1:6" x14ac:dyDescent="0.25">
      <c r="A721" s="7"/>
      <c r="E721" s="7"/>
      <c r="F721" s="7"/>
    </row>
    <row r="722" spans="1:6" x14ac:dyDescent="0.25">
      <c r="A722" s="7"/>
      <c r="E722" s="7"/>
      <c r="F722" s="7"/>
    </row>
    <row r="723" spans="1:6" x14ac:dyDescent="0.25">
      <c r="A723" s="7"/>
      <c r="E723" s="7"/>
      <c r="F723" s="7"/>
    </row>
    <row r="724" spans="1:6" x14ac:dyDescent="0.25">
      <c r="A724" s="7"/>
      <c r="E724" s="7"/>
      <c r="F724" s="7"/>
    </row>
    <row r="725" spans="1:6" x14ac:dyDescent="0.25">
      <c r="A725" s="7"/>
      <c r="E725" s="7"/>
      <c r="F725" s="7"/>
    </row>
    <row r="726" spans="1:6" x14ac:dyDescent="0.25">
      <c r="A726" s="7"/>
      <c r="E726" s="7"/>
      <c r="F726" s="7"/>
    </row>
    <row r="727" spans="1:6" x14ac:dyDescent="0.25">
      <c r="A727" s="7"/>
      <c r="E727" s="7"/>
      <c r="F727" s="7"/>
    </row>
    <row r="728" spans="1:6" x14ac:dyDescent="0.25">
      <c r="A728" s="7"/>
      <c r="E728" s="7"/>
      <c r="F728" s="7"/>
    </row>
    <row r="729" spans="1:6" x14ac:dyDescent="0.25">
      <c r="A729" s="7"/>
      <c r="E729" s="7"/>
      <c r="F729" s="7"/>
    </row>
    <row r="730" spans="1:6" x14ac:dyDescent="0.25">
      <c r="A730" s="7"/>
      <c r="E730" s="7"/>
      <c r="F730" s="7"/>
    </row>
    <row r="731" spans="1:6" x14ac:dyDescent="0.25">
      <c r="A731" s="7"/>
      <c r="E731" s="7"/>
      <c r="F731" s="7"/>
    </row>
    <row r="732" spans="1:6" x14ac:dyDescent="0.25">
      <c r="A732" s="7"/>
      <c r="E732" s="7"/>
      <c r="F732" s="7"/>
    </row>
    <row r="733" spans="1:6" x14ac:dyDescent="0.25">
      <c r="A733" s="7"/>
      <c r="E733" s="7"/>
      <c r="F733" s="7"/>
    </row>
    <row r="734" spans="1:6" x14ac:dyDescent="0.25">
      <c r="A734" s="7"/>
      <c r="E734" s="7"/>
      <c r="F734" s="7"/>
    </row>
    <row r="735" spans="1:6" x14ac:dyDescent="0.25">
      <c r="A735" s="7"/>
      <c r="E735" s="7"/>
      <c r="F735" s="7"/>
    </row>
    <row r="736" spans="1:6" x14ac:dyDescent="0.25">
      <c r="A736" s="7"/>
      <c r="E736" s="7"/>
      <c r="F736" s="7"/>
    </row>
    <row r="737" spans="1:6" x14ac:dyDescent="0.25">
      <c r="A737" s="7"/>
      <c r="E737" s="7"/>
      <c r="F737" s="7"/>
    </row>
    <row r="738" spans="1:6" x14ac:dyDescent="0.25">
      <c r="A738" s="7"/>
      <c r="E738" s="7"/>
      <c r="F738" s="7"/>
    </row>
    <row r="739" spans="1:6" x14ac:dyDescent="0.25">
      <c r="A739" s="7"/>
      <c r="E739" s="7"/>
      <c r="F739" s="7"/>
    </row>
    <row r="740" spans="1:6" x14ac:dyDescent="0.25">
      <c r="A740" s="7"/>
      <c r="E740" s="7"/>
      <c r="F740" s="7"/>
    </row>
    <row r="741" spans="1:6" x14ac:dyDescent="0.25">
      <c r="A741" s="7"/>
      <c r="E741" s="7"/>
      <c r="F741" s="7"/>
    </row>
    <row r="742" spans="1:6" x14ac:dyDescent="0.25">
      <c r="A742" s="7"/>
      <c r="E742" s="7"/>
      <c r="F742" s="7"/>
    </row>
    <row r="743" spans="1:6" x14ac:dyDescent="0.25">
      <c r="A743" s="7"/>
      <c r="E743" s="7"/>
      <c r="F743" s="7"/>
    </row>
    <row r="744" spans="1:6" x14ac:dyDescent="0.25">
      <c r="A744" s="7"/>
      <c r="E744" s="7"/>
      <c r="F744" s="7"/>
    </row>
    <row r="745" spans="1:6" x14ac:dyDescent="0.25">
      <c r="A745" s="7"/>
      <c r="E745" s="7"/>
      <c r="F745" s="7"/>
    </row>
    <row r="746" spans="1:6" x14ac:dyDescent="0.25">
      <c r="A746" s="7"/>
      <c r="E746" s="7"/>
      <c r="F746" s="7"/>
    </row>
    <row r="747" spans="1:6" x14ac:dyDescent="0.25">
      <c r="A747" s="7"/>
      <c r="E747" s="7"/>
      <c r="F747" s="7"/>
    </row>
    <row r="748" spans="1:6" x14ac:dyDescent="0.25">
      <c r="A748" s="7"/>
      <c r="E748" s="7"/>
      <c r="F748" s="7"/>
    </row>
    <row r="749" spans="1:6" x14ac:dyDescent="0.25">
      <c r="A749" s="7"/>
      <c r="E749" s="7"/>
      <c r="F749" s="7"/>
    </row>
    <row r="750" spans="1:6" x14ac:dyDescent="0.25">
      <c r="A750" s="7"/>
      <c r="E750" s="7"/>
      <c r="F750" s="7"/>
    </row>
    <row r="751" spans="1:6" x14ac:dyDescent="0.25">
      <c r="A751" s="7"/>
      <c r="E751" s="7"/>
      <c r="F751" s="7"/>
    </row>
    <row r="752" spans="1:6" x14ac:dyDescent="0.25">
      <c r="A752" s="7"/>
      <c r="E752" s="7"/>
      <c r="F752" s="7"/>
    </row>
    <row r="753" spans="1:6" x14ac:dyDescent="0.25">
      <c r="A753" s="7"/>
      <c r="E753" s="7"/>
      <c r="F753" s="7"/>
    </row>
    <row r="754" spans="1:6" x14ac:dyDescent="0.25">
      <c r="A754" s="7"/>
      <c r="E754" s="7"/>
      <c r="F754" s="7"/>
    </row>
    <row r="755" spans="1:6" x14ac:dyDescent="0.25">
      <c r="A755" s="7"/>
      <c r="E755" s="7"/>
      <c r="F755" s="7"/>
    </row>
    <row r="756" spans="1:6" x14ac:dyDescent="0.25">
      <c r="A756" s="7"/>
      <c r="E756" s="7"/>
      <c r="F756" s="7"/>
    </row>
    <row r="757" spans="1:6" x14ac:dyDescent="0.25">
      <c r="A757" s="7"/>
      <c r="E757" s="7"/>
      <c r="F757" s="7"/>
    </row>
    <row r="758" spans="1:6" x14ac:dyDescent="0.25">
      <c r="A758" s="7"/>
      <c r="E758" s="7"/>
      <c r="F758" s="7"/>
    </row>
    <row r="759" spans="1:6" x14ac:dyDescent="0.25">
      <c r="A759" s="7"/>
      <c r="E759" s="7"/>
      <c r="F759" s="7"/>
    </row>
    <row r="760" spans="1:6" x14ac:dyDescent="0.25">
      <c r="A760" s="7"/>
      <c r="E760" s="7"/>
      <c r="F760" s="7"/>
    </row>
    <row r="761" spans="1:6" x14ac:dyDescent="0.25">
      <c r="A761" s="7"/>
      <c r="E761" s="7"/>
      <c r="F761" s="7"/>
    </row>
    <row r="762" spans="1:6" x14ac:dyDescent="0.25">
      <c r="A762" s="7"/>
      <c r="E762" s="7"/>
      <c r="F762" s="7"/>
    </row>
    <row r="763" spans="1:6" x14ac:dyDescent="0.25">
      <c r="A763" s="7"/>
      <c r="E763" s="7"/>
      <c r="F763" s="7"/>
    </row>
    <row r="764" spans="1:6" x14ac:dyDescent="0.25">
      <c r="A764" s="7"/>
      <c r="E764" s="7"/>
      <c r="F764" s="7"/>
    </row>
    <row r="765" spans="1:6" x14ac:dyDescent="0.25">
      <c r="A765" s="7"/>
      <c r="E765" s="7"/>
      <c r="F765" s="7"/>
    </row>
    <row r="766" spans="1:6" x14ac:dyDescent="0.25">
      <c r="A766" s="7"/>
      <c r="E766" s="7"/>
      <c r="F766" s="7"/>
    </row>
    <row r="767" spans="1:6" x14ac:dyDescent="0.25">
      <c r="A767" s="7"/>
      <c r="E767" s="7"/>
      <c r="F767" s="7"/>
    </row>
    <row r="768" spans="1:6" x14ac:dyDescent="0.25">
      <c r="A768" s="7"/>
      <c r="E768" s="7"/>
      <c r="F768" s="7"/>
    </row>
    <row r="769" spans="1:6" x14ac:dyDescent="0.25">
      <c r="A769" s="7"/>
      <c r="E769" s="7"/>
      <c r="F769" s="7"/>
    </row>
    <row r="770" spans="1:6" x14ac:dyDescent="0.25">
      <c r="A770" s="7"/>
      <c r="E770" s="7"/>
      <c r="F770" s="7"/>
    </row>
    <row r="771" spans="1:6" x14ac:dyDescent="0.25">
      <c r="A771" s="7"/>
      <c r="E771" s="7"/>
      <c r="F771" s="7"/>
    </row>
    <row r="772" spans="1:6" x14ac:dyDescent="0.25">
      <c r="A772" s="7"/>
      <c r="E772" s="7"/>
      <c r="F772" s="7"/>
    </row>
    <row r="773" spans="1:6" x14ac:dyDescent="0.25">
      <c r="A773" s="7"/>
      <c r="E773" s="7"/>
      <c r="F773" s="7"/>
    </row>
    <row r="774" spans="1:6" x14ac:dyDescent="0.25">
      <c r="A774" s="7"/>
      <c r="E774" s="7"/>
      <c r="F774" s="7"/>
    </row>
    <row r="775" spans="1:6" x14ac:dyDescent="0.25">
      <c r="A775" s="7"/>
      <c r="E775" s="7"/>
      <c r="F775" s="7"/>
    </row>
    <row r="776" spans="1:6" x14ac:dyDescent="0.25">
      <c r="A776" s="7"/>
      <c r="E776" s="7"/>
      <c r="F776" s="7"/>
    </row>
    <row r="777" spans="1:6" x14ac:dyDescent="0.25">
      <c r="A777" s="7"/>
      <c r="E777" s="7"/>
      <c r="F777" s="7"/>
    </row>
    <row r="778" spans="1:6" x14ac:dyDescent="0.25">
      <c r="A778" s="7"/>
      <c r="E778" s="7"/>
      <c r="F778" s="7"/>
    </row>
    <row r="779" spans="1:6" x14ac:dyDescent="0.25">
      <c r="A779" s="7"/>
      <c r="E779" s="7"/>
      <c r="F779" s="7"/>
    </row>
    <row r="780" spans="1:6" x14ac:dyDescent="0.25">
      <c r="A780" s="7"/>
      <c r="E780" s="7"/>
      <c r="F780" s="7"/>
    </row>
    <row r="781" spans="1:6" x14ac:dyDescent="0.25">
      <c r="A781" s="7"/>
      <c r="E781" s="7"/>
      <c r="F781" s="7"/>
    </row>
    <row r="782" spans="1:6" x14ac:dyDescent="0.25">
      <c r="A782" s="7"/>
      <c r="E782" s="7"/>
      <c r="F782" s="7"/>
    </row>
    <row r="783" spans="1:6" x14ac:dyDescent="0.25">
      <c r="A783" s="7"/>
      <c r="E783" s="7"/>
      <c r="F783" s="7"/>
    </row>
    <row r="784" spans="1:6" x14ac:dyDescent="0.25">
      <c r="A784" s="7"/>
      <c r="E784" s="7"/>
      <c r="F784" s="7"/>
    </row>
    <row r="785" spans="1:6" x14ac:dyDescent="0.25">
      <c r="A785" s="7"/>
      <c r="E785" s="7"/>
      <c r="F785" s="7"/>
    </row>
    <row r="786" spans="1:6" x14ac:dyDescent="0.25">
      <c r="A786" s="7"/>
      <c r="E786" s="7"/>
      <c r="F786" s="7"/>
    </row>
    <row r="787" spans="1:6" x14ac:dyDescent="0.25">
      <c r="A787" s="7"/>
      <c r="E787" s="7"/>
      <c r="F787" s="7"/>
    </row>
    <row r="788" spans="1:6" x14ac:dyDescent="0.25">
      <c r="A788" s="7"/>
      <c r="E788" s="7"/>
      <c r="F788" s="7"/>
    </row>
    <row r="789" spans="1:6" x14ac:dyDescent="0.25">
      <c r="A789" s="7"/>
      <c r="E789" s="7"/>
      <c r="F789" s="7"/>
    </row>
    <row r="790" spans="1:6" x14ac:dyDescent="0.25">
      <c r="A790" s="7"/>
      <c r="E790" s="7"/>
      <c r="F790" s="7"/>
    </row>
    <row r="791" spans="1:6" x14ac:dyDescent="0.25">
      <c r="A791" s="7"/>
      <c r="E791" s="7"/>
      <c r="F791" s="7"/>
    </row>
    <row r="792" spans="1:6" x14ac:dyDescent="0.25">
      <c r="A792" s="7"/>
      <c r="E792" s="7"/>
      <c r="F792" s="7"/>
    </row>
    <row r="793" spans="1:6" x14ac:dyDescent="0.25">
      <c r="A793" s="7"/>
      <c r="E793" s="7"/>
      <c r="F793" s="7"/>
    </row>
    <row r="794" spans="1:6" x14ac:dyDescent="0.25">
      <c r="A794" s="7"/>
      <c r="E794" s="7"/>
      <c r="F794" s="7"/>
    </row>
    <row r="795" spans="1:6" x14ac:dyDescent="0.25">
      <c r="A795" s="7"/>
      <c r="E795" s="7"/>
      <c r="F795" s="7"/>
    </row>
    <row r="796" spans="1:6" x14ac:dyDescent="0.25">
      <c r="A796" s="7"/>
      <c r="E796" s="7"/>
      <c r="F796" s="7"/>
    </row>
    <row r="797" spans="1:6" x14ac:dyDescent="0.25">
      <c r="A797" s="7"/>
      <c r="E797" s="7"/>
      <c r="F797" s="7"/>
    </row>
    <row r="798" spans="1:6" x14ac:dyDescent="0.25">
      <c r="A798" s="7"/>
      <c r="E798" s="7"/>
      <c r="F798" s="7"/>
    </row>
    <row r="799" spans="1:6" x14ac:dyDescent="0.25">
      <c r="A799" s="7"/>
      <c r="E799" s="7"/>
      <c r="F799" s="7"/>
    </row>
    <row r="800" spans="1:6" x14ac:dyDescent="0.25">
      <c r="A800" s="7"/>
      <c r="E800" s="7"/>
      <c r="F800" s="7"/>
    </row>
    <row r="801" spans="1:6" x14ac:dyDescent="0.25">
      <c r="A801" s="7"/>
      <c r="E801" s="7"/>
      <c r="F801" s="7"/>
    </row>
    <row r="802" spans="1:6" x14ac:dyDescent="0.25">
      <c r="A802" s="7"/>
      <c r="E802" s="7"/>
      <c r="F802" s="7"/>
    </row>
    <row r="803" spans="1:6" x14ac:dyDescent="0.25">
      <c r="A803" s="7"/>
      <c r="E803" s="7"/>
      <c r="F803" s="7"/>
    </row>
    <row r="804" spans="1:6" x14ac:dyDescent="0.25">
      <c r="A804" s="7"/>
      <c r="E804" s="7"/>
      <c r="F804" s="7"/>
    </row>
    <row r="805" spans="1:6" x14ac:dyDescent="0.25">
      <c r="A805" s="7"/>
      <c r="E805" s="7"/>
      <c r="F805" s="7"/>
    </row>
    <row r="806" spans="1:6" x14ac:dyDescent="0.25">
      <c r="A806" s="7"/>
      <c r="E806" s="7"/>
      <c r="F806" s="7"/>
    </row>
    <row r="807" spans="1:6" x14ac:dyDescent="0.25">
      <c r="A807" s="7"/>
      <c r="E807" s="7"/>
      <c r="F807" s="7"/>
    </row>
    <row r="808" spans="1:6" x14ac:dyDescent="0.25">
      <c r="A808" s="7"/>
      <c r="E808" s="7"/>
      <c r="F808" s="7"/>
    </row>
    <row r="809" spans="1:6" x14ac:dyDescent="0.25">
      <c r="A809" s="7"/>
      <c r="E809" s="7"/>
      <c r="F809" s="7"/>
    </row>
    <row r="810" spans="1:6" x14ac:dyDescent="0.25">
      <c r="A810" s="7"/>
      <c r="E810" s="7"/>
      <c r="F810" s="7"/>
    </row>
    <row r="811" spans="1:6" x14ac:dyDescent="0.25">
      <c r="A811" s="7"/>
      <c r="E811" s="7"/>
      <c r="F811" s="7"/>
    </row>
    <row r="812" spans="1:6" x14ac:dyDescent="0.25">
      <c r="A812" s="7"/>
      <c r="E812" s="7"/>
      <c r="F812" s="7"/>
    </row>
    <row r="813" spans="1:6" x14ac:dyDescent="0.25">
      <c r="A813" s="7"/>
      <c r="E813" s="7"/>
      <c r="F813" s="7"/>
    </row>
    <row r="814" spans="1:6" x14ac:dyDescent="0.25">
      <c r="A814" s="7"/>
      <c r="E814" s="7"/>
      <c r="F814" s="7"/>
    </row>
    <row r="815" spans="1:6" x14ac:dyDescent="0.25">
      <c r="A815" s="7"/>
      <c r="E815" s="7"/>
      <c r="F815" s="7"/>
    </row>
    <row r="816" spans="1:6" x14ac:dyDescent="0.25">
      <c r="A816" s="7"/>
      <c r="E816" s="7"/>
      <c r="F816" s="7"/>
    </row>
    <row r="817" spans="1:6" x14ac:dyDescent="0.25">
      <c r="A817" s="7"/>
      <c r="E817" s="7"/>
      <c r="F817" s="7"/>
    </row>
    <row r="818" spans="1:6" x14ac:dyDescent="0.25">
      <c r="A818" s="7"/>
      <c r="E818" s="7"/>
      <c r="F818" s="7"/>
    </row>
    <row r="819" spans="1:6" x14ac:dyDescent="0.25">
      <c r="A819" s="7"/>
      <c r="E819" s="7"/>
      <c r="F819" s="7"/>
    </row>
    <row r="820" spans="1:6" x14ac:dyDescent="0.25">
      <c r="A820" s="7"/>
      <c r="E820" s="7"/>
      <c r="F820" s="7"/>
    </row>
    <row r="821" spans="1:6" x14ac:dyDescent="0.25">
      <c r="A821" s="7"/>
      <c r="E821" s="7"/>
      <c r="F821" s="7"/>
    </row>
    <row r="822" spans="1:6" x14ac:dyDescent="0.25">
      <c r="A822" s="7"/>
      <c r="E822" s="7"/>
      <c r="F822" s="7"/>
    </row>
    <row r="823" spans="1:6" x14ac:dyDescent="0.25">
      <c r="A823" s="7"/>
      <c r="E823" s="7"/>
      <c r="F823" s="7"/>
    </row>
    <row r="824" spans="1:6" x14ac:dyDescent="0.25">
      <c r="A824" s="7"/>
      <c r="E824" s="7"/>
      <c r="F824" s="7"/>
    </row>
    <row r="825" spans="1:6" x14ac:dyDescent="0.25">
      <c r="A825" s="7"/>
      <c r="E825" s="7"/>
      <c r="F825" s="7"/>
    </row>
    <row r="826" spans="1:6" x14ac:dyDescent="0.25">
      <c r="A826" s="7"/>
      <c r="E826" s="7"/>
      <c r="F826" s="7"/>
    </row>
    <row r="827" spans="1:6" x14ac:dyDescent="0.25">
      <c r="A827" s="7"/>
      <c r="E827" s="7"/>
      <c r="F827" s="7"/>
    </row>
    <row r="828" spans="1:6" x14ac:dyDescent="0.25">
      <c r="A828" s="7"/>
      <c r="E828" s="7"/>
      <c r="F828" s="7"/>
    </row>
    <row r="829" spans="1:6" x14ac:dyDescent="0.25">
      <c r="A829" s="7"/>
      <c r="E829" s="7"/>
      <c r="F829" s="7"/>
    </row>
    <row r="830" spans="1:6" x14ac:dyDescent="0.25">
      <c r="A830" s="7"/>
      <c r="E830" s="7"/>
      <c r="F830" s="7"/>
    </row>
    <row r="831" spans="1:6" x14ac:dyDescent="0.25">
      <c r="A831" s="7"/>
      <c r="E831" s="7"/>
      <c r="F831" s="7"/>
    </row>
    <row r="832" spans="1:6" x14ac:dyDescent="0.25">
      <c r="A832" s="7"/>
      <c r="E832" s="7"/>
      <c r="F832" s="7"/>
    </row>
    <row r="833" spans="1:6" x14ac:dyDescent="0.25">
      <c r="A833" s="7"/>
      <c r="E833" s="7"/>
      <c r="F833" s="7"/>
    </row>
    <row r="834" spans="1:6" x14ac:dyDescent="0.25">
      <c r="A834" s="7"/>
      <c r="E834" s="7"/>
      <c r="F834" s="7"/>
    </row>
    <row r="835" spans="1:6" x14ac:dyDescent="0.25">
      <c r="A835" s="7"/>
      <c r="E835" s="7"/>
      <c r="F835" s="7"/>
    </row>
    <row r="836" spans="1:6" x14ac:dyDescent="0.25">
      <c r="A836" s="7"/>
      <c r="E836" s="7"/>
      <c r="F836" s="7"/>
    </row>
    <row r="837" spans="1:6" x14ac:dyDescent="0.25">
      <c r="A837" s="7"/>
      <c r="E837" s="7"/>
      <c r="F837" s="7"/>
    </row>
    <row r="838" spans="1:6" x14ac:dyDescent="0.25">
      <c r="A838" s="7"/>
      <c r="E838" s="7"/>
      <c r="F838" s="7"/>
    </row>
    <row r="839" spans="1:6" x14ac:dyDescent="0.25">
      <c r="A839" s="7"/>
      <c r="E839" s="7"/>
      <c r="F839" s="7"/>
    </row>
    <row r="840" spans="1:6" x14ac:dyDescent="0.25">
      <c r="A840" s="7"/>
      <c r="E840" s="7"/>
      <c r="F840" s="7"/>
    </row>
    <row r="841" spans="1:6" x14ac:dyDescent="0.25">
      <c r="A841" s="7"/>
      <c r="E841" s="7"/>
      <c r="F841" s="7"/>
    </row>
    <row r="842" spans="1:6" x14ac:dyDescent="0.25">
      <c r="A842" s="7"/>
      <c r="E842" s="7"/>
      <c r="F842" s="7"/>
    </row>
    <row r="843" spans="1:6" x14ac:dyDescent="0.25">
      <c r="A843" s="7"/>
      <c r="E843" s="7"/>
      <c r="F843" s="7"/>
    </row>
    <row r="844" spans="1:6" x14ac:dyDescent="0.25">
      <c r="A844" s="7"/>
      <c r="E844" s="7"/>
      <c r="F844" s="7"/>
    </row>
    <row r="845" spans="1:6" x14ac:dyDescent="0.25">
      <c r="A845" s="7"/>
      <c r="E845" s="7"/>
      <c r="F845" s="7"/>
    </row>
    <row r="846" spans="1:6" x14ac:dyDescent="0.25">
      <c r="A846" s="7"/>
      <c r="E846" s="7"/>
      <c r="F846" s="7"/>
    </row>
    <row r="847" spans="1:6" x14ac:dyDescent="0.25">
      <c r="A847" s="7"/>
      <c r="E847" s="7"/>
      <c r="F847" s="7"/>
    </row>
    <row r="848" spans="1:6" x14ac:dyDescent="0.25">
      <c r="A848" s="7"/>
      <c r="E848" s="7"/>
      <c r="F848" s="7"/>
    </row>
    <row r="849" spans="1:6" x14ac:dyDescent="0.25">
      <c r="A849" s="7"/>
      <c r="E849" s="7"/>
      <c r="F849" s="7"/>
    </row>
    <row r="850" spans="1:6" x14ac:dyDescent="0.25">
      <c r="A850" s="7"/>
      <c r="E850" s="7"/>
      <c r="F850" s="7"/>
    </row>
    <row r="851" spans="1:6" x14ac:dyDescent="0.25">
      <c r="A851" s="7"/>
      <c r="E851" s="7"/>
      <c r="F851" s="7"/>
    </row>
    <row r="852" spans="1:6" x14ac:dyDescent="0.25">
      <c r="A852" s="7"/>
      <c r="E852" s="7"/>
      <c r="F852" s="7"/>
    </row>
    <row r="853" spans="1:6" x14ac:dyDescent="0.25">
      <c r="A853" s="7"/>
      <c r="E853" s="7"/>
      <c r="F853" s="7"/>
    </row>
    <row r="854" spans="1:6" x14ac:dyDescent="0.25">
      <c r="A854" s="7"/>
      <c r="E854" s="7"/>
      <c r="F854" s="7"/>
    </row>
    <row r="855" spans="1:6" x14ac:dyDescent="0.25">
      <c r="A855" s="7"/>
      <c r="E855" s="7"/>
      <c r="F855" s="7"/>
    </row>
    <row r="856" spans="1:6" x14ac:dyDescent="0.25">
      <c r="A856" s="7"/>
      <c r="E856" s="7"/>
      <c r="F856" s="7"/>
    </row>
    <row r="857" spans="1:6" x14ac:dyDescent="0.25">
      <c r="A857" s="7"/>
      <c r="E857" s="7"/>
      <c r="F857" s="7"/>
    </row>
    <row r="858" spans="1:6" x14ac:dyDescent="0.25">
      <c r="A858" s="7"/>
      <c r="E858" s="7"/>
      <c r="F858" s="7"/>
    </row>
    <row r="859" spans="1:6" x14ac:dyDescent="0.25">
      <c r="A859" s="7"/>
      <c r="E859" s="7"/>
      <c r="F859" s="7"/>
    </row>
    <row r="860" spans="1:6" x14ac:dyDescent="0.25">
      <c r="A860" s="7"/>
      <c r="E860" s="7"/>
      <c r="F860" s="7"/>
    </row>
    <row r="861" spans="1:6" x14ac:dyDescent="0.25">
      <c r="A861" s="7"/>
      <c r="E861" s="7"/>
      <c r="F861" s="7"/>
    </row>
    <row r="862" spans="1:6" x14ac:dyDescent="0.25">
      <c r="A862" s="7"/>
      <c r="E862" s="7"/>
      <c r="F862" s="7"/>
    </row>
    <row r="863" spans="1:6" x14ac:dyDescent="0.25">
      <c r="A863" s="7"/>
      <c r="E863" s="7"/>
      <c r="F863" s="7"/>
    </row>
    <row r="864" spans="1:6" x14ac:dyDescent="0.25">
      <c r="A864" s="7"/>
      <c r="E864" s="7"/>
      <c r="F864" s="7"/>
    </row>
    <row r="865" spans="1:6" x14ac:dyDescent="0.25">
      <c r="A865" s="7"/>
      <c r="E865" s="7"/>
      <c r="F865" s="7"/>
    </row>
    <row r="866" spans="1:6" x14ac:dyDescent="0.25">
      <c r="A866" s="7"/>
      <c r="E866" s="7"/>
      <c r="F866" s="7"/>
    </row>
    <row r="867" spans="1:6" x14ac:dyDescent="0.25">
      <c r="A867" s="7"/>
      <c r="E867" s="7"/>
      <c r="F867" s="7"/>
    </row>
    <row r="868" spans="1:6" x14ac:dyDescent="0.25">
      <c r="A868" s="7"/>
      <c r="E868" s="7"/>
      <c r="F868" s="7"/>
    </row>
    <row r="869" spans="1:6" x14ac:dyDescent="0.25">
      <c r="A869" s="7"/>
      <c r="E869" s="7"/>
      <c r="F869" s="7"/>
    </row>
    <row r="870" spans="1:6" x14ac:dyDescent="0.25">
      <c r="A870" s="7"/>
      <c r="E870" s="7"/>
      <c r="F870" s="7"/>
    </row>
    <row r="871" spans="1:6" x14ac:dyDescent="0.25">
      <c r="A871" s="7"/>
      <c r="E871" s="7"/>
      <c r="F871" s="7"/>
    </row>
    <row r="872" spans="1:6" x14ac:dyDescent="0.25">
      <c r="A872" s="7"/>
      <c r="E872" s="7"/>
      <c r="F872" s="7"/>
    </row>
    <row r="873" spans="1:6" x14ac:dyDescent="0.25">
      <c r="A873" s="7"/>
      <c r="E873" s="7"/>
      <c r="F873" s="7"/>
    </row>
    <row r="874" spans="1:6" x14ac:dyDescent="0.25">
      <c r="A874" s="7"/>
      <c r="E874" s="7"/>
      <c r="F874" s="7"/>
    </row>
    <row r="875" spans="1:6" x14ac:dyDescent="0.25">
      <c r="A875" s="7"/>
      <c r="E875" s="7"/>
      <c r="F875" s="7"/>
    </row>
    <row r="876" spans="1:6" x14ac:dyDescent="0.25">
      <c r="A876" s="7"/>
      <c r="E876" s="7"/>
      <c r="F876" s="7"/>
    </row>
    <row r="877" spans="1:6" x14ac:dyDescent="0.25">
      <c r="A877" s="7"/>
      <c r="E877" s="7"/>
      <c r="F877" s="7"/>
    </row>
    <row r="878" spans="1:6" x14ac:dyDescent="0.25">
      <c r="A878" s="7"/>
      <c r="E878" s="7"/>
      <c r="F878" s="7"/>
    </row>
    <row r="879" spans="1:6" x14ac:dyDescent="0.25">
      <c r="A879" s="7"/>
      <c r="E879" s="7"/>
      <c r="F879" s="7"/>
    </row>
    <row r="880" spans="1:6" x14ac:dyDescent="0.25">
      <c r="A880" s="7"/>
      <c r="E880" s="7"/>
      <c r="F880" s="7"/>
    </row>
    <row r="881" spans="1:6" x14ac:dyDescent="0.25">
      <c r="A881" s="7"/>
      <c r="E881" s="7"/>
      <c r="F881" s="7"/>
    </row>
    <row r="882" spans="1:6" x14ac:dyDescent="0.25">
      <c r="A882" s="7"/>
      <c r="E882" s="7"/>
      <c r="F882" s="7"/>
    </row>
    <row r="883" spans="1:6" x14ac:dyDescent="0.25">
      <c r="A883" s="7"/>
      <c r="E883" s="7"/>
      <c r="F883" s="7"/>
    </row>
    <row r="884" spans="1:6" x14ac:dyDescent="0.25">
      <c r="A884" s="7"/>
      <c r="E884" s="7"/>
      <c r="F884" s="7"/>
    </row>
    <row r="885" spans="1:6" x14ac:dyDescent="0.25">
      <c r="A885" s="7"/>
      <c r="E885" s="7"/>
      <c r="F885" s="7"/>
    </row>
    <row r="886" spans="1:6" x14ac:dyDescent="0.25">
      <c r="A886" s="7"/>
      <c r="E886" s="7"/>
      <c r="F886" s="7"/>
    </row>
    <row r="887" spans="1:6" x14ac:dyDescent="0.25">
      <c r="A887" s="7"/>
      <c r="E887" s="7"/>
      <c r="F887" s="7"/>
    </row>
    <row r="888" spans="1:6" x14ac:dyDescent="0.25">
      <c r="A888" s="7"/>
      <c r="E888" s="7"/>
      <c r="F888" s="7"/>
    </row>
    <row r="889" spans="1:6" x14ac:dyDescent="0.25">
      <c r="A889" s="7"/>
      <c r="E889" s="7"/>
      <c r="F889" s="7"/>
    </row>
    <row r="890" spans="1:6" x14ac:dyDescent="0.25">
      <c r="A890" s="7"/>
      <c r="E890" s="7"/>
      <c r="F890" s="7"/>
    </row>
    <row r="891" spans="1:6" x14ac:dyDescent="0.25">
      <c r="A891" s="7"/>
      <c r="E891" s="7"/>
      <c r="F891" s="7"/>
    </row>
    <row r="892" spans="1:6" x14ac:dyDescent="0.25">
      <c r="A892" s="7"/>
      <c r="E892" s="7"/>
      <c r="F892" s="7"/>
    </row>
    <row r="893" spans="1:6" x14ac:dyDescent="0.25">
      <c r="A893" s="7"/>
      <c r="E893" s="7"/>
      <c r="F893" s="7"/>
    </row>
    <row r="894" spans="1:6" x14ac:dyDescent="0.25">
      <c r="A894" s="7"/>
      <c r="E894" s="7"/>
      <c r="F894" s="7"/>
    </row>
    <row r="895" spans="1:6" x14ac:dyDescent="0.25">
      <c r="A895" s="7"/>
      <c r="E895" s="7"/>
      <c r="F895" s="7"/>
    </row>
    <row r="896" spans="1:6" x14ac:dyDescent="0.25">
      <c r="A896" s="7"/>
      <c r="E896" s="7"/>
      <c r="F896" s="7"/>
    </row>
    <row r="897" spans="1:6" x14ac:dyDescent="0.25">
      <c r="A897" s="7"/>
      <c r="E897" s="7"/>
      <c r="F897" s="7"/>
    </row>
    <row r="898" spans="1:6" x14ac:dyDescent="0.25">
      <c r="A898" s="7"/>
      <c r="E898" s="7"/>
      <c r="F898" s="7"/>
    </row>
    <row r="899" spans="1:6" x14ac:dyDescent="0.25">
      <c r="A899" s="7"/>
      <c r="E899" s="7"/>
      <c r="F899" s="7"/>
    </row>
    <row r="900" spans="1:6" x14ac:dyDescent="0.25">
      <c r="A900" s="7"/>
      <c r="E900" s="7"/>
      <c r="F900" s="7"/>
    </row>
    <row r="901" spans="1:6" x14ac:dyDescent="0.25">
      <c r="A901" s="7"/>
      <c r="E901" s="7"/>
      <c r="F901" s="7"/>
    </row>
    <row r="902" spans="1:6" x14ac:dyDescent="0.25">
      <c r="A902" s="7"/>
      <c r="E902" s="7"/>
      <c r="F902" s="7"/>
    </row>
    <row r="903" spans="1:6" x14ac:dyDescent="0.25">
      <c r="A903" s="7"/>
      <c r="E903" s="7"/>
      <c r="F903" s="7"/>
    </row>
    <row r="904" spans="1:6" x14ac:dyDescent="0.25">
      <c r="A904" s="7"/>
      <c r="E904" s="7"/>
      <c r="F904" s="7"/>
    </row>
    <row r="905" spans="1:6" x14ac:dyDescent="0.25">
      <c r="A905" s="7"/>
      <c r="E905" s="7"/>
      <c r="F905" s="7"/>
    </row>
    <row r="906" spans="1:6" x14ac:dyDescent="0.25">
      <c r="A906" s="7"/>
      <c r="E906" s="7"/>
      <c r="F906" s="7"/>
    </row>
    <row r="907" spans="1:6" x14ac:dyDescent="0.25">
      <c r="A907" s="7"/>
      <c r="E907" s="7"/>
      <c r="F907" s="7"/>
    </row>
    <row r="908" spans="1:6" x14ac:dyDescent="0.25">
      <c r="A908" s="7"/>
      <c r="E908" s="7"/>
      <c r="F908" s="7"/>
    </row>
    <row r="909" spans="1:6" x14ac:dyDescent="0.25">
      <c r="A909" s="7"/>
      <c r="E909" s="7"/>
      <c r="F909" s="7"/>
    </row>
    <row r="910" spans="1:6" x14ac:dyDescent="0.25">
      <c r="A910" s="7"/>
      <c r="E910" s="7"/>
      <c r="F910" s="7"/>
    </row>
    <row r="911" spans="1:6" x14ac:dyDescent="0.25">
      <c r="A911" s="7"/>
      <c r="E911" s="7"/>
      <c r="F911" s="7"/>
    </row>
    <row r="912" spans="1:6" x14ac:dyDescent="0.25">
      <c r="A912" s="7"/>
      <c r="E912" s="7"/>
      <c r="F912" s="7"/>
    </row>
    <row r="913" spans="1:6" x14ac:dyDescent="0.25">
      <c r="A913" s="7"/>
      <c r="E913" s="7"/>
      <c r="F913" s="7"/>
    </row>
    <row r="914" spans="1:6" x14ac:dyDescent="0.25">
      <c r="A914" s="7"/>
      <c r="E914" s="7"/>
      <c r="F914" s="7"/>
    </row>
    <row r="915" spans="1:6" x14ac:dyDescent="0.25">
      <c r="A915" s="7"/>
      <c r="E915" s="7"/>
      <c r="F915" s="7"/>
    </row>
    <row r="916" spans="1:6" x14ac:dyDescent="0.25">
      <c r="A916" s="7"/>
      <c r="E916" s="7"/>
      <c r="F916" s="7"/>
    </row>
    <row r="917" spans="1:6" x14ac:dyDescent="0.25">
      <c r="A917" s="7"/>
      <c r="E917" s="7"/>
      <c r="F917" s="7"/>
    </row>
    <row r="918" spans="1:6" x14ac:dyDescent="0.25">
      <c r="A918" s="7"/>
      <c r="E918" s="7"/>
      <c r="F918" s="7"/>
    </row>
    <row r="919" spans="1:6" x14ac:dyDescent="0.25">
      <c r="A919" s="7"/>
      <c r="E919" s="7"/>
      <c r="F919" s="7"/>
    </row>
    <row r="920" spans="1:6" x14ac:dyDescent="0.25">
      <c r="A920" s="7"/>
      <c r="E920" s="7"/>
      <c r="F920" s="7"/>
    </row>
    <row r="921" spans="1:6" x14ac:dyDescent="0.25">
      <c r="A921" s="7"/>
      <c r="E921" s="7"/>
      <c r="F921" s="7"/>
    </row>
    <row r="922" spans="1:6" x14ac:dyDescent="0.25">
      <c r="A922" s="7"/>
      <c r="E922" s="7"/>
      <c r="F922" s="7"/>
    </row>
    <row r="923" spans="1:6" x14ac:dyDescent="0.25">
      <c r="A923" s="7"/>
      <c r="E923" s="7"/>
      <c r="F923" s="7"/>
    </row>
    <row r="924" spans="1:6" x14ac:dyDescent="0.25">
      <c r="A924" s="7"/>
      <c r="E924" s="7"/>
      <c r="F924" s="7"/>
    </row>
    <row r="925" spans="1:6" x14ac:dyDescent="0.25">
      <c r="A925" s="7"/>
      <c r="E925" s="7"/>
      <c r="F925" s="7"/>
    </row>
    <row r="926" spans="1:6" x14ac:dyDescent="0.25">
      <c r="A926" s="7"/>
      <c r="E926" s="7"/>
      <c r="F926" s="7"/>
    </row>
    <row r="927" spans="1:6" x14ac:dyDescent="0.25">
      <c r="A927" s="7"/>
      <c r="E927" s="7"/>
      <c r="F927" s="7"/>
    </row>
    <row r="928" spans="1:6" x14ac:dyDescent="0.25">
      <c r="A928" s="7"/>
      <c r="E928" s="7"/>
      <c r="F928" s="7"/>
    </row>
    <row r="929" spans="1:6" x14ac:dyDescent="0.25">
      <c r="A929" s="7"/>
      <c r="E929" s="7"/>
      <c r="F929" s="7"/>
    </row>
    <row r="930" spans="1:6" x14ac:dyDescent="0.25">
      <c r="A930" s="7"/>
      <c r="E930" s="7"/>
      <c r="F930" s="7"/>
    </row>
    <row r="931" spans="1:6" x14ac:dyDescent="0.25">
      <c r="A931" s="7"/>
      <c r="E931" s="7"/>
      <c r="F931" s="7"/>
    </row>
    <row r="932" spans="1:6" x14ac:dyDescent="0.25">
      <c r="A932" s="7"/>
      <c r="E932" s="7"/>
      <c r="F932" s="7"/>
    </row>
    <row r="933" spans="1:6" x14ac:dyDescent="0.25">
      <c r="A933" s="7"/>
      <c r="E933" s="7"/>
      <c r="F933" s="7"/>
    </row>
    <row r="934" spans="1:6" x14ac:dyDescent="0.25">
      <c r="A934" s="7"/>
      <c r="E934" s="7"/>
      <c r="F934" s="7"/>
    </row>
    <row r="935" spans="1:6" x14ac:dyDescent="0.25">
      <c r="A935" s="7"/>
      <c r="E935" s="7"/>
      <c r="F935" s="7"/>
    </row>
    <row r="936" spans="1:6" x14ac:dyDescent="0.25">
      <c r="A936" s="7"/>
      <c r="E936" s="7"/>
      <c r="F936" s="7"/>
    </row>
    <row r="937" spans="1:6" x14ac:dyDescent="0.25">
      <c r="A937" s="7"/>
      <c r="E937" s="7"/>
      <c r="F937" s="7"/>
    </row>
    <row r="938" spans="1:6" x14ac:dyDescent="0.25">
      <c r="A938" s="7"/>
      <c r="E938" s="7"/>
      <c r="F938" s="7"/>
    </row>
    <row r="939" spans="1:6" x14ac:dyDescent="0.25">
      <c r="A939" s="7"/>
      <c r="E939" s="7"/>
      <c r="F939" s="7"/>
    </row>
    <row r="940" spans="1:6" x14ac:dyDescent="0.25">
      <c r="A940" s="7"/>
      <c r="E940" s="7"/>
      <c r="F940" s="7"/>
    </row>
    <row r="941" spans="1:6" x14ac:dyDescent="0.25">
      <c r="A941" s="7"/>
      <c r="E941" s="7"/>
      <c r="F941" s="7"/>
    </row>
    <row r="942" spans="1:6" x14ac:dyDescent="0.25">
      <c r="A942" s="7"/>
      <c r="E942" s="7"/>
      <c r="F942" s="7"/>
    </row>
    <row r="943" spans="1:6" x14ac:dyDescent="0.25">
      <c r="A943" s="7"/>
      <c r="E943" s="7"/>
      <c r="F943" s="7"/>
    </row>
    <row r="944" spans="1:6" x14ac:dyDescent="0.25">
      <c r="A944" s="7"/>
      <c r="E944" s="7"/>
      <c r="F944" s="7"/>
    </row>
    <row r="945" spans="1:6" x14ac:dyDescent="0.25">
      <c r="A945" s="7"/>
      <c r="E945" s="7"/>
      <c r="F945" s="7"/>
    </row>
    <row r="946" spans="1:6" x14ac:dyDescent="0.25">
      <c r="A946" s="7"/>
      <c r="E946" s="7"/>
      <c r="F946" s="7"/>
    </row>
    <row r="947" spans="1:6" x14ac:dyDescent="0.25">
      <c r="A947" s="7"/>
      <c r="E947" s="7"/>
      <c r="F947" s="7"/>
    </row>
    <row r="948" spans="1:6" x14ac:dyDescent="0.25">
      <c r="A948" s="7"/>
      <c r="E948" s="7"/>
      <c r="F948" s="7"/>
    </row>
    <row r="949" spans="1:6" x14ac:dyDescent="0.25">
      <c r="A949" s="7"/>
      <c r="E949" s="7"/>
      <c r="F949" s="7"/>
    </row>
    <row r="950" spans="1:6" x14ac:dyDescent="0.25">
      <c r="A950" s="7"/>
      <c r="E950" s="7"/>
      <c r="F950" s="7"/>
    </row>
    <row r="951" spans="1:6" x14ac:dyDescent="0.25">
      <c r="A951" s="7"/>
      <c r="E951" s="7"/>
      <c r="F951" s="7"/>
    </row>
    <row r="952" spans="1:6" x14ac:dyDescent="0.25">
      <c r="A952" s="7"/>
      <c r="E952" s="7"/>
      <c r="F952" s="7"/>
    </row>
    <row r="953" spans="1:6" x14ac:dyDescent="0.25">
      <c r="A953" s="7"/>
      <c r="E953" s="7"/>
      <c r="F953" s="7"/>
    </row>
    <row r="954" spans="1:6" x14ac:dyDescent="0.25">
      <c r="A954" s="7"/>
      <c r="E954" s="7"/>
      <c r="F954" s="7"/>
    </row>
    <row r="955" spans="1:6" x14ac:dyDescent="0.25">
      <c r="A955" s="7"/>
      <c r="E955" s="7"/>
      <c r="F955" s="7"/>
    </row>
    <row r="956" spans="1:6" x14ac:dyDescent="0.25">
      <c r="A956" s="7"/>
      <c r="E956" s="7"/>
      <c r="F956" s="7"/>
    </row>
    <row r="957" spans="1:6" x14ac:dyDescent="0.25">
      <c r="A957" s="7"/>
      <c r="E957" s="7"/>
      <c r="F957" s="7"/>
    </row>
    <row r="958" spans="1:6" x14ac:dyDescent="0.25">
      <c r="A958" s="7"/>
      <c r="E958" s="7"/>
      <c r="F958" s="7"/>
    </row>
    <row r="959" spans="1:6" x14ac:dyDescent="0.25">
      <c r="A959" s="7"/>
      <c r="E959" s="7"/>
      <c r="F959" s="7"/>
    </row>
    <row r="960" spans="1:6" x14ac:dyDescent="0.25">
      <c r="A960" s="7"/>
      <c r="E960" s="7"/>
      <c r="F960" s="7"/>
    </row>
    <row r="961" spans="1:6" x14ac:dyDescent="0.25">
      <c r="A961" s="7"/>
      <c r="E961" s="7"/>
      <c r="F961" s="7"/>
    </row>
    <row r="962" spans="1:6" x14ac:dyDescent="0.25">
      <c r="A962" s="7"/>
      <c r="E962" s="7"/>
      <c r="F962" s="7"/>
    </row>
    <row r="963" spans="1:6" x14ac:dyDescent="0.25">
      <c r="A963" s="7"/>
      <c r="E963" s="7"/>
      <c r="F963" s="7"/>
    </row>
    <row r="964" spans="1:6" x14ac:dyDescent="0.25">
      <c r="A964" s="7"/>
      <c r="E964" s="7"/>
      <c r="F964" s="7"/>
    </row>
    <row r="965" spans="1:6" x14ac:dyDescent="0.25">
      <c r="A965" s="7"/>
      <c r="E965" s="7"/>
      <c r="F965" s="7"/>
    </row>
    <row r="966" spans="1:6" x14ac:dyDescent="0.25">
      <c r="A966" s="7"/>
      <c r="E966" s="7"/>
      <c r="F966" s="7"/>
    </row>
    <row r="967" spans="1:6" x14ac:dyDescent="0.25">
      <c r="A967" s="7"/>
      <c r="E967" s="7"/>
      <c r="F967" s="7"/>
    </row>
    <row r="968" spans="1:6" x14ac:dyDescent="0.25">
      <c r="A968" s="7"/>
      <c r="E968" s="7"/>
      <c r="F968" s="7"/>
    </row>
    <row r="969" spans="1:6" x14ac:dyDescent="0.25">
      <c r="A969" s="7"/>
      <c r="E969" s="7"/>
      <c r="F969" s="7"/>
    </row>
    <row r="970" spans="1:6" x14ac:dyDescent="0.25">
      <c r="A970" s="7"/>
      <c r="E970" s="7"/>
      <c r="F970" s="7"/>
    </row>
    <row r="971" spans="1:6" x14ac:dyDescent="0.25">
      <c r="A971" s="7"/>
      <c r="E971" s="7"/>
      <c r="F971" s="7"/>
    </row>
    <row r="972" spans="1:6" x14ac:dyDescent="0.25">
      <c r="A972" s="7"/>
      <c r="E972" s="7"/>
      <c r="F972" s="7"/>
    </row>
    <row r="973" spans="1:6" x14ac:dyDescent="0.25">
      <c r="A973" s="7"/>
      <c r="E973" s="7"/>
      <c r="F973" s="7"/>
    </row>
    <row r="974" spans="1:6" x14ac:dyDescent="0.25">
      <c r="A974" s="7"/>
      <c r="E974" s="7"/>
      <c r="F974" s="7"/>
    </row>
    <row r="975" spans="1:6" x14ac:dyDescent="0.25">
      <c r="A975" s="7"/>
      <c r="E975" s="7"/>
      <c r="F975" s="7"/>
    </row>
    <row r="976" spans="1:6" x14ac:dyDescent="0.25">
      <c r="A976" s="7"/>
      <c r="E976" s="7"/>
      <c r="F976" s="7"/>
    </row>
    <row r="977" spans="1:6" x14ac:dyDescent="0.25">
      <c r="A977" s="7"/>
      <c r="E977" s="7"/>
      <c r="F977" s="7"/>
    </row>
    <row r="978" spans="1:6" x14ac:dyDescent="0.25">
      <c r="A978" s="7"/>
      <c r="E978" s="7"/>
      <c r="F978" s="7"/>
    </row>
    <row r="979" spans="1:6" x14ac:dyDescent="0.25">
      <c r="A979" s="7"/>
      <c r="E979" s="7"/>
      <c r="F979" s="7"/>
    </row>
    <row r="980" spans="1:6" x14ac:dyDescent="0.25">
      <c r="A980" s="7"/>
      <c r="E980" s="7"/>
      <c r="F980" s="7"/>
    </row>
    <row r="981" spans="1:6" x14ac:dyDescent="0.25">
      <c r="A981" s="7"/>
      <c r="E981" s="7"/>
      <c r="F981" s="7"/>
    </row>
    <row r="982" spans="1:6" x14ac:dyDescent="0.25">
      <c r="A982" s="7"/>
      <c r="E982" s="7"/>
      <c r="F982" s="7"/>
    </row>
    <row r="983" spans="1:6" x14ac:dyDescent="0.25">
      <c r="A983" s="7"/>
      <c r="E983" s="7"/>
      <c r="F983" s="7"/>
    </row>
    <row r="984" spans="1:6" x14ac:dyDescent="0.25">
      <c r="A984" s="7"/>
      <c r="E984" s="7"/>
      <c r="F984" s="7"/>
    </row>
    <row r="985" spans="1:6" x14ac:dyDescent="0.25">
      <c r="A985" s="7"/>
      <c r="E985" s="7"/>
      <c r="F985" s="7"/>
    </row>
    <row r="986" spans="1:6" x14ac:dyDescent="0.25">
      <c r="A986" s="7"/>
      <c r="E986" s="7"/>
      <c r="F986" s="7"/>
    </row>
    <row r="987" spans="1:6" x14ac:dyDescent="0.25">
      <c r="A987" s="7"/>
      <c r="E987" s="7"/>
      <c r="F987" s="7"/>
    </row>
    <row r="988" spans="1:6" x14ac:dyDescent="0.25">
      <c r="A988" s="7"/>
      <c r="E988" s="7"/>
      <c r="F988" s="7"/>
    </row>
    <row r="989" spans="1:6" x14ac:dyDescent="0.25">
      <c r="A989" s="7"/>
      <c r="E989" s="7"/>
      <c r="F989" s="7"/>
    </row>
    <row r="990" spans="1:6" x14ac:dyDescent="0.25">
      <c r="A990" s="7"/>
      <c r="E990" s="7"/>
      <c r="F990" s="7"/>
    </row>
    <row r="991" spans="1:6" x14ac:dyDescent="0.25">
      <c r="A991" s="7"/>
      <c r="E991" s="7"/>
      <c r="F991" s="7"/>
    </row>
    <row r="992" spans="1:6" x14ac:dyDescent="0.25">
      <c r="A992" s="7"/>
      <c r="E992" s="7"/>
      <c r="F992" s="7"/>
    </row>
    <row r="993" spans="1:6" x14ac:dyDescent="0.25">
      <c r="A993" s="7"/>
      <c r="E993" s="7"/>
      <c r="F993" s="7"/>
    </row>
    <row r="994" spans="1:6" x14ac:dyDescent="0.25">
      <c r="A994" s="7"/>
      <c r="E994" s="7"/>
      <c r="F994" s="7"/>
    </row>
    <row r="995" spans="1:6" x14ac:dyDescent="0.25">
      <c r="A995" s="7"/>
      <c r="E995" s="7"/>
      <c r="F995" s="7"/>
    </row>
    <row r="996" spans="1:6" x14ac:dyDescent="0.25">
      <c r="A996" s="7"/>
      <c r="E996" s="7"/>
      <c r="F996" s="7"/>
    </row>
    <row r="997" spans="1:6" x14ac:dyDescent="0.25">
      <c r="A997" s="7"/>
      <c r="E997" s="7"/>
      <c r="F997" s="7"/>
    </row>
    <row r="998" spans="1:6" x14ac:dyDescent="0.25">
      <c r="A998" s="7"/>
      <c r="E998" s="7"/>
      <c r="F998" s="7"/>
    </row>
    <row r="999" spans="1:6" x14ac:dyDescent="0.25">
      <c r="A999" s="7"/>
      <c r="E999" s="7"/>
      <c r="F999" s="7"/>
    </row>
    <row r="1000" spans="1:6" x14ac:dyDescent="0.25">
      <c r="A1000" s="7"/>
      <c r="E1000" s="7"/>
      <c r="F1000" s="7"/>
    </row>
    <row r="1001" spans="1:6" x14ac:dyDescent="0.25">
      <c r="A1001" s="7"/>
      <c r="E1001" s="7"/>
      <c r="F1001" s="7"/>
    </row>
    <row r="1002" spans="1:6" x14ac:dyDescent="0.25">
      <c r="A1002" s="7"/>
      <c r="E1002" s="7"/>
      <c r="F1002" s="7"/>
    </row>
  </sheetData>
  <mergeCells count="4">
    <mergeCell ref="A1:I1"/>
    <mergeCell ref="A2:I2"/>
    <mergeCell ref="B3:C3"/>
    <mergeCell ref="A16:I16"/>
  </mergeCells>
  <printOptions horizontalCentered="1" gridLines="1"/>
  <pageMargins left="0.25" right="0.25" top="0.75" bottom="0.75" header="0" footer="0"/>
  <pageSetup fitToHeight="0" pageOrder="overThenDown" orientation="landscape" cellComments="atEnd"/>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outlinePr summaryBelow="0" summaryRight="0"/>
    <pageSetUpPr fitToPage="1"/>
  </sheetPr>
  <dimension ref="A1:W1002"/>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46.33203125" customWidth="1"/>
    <col min="2" max="2" width="7.33203125" customWidth="1"/>
    <col min="3" max="4" width="7.88671875" customWidth="1"/>
    <col min="5" max="5" width="22.21875" customWidth="1"/>
    <col min="6" max="6" width="14.6640625" customWidth="1"/>
  </cols>
  <sheetData>
    <row r="1" spans="1:23" x14ac:dyDescent="0.25">
      <c r="A1" s="141" t="s">
        <v>1029</v>
      </c>
      <c r="B1" s="142"/>
      <c r="C1" s="142"/>
      <c r="D1" s="142"/>
      <c r="E1" s="142"/>
      <c r="F1" s="142"/>
      <c r="G1" s="142"/>
      <c r="H1" s="142"/>
      <c r="I1" s="143"/>
    </row>
    <row r="2" spans="1:23" x14ac:dyDescent="0.25">
      <c r="A2" s="144" t="s">
        <v>1030</v>
      </c>
      <c r="B2" s="142"/>
      <c r="C2" s="142"/>
      <c r="D2" s="142"/>
      <c r="E2" s="142"/>
      <c r="F2" s="142"/>
      <c r="G2" s="142"/>
      <c r="H2" s="142"/>
      <c r="I2" s="143"/>
    </row>
    <row r="3" spans="1:23" x14ac:dyDescent="0.25">
      <c r="A3" s="43" t="s">
        <v>374</v>
      </c>
      <c r="B3" s="145" t="s">
        <v>408</v>
      </c>
      <c r="C3" s="143"/>
      <c r="D3" s="49" t="s">
        <v>370</v>
      </c>
      <c r="E3" s="50" t="s">
        <v>371</v>
      </c>
      <c r="F3" s="51" t="s">
        <v>372</v>
      </c>
      <c r="G3" s="52" t="s">
        <v>373</v>
      </c>
      <c r="H3" s="53" t="s">
        <v>409</v>
      </c>
      <c r="I3" s="53" t="s">
        <v>410</v>
      </c>
      <c r="J3" s="7"/>
      <c r="K3" s="7"/>
      <c r="L3" s="7"/>
      <c r="M3" s="7"/>
      <c r="N3" s="7"/>
      <c r="O3" s="7"/>
      <c r="P3" s="7"/>
      <c r="Q3" s="7"/>
      <c r="R3" s="7"/>
      <c r="S3" s="7"/>
      <c r="T3" s="7"/>
      <c r="U3" s="7"/>
      <c r="V3" s="7"/>
      <c r="W3" s="7"/>
    </row>
    <row r="4" spans="1:23" x14ac:dyDescent="0.25">
      <c r="A4" s="41" t="s">
        <v>411</v>
      </c>
      <c r="B4" s="54">
        <f>SUM(B5:B8)/4</f>
        <v>1</v>
      </c>
      <c r="C4" s="55">
        <f>D4*B4</f>
        <v>0.7</v>
      </c>
      <c r="D4" s="56">
        <v>0.7</v>
      </c>
      <c r="E4" s="57"/>
      <c r="F4" s="57"/>
      <c r="G4" s="58"/>
      <c r="H4" s="58"/>
      <c r="I4" s="58"/>
    </row>
    <row r="5" spans="1:23" x14ac:dyDescent="0.25">
      <c r="A5" s="42" t="s">
        <v>1008</v>
      </c>
      <c r="B5" s="59">
        <v>1</v>
      </c>
      <c r="C5" s="60"/>
      <c r="D5" s="60"/>
      <c r="E5" s="42"/>
      <c r="F5" s="61"/>
      <c r="G5" s="59">
        <v>0.8</v>
      </c>
      <c r="H5" s="59">
        <v>0.8</v>
      </c>
      <c r="I5" s="59">
        <v>1</v>
      </c>
    </row>
    <row r="6" spans="1:23" x14ac:dyDescent="0.25">
      <c r="A6" s="42" t="s">
        <v>1009</v>
      </c>
      <c r="B6" s="59">
        <v>1</v>
      </c>
      <c r="C6" s="60"/>
      <c r="D6" s="60"/>
      <c r="E6" s="42"/>
      <c r="F6" s="61"/>
      <c r="G6" s="59">
        <v>0.8</v>
      </c>
      <c r="H6" s="59">
        <v>0.8</v>
      </c>
      <c r="I6" s="59">
        <v>1</v>
      </c>
    </row>
    <row r="7" spans="1:23" x14ac:dyDescent="0.25">
      <c r="A7" s="42" t="s">
        <v>1010</v>
      </c>
      <c r="B7" s="59">
        <v>1</v>
      </c>
      <c r="C7" s="60"/>
      <c r="D7" s="60"/>
      <c r="E7" s="42"/>
      <c r="F7" s="61"/>
      <c r="G7" s="59">
        <v>0.8</v>
      </c>
      <c r="H7" s="59">
        <v>0.8</v>
      </c>
      <c r="I7" s="59">
        <v>1</v>
      </c>
    </row>
    <row r="8" spans="1:23" x14ac:dyDescent="0.25">
      <c r="A8" s="42" t="s">
        <v>1011</v>
      </c>
      <c r="B8" s="59">
        <v>1</v>
      </c>
      <c r="C8" s="60"/>
      <c r="D8" s="60"/>
      <c r="E8" s="42"/>
      <c r="F8" s="42"/>
      <c r="G8" s="59">
        <v>0.8</v>
      </c>
      <c r="H8" s="59">
        <v>0.8</v>
      </c>
      <c r="I8" s="59">
        <v>1</v>
      </c>
    </row>
    <row r="9" spans="1:23" x14ac:dyDescent="0.25">
      <c r="A9" s="41" t="s">
        <v>415</v>
      </c>
      <c r="B9" s="54">
        <f>SUM(B10:B11)/1</f>
        <v>1</v>
      </c>
      <c r="C9" s="55">
        <f>D9*B9</f>
        <v>0.2</v>
      </c>
      <c r="D9" s="56">
        <v>0.2</v>
      </c>
      <c r="E9" s="57"/>
      <c r="F9" s="57"/>
      <c r="G9" s="58"/>
      <c r="H9" s="58"/>
      <c r="I9" s="58"/>
    </row>
    <row r="10" spans="1:23" x14ac:dyDescent="0.25">
      <c r="A10" s="42" t="s">
        <v>1031</v>
      </c>
      <c r="B10" s="59">
        <v>1</v>
      </c>
      <c r="C10" s="60"/>
      <c r="D10" s="60"/>
      <c r="E10" s="42"/>
      <c r="F10" s="63"/>
      <c r="G10" s="59">
        <v>1</v>
      </c>
      <c r="H10" s="59"/>
      <c r="I10" s="59"/>
    </row>
    <row r="11" spans="1:23" x14ac:dyDescent="0.25">
      <c r="A11" s="43"/>
      <c r="B11" s="62"/>
      <c r="C11" s="60"/>
      <c r="D11" s="60"/>
      <c r="E11" s="42"/>
      <c r="F11" s="61"/>
      <c r="G11" s="59"/>
      <c r="H11" s="59"/>
      <c r="I11" s="59"/>
    </row>
    <row r="12" spans="1:23" x14ac:dyDescent="0.25">
      <c r="A12" s="41" t="s">
        <v>385</v>
      </c>
      <c r="B12" s="54">
        <f>SUM(B13:B14)/2</f>
        <v>1</v>
      </c>
      <c r="C12" s="55">
        <f>D12*B12</f>
        <v>0.1</v>
      </c>
      <c r="D12" s="56">
        <v>0.1</v>
      </c>
      <c r="E12" s="57"/>
      <c r="F12" s="57"/>
      <c r="G12" s="58"/>
      <c r="H12" s="58"/>
      <c r="I12" s="58"/>
    </row>
    <row r="13" spans="1:23" x14ac:dyDescent="0.25">
      <c r="A13" s="42" t="s">
        <v>386</v>
      </c>
      <c r="B13" s="59">
        <v>1</v>
      </c>
      <c r="C13" s="60"/>
      <c r="D13" s="53"/>
      <c r="E13" s="42"/>
      <c r="F13" s="42" t="s">
        <v>425</v>
      </c>
      <c r="G13" s="59">
        <v>0.8</v>
      </c>
      <c r="H13" s="59">
        <v>0.8</v>
      </c>
      <c r="I13" s="59">
        <v>1</v>
      </c>
    </row>
    <row r="14" spans="1:23" x14ac:dyDescent="0.25">
      <c r="A14" s="42" t="s">
        <v>387</v>
      </c>
      <c r="B14" s="59">
        <v>1</v>
      </c>
      <c r="C14" s="60"/>
      <c r="D14" s="60"/>
      <c r="E14" s="42"/>
      <c r="F14" s="42" t="s">
        <v>419</v>
      </c>
      <c r="G14" s="59">
        <v>0.8</v>
      </c>
      <c r="H14" s="59">
        <v>0.8</v>
      </c>
      <c r="I14" s="59">
        <v>1</v>
      </c>
    </row>
    <row r="15" spans="1:23" x14ac:dyDescent="0.25">
      <c r="A15" s="42"/>
      <c r="B15" s="60"/>
      <c r="C15" s="64">
        <f t="shared" ref="C15:D15" si="0">SUM(C4+C9+C12)</f>
        <v>0.99999999999999989</v>
      </c>
      <c r="D15" s="64">
        <f t="shared" si="0"/>
        <v>0.99999999999999989</v>
      </c>
      <c r="E15" s="42"/>
      <c r="F15" s="42"/>
      <c r="G15" s="60"/>
      <c r="H15" s="60"/>
      <c r="I15" s="60"/>
    </row>
    <row r="16" spans="1:23" x14ac:dyDescent="0.25">
      <c r="A16" s="152" t="s">
        <v>1032</v>
      </c>
      <c r="B16" s="142"/>
      <c r="C16" s="142"/>
      <c r="D16" s="142"/>
      <c r="E16" s="142"/>
      <c r="F16" s="142"/>
      <c r="G16" s="142"/>
      <c r="H16" s="142"/>
      <c r="I16" s="143"/>
    </row>
    <row r="17" spans="1:9" x14ac:dyDescent="0.25">
      <c r="A17" s="66" t="s">
        <v>1033</v>
      </c>
      <c r="B17" s="67" t="s">
        <v>427</v>
      </c>
      <c r="C17" s="64"/>
      <c r="D17" s="64"/>
      <c r="E17" s="68" t="s">
        <v>193</v>
      </c>
      <c r="F17" s="42" t="s">
        <v>425</v>
      </c>
      <c r="G17" s="42"/>
      <c r="H17" s="60"/>
      <c r="I17" s="60"/>
    </row>
    <row r="18" spans="1:9" x14ac:dyDescent="0.25">
      <c r="A18" s="66" t="s">
        <v>1034</v>
      </c>
      <c r="B18" s="67" t="s">
        <v>427</v>
      </c>
      <c r="C18" s="64"/>
      <c r="D18" s="64"/>
      <c r="E18" s="68" t="s">
        <v>199</v>
      </c>
      <c r="F18" s="42" t="s">
        <v>425</v>
      </c>
      <c r="G18" s="42"/>
      <c r="H18" s="60"/>
      <c r="I18" s="60"/>
    </row>
    <row r="19" spans="1:9" x14ac:dyDescent="0.25">
      <c r="A19" s="66" t="s">
        <v>1035</v>
      </c>
      <c r="B19" s="67" t="s">
        <v>427</v>
      </c>
      <c r="C19" s="64"/>
      <c r="D19" s="64"/>
      <c r="E19" s="68" t="s">
        <v>203</v>
      </c>
      <c r="F19" s="42" t="s">
        <v>425</v>
      </c>
      <c r="G19" s="42"/>
      <c r="H19" s="60"/>
      <c r="I19" s="60"/>
    </row>
    <row r="20" spans="1:9" x14ac:dyDescent="0.25">
      <c r="A20" s="7"/>
      <c r="E20" s="7"/>
      <c r="F20" s="7"/>
    </row>
    <row r="21" spans="1:9" x14ac:dyDescent="0.25">
      <c r="A21" s="7"/>
      <c r="E21" s="7"/>
      <c r="F21" s="7"/>
    </row>
    <row r="22" spans="1:9" x14ac:dyDescent="0.25">
      <c r="A22" s="7"/>
      <c r="E22" s="7"/>
      <c r="F22" s="7"/>
    </row>
    <row r="23" spans="1:9" x14ac:dyDescent="0.25">
      <c r="A23" s="7"/>
      <c r="E23" s="7"/>
      <c r="F23" s="7"/>
    </row>
    <row r="24" spans="1:9" x14ac:dyDescent="0.25">
      <c r="A24" s="7"/>
      <c r="E24" s="7"/>
      <c r="F24" s="7"/>
    </row>
    <row r="25" spans="1:9" x14ac:dyDescent="0.25">
      <c r="A25" s="7"/>
      <c r="E25" s="7"/>
      <c r="F25" s="7"/>
    </row>
    <row r="26" spans="1:9" x14ac:dyDescent="0.25">
      <c r="A26" s="7"/>
      <c r="E26" s="7"/>
      <c r="F26" s="7"/>
    </row>
    <row r="27" spans="1:9" x14ac:dyDescent="0.25">
      <c r="A27" s="7"/>
      <c r="E27" s="7"/>
      <c r="F27" s="7"/>
    </row>
    <row r="28" spans="1:9" x14ac:dyDescent="0.25">
      <c r="A28" s="7"/>
      <c r="E28" s="7"/>
      <c r="F28" s="7"/>
    </row>
    <row r="29" spans="1:9" x14ac:dyDescent="0.25">
      <c r="A29" s="7"/>
      <c r="E29" s="7"/>
      <c r="F29" s="7"/>
    </row>
    <row r="30" spans="1:9" x14ac:dyDescent="0.25">
      <c r="A30" s="7"/>
      <c r="E30" s="7"/>
      <c r="F30" s="7"/>
    </row>
    <row r="31" spans="1:9" x14ac:dyDescent="0.25">
      <c r="A31" s="7"/>
      <c r="E31" s="7"/>
      <c r="F31" s="7"/>
    </row>
    <row r="32" spans="1:9" x14ac:dyDescent="0.25">
      <c r="A32" s="7"/>
      <c r="E32" s="7"/>
      <c r="F32" s="7"/>
    </row>
    <row r="33" spans="1:6" x14ac:dyDescent="0.25">
      <c r="A33" s="7"/>
      <c r="E33" s="7"/>
      <c r="F33" s="7"/>
    </row>
    <row r="34" spans="1:6" x14ac:dyDescent="0.25">
      <c r="A34" s="7"/>
      <c r="E34" s="7"/>
      <c r="F34" s="7"/>
    </row>
    <row r="35" spans="1:6" x14ac:dyDescent="0.25">
      <c r="A35" s="7"/>
      <c r="E35" s="7"/>
      <c r="F35" s="7"/>
    </row>
    <row r="36" spans="1:6" x14ac:dyDescent="0.25">
      <c r="A36" s="7"/>
      <c r="E36" s="7"/>
      <c r="F36" s="7"/>
    </row>
    <row r="37" spans="1:6" x14ac:dyDescent="0.25">
      <c r="A37" s="7"/>
      <c r="E37" s="7"/>
      <c r="F37" s="7"/>
    </row>
    <row r="38" spans="1:6" x14ac:dyDescent="0.25">
      <c r="A38" s="7"/>
      <c r="E38" s="7"/>
      <c r="F38" s="7"/>
    </row>
    <row r="39" spans="1:6" x14ac:dyDescent="0.25">
      <c r="A39" s="7"/>
      <c r="E39" s="7"/>
      <c r="F39" s="7"/>
    </row>
    <row r="40" spans="1:6" x14ac:dyDescent="0.25">
      <c r="A40" s="7"/>
      <c r="E40" s="7"/>
      <c r="F40" s="7"/>
    </row>
    <row r="41" spans="1:6" x14ac:dyDescent="0.25">
      <c r="A41" s="7"/>
      <c r="E41" s="7"/>
      <c r="F41" s="7"/>
    </row>
    <row r="42" spans="1:6" x14ac:dyDescent="0.25">
      <c r="A42" s="7"/>
      <c r="E42" s="7"/>
      <c r="F42" s="7"/>
    </row>
    <row r="43" spans="1:6" x14ac:dyDescent="0.25">
      <c r="A43" s="7"/>
      <c r="E43" s="7"/>
      <c r="F43" s="7"/>
    </row>
    <row r="44" spans="1:6" x14ac:dyDescent="0.25">
      <c r="A44" s="7"/>
      <c r="E44" s="7"/>
      <c r="F44" s="7"/>
    </row>
    <row r="45" spans="1:6" x14ac:dyDescent="0.25">
      <c r="A45" s="7"/>
      <c r="E45" s="7"/>
      <c r="F45" s="7"/>
    </row>
    <row r="46" spans="1:6" x14ac:dyDescent="0.25">
      <c r="A46" s="7"/>
      <c r="E46" s="7"/>
      <c r="F46" s="7"/>
    </row>
    <row r="47" spans="1:6" x14ac:dyDescent="0.25">
      <c r="A47" s="7"/>
      <c r="E47" s="7"/>
      <c r="F47" s="7"/>
    </row>
    <row r="48" spans="1:6" x14ac:dyDescent="0.25">
      <c r="A48" s="7"/>
      <c r="E48" s="7"/>
      <c r="F48" s="7"/>
    </row>
    <row r="49" spans="1:6" x14ac:dyDescent="0.25">
      <c r="A49" s="7"/>
      <c r="E49" s="7"/>
      <c r="F49" s="7"/>
    </row>
    <row r="50" spans="1:6" x14ac:dyDescent="0.25">
      <c r="A50" s="7"/>
      <c r="E50" s="7"/>
      <c r="F50" s="7"/>
    </row>
    <row r="51" spans="1:6" x14ac:dyDescent="0.25">
      <c r="A51" s="7"/>
      <c r="E51" s="7"/>
      <c r="F51" s="7"/>
    </row>
    <row r="52" spans="1:6" x14ac:dyDescent="0.25">
      <c r="A52" s="7"/>
      <c r="E52" s="7"/>
      <c r="F52" s="7"/>
    </row>
    <row r="53" spans="1:6" x14ac:dyDescent="0.25">
      <c r="A53" s="7"/>
      <c r="E53" s="7"/>
      <c r="F53" s="7"/>
    </row>
    <row r="54" spans="1:6" x14ac:dyDescent="0.25">
      <c r="A54" s="7"/>
      <c r="E54" s="7"/>
      <c r="F54" s="7"/>
    </row>
    <row r="55" spans="1:6" x14ac:dyDescent="0.25">
      <c r="A55" s="7"/>
      <c r="E55" s="7"/>
      <c r="F55" s="7"/>
    </row>
    <row r="56" spans="1:6" x14ac:dyDescent="0.25">
      <c r="A56" s="7"/>
      <c r="E56" s="7"/>
      <c r="F56" s="7"/>
    </row>
    <row r="57" spans="1:6" x14ac:dyDescent="0.25">
      <c r="A57" s="7"/>
      <c r="E57" s="7"/>
      <c r="F57" s="7"/>
    </row>
    <row r="58" spans="1:6" x14ac:dyDescent="0.25">
      <c r="A58" s="7"/>
      <c r="E58" s="7"/>
      <c r="F58" s="7"/>
    </row>
    <row r="59" spans="1:6" x14ac:dyDescent="0.25">
      <c r="A59" s="7"/>
      <c r="E59" s="7"/>
      <c r="F59" s="7"/>
    </row>
    <row r="60" spans="1:6" x14ac:dyDescent="0.25">
      <c r="A60" s="7"/>
      <c r="E60" s="7"/>
      <c r="F60" s="7"/>
    </row>
    <row r="61" spans="1:6" x14ac:dyDescent="0.25">
      <c r="A61" s="7"/>
      <c r="E61" s="7"/>
      <c r="F61" s="7"/>
    </row>
    <row r="62" spans="1:6" x14ac:dyDescent="0.25">
      <c r="A62" s="7"/>
      <c r="E62" s="7"/>
      <c r="F62" s="7"/>
    </row>
    <row r="63" spans="1:6" x14ac:dyDescent="0.25">
      <c r="A63" s="7"/>
      <c r="E63" s="7"/>
      <c r="F63" s="7"/>
    </row>
    <row r="64" spans="1:6" x14ac:dyDescent="0.25">
      <c r="A64" s="7"/>
      <c r="E64" s="7"/>
      <c r="F64" s="7"/>
    </row>
    <row r="65" spans="1:6" x14ac:dyDescent="0.25">
      <c r="A65" s="7"/>
      <c r="E65" s="7"/>
      <c r="F65" s="7"/>
    </row>
    <row r="66" spans="1:6" x14ac:dyDescent="0.25">
      <c r="A66" s="7"/>
      <c r="E66" s="7"/>
      <c r="F66" s="7"/>
    </row>
    <row r="67" spans="1:6" x14ac:dyDescent="0.25">
      <c r="A67" s="7"/>
      <c r="E67" s="7"/>
      <c r="F67" s="7"/>
    </row>
    <row r="68" spans="1:6" x14ac:dyDescent="0.25">
      <c r="A68" s="7"/>
      <c r="E68" s="7"/>
      <c r="F68" s="7"/>
    </row>
    <row r="69" spans="1:6" x14ac:dyDescent="0.25">
      <c r="A69" s="7"/>
      <c r="E69" s="7"/>
      <c r="F69" s="7"/>
    </row>
    <row r="70" spans="1:6" x14ac:dyDescent="0.25">
      <c r="A70" s="7"/>
      <c r="E70" s="7"/>
      <c r="F70" s="7"/>
    </row>
    <row r="71" spans="1:6" x14ac:dyDescent="0.25">
      <c r="A71" s="7"/>
      <c r="E71" s="7"/>
      <c r="F71" s="7"/>
    </row>
    <row r="72" spans="1:6" x14ac:dyDescent="0.25">
      <c r="A72" s="7"/>
      <c r="E72" s="7"/>
      <c r="F72" s="7"/>
    </row>
    <row r="73" spans="1:6" x14ac:dyDescent="0.25">
      <c r="A73" s="7"/>
      <c r="E73" s="7"/>
      <c r="F73" s="7"/>
    </row>
    <row r="74" spans="1:6" x14ac:dyDescent="0.25">
      <c r="A74" s="7"/>
      <c r="E74" s="7"/>
      <c r="F74" s="7"/>
    </row>
    <row r="75" spans="1:6" x14ac:dyDescent="0.25">
      <c r="A75" s="7"/>
      <c r="E75" s="7"/>
      <c r="F75" s="7"/>
    </row>
    <row r="76" spans="1:6" x14ac:dyDescent="0.25">
      <c r="A76" s="7"/>
      <c r="E76" s="7"/>
      <c r="F76" s="7"/>
    </row>
    <row r="77" spans="1:6" x14ac:dyDescent="0.25">
      <c r="A77" s="7"/>
      <c r="E77" s="7"/>
      <c r="F77" s="7"/>
    </row>
    <row r="78" spans="1:6" x14ac:dyDescent="0.25">
      <c r="A78" s="7"/>
      <c r="E78" s="7"/>
      <c r="F78" s="7"/>
    </row>
    <row r="79" spans="1:6" x14ac:dyDescent="0.25">
      <c r="A79" s="7"/>
      <c r="E79" s="7"/>
      <c r="F79" s="7"/>
    </row>
    <row r="80" spans="1:6" x14ac:dyDescent="0.25">
      <c r="A80" s="7"/>
      <c r="E80" s="7"/>
      <c r="F80" s="7"/>
    </row>
    <row r="81" spans="1:6" x14ac:dyDescent="0.25">
      <c r="A81" s="7"/>
      <c r="E81" s="7"/>
      <c r="F81" s="7"/>
    </row>
    <row r="82" spans="1:6" x14ac:dyDescent="0.25">
      <c r="A82" s="7"/>
      <c r="E82" s="7"/>
      <c r="F82" s="7"/>
    </row>
    <row r="83" spans="1:6" x14ac:dyDescent="0.25">
      <c r="A83" s="7"/>
      <c r="E83" s="7"/>
      <c r="F83" s="7"/>
    </row>
    <row r="84" spans="1:6" x14ac:dyDescent="0.25">
      <c r="A84" s="7"/>
      <c r="E84" s="7"/>
      <c r="F84" s="7"/>
    </row>
    <row r="85" spans="1:6" x14ac:dyDescent="0.25">
      <c r="A85" s="7"/>
      <c r="E85" s="7"/>
      <c r="F85" s="7"/>
    </row>
    <row r="86" spans="1:6" x14ac:dyDescent="0.25">
      <c r="A86" s="7"/>
      <c r="E86" s="7"/>
      <c r="F86" s="7"/>
    </row>
    <row r="87" spans="1:6" x14ac:dyDescent="0.25">
      <c r="A87" s="7"/>
      <c r="E87" s="7"/>
      <c r="F87" s="7"/>
    </row>
    <row r="88" spans="1:6" x14ac:dyDescent="0.25">
      <c r="A88" s="7"/>
      <c r="E88" s="7"/>
      <c r="F88" s="7"/>
    </row>
    <row r="89" spans="1:6" x14ac:dyDescent="0.25">
      <c r="A89" s="7"/>
      <c r="E89" s="7"/>
      <c r="F89" s="7"/>
    </row>
    <row r="90" spans="1:6" x14ac:dyDescent="0.25">
      <c r="A90" s="7"/>
      <c r="E90" s="7"/>
      <c r="F90" s="7"/>
    </row>
    <row r="91" spans="1:6" x14ac:dyDescent="0.25">
      <c r="A91" s="7"/>
      <c r="E91" s="7"/>
      <c r="F91" s="7"/>
    </row>
    <row r="92" spans="1:6" x14ac:dyDescent="0.25">
      <c r="A92" s="7"/>
      <c r="E92" s="7"/>
      <c r="F92" s="7"/>
    </row>
    <row r="93" spans="1:6" x14ac:dyDescent="0.25">
      <c r="A93" s="7"/>
      <c r="E93" s="7"/>
      <c r="F93" s="7"/>
    </row>
    <row r="94" spans="1:6" x14ac:dyDescent="0.25">
      <c r="A94" s="7"/>
      <c r="E94" s="7"/>
      <c r="F94" s="7"/>
    </row>
    <row r="95" spans="1:6" x14ac:dyDescent="0.25">
      <c r="A95" s="7"/>
      <c r="E95" s="7"/>
      <c r="F95" s="7"/>
    </row>
    <row r="96" spans="1:6" x14ac:dyDescent="0.25">
      <c r="A96" s="7"/>
      <c r="E96" s="7"/>
      <c r="F96" s="7"/>
    </row>
    <row r="97" spans="1:6" x14ac:dyDescent="0.25">
      <c r="A97" s="7"/>
      <c r="E97" s="7"/>
      <c r="F97" s="7"/>
    </row>
    <row r="98" spans="1:6" x14ac:dyDescent="0.25">
      <c r="A98" s="7"/>
      <c r="E98" s="7"/>
      <c r="F98" s="7"/>
    </row>
    <row r="99" spans="1:6" x14ac:dyDescent="0.25">
      <c r="A99" s="7"/>
      <c r="E99" s="7"/>
      <c r="F99" s="7"/>
    </row>
    <row r="100" spans="1:6" x14ac:dyDescent="0.25">
      <c r="A100" s="7"/>
      <c r="E100" s="7"/>
      <c r="F100" s="7"/>
    </row>
    <row r="101" spans="1:6" x14ac:dyDescent="0.25">
      <c r="A101" s="7"/>
      <c r="E101" s="7"/>
      <c r="F101" s="7"/>
    </row>
    <row r="102" spans="1:6" x14ac:dyDescent="0.25">
      <c r="A102" s="7"/>
      <c r="E102" s="7"/>
      <c r="F102" s="7"/>
    </row>
    <row r="103" spans="1:6" x14ac:dyDescent="0.25">
      <c r="A103" s="7"/>
      <c r="E103" s="7"/>
      <c r="F103" s="7"/>
    </row>
    <row r="104" spans="1:6" x14ac:dyDescent="0.25">
      <c r="A104" s="7"/>
      <c r="E104" s="7"/>
      <c r="F104" s="7"/>
    </row>
    <row r="105" spans="1:6" x14ac:dyDescent="0.25">
      <c r="A105" s="7"/>
      <c r="E105" s="7"/>
      <c r="F105" s="7"/>
    </row>
    <row r="106" spans="1:6" x14ac:dyDescent="0.25">
      <c r="A106" s="7"/>
      <c r="E106" s="7"/>
      <c r="F106" s="7"/>
    </row>
    <row r="107" spans="1:6" x14ac:dyDescent="0.25">
      <c r="A107" s="7"/>
      <c r="E107" s="7"/>
      <c r="F107" s="7"/>
    </row>
    <row r="108" spans="1:6" x14ac:dyDescent="0.25">
      <c r="A108" s="7"/>
      <c r="E108" s="7"/>
      <c r="F108" s="7"/>
    </row>
    <row r="109" spans="1:6" x14ac:dyDescent="0.25">
      <c r="A109" s="7"/>
      <c r="E109" s="7"/>
      <c r="F109" s="7"/>
    </row>
    <row r="110" spans="1:6" x14ac:dyDescent="0.25">
      <c r="A110" s="7"/>
      <c r="E110" s="7"/>
      <c r="F110" s="7"/>
    </row>
    <row r="111" spans="1:6" x14ac:dyDescent="0.25">
      <c r="A111" s="7"/>
      <c r="E111" s="7"/>
      <c r="F111" s="7"/>
    </row>
    <row r="112" spans="1:6" x14ac:dyDescent="0.25">
      <c r="A112" s="7"/>
      <c r="E112" s="7"/>
      <c r="F112" s="7"/>
    </row>
    <row r="113" spans="1:6" x14ac:dyDescent="0.25">
      <c r="A113" s="7"/>
      <c r="E113" s="7"/>
      <c r="F113" s="7"/>
    </row>
    <row r="114" spans="1:6" x14ac:dyDescent="0.25">
      <c r="A114" s="7"/>
      <c r="E114" s="7"/>
      <c r="F114" s="7"/>
    </row>
    <row r="115" spans="1:6" x14ac:dyDescent="0.25">
      <c r="A115" s="7"/>
      <c r="E115" s="7"/>
      <c r="F115" s="7"/>
    </row>
    <row r="116" spans="1:6" x14ac:dyDescent="0.25">
      <c r="A116" s="7"/>
      <c r="E116" s="7"/>
      <c r="F116" s="7"/>
    </row>
    <row r="117" spans="1:6" x14ac:dyDescent="0.25">
      <c r="A117" s="7"/>
      <c r="E117" s="7"/>
      <c r="F117" s="7"/>
    </row>
    <row r="118" spans="1:6" x14ac:dyDescent="0.25">
      <c r="A118" s="7"/>
      <c r="E118" s="7"/>
      <c r="F118" s="7"/>
    </row>
    <row r="119" spans="1:6" x14ac:dyDescent="0.25">
      <c r="A119" s="7"/>
      <c r="E119" s="7"/>
      <c r="F119" s="7"/>
    </row>
    <row r="120" spans="1:6" x14ac:dyDescent="0.25">
      <c r="A120" s="7"/>
      <c r="E120" s="7"/>
      <c r="F120" s="7"/>
    </row>
    <row r="121" spans="1:6" x14ac:dyDescent="0.25">
      <c r="A121" s="7"/>
      <c r="E121" s="7"/>
      <c r="F121" s="7"/>
    </row>
    <row r="122" spans="1:6" x14ac:dyDescent="0.25">
      <c r="A122" s="7"/>
      <c r="E122" s="7"/>
      <c r="F122" s="7"/>
    </row>
    <row r="123" spans="1:6" x14ac:dyDescent="0.25">
      <c r="A123" s="7"/>
      <c r="E123" s="7"/>
      <c r="F123" s="7"/>
    </row>
    <row r="124" spans="1:6" x14ac:dyDescent="0.25">
      <c r="A124" s="7"/>
      <c r="E124" s="7"/>
      <c r="F124" s="7"/>
    </row>
    <row r="125" spans="1:6" x14ac:dyDescent="0.25">
      <c r="A125" s="7"/>
      <c r="E125" s="7"/>
      <c r="F125" s="7"/>
    </row>
    <row r="126" spans="1:6" x14ac:dyDescent="0.25">
      <c r="A126" s="7"/>
      <c r="E126" s="7"/>
      <c r="F126" s="7"/>
    </row>
    <row r="127" spans="1:6" x14ac:dyDescent="0.25">
      <c r="A127" s="7"/>
      <c r="E127" s="7"/>
      <c r="F127" s="7"/>
    </row>
    <row r="128" spans="1:6" x14ac:dyDescent="0.25">
      <c r="A128" s="7"/>
      <c r="E128" s="7"/>
      <c r="F128" s="7"/>
    </row>
    <row r="129" spans="1:6" x14ac:dyDescent="0.25">
      <c r="A129" s="7"/>
      <c r="E129" s="7"/>
      <c r="F129" s="7"/>
    </row>
    <row r="130" spans="1:6" x14ac:dyDescent="0.25">
      <c r="A130" s="7"/>
      <c r="E130" s="7"/>
      <c r="F130" s="7"/>
    </row>
    <row r="131" spans="1:6" x14ac:dyDescent="0.25">
      <c r="A131" s="7"/>
      <c r="E131" s="7"/>
      <c r="F131" s="7"/>
    </row>
    <row r="132" spans="1:6" x14ac:dyDescent="0.25">
      <c r="A132" s="7"/>
      <c r="E132" s="7"/>
      <c r="F132" s="7"/>
    </row>
    <row r="133" spans="1:6" x14ac:dyDescent="0.25">
      <c r="A133" s="7"/>
      <c r="E133" s="7"/>
      <c r="F133" s="7"/>
    </row>
    <row r="134" spans="1:6" x14ac:dyDescent="0.25">
      <c r="A134" s="7"/>
      <c r="E134" s="7"/>
      <c r="F134" s="7"/>
    </row>
    <row r="135" spans="1:6" x14ac:dyDescent="0.25">
      <c r="A135" s="7"/>
      <c r="E135" s="7"/>
      <c r="F135" s="7"/>
    </row>
    <row r="136" spans="1:6" x14ac:dyDescent="0.25">
      <c r="A136" s="7"/>
      <c r="E136" s="7"/>
      <c r="F136" s="7"/>
    </row>
    <row r="137" spans="1:6" x14ac:dyDescent="0.25">
      <c r="A137" s="7"/>
      <c r="E137" s="7"/>
      <c r="F137" s="7"/>
    </row>
    <row r="138" spans="1:6" x14ac:dyDescent="0.25">
      <c r="A138" s="7"/>
      <c r="E138" s="7"/>
      <c r="F138" s="7"/>
    </row>
    <row r="139" spans="1:6" x14ac:dyDescent="0.25">
      <c r="A139" s="7"/>
      <c r="E139" s="7"/>
      <c r="F139" s="7"/>
    </row>
    <row r="140" spans="1:6" x14ac:dyDescent="0.25">
      <c r="A140" s="7"/>
      <c r="E140" s="7"/>
      <c r="F140" s="7"/>
    </row>
    <row r="141" spans="1:6" x14ac:dyDescent="0.25">
      <c r="A141" s="7"/>
      <c r="E141" s="7"/>
      <c r="F141" s="7"/>
    </row>
    <row r="142" spans="1:6" x14ac:dyDescent="0.25">
      <c r="A142" s="7"/>
      <c r="E142" s="7"/>
      <c r="F142" s="7"/>
    </row>
    <row r="143" spans="1:6" x14ac:dyDescent="0.25">
      <c r="A143" s="7"/>
      <c r="E143" s="7"/>
      <c r="F143" s="7"/>
    </row>
    <row r="144" spans="1:6" x14ac:dyDescent="0.25">
      <c r="A144" s="7"/>
      <c r="E144" s="7"/>
      <c r="F144" s="7"/>
    </row>
    <row r="145" spans="1:6" x14ac:dyDescent="0.25">
      <c r="A145" s="7"/>
      <c r="E145" s="7"/>
      <c r="F145" s="7"/>
    </row>
    <row r="146" spans="1:6" x14ac:dyDescent="0.25">
      <c r="A146" s="7"/>
      <c r="E146" s="7"/>
      <c r="F146" s="7"/>
    </row>
    <row r="147" spans="1:6" x14ac:dyDescent="0.25">
      <c r="A147" s="7"/>
      <c r="E147" s="7"/>
      <c r="F147" s="7"/>
    </row>
    <row r="148" spans="1:6" x14ac:dyDescent="0.25">
      <c r="A148" s="7"/>
      <c r="E148" s="7"/>
      <c r="F148" s="7"/>
    </row>
    <row r="149" spans="1:6" x14ac:dyDescent="0.25">
      <c r="A149" s="7"/>
      <c r="E149" s="7"/>
      <c r="F149" s="7"/>
    </row>
    <row r="150" spans="1:6" x14ac:dyDescent="0.25">
      <c r="A150" s="7"/>
      <c r="E150" s="7"/>
      <c r="F150" s="7"/>
    </row>
    <row r="151" spans="1:6" x14ac:dyDescent="0.25">
      <c r="A151" s="7"/>
      <c r="E151" s="7"/>
      <c r="F151" s="7"/>
    </row>
    <row r="152" spans="1:6" x14ac:dyDescent="0.25">
      <c r="A152" s="7"/>
      <c r="E152" s="7"/>
      <c r="F152" s="7"/>
    </row>
    <row r="153" spans="1:6" x14ac:dyDescent="0.25">
      <c r="A153" s="7"/>
      <c r="E153" s="7"/>
      <c r="F153" s="7"/>
    </row>
    <row r="154" spans="1:6" x14ac:dyDescent="0.25">
      <c r="A154" s="7"/>
      <c r="E154" s="7"/>
      <c r="F154" s="7"/>
    </row>
    <row r="155" spans="1:6" x14ac:dyDescent="0.25">
      <c r="A155" s="7"/>
      <c r="E155" s="7"/>
      <c r="F155" s="7"/>
    </row>
    <row r="156" spans="1:6" x14ac:dyDescent="0.25">
      <c r="A156" s="7"/>
      <c r="E156" s="7"/>
      <c r="F156" s="7"/>
    </row>
    <row r="157" spans="1:6" x14ac:dyDescent="0.25">
      <c r="A157" s="7"/>
      <c r="E157" s="7"/>
      <c r="F157" s="7"/>
    </row>
    <row r="158" spans="1:6" x14ac:dyDescent="0.25">
      <c r="A158" s="7"/>
      <c r="E158" s="7"/>
      <c r="F158" s="7"/>
    </row>
    <row r="159" spans="1:6" x14ac:dyDescent="0.25">
      <c r="A159" s="7"/>
      <c r="E159" s="7"/>
      <c r="F159" s="7"/>
    </row>
    <row r="160" spans="1:6" x14ac:dyDescent="0.25">
      <c r="A160" s="7"/>
      <c r="E160" s="7"/>
      <c r="F160" s="7"/>
    </row>
    <row r="161" spans="1:6" x14ac:dyDescent="0.25">
      <c r="A161" s="7"/>
      <c r="E161" s="7"/>
      <c r="F161" s="7"/>
    </row>
    <row r="162" spans="1:6" x14ac:dyDescent="0.25">
      <c r="A162" s="7"/>
      <c r="E162" s="7"/>
      <c r="F162" s="7"/>
    </row>
    <row r="163" spans="1:6" x14ac:dyDescent="0.25">
      <c r="A163" s="7"/>
      <c r="E163" s="7"/>
      <c r="F163" s="7"/>
    </row>
    <row r="164" spans="1:6" x14ac:dyDescent="0.25">
      <c r="A164" s="7"/>
      <c r="E164" s="7"/>
      <c r="F164" s="7"/>
    </row>
    <row r="165" spans="1:6" x14ac:dyDescent="0.25">
      <c r="A165" s="7"/>
      <c r="E165" s="7"/>
      <c r="F165" s="7"/>
    </row>
    <row r="166" spans="1:6" x14ac:dyDescent="0.25">
      <c r="A166" s="7"/>
      <c r="E166" s="7"/>
      <c r="F166" s="7"/>
    </row>
    <row r="167" spans="1:6" x14ac:dyDescent="0.25">
      <c r="A167" s="7"/>
      <c r="E167" s="7"/>
      <c r="F167" s="7"/>
    </row>
    <row r="168" spans="1:6" x14ac:dyDescent="0.25">
      <c r="A168" s="7"/>
      <c r="E168" s="7"/>
      <c r="F168" s="7"/>
    </row>
    <row r="169" spans="1:6" x14ac:dyDescent="0.25">
      <c r="A169" s="7"/>
      <c r="E169" s="7"/>
      <c r="F169" s="7"/>
    </row>
    <row r="170" spans="1:6" x14ac:dyDescent="0.25">
      <c r="A170" s="7"/>
      <c r="E170" s="7"/>
      <c r="F170" s="7"/>
    </row>
    <row r="171" spans="1:6" x14ac:dyDescent="0.25">
      <c r="A171" s="7"/>
      <c r="E171" s="7"/>
      <c r="F171" s="7"/>
    </row>
    <row r="172" spans="1:6" x14ac:dyDescent="0.25">
      <c r="A172" s="7"/>
      <c r="E172" s="7"/>
      <c r="F172" s="7"/>
    </row>
    <row r="173" spans="1:6" x14ac:dyDescent="0.25">
      <c r="A173" s="7"/>
      <c r="E173" s="7"/>
      <c r="F173" s="7"/>
    </row>
    <row r="174" spans="1:6" x14ac:dyDescent="0.25">
      <c r="A174" s="7"/>
      <c r="E174" s="7"/>
      <c r="F174" s="7"/>
    </row>
    <row r="175" spans="1:6" x14ac:dyDescent="0.25">
      <c r="A175" s="7"/>
      <c r="E175" s="7"/>
      <c r="F175" s="7"/>
    </row>
    <row r="176" spans="1:6" x14ac:dyDescent="0.25">
      <c r="A176" s="7"/>
      <c r="E176" s="7"/>
      <c r="F176" s="7"/>
    </row>
    <row r="177" spans="1:6" x14ac:dyDescent="0.25">
      <c r="A177" s="7"/>
      <c r="E177" s="7"/>
      <c r="F177" s="7"/>
    </row>
    <row r="178" spans="1:6" x14ac:dyDescent="0.25">
      <c r="A178" s="7"/>
      <c r="E178" s="7"/>
      <c r="F178" s="7"/>
    </row>
    <row r="179" spans="1:6" x14ac:dyDescent="0.25">
      <c r="A179" s="7"/>
      <c r="E179" s="7"/>
      <c r="F179" s="7"/>
    </row>
    <row r="180" spans="1:6" x14ac:dyDescent="0.25">
      <c r="A180" s="7"/>
      <c r="E180" s="7"/>
      <c r="F180" s="7"/>
    </row>
    <row r="181" spans="1:6" x14ac:dyDescent="0.25">
      <c r="A181" s="7"/>
      <c r="E181" s="7"/>
      <c r="F181" s="7"/>
    </row>
    <row r="182" spans="1:6" x14ac:dyDescent="0.25">
      <c r="A182" s="7"/>
      <c r="E182" s="7"/>
      <c r="F182" s="7"/>
    </row>
    <row r="183" spans="1:6" x14ac:dyDescent="0.25">
      <c r="A183" s="7"/>
      <c r="E183" s="7"/>
      <c r="F183" s="7"/>
    </row>
    <row r="184" spans="1:6" x14ac:dyDescent="0.25">
      <c r="A184" s="7"/>
      <c r="E184" s="7"/>
      <c r="F184" s="7"/>
    </row>
    <row r="185" spans="1:6" x14ac:dyDescent="0.25">
      <c r="A185" s="7"/>
      <c r="E185" s="7"/>
      <c r="F185" s="7"/>
    </row>
    <row r="186" spans="1:6" x14ac:dyDescent="0.25">
      <c r="A186" s="7"/>
      <c r="E186" s="7"/>
      <c r="F186" s="7"/>
    </row>
    <row r="187" spans="1:6" x14ac:dyDescent="0.25">
      <c r="A187" s="7"/>
      <c r="E187" s="7"/>
      <c r="F187" s="7"/>
    </row>
    <row r="188" spans="1:6" x14ac:dyDescent="0.25">
      <c r="A188" s="7"/>
      <c r="E188" s="7"/>
      <c r="F188" s="7"/>
    </row>
    <row r="189" spans="1:6" x14ac:dyDescent="0.25">
      <c r="A189" s="7"/>
      <c r="E189" s="7"/>
      <c r="F189" s="7"/>
    </row>
    <row r="190" spans="1:6" x14ac:dyDescent="0.25">
      <c r="A190" s="7"/>
      <c r="E190" s="7"/>
      <c r="F190" s="7"/>
    </row>
    <row r="191" spans="1:6" x14ac:dyDescent="0.25">
      <c r="A191" s="7"/>
      <c r="E191" s="7"/>
      <c r="F191" s="7"/>
    </row>
    <row r="192" spans="1:6" x14ac:dyDescent="0.25">
      <c r="A192" s="7"/>
      <c r="E192" s="7"/>
      <c r="F192" s="7"/>
    </row>
    <row r="193" spans="1:6" x14ac:dyDescent="0.25">
      <c r="A193" s="7"/>
      <c r="E193" s="7"/>
      <c r="F193" s="7"/>
    </row>
    <row r="194" spans="1:6" x14ac:dyDescent="0.25">
      <c r="A194" s="7"/>
      <c r="E194" s="7"/>
      <c r="F194" s="7"/>
    </row>
    <row r="195" spans="1:6" x14ac:dyDescent="0.25">
      <c r="A195" s="7"/>
      <c r="E195" s="7"/>
      <c r="F195" s="7"/>
    </row>
    <row r="196" spans="1:6" x14ac:dyDescent="0.25">
      <c r="A196" s="7"/>
      <c r="E196" s="7"/>
      <c r="F196" s="7"/>
    </row>
    <row r="197" spans="1:6" x14ac:dyDescent="0.25">
      <c r="A197" s="7"/>
      <c r="E197" s="7"/>
      <c r="F197" s="7"/>
    </row>
    <row r="198" spans="1:6" x14ac:dyDescent="0.25">
      <c r="A198" s="7"/>
      <c r="E198" s="7"/>
      <c r="F198" s="7"/>
    </row>
    <row r="199" spans="1:6" x14ac:dyDescent="0.25">
      <c r="A199" s="7"/>
      <c r="E199" s="7"/>
      <c r="F199" s="7"/>
    </row>
    <row r="200" spans="1:6" x14ac:dyDescent="0.25">
      <c r="A200" s="7"/>
      <c r="E200" s="7"/>
      <c r="F200" s="7"/>
    </row>
    <row r="201" spans="1:6" x14ac:dyDescent="0.25">
      <c r="A201" s="7"/>
      <c r="E201" s="7"/>
      <c r="F201" s="7"/>
    </row>
    <row r="202" spans="1:6" x14ac:dyDescent="0.25">
      <c r="A202" s="7"/>
      <c r="E202" s="7"/>
      <c r="F202" s="7"/>
    </row>
    <row r="203" spans="1:6" x14ac:dyDescent="0.25">
      <c r="A203" s="7"/>
      <c r="E203" s="7"/>
      <c r="F203" s="7"/>
    </row>
    <row r="204" spans="1:6" x14ac:dyDescent="0.25">
      <c r="A204" s="7"/>
      <c r="E204" s="7"/>
      <c r="F204" s="7"/>
    </row>
    <row r="205" spans="1:6" x14ac:dyDescent="0.25">
      <c r="A205" s="7"/>
      <c r="E205" s="7"/>
      <c r="F205" s="7"/>
    </row>
    <row r="206" spans="1:6" x14ac:dyDescent="0.25">
      <c r="A206" s="7"/>
      <c r="E206" s="7"/>
      <c r="F206" s="7"/>
    </row>
    <row r="207" spans="1:6" x14ac:dyDescent="0.25">
      <c r="A207" s="7"/>
      <c r="E207" s="7"/>
      <c r="F207" s="7"/>
    </row>
    <row r="208" spans="1:6" x14ac:dyDescent="0.25">
      <c r="A208" s="7"/>
      <c r="E208" s="7"/>
      <c r="F208" s="7"/>
    </row>
    <row r="209" spans="1:6" x14ac:dyDescent="0.25">
      <c r="A209" s="7"/>
      <c r="E209" s="7"/>
      <c r="F209" s="7"/>
    </row>
    <row r="210" spans="1:6" x14ac:dyDescent="0.25">
      <c r="A210" s="7"/>
      <c r="E210" s="7"/>
      <c r="F210" s="7"/>
    </row>
    <row r="211" spans="1:6" x14ac:dyDescent="0.25">
      <c r="A211" s="7"/>
      <c r="E211" s="7"/>
      <c r="F211" s="7"/>
    </row>
    <row r="212" spans="1:6" x14ac:dyDescent="0.25">
      <c r="A212" s="7"/>
      <c r="E212" s="7"/>
      <c r="F212" s="7"/>
    </row>
    <row r="213" spans="1:6" x14ac:dyDescent="0.25">
      <c r="A213" s="7"/>
      <c r="E213" s="7"/>
      <c r="F213" s="7"/>
    </row>
    <row r="214" spans="1:6" x14ac:dyDescent="0.25">
      <c r="A214" s="7"/>
      <c r="E214" s="7"/>
      <c r="F214" s="7"/>
    </row>
    <row r="215" spans="1:6" x14ac:dyDescent="0.25">
      <c r="A215" s="7"/>
      <c r="E215" s="7"/>
      <c r="F215" s="7"/>
    </row>
    <row r="216" spans="1:6" x14ac:dyDescent="0.25">
      <c r="A216" s="7"/>
      <c r="E216" s="7"/>
      <c r="F216" s="7"/>
    </row>
    <row r="217" spans="1:6" x14ac:dyDescent="0.25">
      <c r="A217" s="7"/>
      <c r="E217" s="7"/>
      <c r="F217" s="7"/>
    </row>
    <row r="218" spans="1:6" x14ac:dyDescent="0.25">
      <c r="A218" s="7"/>
      <c r="E218" s="7"/>
      <c r="F218" s="7"/>
    </row>
    <row r="219" spans="1:6" x14ac:dyDescent="0.25">
      <c r="A219" s="7"/>
      <c r="E219" s="7"/>
      <c r="F219" s="7"/>
    </row>
    <row r="220" spans="1:6" x14ac:dyDescent="0.25">
      <c r="A220" s="7"/>
      <c r="E220" s="7"/>
      <c r="F220" s="7"/>
    </row>
    <row r="221" spans="1:6" x14ac:dyDescent="0.25">
      <c r="A221" s="7"/>
      <c r="E221" s="7"/>
      <c r="F221" s="7"/>
    </row>
    <row r="222" spans="1:6" x14ac:dyDescent="0.25">
      <c r="A222" s="7"/>
      <c r="E222" s="7"/>
      <c r="F222" s="7"/>
    </row>
    <row r="223" spans="1:6" x14ac:dyDescent="0.25">
      <c r="A223" s="7"/>
      <c r="E223" s="7"/>
      <c r="F223" s="7"/>
    </row>
    <row r="224" spans="1:6" x14ac:dyDescent="0.25">
      <c r="A224" s="7"/>
      <c r="E224" s="7"/>
      <c r="F224" s="7"/>
    </row>
    <row r="225" spans="1:6" x14ac:dyDescent="0.25">
      <c r="A225" s="7"/>
      <c r="E225" s="7"/>
      <c r="F225" s="7"/>
    </row>
    <row r="226" spans="1:6" x14ac:dyDescent="0.25">
      <c r="A226" s="7"/>
      <c r="E226" s="7"/>
      <c r="F226" s="7"/>
    </row>
    <row r="227" spans="1:6" x14ac:dyDescent="0.25">
      <c r="A227" s="7"/>
      <c r="E227" s="7"/>
      <c r="F227" s="7"/>
    </row>
    <row r="228" spans="1:6" x14ac:dyDescent="0.25">
      <c r="A228" s="7"/>
      <c r="E228" s="7"/>
      <c r="F228" s="7"/>
    </row>
    <row r="229" spans="1:6" x14ac:dyDescent="0.25">
      <c r="A229" s="7"/>
      <c r="E229" s="7"/>
      <c r="F229" s="7"/>
    </row>
    <row r="230" spans="1:6" x14ac:dyDescent="0.25">
      <c r="A230" s="7"/>
      <c r="E230" s="7"/>
      <c r="F230" s="7"/>
    </row>
    <row r="231" spans="1:6" x14ac:dyDescent="0.25">
      <c r="A231" s="7"/>
      <c r="E231" s="7"/>
      <c r="F231" s="7"/>
    </row>
    <row r="232" spans="1:6" x14ac:dyDescent="0.25">
      <c r="A232" s="7"/>
      <c r="E232" s="7"/>
      <c r="F232" s="7"/>
    </row>
    <row r="233" spans="1:6" x14ac:dyDescent="0.25">
      <c r="A233" s="7"/>
      <c r="E233" s="7"/>
      <c r="F233" s="7"/>
    </row>
    <row r="234" spans="1:6" x14ac:dyDescent="0.25">
      <c r="A234" s="7"/>
      <c r="E234" s="7"/>
      <c r="F234" s="7"/>
    </row>
    <row r="235" spans="1:6" x14ac:dyDescent="0.25">
      <c r="A235" s="7"/>
      <c r="E235" s="7"/>
      <c r="F235" s="7"/>
    </row>
    <row r="236" spans="1:6" x14ac:dyDescent="0.25">
      <c r="A236" s="7"/>
      <c r="E236" s="7"/>
      <c r="F236" s="7"/>
    </row>
    <row r="237" spans="1:6" x14ac:dyDescent="0.25">
      <c r="A237" s="7"/>
      <c r="E237" s="7"/>
      <c r="F237" s="7"/>
    </row>
    <row r="238" spans="1:6" x14ac:dyDescent="0.25">
      <c r="A238" s="7"/>
      <c r="E238" s="7"/>
      <c r="F238" s="7"/>
    </row>
    <row r="239" spans="1:6" x14ac:dyDescent="0.25">
      <c r="A239" s="7"/>
      <c r="E239" s="7"/>
      <c r="F239" s="7"/>
    </row>
    <row r="240" spans="1:6" x14ac:dyDescent="0.25">
      <c r="A240" s="7"/>
      <c r="E240" s="7"/>
      <c r="F240" s="7"/>
    </row>
    <row r="241" spans="1:6" x14ac:dyDescent="0.25">
      <c r="A241" s="7"/>
      <c r="E241" s="7"/>
      <c r="F241" s="7"/>
    </row>
    <row r="242" spans="1:6" x14ac:dyDescent="0.25">
      <c r="A242" s="7"/>
      <c r="E242" s="7"/>
      <c r="F242" s="7"/>
    </row>
    <row r="243" spans="1:6" x14ac:dyDescent="0.25">
      <c r="A243" s="7"/>
      <c r="E243" s="7"/>
      <c r="F243" s="7"/>
    </row>
    <row r="244" spans="1:6" x14ac:dyDescent="0.25">
      <c r="A244" s="7"/>
      <c r="E244" s="7"/>
      <c r="F244" s="7"/>
    </row>
    <row r="245" spans="1:6" x14ac:dyDescent="0.25">
      <c r="A245" s="7"/>
      <c r="E245" s="7"/>
      <c r="F245" s="7"/>
    </row>
    <row r="246" spans="1:6" x14ac:dyDescent="0.25">
      <c r="A246" s="7"/>
      <c r="E246" s="7"/>
      <c r="F246" s="7"/>
    </row>
    <row r="247" spans="1:6" x14ac:dyDescent="0.25">
      <c r="A247" s="7"/>
      <c r="E247" s="7"/>
      <c r="F247" s="7"/>
    </row>
    <row r="248" spans="1:6" x14ac:dyDescent="0.25">
      <c r="A248" s="7"/>
      <c r="E248" s="7"/>
      <c r="F248" s="7"/>
    </row>
    <row r="249" spans="1:6" x14ac:dyDescent="0.25">
      <c r="A249" s="7"/>
      <c r="E249" s="7"/>
      <c r="F249" s="7"/>
    </row>
    <row r="250" spans="1:6" x14ac:dyDescent="0.25">
      <c r="A250" s="7"/>
      <c r="E250" s="7"/>
      <c r="F250" s="7"/>
    </row>
    <row r="251" spans="1:6" x14ac:dyDescent="0.25">
      <c r="A251" s="7"/>
      <c r="E251" s="7"/>
      <c r="F251" s="7"/>
    </row>
    <row r="252" spans="1:6" x14ac:dyDescent="0.25">
      <c r="A252" s="7"/>
      <c r="E252" s="7"/>
      <c r="F252" s="7"/>
    </row>
    <row r="253" spans="1:6" x14ac:dyDescent="0.25">
      <c r="A253" s="7"/>
      <c r="E253" s="7"/>
      <c r="F253" s="7"/>
    </row>
    <row r="254" spans="1:6" x14ac:dyDescent="0.25">
      <c r="A254" s="7"/>
      <c r="E254" s="7"/>
      <c r="F254" s="7"/>
    </row>
    <row r="255" spans="1:6" x14ac:dyDescent="0.25">
      <c r="A255" s="7"/>
      <c r="E255" s="7"/>
      <c r="F255" s="7"/>
    </row>
    <row r="256" spans="1:6" x14ac:dyDescent="0.25">
      <c r="A256" s="7"/>
      <c r="E256" s="7"/>
      <c r="F256" s="7"/>
    </row>
    <row r="257" spans="1:6" x14ac:dyDescent="0.25">
      <c r="A257" s="7"/>
      <c r="E257" s="7"/>
      <c r="F257" s="7"/>
    </row>
    <row r="258" spans="1:6" x14ac:dyDescent="0.25">
      <c r="A258" s="7"/>
      <c r="E258" s="7"/>
      <c r="F258" s="7"/>
    </row>
    <row r="259" spans="1:6" x14ac:dyDescent="0.25">
      <c r="A259" s="7"/>
      <c r="E259" s="7"/>
      <c r="F259" s="7"/>
    </row>
    <row r="260" spans="1:6" x14ac:dyDescent="0.25">
      <c r="A260" s="7"/>
      <c r="E260" s="7"/>
      <c r="F260" s="7"/>
    </row>
    <row r="261" spans="1:6" x14ac:dyDescent="0.25">
      <c r="A261" s="7"/>
      <c r="E261" s="7"/>
      <c r="F261" s="7"/>
    </row>
    <row r="262" spans="1:6" x14ac:dyDescent="0.25">
      <c r="A262" s="7"/>
      <c r="E262" s="7"/>
      <c r="F262" s="7"/>
    </row>
    <row r="263" spans="1:6" x14ac:dyDescent="0.25">
      <c r="A263" s="7"/>
      <c r="E263" s="7"/>
      <c r="F263" s="7"/>
    </row>
    <row r="264" spans="1:6" x14ac:dyDescent="0.25">
      <c r="A264" s="7"/>
      <c r="E264" s="7"/>
      <c r="F264" s="7"/>
    </row>
    <row r="265" spans="1:6" x14ac:dyDescent="0.25">
      <c r="A265" s="7"/>
      <c r="E265" s="7"/>
      <c r="F265" s="7"/>
    </row>
    <row r="266" spans="1:6" x14ac:dyDescent="0.25">
      <c r="A266" s="7"/>
      <c r="E266" s="7"/>
      <c r="F266" s="7"/>
    </row>
    <row r="267" spans="1:6" x14ac:dyDescent="0.25">
      <c r="A267" s="7"/>
      <c r="E267" s="7"/>
      <c r="F267" s="7"/>
    </row>
    <row r="268" spans="1:6" x14ac:dyDescent="0.25">
      <c r="A268" s="7"/>
      <c r="E268" s="7"/>
      <c r="F268" s="7"/>
    </row>
    <row r="269" spans="1:6" x14ac:dyDescent="0.25">
      <c r="A269" s="7"/>
      <c r="E269" s="7"/>
      <c r="F269" s="7"/>
    </row>
    <row r="270" spans="1:6" x14ac:dyDescent="0.25">
      <c r="A270" s="7"/>
      <c r="E270" s="7"/>
      <c r="F270" s="7"/>
    </row>
    <row r="271" spans="1:6" x14ac:dyDescent="0.25">
      <c r="A271" s="7"/>
      <c r="E271" s="7"/>
      <c r="F271" s="7"/>
    </row>
    <row r="272" spans="1:6" x14ac:dyDescent="0.25">
      <c r="A272" s="7"/>
      <c r="E272" s="7"/>
      <c r="F272" s="7"/>
    </row>
    <row r="273" spans="1:6" x14ac:dyDescent="0.25">
      <c r="A273" s="7"/>
      <c r="E273" s="7"/>
      <c r="F273" s="7"/>
    </row>
    <row r="274" spans="1:6" x14ac:dyDescent="0.25">
      <c r="A274" s="7"/>
      <c r="E274" s="7"/>
      <c r="F274" s="7"/>
    </row>
    <row r="275" spans="1:6" x14ac:dyDescent="0.25">
      <c r="A275" s="7"/>
      <c r="E275" s="7"/>
      <c r="F275" s="7"/>
    </row>
    <row r="276" spans="1:6" x14ac:dyDescent="0.25">
      <c r="A276" s="7"/>
      <c r="E276" s="7"/>
      <c r="F276" s="7"/>
    </row>
    <row r="277" spans="1:6" x14ac:dyDescent="0.25">
      <c r="A277" s="7"/>
      <c r="E277" s="7"/>
      <c r="F277" s="7"/>
    </row>
    <row r="278" spans="1:6" x14ac:dyDescent="0.25">
      <c r="A278" s="7"/>
      <c r="E278" s="7"/>
      <c r="F278" s="7"/>
    </row>
    <row r="279" spans="1:6" x14ac:dyDescent="0.25">
      <c r="A279" s="7"/>
      <c r="E279" s="7"/>
      <c r="F279" s="7"/>
    </row>
    <row r="280" spans="1:6" x14ac:dyDescent="0.25">
      <c r="A280" s="7"/>
      <c r="E280" s="7"/>
      <c r="F280" s="7"/>
    </row>
    <row r="281" spans="1:6" x14ac:dyDescent="0.25">
      <c r="A281" s="7"/>
      <c r="E281" s="7"/>
      <c r="F281" s="7"/>
    </row>
    <row r="282" spans="1:6" x14ac:dyDescent="0.25">
      <c r="A282" s="7"/>
      <c r="E282" s="7"/>
      <c r="F282" s="7"/>
    </row>
    <row r="283" spans="1:6" x14ac:dyDescent="0.25">
      <c r="A283" s="7"/>
      <c r="E283" s="7"/>
      <c r="F283" s="7"/>
    </row>
    <row r="284" spans="1:6" x14ac:dyDescent="0.25">
      <c r="A284" s="7"/>
      <c r="E284" s="7"/>
      <c r="F284" s="7"/>
    </row>
    <row r="285" spans="1:6" x14ac:dyDescent="0.25">
      <c r="A285" s="7"/>
      <c r="E285" s="7"/>
      <c r="F285" s="7"/>
    </row>
    <row r="286" spans="1:6" x14ac:dyDescent="0.25">
      <c r="A286" s="7"/>
      <c r="E286" s="7"/>
      <c r="F286" s="7"/>
    </row>
    <row r="287" spans="1:6" x14ac:dyDescent="0.25">
      <c r="A287" s="7"/>
      <c r="E287" s="7"/>
      <c r="F287" s="7"/>
    </row>
    <row r="288" spans="1:6" x14ac:dyDescent="0.25">
      <c r="A288" s="7"/>
      <c r="E288" s="7"/>
      <c r="F288" s="7"/>
    </row>
    <row r="289" spans="1:6" x14ac:dyDescent="0.25">
      <c r="A289" s="7"/>
      <c r="E289" s="7"/>
      <c r="F289" s="7"/>
    </row>
    <row r="290" spans="1:6" x14ac:dyDescent="0.25">
      <c r="A290" s="7"/>
      <c r="E290" s="7"/>
      <c r="F290" s="7"/>
    </row>
    <row r="291" spans="1:6" x14ac:dyDescent="0.25">
      <c r="A291" s="7"/>
      <c r="E291" s="7"/>
      <c r="F291" s="7"/>
    </row>
    <row r="292" spans="1:6" x14ac:dyDescent="0.25">
      <c r="A292" s="7"/>
      <c r="E292" s="7"/>
      <c r="F292" s="7"/>
    </row>
    <row r="293" spans="1:6" x14ac:dyDescent="0.25">
      <c r="A293" s="7"/>
      <c r="E293" s="7"/>
      <c r="F293" s="7"/>
    </row>
    <row r="294" spans="1:6" x14ac:dyDescent="0.25">
      <c r="A294" s="7"/>
      <c r="E294" s="7"/>
      <c r="F294" s="7"/>
    </row>
    <row r="295" spans="1:6" x14ac:dyDescent="0.25">
      <c r="A295" s="7"/>
      <c r="E295" s="7"/>
      <c r="F295" s="7"/>
    </row>
    <row r="296" spans="1:6" x14ac:dyDescent="0.25">
      <c r="A296" s="7"/>
      <c r="E296" s="7"/>
      <c r="F296" s="7"/>
    </row>
    <row r="297" spans="1:6" x14ac:dyDescent="0.25">
      <c r="A297" s="7"/>
      <c r="E297" s="7"/>
      <c r="F297" s="7"/>
    </row>
    <row r="298" spans="1:6" x14ac:dyDescent="0.25">
      <c r="A298" s="7"/>
      <c r="E298" s="7"/>
      <c r="F298" s="7"/>
    </row>
    <row r="299" spans="1:6" x14ac:dyDescent="0.25">
      <c r="A299" s="7"/>
      <c r="E299" s="7"/>
      <c r="F299" s="7"/>
    </row>
    <row r="300" spans="1:6" x14ac:dyDescent="0.25">
      <c r="A300" s="7"/>
      <c r="E300" s="7"/>
      <c r="F300" s="7"/>
    </row>
    <row r="301" spans="1:6" x14ac:dyDescent="0.25">
      <c r="A301" s="7"/>
      <c r="E301" s="7"/>
      <c r="F301" s="7"/>
    </row>
    <row r="302" spans="1:6" x14ac:dyDescent="0.25">
      <c r="A302" s="7"/>
      <c r="E302" s="7"/>
      <c r="F302" s="7"/>
    </row>
    <row r="303" spans="1:6" x14ac:dyDescent="0.25">
      <c r="A303" s="7"/>
      <c r="E303" s="7"/>
      <c r="F303" s="7"/>
    </row>
    <row r="304" spans="1:6" x14ac:dyDescent="0.25">
      <c r="A304" s="7"/>
      <c r="E304" s="7"/>
      <c r="F304" s="7"/>
    </row>
    <row r="305" spans="1:6" x14ac:dyDescent="0.25">
      <c r="A305" s="7"/>
      <c r="E305" s="7"/>
      <c r="F305" s="7"/>
    </row>
    <row r="306" spans="1:6" x14ac:dyDescent="0.25">
      <c r="A306" s="7"/>
      <c r="E306" s="7"/>
      <c r="F306" s="7"/>
    </row>
    <row r="307" spans="1:6" x14ac:dyDescent="0.25">
      <c r="A307" s="7"/>
      <c r="E307" s="7"/>
      <c r="F307" s="7"/>
    </row>
    <row r="308" spans="1:6" x14ac:dyDescent="0.25">
      <c r="A308" s="7"/>
      <c r="E308" s="7"/>
      <c r="F308" s="7"/>
    </row>
    <row r="309" spans="1:6" x14ac:dyDescent="0.25">
      <c r="A309" s="7"/>
      <c r="E309" s="7"/>
      <c r="F309" s="7"/>
    </row>
    <row r="310" spans="1:6" x14ac:dyDescent="0.25">
      <c r="A310" s="7"/>
      <c r="E310" s="7"/>
      <c r="F310" s="7"/>
    </row>
    <row r="311" spans="1:6" x14ac:dyDescent="0.25">
      <c r="A311" s="7"/>
      <c r="E311" s="7"/>
      <c r="F311" s="7"/>
    </row>
    <row r="312" spans="1:6" x14ac:dyDescent="0.25">
      <c r="A312" s="7"/>
      <c r="E312" s="7"/>
      <c r="F312" s="7"/>
    </row>
    <row r="313" spans="1:6" x14ac:dyDescent="0.25">
      <c r="A313" s="7"/>
      <c r="E313" s="7"/>
      <c r="F313" s="7"/>
    </row>
    <row r="314" spans="1:6" x14ac:dyDescent="0.25">
      <c r="A314" s="7"/>
      <c r="E314" s="7"/>
      <c r="F314" s="7"/>
    </row>
    <row r="315" spans="1:6" x14ac:dyDescent="0.25">
      <c r="A315" s="7"/>
      <c r="E315" s="7"/>
      <c r="F315" s="7"/>
    </row>
    <row r="316" spans="1:6" x14ac:dyDescent="0.25">
      <c r="A316" s="7"/>
      <c r="E316" s="7"/>
      <c r="F316" s="7"/>
    </row>
    <row r="317" spans="1:6" x14ac:dyDescent="0.25">
      <c r="A317" s="7"/>
      <c r="E317" s="7"/>
      <c r="F317" s="7"/>
    </row>
    <row r="318" spans="1:6" x14ac:dyDescent="0.25">
      <c r="A318" s="7"/>
      <c r="E318" s="7"/>
      <c r="F318" s="7"/>
    </row>
    <row r="319" spans="1:6" x14ac:dyDescent="0.25">
      <c r="A319" s="7"/>
      <c r="E319" s="7"/>
      <c r="F319" s="7"/>
    </row>
    <row r="320" spans="1:6" x14ac:dyDescent="0.25">
      <c r="A320" s="7"/>
      <c r="E320" s="7"/>
      <c r="F320" s="7"/>
    </row>
    <row r="321" spans="1:6" x14ac:dyDescent="0.25">
      <c r="A321" s="7"/>
      <c r="E321" s="7"/>
      <c r="F321" s="7"/>
    </row>
    <row r="322" spans="1:6" x14ac:dyDescent="0.25">
      <c r="A322" s="7"/>
      <c r="E322" s="7"/>
      <c r="F322" s="7"/>
    </row>
    <row r="323" spans="1:6" x14ac:dyDescent="0.25">
      <c r="A323" s="7"/>
      <c r="E323" s="7"/>
      <c r="F323" s="7"/>
    </row>
    <row r="324" spans="1:6" x14ac:dyDescent="0.25">
      <c r="A324" s="7"/>
      <c r="E324" s="7"/>
      <c r="F324" s="7"/>
    </row>
    <row r="325" spans="1:6" x14ac:dyDescent="0.25">
      <c r="A325" s="7"/>
      <c r="E325" s="7"/>
      <c r="F325" s="7"/>
    </row>
    <row r="326" spans="1:6" x14ac:dyDescent="0.25">
      <c r="A326" s="7"/>
      <c r="E326" s="7"/>
      <c r="F326" s="7"/>
    </row>
    <row r="327" spans="1:6" x14ac:dyDescent="0.25">
      <c r="A327" s="7"/>
      <c r="E327" s="7"/>
      <c r="F327" s="7"/>
    </row>
    <row r="328" spans="1:6" x14ac:dyDescent="0.25">
      <c r="A328" s="7"/>
      <c r="E328" s="7"/>
      <c r="F328" s="7"/>
    </row>
    <row r="329" spans="1:6" x14ac:dyDescent="0.25">
      <c r="A329" s="7"/>
      <c r="E329" s="7"/>
      <c r="F329" s="7"/>
    </row>
    <row r="330" spans="1:6" x14ac:dyDescent="0.25">
      <c r="A330" s="7"/>
      <c r="E330" s="7"/>
      <c r="F330" s="7"/>
    </row>
    <row r="331" spans="1:6" x14ac:dyDescent="0.25">
      <c r="A331" s="7"/>
      <c r="E331" s="7"/>
      <c r="F331" s="7"/>
    </row>
    <row r="332" spans="1:6" x14ac:dyDescent="0.25">
      <c r="A332" s="7"/>
      <c r="E332" s="7"/>
      <c r="F332" s="7"/>
    </row>
    <row r="333" spans="1:6" x14ac:dyDescent="0.25">
      <c r="A333" s="7"/>
      <c r="E333" s="7"/>
      <c r="F333" s="7"/>
    </row>
    <row r="334" spans="1:6" x14ac:dyDescent="0.25">
      <c r="A334" s="7"/>
      <c r="E334" s="7"/>
      <c r="F334" s="7"/>
    </row>
    <row r="335" spans="1:6" x14ac:dyDescent="0.25">
      <c r="A335" s="7"/>
      <c r="E335" s="7"/>
      <c r="F335" s="7"/>
    </row>
    <row r="336" spans="1:6" x14ac:dyDescent="0.25">
      <c r="A336" s="7"/>
      <c r="E336" s="7"/>
      <c r="F336" s="7"/>
    </row>
    <row r="337" spans="1:6" x14ac:dyDescent="0.25">
      <c r="A337" s="7"/>
      <c r="E337" s="7"/>
      <c r="F337" s="7"/>
    </row>
    <row r="338" spans="1:6" x14ac:dyDescent="0.25">
      <c r="A338" s="7"/>
      <c r="E338" s="7"/>
      <c r="F338" s="7"/>
    </row>
    <row r="339" spans="1:6" x14ac:dyDescent="0.25">
      <c r="A339" s="7"/>
      <c r="E339" s="7"/>
      <c r="F339" s="7"/>
    </row>
    <row r="340" spans="1:6" x14ac:dyDescent="0.25">
      <c r="A340" s="7"/>
      <c r="E340" s="7"/>
      <c r="F340" s="7"/>
    </row>
    <row r="341" spans="1:6" x14ac:dyDescent="0.25">
      <c r="A341" s="7"/>
      <c r="E341" s="7"/>
      <c r="F341" s="7"/>
    </row>
    <row r="342" spans="1:6" x14ac:dyDescent="0.25">
      <c r="A342" s="7"/>
      <c r="E342" s="7"/>
      <c r="F342" s="7"/>
    </row>
    <row r="343" spans="1:6" x14ac:dyDescent="0.25">
      <c r="A343" s="7"/>
      <c r="E343" s="7"/>
      <c r="F343" s="7"/>
    </row>
    <row r="344" spans="1:6" x14ac:dyDescent="0.25">
      <c r="A344" s="7"/>
      <c r="E344" s="7"/>
      <c r="F344" s="7"/>
    </row>
    <row r="345" spans="1:6" x14ac:dyDescent="0.25">
      <c r="A345" s="7"/>
      <c r="E345" s="7"/>
      <c r="F345" s="7"/>
    </row>
    <row r="346" spans="1:6" x14ac:dyDescent="0.25">
      <c r="A346" s="7"/>
      <c r="E346" s="7"/>
      <c r="F346" s="7"/>
    </row>
    <row r="347" spans="1:6" x14ac:dyDescent="0.25">
      <c r="A347" s="7"/>
      <c r="E347" s="7"/>
      <c r="F347" s="7"/>
    </row>
    <row r="348" spans="1:6" x14ac:dyDescent="0.25">
      <c r="A348" s="7"/>
      <c r="E348" s="7"/>
      <c r="F348" s="7"/>
    </row>
    <row r="349" spans="1:6" x14ac:dyDescent="0.25">
      <c r="A349" s="7"/>
      <c r="E349" s="7"/>
      <c r="F349" s="7"/>
    </row>
    <row r="350" spans="1:6" x14ac:dyDescent="0.25">
      <c r="A350" s="7"/>
      <c r="E350" s="7"/>
      <c r="F350" s="7"/>
    </row>
    <row r="351" spans="1:6" x14ac:dyDescent="0.25">
      <c r="A351" s="7"/>
      <c r="E351" s="7"/>
      <c r="F351" s="7"/>
    </row>
    <row r="352" spans="1:6" x14ac:dyDescent="0.25">
      <c r="A352" s="7"/>
      <c r="E352" s="7"/>
      <c r="F352" s="7"/>
    </row>
    <row r="353" spans="1:6" x14ac:dyDescent="0.25">
      <c r="A353" s="7"/>
      <c r="E353" s="7"/>
      <c r="F353" s="7"/>
    </row>
    <row r="354" spans="1:6" x14ac:dyDescent="0.25">
      <c r="A354" s="7"/>
      <c r="E354" s="7"/>
      <c r="F354" s="7"/>
    </row>
    <row r="355" spans="1:6" x14ac:dyDescent="0.25">
      <c r="A355" s="7"/>
      <c r="E355" s="7"/>
      <c r="F355" s="7"/>
    </row>
    <row r="356" spans="1:6" x14ac:dyDescent="0.25">
      <c r="A356" s="7"/>
      <c r="E356" s="7"/>
      <c r="F356" s="7"/>
    </row>
    <row r="357" spans="1:6" x14ac:dyDescent="0.25">
      <c r="A357" s="7"/>
      <c r="E357" s="7"/>
      <c r="F357" s="7"/>
    </row>
    <row r="358" spans="1:6" x14ac:dyDescent="0.25">
      <c r="A358" s="7"/>
      <c r="E358" s="7"/>
      <c r="F358" s="7"/>
    </row>
    <row r="359" spans="1:6" x14ac:dyDescent="0.25">
      <c r="A359" s="7"/>
      <c r="E359" s="7"/>
      <c r="F359" s="7"/>
    </row>
    <row r="360" spans="1:6" x14ac:dyDescent="0.25">
      <c r="A360" s="7"/>
      <c r="E360" s="7"/>
      <c r="F360" s="7"/>
    </row>
    <row r="361" spans="1:6" x14ac:dyDescent="0.25">
      <c r="A361" s="7"/>
      <c r="E361" s="7"/>
      <c r="F361" s="7"/>
    </row>
    <row r="362" spans="1:6" x14ac:dyDescent="0.25">
      <c r="A362" s="7"/>
      <c r="E362" s="7"/>
      <c r="F362" s="7"/>
    </row>
    <row r="363" spans="1:6" x14ac:dyDescent="0.25">
      <c r="A363" s="7"/>
      <c r="E363" s="7"/>
      <c r="F363" s="7"/>
    </row>
    <row r="364" spans="1:6" x14ac:dyDescent="0.25">
      <c r="A364" s="7"/>
      <c r="E364" s="7"/>
      <c r="F364" s="7"/>
    </row>
    <row r="365" spans="1:6" x14ac:dyDescent="0.25">
      <c r="A365" s="7"/>
      <c r="E365" s="7"/>
      <c r="F365" s="7"/>
    </row>
    <row r="366" spans="1:6" x14ac:dyDescent="0.25">
      <c r="A366" s="7"/>
      <c r="E366" s="7"/>
      <c r="F366" s="7"/>
    </row>
    <row r="367" spans="1:6" x14ac:dyDescent="0.25">
      <c r="A367" s="7"/>
      <c r="E367" s="7"/>
      <c r="F367" s="7"/>
    </row>
    <row r="368" spans="1:6" x14ac:dyDescent="0.25">
      <c r="A368" s="7"/>
      <c r="E368" s="7"/>
      <c r="F368" s="7"/>
    </row>
    <row r="369" spans="1:6" x14ac:dyDescent="0.25">
      <c r="A369" s="7"/>
      <c r="E369" s="7"/>
      <c r="F369" s="7"/>
    </row>
    <row r="370" spans="1:6" x14ac:dyDescent="0.25">
      <c r="A370" s="7"/>
      <c r="E370" s="7"/>
      <c r="F370" s="7"/>
    </row>
    <row r="371" spans="1:6" x14ac:dyDescent="0.25">
      <c r="A371" s="7"/>
      <c r="E371" s="7"/>
      <c r="F371" s="7"/>
    </row>
    <row r="372" spans="1:6" x14ac:dyDescent="0.25">
      <c r="A372" s="7"/>
      <c r="E372" s="7"/>
      <c r="F372" s="7"/>
    </row>
    <row r="373" spans="1:6" x14ac:dyDescent="0.25">
      <c r="A373" s="7"/>
      <c r="E373" s="7"/>
      <c r="F373" s="7"/>
    </row>
    <row r="374" spans="1:6" x14ac:dyDescent="0.25">
      <c r="A374" s="7"/>
      <c r="E374" s="7"/>
      <c r="F374" s="7"/>
    </row>
    <row r="375" spans="1:6" x14ac:dyDescent="0.25">
      <c r="A375" s="7"/>
      <c r="E375" s="7"/>
      <c r="F375" s="7"/>
    </row>
    <row r="376" spans="1:6" x14ac:dyDescent="0.25">
      <c r="A376" s="7"/>
      <c r="E376" s="7"/>
      <c r="F376" s="7"/>
    </row>
    <row r="377" spans="1:6" x14ac:dyDescent="0.25">
      <c r="A377" s="7"/>
      <c r="E377" s="7"/>
      <c r="F377" s="7"/>
    </row>
    <row r="378" spans="1:6" x14ac:dyDescent="0.25">
      <c r="A378" s="7"/>
      <c r="E378" s="7"/>
      <c r="F378" s="7"/>
    </row>
    <row r="379" spans="1:6" x14ac:dyDescent="0.25">
      <c r="A379" s="7"/>
      <c r="E379" s="7"/>
      <c r="F379" s="7"/>
    </row>
    <row r="380" spans="1:6" x14ac:dyDescent="0.25">
      <c r="A380" s="7"/>
      <c r="E380" s="7"/>
      <c r="F380" s="7"/>
    </row>
    <row r="381" spans="1:6" x14ac:dyDescent="0.25">
      <c r="A381" s="7"/>
      <c r="E381" s="7"/>
      <c r="F381" s="7"/>
    </row>
    <row r="382" spans="1:6" x14ac:dyDescent="0.25">
      <c r="A382" s="7"/>
      <c r="E382" s="7"/>
      <c r="F382" s="7"/>
    </row>
    <row r="383" spans="1:6" x14ac:dyDescent="0.25">
      <c r="A383" s="7"/>
      <c r="E383" s="7"/>
      <c r="F383" s="7"/>
    </row>
    <row r="384" spans="1:6" x14ac:dyDescent="0.25">
      <c r="A384" s="7"/>
      <c r="E384" s="7"/>
      <c r="F384" s="7"/>
    </row>
    <row r="385" spans="1:6" x14ac:dyDescent="0.25">
      <c r="A385" s="7"/>
      <c r="E385" s="7"/>
      <c r="F385" s="7"/>
    </row>
    <row r="386" spans="1:6" x14ac:dyDescent="0.25">
      <c r="A386" s="7"/>
      <c r="E386" s="7"/>
      <c r="F386" s="7"/>
    </row>
    <row r="387" spans="1:6" x14ac:dyDescent="0.25">
      <c r="A387" s="7"/>
      <c r="E387" s="7"/>
      <c r="F387" s="7"/>
    </row>
    <row r="388" spans="1:6" x14ac:dyDescent="0.25">
      <c r="A388" s="7"/>
      <c r="E388" s="7"/>
      <c r="F388" s="7"/>
    </row>
    <row r="389" spans="1:6" x14ac:dyDescent="0.25">
      <c r="A389" s="7"/>
      <c r="E389" s="7"/>
      <c r="F389" s="7"/>
    </row>
    <row r="390" spans="1:6" x14ac:dyDescent="0.25">
      <c r="A390" s="7"/>
      <c r="E390" s="7"/>
      <c r="F390" s="7"/>
    </row>
    <row r="391" spans="1:6" x14ac:dyDescent="0.25">
      <c r="A391" s="7"/>
      <c r="E391" s="7"/>
      <c r="F391" s="7"/>
    </row>
    <row r="392" spans="1:6" x14ac:dyDescent="0.25">
      <c r="A392" s="7"/>
      <c r="E392" s="7"/>
      <c r="F392" s="7"/>
    </row>
    <row r="393" spans="1:6" x14ac:dyDescent="0.25">
      <c r="A393" s="7"/>
      <c r="E393" s="7"/>
      <c r="F393" s="7"/>
    </row>
    <row r="394" spans="1:6" x14ac:dyDescent="0.25">
      <c r="A394" s="7"/>
      <c r="E394" s="7"/>
      <c r="F394" s="7"/>
    </row>
    <row r="395" spans="1:6" x14ac:dyDescent="0.25">
      <c r="A395" s="7"/>
      <c r="E395" s="7"/>
      <c r="F395" s="7"/>
    </row>
    <row r="396" spans="1:6" x14ac:dyDescent="0.25">
      <c r="A396" s="7"/>
      <c r="E396" s="7"/>
      <c r="F396" s="7"/>
    </row>
    <row r="397" spans="1:6" x14ac:dyDescent="0.25">
      <c r="A397" s="7"/>
      <c r="E397" s="7"/>
      <c r="F397" s="7"/>
    </row>
    <row r="398" spans="1:6" x14ac:dyDescent="0.25">
      <c r="A398" s="7"/>
      <c r="E398" s="7"/>
      <c r="F398" s="7"/>
    </row>
    <row r="399" spans="1:6" x14ac:dyDescent="0.25">
      <c r="A399" s="7"/>
      <c r="E399" s="7"/>
      <c r="F399" s="7"/>
    </row>
    <row r="400" spans="1:6" x14ac:dyDescent="0.25">
      <c r="A400" s="7"/>
      <c r="E400" s="7"/>
      <c r="F400" s="7"/>
    </row>
    <row r="401" spans="1:6" x14ac:dyDescent="0.25">
      <c r="A401" s="7"/>
      <c r="E401" s="7"/>
      <c r="F401" s="7"/>
    </row>
    <row r="402" spans="1:6" x14ac:dyDescent="0.25">
      <c r="A402" s="7"/>
      <c r="E402" s="7"/>
      <c r="F402" s="7"/>
    </row>
    <row r="403" spans="1:6" x14ac:dyDescent="0.25">
      <c r="A403" s="7"/>
      <c r="E403" s="7"/>
      <c r="F403" s="7"/>
    </row>
    <row r="404" spans="1:6" x14ac:dyDescent="0.25">
      <c r="A404" s="7"/>
      <c r="E404" s="7"/>
      <c r="F404" s="7"/>
    </row>
    <row r="405" spans="1:6" x14ac:dyDescent="0.25">
      <c r="A405" s="7"/>
      <c r="E405" s="7"/>
      <c r="F405" s="7"/>
    </row>
    <row r="406" spans="1:6" x14ac:dyDescent="0.25">
      <c r="A406" s="7"/>
      <c r="E406" s="7"/>
      <c r="F406" s="7"/>
    </row>
    <row r="407" spans="1:6" x14ac:dyDescent="0.25">
      <c r="A407" s="7"/>
      <c r="E407" s="7"/>
      <c r="F407" s="7"/>
    </row>
    <row r="408" spans="1:6" x14ac:dyDescent="0.25">
      <c r="A408" s="7"/>
      <c r="E408" s="7"/>
      <c r="F408" s="7"/>
    </row>
    <row r="409" spans="1:6" x14ac:dyDescent="0.25">
      <c r="A409" s="7"/>
      <c r="E409" s="7"/>
      <c r="F409" s="7"/>
    </row>
    <row r="410" spans="1:6" x14ac:dyDescent="0.25">
      <c r="A410" s="7"/>
      <c r="E410" s="7"/>
      <c r="F410" s="7"/>
    </row>
    <row r="411" spans="1:6" x14ac:dyDescent="0.25">
      <c r="A411" s="7"/>
      <c r="E411" s="7"/>
      <c r="F411" s="7"/>
    </row>
    <row r="412" spans="1:6" x14ac:dyDescent="0.25">
      <c r="A412" s="7"/>
      <c r="E412" s="7"/>
      <c r="F412" s="7"/>
    </row>
    <row r="413" spans="1:6" x14ac:dyDescent="0.25">
      <c r="A413" s="7"/>
      <c r="E413" s="7"/>
      <c r="F413" s="7"/>
    </row>
    <row r="414" spans="1:6" x14ac:dyDescent="0.25">
      <c r="A414" s="7"/>
      <c r="E414" s="7"/>
      <c r="F414" s="7"/>
    </row>
    <row r="415" spans="1:6" x14ac:dyDescent="0.25">
      <c r="A415" s="7"/>
      <c r="E415" s="7"/>
      <c r="F415" s="7"/>
    </row>
    <row r="416" spans="1:6" x14ac:dyDescent="0.25">
      <c r="A416" s="7"/>
      <c r="E416" s="7"/>
      <c r="F416" s="7"/>
    </row>
    <row r="417" spans="1:6" x14ac:dyDescent="0.25">
      <c r="A417" s="7"/>
      <c r="E417" s="7"/>
      <c r="F417" s="7"/>
    </row>
    <row r="418" spans="1:6" x14ac:dyDescent="0.25">
      <c r="A418" s="7"/>
      <c r="E418" s="7"/>
      <c r="F418" s="7"/>
    </row>
    <row r="419" spans="1:6" x14ac:dyDescent="0.25">
      <c r="A419" s="7"/>
      <c r="E419" s="7"/>
      <c r="F419" s="7"/>
    </row>
    <row r="420" spans="1:6" x14ac:dyDescent="0.25">
      <c r="A420" s="7"/>
      <c r="E420" s="7"/>
      <c r="F420" s="7"/>
    </row>
    <row r="421" spans="1:6" x14ac:dyDescent="0.25">
      <c r="A421" s="7"/>
      <c r="E421" s="7"/>
      <c r="F421" s="7"/>
    </row>
    <row r="422" spans="1:6" x14ac:dyDescent="0.25">
      <c r="A422" s="7"/>
      <c r="E422" s="7"/>
      <c r="F422" s="7"/>
    </row>
    <row r="423" spans="1:6" x14ac:dyDescent="0.25">
      <c r="A423" s="7"/>
      <c r="E423" s="7"/>
      <c r="F423" s="7"/>
    </row>
    <row r="424" spans="1:6" x14ac:dyDescent="0.25">
      <c r="A424" s="7"/>
      <c r="E424" s="7"/>
      <c r="F424" s="7"/>
    </row>
    <row r="425" spans="1:6" x14ac:dyDescent="0.25">
      <c r="A425" s="7"/>
      <c r="E425" s="7"/>
      <c r="F425" s="7"/>
    </row>
    <row r="426" spans="1:6" x14ac:dyDescent="0.25">
      <c r="A426" s="7"/>
      <c r="E426" s="7"/>
      <c r="F426" s="7"/>
    </row>
    <row r="427" spans="1:6" x14ac:dyDescent="0.25">
      <c r="A427" s="7"/>
      <c r="E427" s="7"/>
      <c r="F427" s="7"/>
    </row>
    <row r="428" spans="1:6" x14ac:dyDescent="0.25">
      <c r="A428" s="7"/>
      <c r="E428" s="7"/>
      <c r="F428" s="7"/>
    </row>
    <row r="429" spans="1:6" x14ac:dyDescent="0.25">
      <c r="A429" s="7"/>
      <c r="E429" s="7"/>
      <c r="F429" s="7"/>
    </row>
    <row r="430" spans="1:6" x14ac:dyDescent="0.25">
      <c r="A430" s="7"/>
      <c r="E430" s="7"/>
      <c r="F430" s="7"/>
    </row>
    <row r="431" spans="1:6" x14ac:dyDescent="0.25">
      <c r="A431" s="7"/>
      <c r="E431" s="7"/>
      <c r="F431" s="7"/>
    </row>
    <row r="432" spans="1:6" x14ac:dyDescent="0.25">
      <c r="A432" s="7"/>
      <c r="E432" s="7"/>
      <c r="F432" s="7"/>
    </row>
    <row r="433" spans="1:6" x14ac:dyDescent="0.25">
      <c r="A433" s="7"/>
      <c r="E433" s="7"/>
      <c r="F433" s="7"/>
    </row>
    <row r="434" spans="1:6" x14ac:dyDescent="0.25">
      <c r="A434" s="7"/>
      <c r="E434" s="7"/>
      <c r="F434" s="7"/>
    </row>
    <row r="435" spans="1:6" x14ac:dyDescent="0.25">
      <c r="A435" s="7"/>
      <c r="E435" s="7"/>
      <c r="F435" s="7"/>
    </row>
    <row r="436" spans="1:6" x14ac:dyDescent="0.25">
      <c r="A436" s="7"/>
      <c r="E436" s="7"/>
      <c r="F436" s="7"/>
    </row>
    <row r="437" spans="1:6" x14ac:dyDescent="0.25">
      <c r="A437" s="7"/>
      <c r="E437" s="7"/>
      <c r="F437" s="7"/>
    </row>
    <row r="438" spans="1:6" x14ac:dyDescent="0.25">
      <c r="A438" s="7"/>
      <c r="E438" s="7"/>
      <c r="F438" s="7"/>
    </row>
    <row r="439" spans="1:6" x14ac:dyDescent="0.25">
      <c r="A439" s="7"/>
      <c r="E439" s="7"/>
      <c r="F439" s="7"/>
    </row>
    <row r="440" spans="1:6" x14ac:dyDescent="0.25">
      <c r="A440" s="7"/>
      <c r="E440" s="7"/>
      <c r="F440" s="7"/>
    </row>
    <row r="441" spans="1:6" x14ac:dyDescent="0.25">
      <c r="A441" s="7"/>
      <c r="E441" s="7"/>
      <c r="F441" s="7"/>
    </row>
    <row r="442" spans="1:6" x14ac:dyDescent="0.25">
      <c r="A442" s="7"/>
      <c r="E442" s="7"/>
      <c r="F442" s="7"/>
    </row>
    <row r="443" spans="1:6" x14ac:dyDescent="0.25">
      <c r="A443" s="7"/>
      <c r="E443" s="7"/>
      <c r="F443" s="7"/>
    </row>
    <row r="444" spans="1:6" x14ac:dyDescent="0.25">
      <c r="A444" s="7"/>
      <c r="E444" s="7"/>
      <c r="F444" s="7"/>
    </row>
    <row r="445" spans="1:6" x14ac:dyDescent="0.25">
      <c r="A445" s="7"/>
      <c r="E445" s="7"/>
      <c r="F445" s="7"/>
    </row>
    <row r="446" spans="1:6" x14ac:dyDescent="0.25">
      <c r="A446" s="7"/>
      <c r="E446" s="7"/>
      <c r="F446" s="7"/>
    </row>
    <row r="447" spans="1:6" x14ac:dyDescent="0.25">
      <c r="A447" s="7"/>
      <c r="E447" s="7"/>
      <c r="F447" s="7"/>
    </row>
    <row r="448" spans="1:6" x14ac:dyDescent="0.25">
      <c r="A448" s="7"/>
      <c r="E448" s="7"/>
      <c r="F448" s="7"/>
    </row>
    <row r="449" spans="1:6" x14ac:dyDescent="0.25">
      <c r="A449" s="7"/>
      <c r="E449" s="7"/>
      <c r="F449" s="7"/>
    </row>
    <row r="450" spans="1:6" x14ac:dyDescent="0.25">
      <c r="A450" s="7"/>
      <c r="E450" s="7"/>
      <c r="F450" s="7"/>
    </row>
    <row r="451" spans="1:6" x14ac:dyDescent="0.25">
      <c r="A451" s="7"/>
      <c r="E451" s="7"/>
      <c r="F451" s="7"/>
    </row>
    <row r="452" spans="1:6" x14ac:dyDescent="0.25">
      <c r="A452" s="7"/>
      <c r="E452" s="7"/>
      <c r="F452" s="7"/>
    </row>
    <row r="453" spans="1:6" x14ac:dyDescent="0.25">
      <c r="A453" s="7"/>
      <c r="E453" s="7"/>
      <c r="F453" s="7"/>
    </row>
    <row r="454" spans="1:6" x14ac:dyDescent="0.25">
      <c r="A454" s="7"/>
      <c r="E454" s="7"/>
      <c r="F454" s="7"/>
    </row>
    <row r="455" spans="1:6" x14ac:dyDescent="0.25">
      <c r="A455" s="7"/>
      <c r="E455" s="7"/>
      <c r="F455" s="7"/>
    </row>
    <row r="456" spans="1:6" x14ac:dyDescent="0.25">
      <c r="A456" s="7"/>
      <c r="E456" s="7"/>
      <c r="F456" s="7"/>
    </row>
    <row r="457" spans="1:6" x14ac:dyDescent="0.25">
      <c r="A457" s="7"/>
      <c r="E457" s="7"/>
      <c r="F457" s="7"/>
    </row>
    <row r="458" spans="1:6" x14ac:dyDescent="0.25">
      <c r="A458" s="7"/>
      <c r="E458" s="7"/>
      <c r="F458" s="7"/>
    </row>
    <row r="459" spans="1:6" x14ac:dyDescent="0.25">
      <c r="A459" s="7"/>
      <c r="E459" s="7"/>
      <c r="F459" s="7"/>
    </row>
    <row r="460" spans="1:6" x14ac:dyDescent="0.25">
      <c r="A460" s="7"/>
      <c r="E460" s="7"/>
      <c r="F460" s="7"/>
    </row>
    <row r="461" spans="1:6" x14ac:dyDescent="0.25">
      <c r="A461" s="7"/>
      <c r="E461" s="7"/>
      <c r="F461" s="7"/>
    </row>
    <row r="462" spans="1:6" x14ac:dyDescent="0.25">
      <c r="A462" s="7"/>
      <c r="E462" s="7"/>
      <c r="F462" s="7"/>
    </row>
    <row r="463" spans="1:6" x14ac:dyDescent="0.25">
      <c r="A463" s="7"/>
      <c r="E463" s="7"/>
      <c r="F463" s="7"/>
    </row>
    <row r="464" spans="1:6" x14ac:dyDescent="0.25">
      <c r="A464" s="7"/>
      <c r="E464" s="7"/>
      <c r="F464" s="7"/>
    </row>
    <row r="465" spans="1:6" x14ac:dyDescent="0.25">
      <c r="A465" s="7"/>
      <c r="E465" s="7"/>
      <c r="F465" s="7"/>
    </row>
    <row r="466" spans="1:6" x14ac:dyDescent="0.25">
      <c r="A466" s="7"/>
      <c r="E466" s="7"/>
      <c r="F466" s="7"/>
    </row>
    <row r="467" spans="1:6" x14ac:dyDescent="0.25">
      <c r="A467" s="7"/>
      <c r="E467" s="7"/>
      <c r="F467" s="7"/>
    </row>
    <row r="468" spans="1:6" x14ac:dyDescent="0.25">
      <c r="A468" s="7"/>
      <c r="E468" s="7"/>
      <c r="F468" s="7"/>
    </row>
    <row r="469" spans="1:6" x14ac:dyDescent="0.25">
      <c r="A469" s="7"/>
      <c r="E469" s="7"/>
      <c r="F469" s="7"/>
    </row>
    <row r="470" spans="1:6" x14ac:dyDescent="0.25">
      <c r="A470" s="7"/>
      <c r="E470" s="7"/>
      <c r="F470" s="7"/>
    </row>
    <row r="471" spans="1:6" x14ac:dyDescent="0.25">
      <c r="A471" s="7"/>
      <c r="E471" s="7"/>
      <c r="F471" s="7"/>
    </row>
    <row r="472" spans="1:6" x14ac:dyDescent="0.25">
      <c r="A472" s="7"/>
      <c r="E472" s="7"/>
      <c r="F472" s="7"/>
    </row>
    <row r="473" spans="1:6" x14ac:dyDescent="0.25">
      <c r="A473" s="7"/>
      <c r="E473" s="7"/>
      <c r="F473" s="7"/>
    </row>
    <row r="474" spans="1:6" x14ac:dyDescent="0.25">
      <c r="A474" s="7"/>
      <c r="E474" s="7"/>
      <c r="F474" s="7"/>
    </row>
    <row r="475" spans="1:6" x14ac:dyDescent="0.25">
      <c r="A475" s="7"/>
      <c r="E475" s="7"/>
      <c r="F475" s="7"/>
    </row>
    <row r="476" spans="1:6" x14ac:dyDescent="0.25">
      <c r="A476" s="7"/>
      <c r="E476" s="7"/>
      <c r="F476" s="7"/>
    </row>
    <row r="477" spans="1:6" x14ac:dyDescent="0.25">
      <c r="A477" s="7"/>
      <c r="E477" s="7"/>
      <c r="F477" s="7"/>
    </row>
    <row r="478" spans="1:6" x14ac:dyDescent="0.25">
      <c r="A478" s="7"/>
      <c r="E478" s="7"/>
      <c r="F478" s="7"/>
    </row>
    <row r="479" spans="1:6" x14ac:dyDescent="0.25">
      <c r="A479" s="7"/>
      <c r="E479" s="7"/>
      <c r="F479" s="7"/>
    </row>
    <row r="480" spans="1:6" x14ac:dyDescent="0.25">
      <c r="A480" s="7"/>
      <c r="E480" s="7"/>
      <c r="F480" s="7"/>
    </row>
    <row r="481" spans="1:6" x14ac:dyDescent="0.25">
      <c r="A481" s="7"/>
      <c r="E481" s="7"/>
      <c r="F481" s="7"/>
    </row>
    <row r="482" spans="1:6" x14ac:dyDescent="0.25">
      <c r="A482" s="7"/>
      <c r="E482" s="7"/>
      <c r="F482" s="7"/>
    </row>
    <row r="483" spans="1:6" x14ac:dyDescent="0.25">
      <c r="A483" s="7"/>
      <c r="E483" s="7"/>
      <c r="F483" s="7"/>
    </row>
    <row r="484" spans="1:6" x14ac:dyDescent="0.25">
      <c r="A484" s="7"/>
      <c r="E484" s="7"/>
      <c r="F484" s="7"/>
    </row>
    <row r="485" spans="1:6" x14ac:dyDescent="0.25">
      <c r="A485" s="7"/>
      <c r="E485" s="7"/>
      <c r="F485" s="7"/>
    </row>
    <row r="486" spans="1:6" x14ac:dyDescent="0.25">
      <c r="A486" s="7"/>
      <c r="E486" s="7"/>
      <c r="F486" s="7"/>
    </row>
    <row r="487" spans="1:6" x14ac:dyDescent="0.25">
      <c r="A487" s="7"/>
      <c r="E487" s="7"/>
      <c r="F487" s="7"/>
    </row>
    <row r="488" spans="1:6" x14ac:dyDescent="0.25">
      <c r="A488" s="7"/>
      <c r="E488" s="7"/>
      <c r="F488" s="7"/>
    </row>
    <row r="489" spans="1:6" x14ac:dyDescent="0.25">
      <c r="A489" s="7"/>
      <c r="E489" s="7"/>
      <c r="F489" s="7"/>
    </row>
    <row r="490" spans="1:6" x14ac:dyDescent="0.25">
      <c r="A490" s="7"/>
      <c r="E490" s="7"/>
      <c r="F490" s="7"/>
    </row>
    <row r="491" spans="1:6" x14ac:dyDescent="0.25">
      <c r="A491" s="7"/>
      <c r="E491" s="7"/>
      <c r="F491" s="7"/>
    </row>
    <row r="492" spans="1:6" x14ac:dyDescent="0.25">
      <c r="A492" s="7"/>
      <c r="E492" s="7"/>
      <c r="F492" s="7"/>
    </row>
    <row r="493" spans="1:6" x14ac:dyDescent="0.25">
      <c r="A493" s="7"/>
      <c r="E493" s="7"/>
      <c r="F493" s="7"/>
    </row>
    <row r="494" spans="1:6" x14ac:dyDescent="0.25">
      <c r="A494" s="7"/>
      <c r="E494" s="7"/>
      <c r="F494" s="7"/>
    </row>
    <row r="495" spans="1:6" x14ac:dyDescent="0.25">
      <c r="A495" s="7"/>
      <c r="E495" s="7"/>
      <c r="F495" s="7"/>
    </row>
    <row r="496" spans="1:6" x14ac:dyDescent="0.25">
      <c r="A496" s="7"/>
      <c r="E496" s="7"/>
      <c r="F496" s="7"/>
    </row>
    <row r="497" spans="1:6" x14ac:dyDescent="0.25">
      <c r="A497" s="7"/>
      <c r="E497" s="7"/>
      <c r="F497" s="7"/>
    </row>
    <row r="498" spans="1:6" x14ac:dyDescent="0.25">
      <c r="A498" s="7"/>
      <c r="E498" s="7"/>
      <c r="F498" s="7"/>
    </row>
    <row r="499" spans="1:6" x14ac:dyDescent="0.25">
      <c r="A499" s="7"/>
      <c r="E499" s="7"/>
      <c r="F499" s="7"/>
    </row>
    <row r="500" spans="1:6" x14ac:dyDescent="0.25">
      <c r="A500" s="7"/>
      <c r="E500" s="7"/>
      <c r="F500" s="7"/>
    </row>
    <row r="501" spans="1:6" x14ac:dyDescent="0.25">
      <c r="A501" s="7"/>
      <c r="E501" s="7"/>
      <c r="F501" s="7"/>
    </row>
    <row r="502" spans="1:6" x14ac:dyDescent="0.25">
      <c r="A502" s="7"/>
      <c r="E502" s="7"/>
      <c r="F502" s="7"/>
    </row>
    <row r="503" spans="1:6" x14ac:dyDescent="0.25">
      <c r="A503" s="7"/>
      <c r="E503" s="7"/>
      <c r="F503" s="7"/>
    </row>
    <row r="504" spans="1:6" x14ac:dyDescent="0.25">
      <c r="A504" s="7"/>
      <c r="E504" s="7"/>
      <c r="F504" s="7"/>
    </row>
    <row r="505" spans="1:6" x14ac:dyDescent="0.25">
      <c r="A505" s="7"/>
      <c r="E505" s="7"/>
      <c r="F505" s="7"/>
    </row>
    <row r="506" spans="1:6" x14ac:dyDescent="0.25">
      <c r="A506" s="7"/>
      <c r="E506" s="7"/>
      <c r="F506" s="7"/>
    </row>
    <row r="507" spans="1:6" x14ac:dyDescent="0.25">
      <c r="A507" s="7"/>
      <c r="E507" s="7"/>
      <c r="F507" s="7"/>
    </row>
    <row r="508" spans="1:6" x14ac:dyDescent="0.25">
      <c r="A508" s="7"/>
      <c r="E508" s="7"/>
      <c r="F508" s="7"/>
    </row>
    <row r="509" spans="1:6" x14ac:dyDescent="0.25">
      <c r="A509" s="7"/>
      <c r="E509" s="7"/>
      <c r="F509" s="7"/>
    </row>
    <row r="510" spans="1:6" x14ac:dyDescent="0.25">
      <c r="A510" s="7"/>
      <c r="E510" s="7"/>
      <c r="F510" s="7"/>
    </row>
    <row r="511" spans="1:6" x14ac:dyDescent="0.25">
      <c r="A511" s="7"/>
      <c r="E511" s="7"/>
      <c r="F511" s="7"/>
    </row>
    <row r="512" spans="1:6" x14ac:dyDescent="0.25">
      <c r="A512" s="7"/>
      <c r="E512" s="7"/>
      <c r="F512" s="7"/>
    </row>
    <row r="513" spans="1:6" x14ac:dyDescent="0.25">
      <c r="A513" s="7"/>
      <c r="E513" s="7"/>
      <c r="F513" s="7"/>
    </row>
    <row r="514" spans="1:6" x14ac:dyDescent="0.25">
      <c r="A514" s="7"/>
      <c r="E514" s="7"/>
      <c r="F514" s="7"/>
    </row>
    <row r="515" spans="1:6" x14ac:dyDescent="0.25">
      <c r="A515" s="7"/>
      <c r="E515" s="7"/>
      <c r="F515" s="7"/>
    </row>
    <row r="516" spans="1:6" x14ac:dyDescent="0.25">
      <c r="A516" s="7"/>
      <c r="E516" s="7"/>
      <c r="F516" s="7"/>
    </row>
    <row r="517" spans="1:6" x14ac:dyDescent="0.25">
      <c r="A517" s="7"/>
      <c r="E517" s="7"/>
      <c r="F517" s="7"/>
    </row>
    <row r="518" spans="1:6" x14ac:dyDescent="0.25">
      <c r="A518" s="7"/>
      <c r="E518" s="7"/>
      <c r="F518" s="7"/>
    </row>
    <row r="519" spans="1:6" x14ac:dyDescent="0.25">
      <c r="A519" s="7"/>
      <c r="E519" s="7"/>
      <c r="F519" s="7"/>
    </row>
    <row r="520" spans="1:6" x14ac:dyDescent="0.25">
      <c r="A520" s="7"/>
      <c r="E520" s="7"/>
      <c r="F520" s="7"/>
    </row>
    <row r="521" spans="1:6" x14ac:dyDescent="0.25">
      <c r="A521" s="7"/>
      <c r="E521" s="7"/>
      <c r="F521" s="7"/>
    </row>
    <row r="522" spans="1:6" x14ac:dyDescent="0.25">
      <c r="A522" s="7"/>
      <c r="E522" s="7"/>
      <c r="F522" s="7"/>
    </row>
    <row r="523" spans="1:6" x14ac:dyDescent="0.25">
      <c r="A523" s="7"/>
      <c r="E523" s="7"/>
      <c r="F523" s="7"/>
    </row>
    <row r="524" spans="1:6" x14ac:dyDescent="0.25">
      <c r="A524" s="7"/>
      <c r="E524" s="7"/>
      <c r="F524" s="7"/>
    </row>
    <row r="525" spans="1:6" x14ac:dyDescent="0.25">
      <c r="A525" s="7"/>
      <c r="E525" s="7"/>
      <c r="F525" s="7"/>
    </row>
    <row r="526" spans="1:6" x14ac:dyDescent="0.25">
      <c r="A526" s="7"/>
      <c r="E526" s="7"/>
      <c r="F526" s="7"/>
    </row>
    <row r="527" spans="1:6" x14ac:dyDescent="0.25">
      <c r="A527" s="7"/>
      <c r="E527" s="7"/>
      <c r="F527" s="7"/>
    </row>
    <row r="528" spans="1:6" x14ac:dyDescent="0.25">
      <c r="A528" s="7"/>
      <c r="E528" s="7"/>
      <c r="F528" s="7"/>
    </row>
    <row r="529" spans="1:6" x14ac:dyDescent="0.25">
      <c r="A529" s="7"/>
      <c r="E529" s="7"/>
      <c r="F529" s="7"/>
    </row>
    <row r="530" spans="1:6" x14ac:dyDescent="0.25">
      <c r="A530" s="7"/>
      <c r="E530" s="7"/>
      <c r="F530" s="7"/>
    </row>
    <row r="531" spans="1:6" x14ac:dyDescent="0.25">
      <c r="A531" s="7"/>
      <c r="E531" s="7"/>
      <c r="F531" s="7"/>
    </row>
    <row r="532" spans="1:6" x14ac:dyDescent="0.25">
      <c r="A532" s="7"/>
      <c r="E532" s="7"/>
      <c r="F532" s="7"/>
    </row>
    <row r="533" spans="1:6" x14ac:dyDescent="0.25">
      <c r="A533" s="7"/>
      <c r="E533" s="7"/>
      <c r="F533" s="7"/>
    </row>
    <row r="534" spans="1:6" x14ac:dyDescent="0.25">
      <c r="A534" s="7"/>
      <c r="E534" s="7"/>
      <c r="F534" s="7"/>
    </row>
    <row r="535" spans="1:6" x14ac:dyDescent="0.25">
      <c r="A535" s="7"/>
      <c r="E535" s="7"/>
      <c r="F535" s="7"/>
    </row>
    <row r="536" spans="1:6" x14ac:dyDescent="0.25">
      <c r="A536" s="7"/>
      <c r="E536" s="7"/>
      <c r="F536" s="7"/>
    </row>
    <row r="537" spans="1:6" x14ac:dyDescent="0.25">
      <c r="A537" s="7"/>
      <c r="E537" s="7"/>
      <c r="F537" s="7"/>
    </row>
    <row r="538" spans="1:6" x14ac:dyDescent="0.25">
      <c r="A538" s="7"/>
      <c r="E538" s="7"/>
      <c r="F538" s="7"/>
    </row>
    <row r="539" spans="1:6" x14ac:dyDescent="0.25">
      <c r="A539" s="7"/>
      <c r="E539" s="7"/>
      <c r="F539" s="7"/>
    </row>
    <row r="540" spans="1:6" x14ac:dyDescent="0.25">
      <c r="A540" s="7"/>
      <c r="E540" s="7"/>
      <c r="F540" s="7"/>
    </row>
    <row r="541" spans="1:6" x14ac:dyDescent="0.25">
      <c r="A541" s="7"/>
      <c r="E541" s="7"/>
      <c r="F541" s="7"/>
    </row>
    <row r="542" spans="1:6" x14ac:dyDescent="0.25">
      <c r="A542" s="7"/>
      <c r="E542" s="7"/>
      <c r="F542" s="7"/>
    </row>
    <row r="543" spans="1:6" x14ac:dyDescent="0.25">
      <c r="A543" s="7"/>
      <c r="E543" s="7"/>
      <c r="F543" s="7"/>
    </row>
    <row r="544" spans="1:6" x14ac:dyDescent="0.25">
      <c r="A544" s="7"/>
      <c r="E544" s="7"/>
      <c r="F544" s="7"/>
    </row>
    <row r="545" spans="1:6" x14ac:dyDescent="0.25">
      <c r="A545" s="7"/>
      <c r="E545" s="7"/>
      <c r="F545" s="7"/>
    </row>
    <row r="546" spans="1:6" x14ac:dyDescent="0.25">
      <c r="A546" s="7"/>
      <c r="E546" s="7"/>
      <c r="F546" s="7"/>
    </row>
    <row r="547" spans="1:6" x14ac:dyDescent="0.25">
      <c r="A547" s="7"/>
      <c r="E547" s="7"/>
      <c r="F547" s="7"/>
    </row>
    <row r="548" spans="1:6" x14ac:dyDescent="0.25">
      <c r="A548" s="7"/>
      <c r="E548" s="7"/>
      <c r="F548" s="7"/>
    </row>
    <row r="549" spans="1:6" x14ac:dyDescent="0.25">
      <c r="A549" s="7"/>
      <c r="E549" s="7"/>
      <c r="F549" s="7"/>
    </row>
    <row r="550" spans="1:6" x14ac:dyDescent="0.25">
      <c r="A550" s="7"/>
      <c r="E550" s="7"/>
      <c r="F550" s="7"/>
    </row>
    <row r="551" spans="1:6" x14ac:dyDescent="0.25">
      <c r="A551" s="7"/>
      <c r="E551" s="7"/>
      <c r="F551" s="7"/>
    </row>
    <row r="552" spans="1:6" x14ac:dyDescent="0.25">
      <c r="A552" s="7"/>
      <c r="E552" s="7"/>
      <c r="F552" s="7"/>
    </row>
    <row r="553" spans="1:6" x14ac:dyDescent="0.25">
      <c r="A553" s="7"/>
      <c r="E553" s="7"/>
      <c r="F553" s="7"/>
    </row>
    <row r="554" spans="1:6" x14ac:dyDescent="0.25">
      <c r="A554" s="7"/>
      <c r="E554" s="7"/>
      <c r="F554" s="7"/>
    </row>
    <row r="555" spans="1:6" x14ac:dyDescent="0.25">
      <c r="A555" s="7"/>
      <c r="E555" s="7"/>
      <c r="F555" s="7"/>
    </row>
    <row r="556" spans="1:6" x14ac:dyDescent="0.25">
      <c r="A556" s="7"/>
      <c r="E556" s="7"/>
      <c r="F556" s="7"/>
    </row>
    <row r="557" spans="1:6" x14ac:dyDescent="0.25">
      <c r="A557" s="7"/>
      <c r="E557" s="7"/>
      <c r="F557" s="7"/>
    </row>
    <row r="558" spans="1:6" x14ac:dyDescent="0.25">
      <c r="A558" s="7"/>
      <c r="E558" s="7"/>
      <c r="F558" s="7"/>
    </row>
    <row r="559" spans="1:6" x14ac:dyDescent="0.25">
      <c r="A559" s="7"/>
      <c r="E559" s="7"/>
      <c r="F559" s="7"/>
    </row>
    <row r="560" spans="1:6" x14ac:dyDescent="0.25">
      <c r="A560" s="7"/>
      <c r="E560" s="7"/>
      <c r="F560" s="7"/>
    </row>
    <row r="561" spans="1:6" x14ac:dyDescent="0.25">
      <c r="A561" s="7"/>
      <c r="E561" s="7"/>
      <c r="F561" s="7"/>
    </row>
    <row r="562" spans="1:6" x14ac:dyDescent="0.25">
      <c r="A562" s="7"/>
      <c r="E562" s="7"/>
      <c r="F562" s="7"/>
    </row>
    <row r="563" spans="1:6" x14ac:dyDescent="0.25">
      <c r="A563" s="7"/>
      <c r="E563" s="7"/>
      <c r="F563" s="7"/>
    </row>
    <row r="564" spans="1:6" x14ac:dyDescent="0.25">
      <c r="A564" s="7"/>
      <c r="E564" s="7"/>
      <c r="F564" s="7"/>
    </row>
    <row r="565" spans="1:6" x14ac:dyDescent="0.25">
      <c r="A565" s="7"/>
      <c r="E565" s="7"/>
      <c r="F565" s="7"/>
    </row>
    <row r="566" spans="1:6" x14ac:dyDescent="0.25">
      <c r="A566" s="7"/>
      <c r="E566" s="7"/>
      <c r="F566" s="7"/>
    </row>
    <row r="567" spans="1:6" x14ac:dyDescent="0.25">
      <c r="A567" s="7"/>
      <c r="E567" s="7"/>
      <c r="F567" s="7"/>
    </row>
    <row r="568" spans="1:6" x14ac:dyDescent="0.25">
      <c r="A568" s="7"/>
      <c r="E568" s="7"/>
      <c r="F568" s="7"/>
    </row>
    <row r="569" spans="1:6" x14ac:dyDescent="0.25">
      <c r="A569" s="7"/>
      <c r="E569" s="7"/>
      <c r="F569" s="7"/>
    </row>
    <row r="570" spans="1:6" x14ac:dyDescent="0.25">
      <c r="A570" s="7"/>
      <c r="E570" s="7"/>
      <c r="F570" s="7"/>
    </row>
    <row r="571" spans="1:6" x14ac:dyDescent="0.25">
      <c r="A571" s="7"/>
      <c r="E571" s="7"/>
      <c r="F571" s="7"/>
    </row>
    <row r="572" spans="1:6" x14ac:dyDescent="0.25">
      <c r="A572" s="7"/>
      <c r="E572" s="7"/>
      <c r="F572" s="7"/>
    </row>
    <row r="573" spans="1:6" x14ac:dyDescent="0.25">
      <c r="A573" s="7"/>
      <c r="E573" s="7"/>
      <c r="F573" s="7"/>
    </row>
    <row r="574" spans="1:6" x14ac:dyDescent="0.25">
      <c r="A574" s="7"/>
      <c r="E574" s="7"/>
      <c r="F574" s="7"/>
    </row>
    <row r="575" spans="1:6" x14ac:dyDescent="0.25">
      <c r="A575" s="7"/>
      <c r="E575" s="7"/>
      <c r="F575" s="7"/>
    </row>
    <row r="576" spans="1:6" x14ac:dyDescent="0.25">
      <c r="A576" s="7"/>
      <c r="E576" s="7"/>
      <c r="F576" s="7"/>
    </row>
    <row r="577" spans="1:6" x14ac:dyDescent="0.25">
      <c r="A577" s="7"/>
      <c r="E577" s="7"/>
      <c r="F577" s="7"/>
    </row>
    <row r="578" spans="1:6" x14ac:dyDescent="0.25">
      <c r="A578" s="7"/>
      <c r="E578" s="7"/>
      <c r="F578" s="7"/>
    </row>
    <row r="579" spans="1:6" x14ac:dyDescent="0.25">
      <c r="A579" s="7"/>
      <c r="E579" s="7"/>
      <c r="F579" s="7"/>
    </row>
    <row r="580" spans="1:6" x14ac:dyDescent="0.25">
      <c r="A580" s="7"/>
      <c r="E580" s="7"/>
      <c r="F580" s="7"/>
    </row>
    <row r="581" spans="1:6" x14ac:dyDescent="0.25">
      <c r="A581" s="7"/>
      <c r="E581" s="7"/>
      <c r="F581" s="7"/>
    </row>
    <row r="582" spans="1:6" x14ac:dyDescent="0.25">
      <c r="A582" s="7"/>
      <c r="E582" s="7"/>
      <c r="F582" s="7"/>
    </row>
    <row r="583" spans="1:6" x14ac:dyDescent="0.25">
      <c r="A583" s="7"/>
      <c r="E583" s="7"/>
      <c r="F583" s="7"/>
    </row>
    <row r="584" spans="1:6" x14ac:dyDescent="0.25">
      <c r="A584" s="7"/>
      <c r="E584" s="7"/>
      <c r="F584" s="7"/>
    </row>
    <row r="585" spans="1:6" x14ac:dyDescent="0.25">
      <c r="A585" s="7"/>
      <c r="E585" s="7"/>
      <c r="F585" s="7"/>
    </row>
    <row r="586" spans="1:6" x14ac:dyDescent="0.25">
      <c r="A586" s="7"/>
      <c r="E586" s="7"/>
      <c r="F586" s="7"/>
    </row>
    <row r="587" spans="1:6" x14ac:dyDescent="0.25">
      <c r="A587" s="7"/>
      <c r="E587" s="7"/>
      <c r="F587" s="7"/>
    </row>
    <row r="588" spans="1:6" x14ac:dyDescent="0.25">
      <c r="A588" s="7"/>
      <c r="E588" s="7"/>
      <c r="F588" s="7"/>
    </row>
    <row r="589" spans="1:6" x14ac:dyDescent="0.25">
      <c r="A589" s="7"/>
      <c r="E589" s="7"/>
      <c r="F589" s="7"/>
    </row>
    <row r="590" spans="1:6" x14ac:dyDescent="0.25">
      <c r="A590" s="7"/>
      <c r="E590" s="7"/>
      <c r="F590" s="7"/>
    </row>
    <row r="591" spans="1:6" x14ac:dyDescent="0.25">
      <c r="A591" s="7"/>
      <c r="E591" s="7"/>
      <c r="F591" s="7"/>
    </row>
    <row r="592" spans="1:6" x14ac:dyDescent="0.25">
      <c r="A592" s="7"/>
      <c r="E592" s="7"/>
      <c r="F592" s="7"/>
    </row>
    <row r="593" spans="1:6" x14ac:dyDescent="0.25">
      <c r="A593" s="7"/>
      <c r="E593" s="7"/>
      <c r="F593" s="7"/>
    </row>
    <row r="594" spans="1:6" x14ac:dyDescent="0.25">
      <c r="A594" s="7"/>
      <c r="E594" s="7"/>
      <c r="F594" s="7"/>
    </row>
    <row r="595" spans="1:6" x14ac:dyDescent="0.25">
      <c r="A595" s="7"/>
      <c r="E595" s="7"/>
      <c r="F595" s="7"/>
    </row>
    <row r="596" spans="1:6" x14ac:dyDescent="0.25">
      <c r="A596" s="7"/>
      <c r="E596" s="7"/>
      <c r="F596" s="7"/>
    </row>
    <row r="597" spans="1:6" x14ac:dyDescent="0.25">
      <c r="A597" s="7"/>
      <c r="E597" s="7"/>
      <c r="F597" s="7"/>
    </row>
    <row r="598" spans="1:6" x14ac:dyDescent="0.25">
      <c r="A598" s="7"/>
      <c r="E598" s="7"/>
      <c r="F598" s="7"/>
    </row>
    <row r="599" spans="1:6" x14ac:dyDescent="0.25">
      <c r="A599" s="7"/>
      <c r="E599" s="7"/>
      <c r="F599" s="7"/>
    </row>
    <row r="600" spans="1:6" x14ac:dyDescent="0.25">
      <c r="A600" s="7"/>
      <c r="E600" s="7"/>
      <c r="F600" s="7"/>
    </row>
    <row r="601" spans="1:6" x14ac:dyDescent="0.25">
      <c r="A601" s="7"/>
      <c r="E601" s="7"/>
      <c r="F601" s="7"/>
    </row>
    <row r="602" spans="1:6" x14ac:dyDescent="0.25">
      <c r="A602" s="7"/>
      <c r="E602" s="7"/>
      <c r="F602" s="7"/>
    </row>
    <row r="603" spans="1:6" x14ac:dyDescent="0.25">
      <c r="A603" s="7"/>
      <c r="E603" s="7"/>
      <c r="F603" s="7"/>
    </row>
    <row r="604" spans="1:6" x14ac:dyDescent="0.25">
      <c r="A604" s="7"/>
      <c r="E604" s="7"/>
      <c r="F604" s="7"/>
    </row>
    <row r="605" spans="1:6" x14ac:dyDescent="0.25">
      <c r="A605" s="7"/>
      <c r="E605" s="7"/>
      <c r="F605" s="7"/>
    </row>
    <row r="606" spans="1:6" x14ac:dyDescent="0.25">
      <c r="A606" s="7"/>
      <c r="E606" s="7"/>
      <c r="F606" s="7"/>
    </row>
    <row r="607" spans="1:6" x14ac:dyDescent="0.25">
      <c r="A607" s="7"/>
      <c r="E607" s="7"/>
      <c r="F607" s="7"/>
    </row>
    <row r="608" spans="1:6" x14ac:dyDescent="0.25">
      <c r="A608" s="7"/>
      <c r="E608" s="7"/>
      <c r="F608" s="7"/>
    </row>
    <row r="609" spans="1:6" x14ac:dyDescent="0.25">
      <c r="A609" s="7"/>
      <c r="E609" s="7"/>
      <c r="F609" s="7"/>
    </row>
    <row r="610" spans="1:6" x14ac:dyDescent="0.25">
      <c r="A610" s="7"/>
      <c r="E610" s="7"/>
      <c r="F610" s="7"/>
    </row>
    <row r="611" spans="1:6" x14ac:dyDescent="0.25">
      <c r="A611" s="7"/>
      <c r="E611" s="7"/>
      <c r="F611" s="7"/>
    </row>
    <row r="612" spans="1:6" x14ac:dyDescent="0.25">
      <c r="A612" s="7"/>
      <c r="E612" s="7"/>
      <c r="F612" s="7"/>
    </row>
    <row r="613" spans="1:6" x14ac:dyDescent="0.25">
      <c r="A613" s="7"/>
      <c r="E613" s="7"/>
      <c r="F613" s="7"/>
    </row>
    <row r="614" spans="1:6" x14ac:dyDescent="0.25">
      <c r="A614" s="7"/>
      <c r="E614" s="7"/>
      <c r="F614" s="7"/>
    </row>
    <row r="615" spans="1:6" x14ac:dyDescent="0.25">
      <c r="A615" s="7"/>
      <c r="E615" s="7"/>
      <c r="F615" s="7"/>
    </row>
    <row r="616" spans="1:6" x14ac:dyDescent="0.25">
      <c r="A616" s="7"/>
      <c r="E616" s="7"/>
      <c r="F616" s="7"/>
    </row>
    <row r="617" spans="1:6" x14ac:dyDescent="0.25">
      <c r="A617" s="7"/>
      <c r="E617" s="7"/>
      <c r="F617" s="7"/>
    </row>
    <row r="618" spans="1:6" x14ac:dyDescent="0.25">
      <c r="A618" s="7"/>
      <c r="E618" s="7"/>
      <c r="F618" s="7"/>
    </row>
    <row r="619" spans="1:6" x14ac:dyDescent="0.25">
      <c r="A619" s="7"/>
      <c r="E619" s="7"/>
      <c r="F619" s="7"/>
    </row>
    <row r="620" spans="1:6" x14ac:dyDescent="0.25">
      <c r="A620" s="7"/>
      <c r="E620" s="7"/>
      <c r="F620" s="7"/>
    </row>
    <row r="621" spans="1:6" x14ac:dyDescent="0.25">
      <c r="A621" s="7"/>
      <c r="E621" s="7"/>
      <c r="F621" s="7"/>
    </row>
    <row r="622" spans="1:6" x14ac:dyDescent="0.25">
      <c r="A622" s="7"/>
      <c r="E622" s="7"/>
      <c r="F622" s="7"/>
    </row>
    <row r="623" spans="1:6" x14ac:dyDescent="0.25">
      <c r="A623" s="7"/>
      <c r="E623" s="7"/>
      <c r="F623" s="7"/>
    </row>
    <row r="624" spans="1:6" x14ac:dyDescent="0.25">
      <c r="A624" s="7"/>
      <c r="E624" s="7"/>
      <c r="F624" s="7"/>
    </row>
    <row r="625" spans="1:6" x14ac:dyDescent="0.25">
      <c r="A625" s="7"/>
      <c r="E625" s="7"/>
      <c r="F625" s="7"/>
    </row>
    <row r="626" spans="1:6" x14ac:dyDescent="0.25">
      <c r="A626" s="7"/>
      <c r="E626" s="7"/>
      <c r="F626" s="7"/>
    </row>
    <row r="627" spans="1:6" x14ac:dyDescent="0.25">
      <c r="A627" s="7"/>
      <c r="E627" s="7"/>
      <c r="F627" s="7"/>
    </row>
    <row r="628" spans="1:6" x14ac:dyDescent="0.25">
      <c r="A628" s="7"/>
      <c r="E628" s="7"/>
      <c r="F628" s="7"/>
    </row>
    <row r="629" spans="1:6" x14ac:dyDescent="0.25">
      <c r="A629" s="7"/>
      <c r="E629" s="7"/>
      <c r="F629" s="7"/>
    </row>
    <row r="630" spans="1:6" x14ac:dyDescent="0.25">
      <c r="A630" s="7"/>
      <c r="E630" s="7"/>
      <c r="F630" s="7"/>
    </row>
    <row r="631" spans="1:6" x14ac:dyDescent="0.25">
      <c r="A631" s="7"/>
      <c r="E631" s="7"/>
      <c r="F631" s="7"/>
    </row>
    <row r="632" spans="1:6" x14ac:dyDescent="0.25">
      <c r="A632" s="7"/>
      <c r="E632" s="7"/>
      <c r="F632" s="7"/>
    </row>
    <row r="633" spans="1:6" x14ac:dyDescent="0.25">
      <c r="A633" s="7"/>
      <c r="E633" s="7"/>
      <c r="F633" s="7"/>
    </row>
    <row r="634" spans="1:6" x14ac:dyDescent="0.25">
      <c r="A634" s="7"/>
      <c r="E634" s="7"/>
      <c r="F634" s="7"/>
    </row>
    <row r="635" spans="1:6" x14ac:dyDescent="0.25">
      <c r="A635" s="7"/>
      <c r="E635" s="7"/>
      <c r="F635" s="7"/>
    </row>
    <row r="636" spans="1:6" x14ac:dyDescent="0.25">
      <c r="A636" s="7"/>
      <c r="E636" s="7"/>
      <c r="F636" s="7"/>
    </row>
    <row r="637" spans="1:6" x14ac:dyDescent="0.25">
      <c r="A637" s="7"/>
      <c r="E637" s="7"/>
      <c r="F637" s="7"/>
    </row>
    <row r="638" spans="1:6" x14ac:dyDescent="0.25">
      <c r="A638" s="7"/>
      <c r="E638" s="7"/>
      <c r="F638" s="7"/>
    </row>
    <row r="639" spans="1:6" x14ac:dyDescent="0.25">
      <c r="A639" s="7"/>
      <c r="E639" s="7"/>
      <c r="F639" s="7"/>
    </row>
    <row r="640" spans="1:6" x14ac:dyDescent="0.25">
      <c r="A640" s="7"/>
      <c r="E640" s="7"/>
      <c r="F640" s="7"/>
    </row>
    <row r="641" spans="1:6" x14ac:dyDescent="0.25">
      <c r="A641" s="7"/>
      <c r="E641" s="7"/>
      <c r="F641" s="7"/>
    </row>
    <row r="642" spans="1:6" x14ac:dyDescent="0.25">
      <c r="A642" s="7"/>
      <c r="E642" s="7"/>
      <c r="F642" s="7"/>
    </row>
    <row r="643" spans="1:6" x14ac:dyDescent="0.25">
      <c r="A643" s="7"/>
      <c r="E643" s="7"/>
      <c r="F643" s="7"/>
    </row>
    <row r="644" spans="1:6" x14ac:dyDescent="0.25">
      <c r="A644" s="7"/>
      <c r="E644" s="7"/>
      <c r="F644" s="7"/>
    </row>
    <row r="645" spans="1:6" x14ac:dyDescent="0.25">
      <c r="A645" s="7"/>
      <c r="E645" s="7"/>
      <c r="F645" s="7"/>
    </row>
    <row r="646" spans="1:6" x14ac:dyDescent="0.25">
      <c r="A646" s="7"/>
      <c r="E646" s="7"/>
      <c r="F646" s="7"/>
    </row>
    <row r="647" spans="1:6" x14ac:dyDescent="0.25">
      <c r="A647" s="7"/>
      <c r="E647" s="7"/>
      <c r="F647" s="7"/>
    </row>
    <row r="648" spans="1:6" x14ac:dyDescent="0.25">
      <c r="A648" s="7"/>
      <c r="E648" s="7"/>
      <c r="F648" s="7"/>
    </row>
    <row r="649" spans="1:6" x14ac:dyDescent="0.25">
      <c r="A649" s="7"/>
      <c r="E649" s="7"/>
      <c r="F649" s="7"/>
    </row>
    <row r="650" spans="1:6" x14ac:dyDescent="0.25">
      <c r="A650" s="7"/>
      <c r="E650" s="7"/>
      <c r="F650" s="7"/>
    </row>
    <row r="651" spans="1:6" x14ac:dyDescent="0.25">
      <c r="A651" s="7"/>
      <c r="E651" s="7"/>
      <c r="F651" s="7"/>
    </row>
    <row r="652" spans="1:6" x14ac:dyDescent="0.25">
      <c r="A652" s="7"/>
      <c r="E652" s="7"/>
      <c r="F652" s="7"/>
    </row>
    <row r="653" spans="1:6" x14ac:dyDescent="0.25">
      <c r="A653" s="7"/>
      <c r="E653" s="7"/>
      <c r="F653" s="7"/>
    </row>
    <row r="654" spans="1:6" x14ac:dyDescent="0.25">
      <c r="A654" s="7"/>
      <c r="E654" s="7"/>
      <c r="F654" s="7"/>
    </row>
    <row r="655" spans="1:6" x14ac:dyDescent="0.25">
      <c r="A655" s="7"/>
      <c r="E655" s="7"/>
      <c r="F655" s="7"/>
    </row>
    <row r="656" spans="1:6" x14ac:dyDescent="0.25">
      <c r="A656" s="7"/>
      <c r="E656" s="7"/>
      <c r="F656" s="7"/>
    </row>
    <row r="657" spans="1:6" x14ac:dyDescent="0.25">
      <c r="A657" s="7"/>
      <c r="E657" s="7"/>
      <c r="F657" s="7"/>
    </row>
    <row r="658" spans="1:6" x14ac:dyDescent="0.25">
      <c r="A658" s="7"/>
      <c r="E658" s="7"/>
      <c r="F658" s="7"/>
    </row>
    <row r="659" spans="1:6" x14ac:dyDescent="0.25">
      <c r="A659" s="7"/>
      <c r="E659" s="7"/>
      <c r="F659" s="7"/>
    </row>
    <row r="660" spans="1:6" x14ac:dyDescent="0.25">
      <c r="A660" s="7"/>
      <c r="E660" s="7"/>
      <c r="F660" s="7"/>
    </row>
    <row r="661" spans="1:6" x14ac:dyDescent="0.25">
      <c r="A661" s="7"/>
      <c r="E661" s="7"/>
      <c r="F661" s="7"/>
    </row>
    <row r="662" spans="1:6" x14ac:dyDescent="0.25">
      <c r="A662" s="7"/>
      <c r="E662" s="7"/>
      <c r="F662" s="7"/>
    </row>
    <row r="663" spans="1:6" x14ac:dyDescent="0.25">
      <c r="A663" s="7"/>
      <c r="E663" s="7"/>
      <c r="F663" s="7"/>
    </row>
    <row r="664" spans="1:6" x14ac:dyDescent="0.25">
      <c r="A664" s="7"/>
      <c r="E664" s="7"/>
      <c r="F664" s="7"/>
    </row>
    <row r="665" spans="1:6" x14ac:dyDescent="0.25">
      <c r="A665" s="7"/>
      <c r="E665" s="7"/>
      <c r="F665" s="7"/>
    </row>
    <row r="666" spans="1:6" x14ac:dyDescent="0.25">
      <c r="A666" s="7"/>
      <c r="E666" s="7"/>
      <c r="F666" s="7"/>
    </row>
    <row r="667" spans="1:6" x14ac:dyDescent="0.25">
      <c r="A667" s="7"/>
      <c r="E667" s="7"/>
      <c r="F667" s="7"/>
    </row>
    <row r="668" spans="1:6" x14ac:dyDescent="0.25">
      <c r="A668" s="7"/>
      <c r="E668" s="7"/>
      <c r="F668" s="7"/>
    </row>
    <row r="669" spans="1:6" x14ac:dyDescent="0.25">
      <c r="A669" s="7"/>
      <c r="E669" s="7"/>
      <c r="F669" s="7"/>
    </row>
    <row r="670" spans="1:6" x14ac:dyDescent="0.25">
      <c r="A670" s="7"/>
      <c r="E670" s="7"/>
      <c r="F670" s="7"/>
    </row>
    <row r="671" spans="1:6" x14ac:dyDescent="0.25">
      <c r="A671" s="7"/>
      <c r="E671" s="7"/>
      <c r="F671" s="7"/>
    </row>
    <row r="672" spans="1:6" x14ac:dyDescent="0.25">
      <c r="A672" s="7"/>
      <c r="E672" s="7"/>
      <c r="F672" s="7"/>
    </row>
    <row r="673" spans="1:6" x14ac:dyDescent="0.25">
      <c r="A673" s="7"/>
      <c r="E673" s="7"/>
      <c r="F673" s="7"/>
    </row>
    <row r="674" spans="1:6" x14ac:dyDescent="0.25">
      <c r="A674" s="7"/>
      <c r="E674" s="7"/>
      <c r="F674" s="7"/>
    </row>
    <row r="675" spans="1:6" x14ac:dyDescent="0.25">
      <c r="A675" s="7"/>
      <c r="E675" s="7"/>
      <c r="F675" s="7"/>
    </row>
    <row r="676" spans="1:6" x14ac:dyDescent="0.25">
      <c r="A676" s="7"/>
      <c r="E676" s="7"/>
      <c r="F676" s="7"/>
    </row>
    <row r="677" spans="1:6" x14ac:dyDescent="0.25">
      <c r="A677" s="7"/>
      <c r="E677" s="7"/>
      <c r="F677" s="7"/>
    </row>
    <row r="678" spans="1:6" x14ac:dyDescent="0.25">
      <c r="A678" s="7"/>
      <c r="E678" s="7"/>
      <c r="F678" s="7"/>
    </row>
    <row r="679" spans="1:6" x14ac:dyDescent="0.25">
      <c r="A679" s="7"/>
      <c r="E679" s="7"/>
      <c r="F679" s="7"/>
    </row>
    <row r="680" spans="1:6" x14ac:dyDescent="0.25">
      <c r="A680" s="7"/>
      <c r="E680" s="7"/>
      <c r="F680" s="7"/>
    </row>
    <row r="681" spans="1:6" x14ac:dyDescent="0.25">
      <c r="A681" s="7"/>
      <c r="E681" s="7"/>
      <c r="F681" s="7"/>
    </row>
    <row r="682" spans="1:6" x14ac:dyDescent="0.25">
      <c r="A682" s="7"/>
      <c r="E682" s="7"/>
      <c r="F682" s="7"/>
    </row>
    <row r="683" spans="1:6" x14ac:dyDescent="0.25">
      <c r="A683" s="7"/>
      <c r="E683" s="7"/>
      <c r="F683" s="7"/>
    </row>
    <row r="684" spans="1:6" x14ac:dyDescent="0.25">
      <c r="A684" s="7"/>
      <c r="E684" s="7"/>
      <c r="F684" s="7"/>
    </row>
    <row r="685" spans="1:6" x14ac:dyDescent="0.25">
      <c r="A685" s="7"/>
      <c r="E685" s="7"/>
      <c r="F685" s="7"/>
    </row>
    <row r="686" spans="1:6" x14ac:dyDescent="0.25">
      <c r="A686" s="7"/>
      <c r="E686" s="7"/>
      <c r="F686" s="7"/>
    </row>
    <row r="687" spans="1:6" x14ac:dyDescent="0.25">
      <c r="A687" s="7"/>
      <c r="E687" s="7"/>
      <c r="F687" s="7"/>
    </row>
    <row r="688" spans="1:6" x14ac:dyDescent="0.25">
      <c r="A688" s="7"/>
      <c r="E688" s="7"/>
      <c r="F688" s="7"/>
    </row>
    <row r="689" spans="1:6" x14ac:dyDescent="0.25">
      <c r="A689" s="7"/>
      <c r="E689" s="7"/>
      <c r="F689" s="7"/>
    </row>
    <row r="690" spans="1:6" x14ac:dyDescent="0.25">
      <c r="A690" s="7"/>
      <c r="E690" s="7"/>
      <c r="F690" s="7"/>
    </row>
    <row r="691" spans="1:6" x14ac:dyDescent="0.25">
      <c r="A691" s="7"/>
      <c r="E691" s="7"/>
      <c r="F691" s="7"/>
    </row>
    <row r="692" spans="1:6" x14ac:dyDescent="0.25">
      <c r="A692" s="7"/>
      <c r="E692" s="7"/>
      <c r="F692" s="7"/>
    </row>
    <row r="693" spans="1:6" x14ac:dyDescent="0.25">
      <c r="A693" s="7"/>
      <c r="E693" s="7"/>
      <c r="F693" s="7"/>
    </row>
    <row r="694" spans="1:6" x14ac:dyDescent="0.25">
      <c r="A694" s="7"/>
      <c r="E694" s="7"/>
      <c r="F694" s="7"/>
    </row>
    <row r="695" spans="1:6" x14ac:dyDescent="0.25">
      <c r="A695" s="7"/>
      <c r="E695" s="7"/>
      <c r="F695" s="7"/>
    </row>
    <row r="696" spans="1:6" x14ac:dyDescent="0.25">
      <c r="A696" s="7"/>
      <c r="E696" s="7"/>
      <c r="F696" s="7"/>
    </row>
    <row r="697" spans="1:6" x14ac:dyDescent="0.25">
      <c r="A697" s="7"/>
      <c r="E697" s="7"/>
      <c r="F697" s="7"/>
    </row>
    <row r="698" spans="1:6" x14ac:dyDescent="0.25">
      <c r="A698" s="7"/>
      <c r="E698" s="7"/>
      <c r="F698" s="7"/>
    </row>
    <row r="699" spans="1:6" x14ac:dyDescent="0.25">
      <c r="A699" s="7"/>
      <c r="E699" s="7"/>
      <c r="F699" s="7"/>
    </row>
    <row r="700" spans="1:6" x14ac:dyDescent="0.25">
      <c r="A700" s="7"/>
      <c r="E700" s="7"/>
      <c r="F700" s="7"/>
    </row>
    <row r="701" spans="1:6" x14ac:dyDescent="0.25">
      <c r="A701" s="7"/>
      <c r="E701" s="7"/>
      <c r="F701" s="7"/>
    </row>
    <row r="702" spans="1:6" x14ac:dyDescent="0.25">
      <c r="A702" s="7"/>
      <c r="E702" s="7"/>
      <c r="F702" s="7"/>
    </row>
    <row r="703" spans="1:6" x14ac:dyDescent="0.25">
      <c r="A703" s="7"/>
      <c r="E703" s="7"/>
      <c r="F703" s="7"/>
    </row>
    <row r="704" spans="1:6" x14ac:dyDescent="0.25">
      <c r="A704" s="7"/>
      <c r="E704" s="7"/>
      <c r="F704" s="7"/>
    </row>
    <row r="705" spans="1:6" x14ac:dyDescent="0.25">
      <c r="A705" s="7"/>
      <c r="E705" s="7"/>
      <c r="F705" s="7"/>
    </row>
    <row r="706" spans="1:6" x14ac:dyDescent="0.25">
      <c r="A706" s="7"/>
      <c r="E706" s="7"/>
      <c r="F706" s="7"/>
    </row>
    <row r="707" spans="1:6" x14ac:dyDescent="0.25">
      <c r="A707" s="7"/>
      <c r="E707" s="7"/>
      <c r="F707" s="7"/>
    </row>
    <row r="708" spans="1:6" x14ac:dyDescent="0.25">
      <c r="A708" s="7"/>
      <c r="E708" s="7"/>
      <c r="F708" s="7"/>
    </row>
    <row r="709" spans="1:6" x14ac:dyDescent="0.25">
      <c r="A709" s="7"/>
      <c r="E709" s="7"/>
      <c r="F709" s="7"/>
    </row>
    <row r="710" spans="1:6" x14ac:dyDescent="0.25">
      <c r="A710" s="7"/>
      <c r="E710" s="7"/>
      <c r="F710" s="7"/>
    </row>
    <row r="711" spans="1:6" x14ac:dyDescent="0.25">
      <c r="A711" s="7"/>
      <c r="E711" s="7"/>
      <c r="F711" s="7"/>
    </row>
    <row r="712" spans="1:6" x14ac:dyDescent="0.25">
      <c r="A712" s="7"/>
      <c r="E712" s="7"/>
      <c r="F712" s="7"/>
    </row>
    <row r="713" spans="1:6" x14ac:dyDescent="0.25">
      <c r="A713" s="7"/>
      <c r="E713" s="7"/>
      <c r="F713" s="7"/>
    </row>
    <row r="714" spans="1:6" x14ac:dyDescent="0.25">
      <c r="A714" s="7"/>
      <c r="E714" s="7"/>
      <c r="F714" s="7"/>
    </row>
    <row r="715" spans="1:6" x14ac:dyDescent="0.25">
      <c r="A715" s="7"/>
      <c r="E715" s="7"/>
      <c r="F715" s="7"/>
    </row>
    <row r="716" spans="1:6" x14ac:dyDescent="0.25">
      <c r="A716" s="7"/>
      <c r="E716" s="7"/>
      <c r="F716" s="7"/>
    </row>
    <row r="717" spans="1:6" x14ac:dyDescent="0.25">
      <c r="A717" s="7"/>
      <c r="E717" s="7"/>
      <c r="F717" s="7"/>
    </row>
    <row r="718" spans="1:6" x14ac:dyDescent="0.25">
      <c r="A718" s="7"/>
      <c r="E718" s="7"/>
      <c r="F718" s="7"/>
    </row>
    <row r="719" spans="1:6" x14ac:dyDescent="0.25">
      <c r="A719" s="7"/>
      <c r="E719" s="7"/>
      <c r="F719" s="7"/>
    </row>
    <row r="720" spans="1:6" x14ac:dyDescent="0.25">
      <c r="A720" s="7"/>
      <c r="E720" s="7"/>
      <c r="F720" s="7"/>
    </row>
    <row r="721" spans="1:6" x14ac:dyDescent="0.25">
      <c r="A721" s="7"/>
      <c r="E721" s="7"/>
      <c r="F721" s="7"/>
    </row>
    <row r="722" spans="1:6" x14ac:dyDescent="0.25">
      <c r="A722" s="7"/>
      <c r="E722" s="7"/>
      <c r="F722" s="7"/>
    </row>
    <row r="723" spans="1:6" x14ac:dyDescent="0.25">
      <c r="A723" s="7"/>
      <c r="E723" s="7"/>
      <c r="F723" s="7"/>
    </row>
    <row r="724" spans="1:6" x14ac:dyDescent="0.25">
      <c r="A724" s="7"/>
      <c r="E724" s="7"/>
      <c r="F724" s="7"/>
    </row>
    <row r="725" spans="1:6" x14ac:dyDescent="0.25">
      <c r="A725" s="7"/>
      <c r="E725" s="7"/>
      <c r="F725" s="7"/>
    </row>
    <row r="726" spans="1:6" x14ac:dyDescent="0.25">
      <c r="A726" s="7"/>
      <c r="E726" s="7"/>
      <c r="F726" s="7"/>
    </row>
    <row r="727" spans="1:6" x14ac:dyDescent="0.25">
      <c r="A727" s="7"/>
      <c r="E727" s="7"/>
      <c r="F727" s="7"/>
    </row>
    <row r="728" spans="1:6" x14ac:dyDescent="0.25">
      <c r="A728" s="7"/>
      <c r="E728" s="7"/>
      <c r="F728" s="7"/>
    </row>
    <row r="729" spans="1:6" x14ac:dyDescent="0.25">
      <c r="A729" s="7"/>
      <c r="E729" s="7"/>
      <c r="F729" s="7"/>
    </row>
    <row r="730" spans="1:6" x14ac:dyDescent="0.25">
      <c r="A730" s="7"/>
      <c r="E730" s="7"/>
      <c r="F730" s="7"/>
    </row>
    <row r="731" spans="1:6" x14ac:dyDescent="0.25">
      <c r="A731" s="7"/>
      <c r="E731" s="7"/>
      <c r="F731" s="7"/>
    </row>
    <row r="732" spans="1:6" x14ac:dyDescent="0.25">
      <c r="A732" s="7"/>
      <c r="E732" s="7"/>
      <c r="F732" s="7"/>
    </row>
    <row r="733" spans="1:6" x14ac:dyDescent="0.25">
      <c r="A733" s="7"/>
      <c r="E733" s="7"/>
      <c r="F733" s="7"/>
    </row>
    <row r="734" spans="1:6" x14ac:dyDescent="0.25">
      <c r="A734" s="7"/>
      <c r="E734" s="7"/>
      <c r="F734" s="7"/>
    </row>
    <row r="735" spans="1:6" x14ac:dyDescent="0.25">
      <c r="A735" s="7"/>
      <c r="E735" s="7"/>
      <c r="F735" s="7"/>
    </row>
    <row r="736" spans="1:6" x14ac:dyDescent="0.25">
      <c r="A736" s="7"/>
      <c r="E736" s="7"/>
      <c r="F736" s="7"/>
    </row>
    <row r="737" spans="1:6" x14ac:dyDescent="0.25">
      <c r="A737" s="7"/>
      <c r="E737" s="7"/>
      <c r="F737" s="7"/>
    </row>
    <row r="738" spans="1:6" x14ac:dyDescent="0.25">
      <c r="A738" s="7"/>
      <c r="E738" s="7"/>
      <c r="F738" s="7"/>
    </row>
    <row r="739" spans="1:6" x14ac:dyDescent="0.25">
      <c r="A739" s="7"/>
      <c r="E739" s="7"/>
      <c r="F739" s="7"/>
    </row>
    <row r="740" spans="1:6" x14ac:dyDescent="0.25">
      <c r="A740" s="7"/>
      <c r="E740" s="7"/>
      <c r="F740" s="7"/>
    </row>
    <row r="741" spans="1:6" x14ac:dyDescent="0.25">
      <c r="A741" s="7"/>
      <c r="E741" s="7"/>
      <c r="F741" s="7"/>
    </row>
    <row r="742" spans="1:6" x14ac:dyDescent="0.25">
      <c r="A742" s="7"/>
      <c r="E742" s="7"/>
      <c r="F742" s="7"/>
    </row>
    <row r="743" spans="1:6" x14ac:dyDescent="0.25">
      <c r="A743" s="7"/>
      <c r="E743" s="7"/>
      <c r="F743" s="7"/>
    </row>
    <row r="744" spans="1:6" x14ac:dyDescent="0.25">
      <c r="A744" s="7"/>
      <c r="E744" s="7"/>
      <c r="F744" s="7"/>
    </row>
    <row r="745" spans="1:6" x14ac:dyDescent="0.25">
      <c r="A745" s="7"/>
      <c r="E745" s="7"/>
      <c r="F745" s="7"/>
    </row>
    <row r="746" spans="1:6" x14ac:dyDescent="0.25">
      <c r="A746" s="7"/>
      <c r="E746" s="7"/>
      <c r="F746" s="7"/>
    </row>
    <row r="747" spans="1:6" x14ac:dyDescent="0.25">
      <c r="A747" s="7"/>
      <c r="E747" s="7"/>
      <c r="F747" s="7"/>
    </row>
    <row r="748" spans="1:6" x14ac:dyDescent="0.25">
      <c r="A748" s="7"/>
      <c r="E748" s="7"/>
      <c r="F748" s="7"/>
    </row>
    <row r="749" spans="1:6" x14ac:dyDescent="0.25">
      <c r="A749" s="7"/>
      <c r="E749" s="7"/>
      <c r="F749" s="7"/>
    </row>
    <row r="750" spans="1:6" x14ac:dyDescent="0.25">
      <c r="A750" s="7"/>
      <c r="E750" s="7"/>
      <c r="F750" s="7"/>
    </row>
    <row r="751" spans="1:6" x14ac:dyDescent="0.25">
      <c r="A751" s="7"/>
      <c r="E751" s="7"/>
      <c r="F751" s="7"/>
    </row>
    <row r="752" spans="1:6" x14ac:dyDescent="0.25">
      <c r="A752" s="7"/>
      <c r="E752" s="7"/>
      <c r="F752" s="7"/>
    </row>
    <row r="753" spans="1:6" x14ac:dyDescent="0.25">
      <c r="A753" s="7"/>
      <c r="E753" s="7"/>
      <c r="F753" s="7"/>
    </row>
    <row r="754" spans="1:6" x14ac:dyDescent="0.25">
      <c r="A754" s="7"/>
      <c r="E754" s="7"/>
      <c r="F754" s="7"/>
    </row>
    <row r="755" spans="1:6" x14ac:dyDescent="0.25">
      <c r="A755" s="7"/>
      <c r="E755" s="7"/>
      <c r="F755" s="7"/>
    </row>
    <row r="756" spans="1:6" x14ac:dyDescent="0.25">
      <c r="A756" s="7"/>
      <c r="E756" s="7"/>
      <c r="F756" s="7"/>
    </row>
    <row r="757" spans="1:6" x14ac:dyDescent="0.25">
      <c r="A757" s="7"/>
      <c r="E757" s="7"/>
      <c r="F757" s="7"/>
    </row>
    <row r="758" spans="1:6" x14ac:dyDescent="0.25">
      <c r="A758" s="7"/>
      <c r="E758" s="7"/>
      <c r="F758" s="7"/>
    </row>
    <row r="759" spans="1:6" x14ac:dyDescent="0.25">
      <c r="A759" s="7"/>
      <c r="E759" s="7"/>
      <c r="F759" s="7"/>
    </row>
    <row r="760" spans="1:6" x14ac:dyDescent="0.25">
      <c r="A760" s="7"/>
      <c r="E760" s="7"/>
      <c r="F760" s="7"/>
    </row>
    <row r="761" spans="1:6" x14ac:dyDescent="0.25">
      <c r="A761" s="7"/>
      <c r="E761" s="7"/>
      <c r="F761" s="7"/>
    </row>
    <row r="762" spans="1:6" x14ac:dyDescent="0.25">
      <c r="A762" s="7"/>
      <c r="E762" s="7"/>
      <c r="F762" s="7"/>
    </row>
    <row r="763" spans="1:6" x14ac:dyDescent="0.25">
      <c r="A763" s="7"/>
      <c r="E763" s="7"/>
      <c r="F763" s="7"/>
    </row>
    <row r="764" spans="1:6" x14ac:dyDescent="0.25">
      <c r="A764" s="7"/>
      <c r="E764" s="7"/>
      <c r="F764" s="7"/>
    </row>
    <row r="765" spans="1:6" x14ac:dyDescent="0.25">
      <c r="A765" s="7"/>
      <c r="E765" s="7"/>
      <c r="F765" s="7"/>
    </row>
    <row r="766" spans="1:6" x14ac:dyDescent="0.25">
      <c r="A766" s="7"/>
      <c r="E766" s="7"/>
      <c r="F766" s="7"/>
    </row>
    <row r="767" spans="1:6" x14ac:dyDescent="0.25">
      <c r="A767" s="7"/>
      <c r="E767" s="7"/>
      <c r="F767" s="7"/>
    </row>
    <row r="768" spans="1:6" x14ac:dyDescent="0.25">
      <c r="A768" s="7"/>
      <c r="E768" s="7"/>
      <c r="F768" s="7"/>
    </row>
    <row r="769" spans="1:6" x14ac:dyDescent="0.25">
      <c r="A769" s="7"/>
      <c r="E769" s="7"/>
      <c r="F769" s="7"/>
    </row>
    <row r="770" spans="1:6" x14ac:dyDescent="0.25">
      <c r="A770" s="7"/>
      <c r="E770" s="7"/>
      <c r="F770" s="7"/>
    </row>
    <row r="771" spans="1:6" x14ac:dyDescent="0.25">
      <c r="A771" s="7"/>
      <c r="E771" s="7"/>
      <c r="F771" s="7"/>
    </row>
    <row r="772" spans="1:6" x14ac:dyDescent="0.25">
      <c r="A772" s="7"/>
      <c r="E772" s="7"/>
      <c r="F772" s="7"/>
    </row>
    <row r="773" spans="1:6" x14ac:dyDescent="0.25">
      <c r="A773" s="7"/>
      <c r="E773" s="7"/>
      <c r="F773" s="7"/>
    </row>
    <row r="774" spans="1:6" x14ac:dyDescent="0.25">
      <c r="A774" s="7"/>
      <c r="E774" s="7"/>
      <c r="F774" s="7"/>
    </row>
    <row r="775" spans="1:6" x14ac:dyDescent="0.25">
      <c r="A775" s="7"/>
      <c r="E775" s="7"/>
      <c r="F775" s="7"/>
    </row>
    <row r="776" spans="1:6" x14ac:dyDescent="0.25">
      <c r="A776" s="7"/>
      <c r="E776" s="7"/>
      <c r="F776" s="7"/>
    </row>
    <row r="777" spans="1:6" x14ac:dyDescent="0.25">
      <c r="A777" s="7"/>
      <c r="E777" s="7"/>
      <c r="F777" s="7"/>
    </row>
    <row r="778" spans="1:6" x14ac:dyDescent="0.25">
      <c r="A778" s="7"/>
      <c r="E778" s="7"/>
      <c r="F778" s="7"/>
    </row>
    <row r="779" spans="1:6" x14ac:dyDescent="0.25">
      <c r="A779" s="7"/>
      <c r="E779" s="7"/>
      <c r="F779" s="7"/>
    </row>
    <row r="780" spans="1:6" x14ac:dyDescent="0.25">
      <c r="A780" s="7"/>
      <c r="E780" s="7"/>
      <c r="F780" s="7"/>
    </row>
    <row r="781" spans="1:6" x14ac:dyDescent="0.25">
      <c r="A781" s="7"/>
      <c r="E781" s="7"/>
      <c r="F781" s="7"/>
    </row>
    <row r="782" spans="1:6" x14ac:dyDescent="0.25">
      <c r="A782" s="7"/>
      <c r="E782" s="7"/>
      <c r="F782" s="7"/>
    </row>
    <row r="783" spans="1:6" x14ac:dyDescent="0.25">
      <c r="A783" s="7"/>
      <c r="E783" s="7"/>
      <c r="F783" s="7"/>
    </row>
    <row r="784" spans="1:6" x14ac:dyDescent="0.25">
      <c r="A784" s="7"/>
      <c r="E784" s="7"/>
      <c r="F784" s="7"/>
    </row>
    <row r="785" spans="1:6" x14ac:dyDescent="0.25">
      <c r="A785" s="7"/>
      <c r="E785" s="7"/>
      <c r="F785" s="7"/>
    </row>
    <row r="786" spans="1:6" x14ac:dyDescent="0.25">
      <c r="A786" s="7"/>
      <c r="E786" s="7"/>
      <c r="F786" s="7"/>
    </row>
    <row r="787" spans="1:6" x14ac:dyDescent="0.25">
      <c r="A787" s="7"/>
      <c r="E787" s="7"/>
      <c r="F787" s="7"/>
    </row>
    <row r="788" spans="1:6" x14ac:dyDescent="0.25">
      <c r="A788" s="7"/>
      <c r="E788" s="7"/>
      <c r="F788" s="7"/>
    </row>
    <row r="789" spans="1:6" x14ac:dyDescent="0.25">
      <c r="A789" s="7"/>
      <c r="E789" s="7"/>
      <c r="F789" s="7"/>
    </row>
    <row r="790" spans="1:6" x14ac:dyDescent="0.25">
      <c r="A790" s="7"/>
      <c r="E790" s="7"/>
      <c r="F790" s="7"/>
    </row>
    <row r="791" spans="1:6" x14ac:dyDescent="0.25">
      <c r="A791" s="7"/>
      <c r="E791" s="7"/>
      <c r="F791" s="7"/>
    </row>
    <row r="792" spans="1:6" x14ac:dyDescent="0.25">
      <c r="A792" s="7"/>
      <c r="E792" s="7"/>
      <c r="F792" s="7"/>
    </row>
    <row r="793" spans="1:6" x14ac:dyDescent="0.25">
      <c r="A793" s="7"/>
      <c r="E793" s="7"/>
      <c r="F793" s="7"/>
    </row>
    <row r="794" spans="1:6" x14ac:dyDescent="0.25">
      <c r="A794" s="7"/>
      <c r="E794" s="7"/>
      <c r="F794" s="7"/>
    </row>
    <row r="795" spans="1:6" x14ac:dyDescent="0.25">
      <c r="A795" s="7"/>
      <c r="E795" s="7"/>
      <c r="F795" s="7"/>
    </row>
    <row r="796" spans="1:6" x14ac:dyDescent="0.25">
      <c r="A796" s="7"/>
      <c r="E796" s="7"/>
      <c r="F796" s="7"/>
    </row>
    <row r="797" spans="1:6" x14ac:dyDescent="0.25">
      <c r="A797" s="7"/>
      <c r="E797" s="7"/>
      <c r="F797" s="7"/>
    </row>
    <row r="798" spans="1:6" x14ac:dyDescent="0.25">
      <c r="A798" s="7"/>
      <c r="E798" s="7"/>
      <c r="F798" s="7"/>
    </row>
    <row r="799" spans="1:6" x14ac:dyDescent="0.25">
      <c r="A799" s="7"/>
      <c r="E799" s="7"/>
      <c r="F799" s="7"/>
    </row>
    <row r="800" spans="1:6" x14ac:dyDescent="0.25">
      <c r="A800" s="7"/>
      <c r="E800" s="7"/>
      <c r="F800" s="7"/>
    </row>
    <row r="801" spans="1:6" x14ac:dyDescent="0.25">
      <c r="A801" s="7"/>
      <c r="E801" s="7"/>
      <c r="F801" s="7"/>
    </row>
    <row r="802" spans="1:6" x14ac:dyDescent="0.25">
      <c r="A802" s="7"/>
      <c r="E802" s="7"/>
      <c r="F802" s="7"/>
    </row>
    <row r="803" spans="1:6" x14ac:dyDescent="0.25">
      <c r="A803" s="7"/>
      <c r="E803" s="7"/>
      <c r="F803" s="7"/>
    </row>
    <row r="804" spans="1:6" x14ac:dyDescent="0.25">
      <c r="A804" s="7"/>
      <c r="E804" s="7"/>
      <c r="F804" s="7"/>
    </row>
    <row r="805" spans="1:6" x14ac:dyDescent="0.25">
      <c r="A805" s="7"/>
      <c r="E805" s="7"/>
      <c r="F805" s="7"/>
    </row>
    <row r="806" spans="1:6" x14ac:dyDescent="0.25">
      <c r="A806" s="7"/>
      <c r="E806" s="7"/>
      <c r="F806" s="7"/>
    </row>
    <row r="807" spans="1:6" x14ac:dyDescent="0.25">
      <c r="A807" s="7"/>
      <c r="E807" s="7"/>
      <c r="F807" s="7"/>
    </row>
    <row r="808" spans="1:6" x14ac:dyDescent="0.25">
      <c r="A808" s="7"/>
      <c r="E808" s="7"/>
      <c r="F808" s="7"/>
    </row>
    <row r="809" spans="1:6" x14ac:dyDescent="0.25">
      <c r="A809" s="7"/>
      <c r="E809" s="7"/>
      <c r="F809" s="7"/>
    </row>
    <row r="810" spans="1:6" x14ac:dyDescent="0.25">
      <c r="A810" s="7"/>
      <c r="E810" s="7"/>
      <c r="F810" s="7"/>
    </row>
    <row r="811" spans="1:6" x14ac:dyDescent="0.25">
      <c r="A811" s="7"/>
      <c r="E811" s="7"/>
      <c r="F811" s="7"/>
    </row>
    <row r="812" spans="1:6" x14ac:dyDescent="0.25">
      <c r="A812" s="7"/>
      <c r="E812" s="7"/>
      <c r="F812" s="7"/>
    </row>
    <row r="813" spans="1:6" x14ac:dyDescent="0.25">
      <c r="A813" s="7"/>
      <c r="E813" s="7"/>
      <c r="F813" s="7"/>
    </row>
    <row r="814" spans="1:6" x14ac:dyDescent="0.25">
      <c r="A814" s="7"/>
      <c r="E814" s="7"/>
      <c r="F814" s="7"/>
    </row>
    <row r="815" spans="1:6" x14ac:dyDescent="0.25">
      <c r="A815" s="7"/>
      <c r="E815" s="7"/>
      <c r="F815" s="7"/>
    </row>
    <row r="816" spans="1:6" x14ac:dyDescent="0.25">
      <c r="A816" s="7"/>
      <c r="E816" s="7"/>
      <c r="F816" s="7"/>
    </row>
    <row r="817" spans="1:6" x14ac:dyDescent="0.25">
      <c r="A817" s="7"/>
      <c r="E817" s="7"/>
      <c r="F817" s="7"/>
    </row>
    <row r="818" spans="1:6" x14ac:dyDescent="0.25">
      <c r="A818" s="7"/>
      <c r="E818" s="7"/>
      <c r="F818" s="7"/>
    </row>
    <row r="819" spans="1:6" x14ac:dyDescent="0.25">
      <c r="A819" s="7"/>
      <c r="E819" s="7"/>
      <c r="F819" s="7"/>
    </row>
    <row r="820" spans="1:6" x14ac:dyDescent="0.25">
      <c r="A820" s="7"/>
      <c r="E820" s="7"/>
      <c r="F820" s="7"/>
    </row>
    <row r="821" spans="1:6" x14ac:dyDescent="0.25">
      <c r="A821" s="7"/>
      <c r="E821" s="7"/>
      <c r="F821" s="7"/>
    </row>
    <row r="822" spans="1:6" x14ac:dyDescent="0.25">
      <c r="A822" s="7"/>
      <c r="E822" s="7"/>
      <c r="F822" s="7"/>
    </row>
    <row r="823" spans="1:6" x14ac:dyDescent="0.25">
      <c r="A823" s="7"/>
      <c r="E823" s="7"/>
      <c r="F823" s="7"/>
    </row>
    <row r="824" spans="1:6" x14ac:dyDescent="0.25">
      <c r="A824" s="7"/>
      <c r="E824" s="7"/>
      <c r="F824" s="7"/>
    </row>
    <row r="825" spans="1:6" x14ac:dyDescent="0.25">
      <c r="A825" s="7"/>
      <c r="E825" s="7"/>
      <c r="F825" s="7"/>
    </row>
    <row r="826" spans="1:6" x14ac:dyDescent="0.25">
      <c r="A826" s="7"/>
      <c r="E826" s="7"/>
      <c r="F826" s="7"/>
    </row>
    <row r="827" spans="1:6" x14ac:dyDescent="0.25">
      <c r="A827" s="7"/>
      <c r="E827" s="7"/>
      <c r="F827" s="7"/>
    </row>
    <row r="828" spans="1:6" x14ac:dyDescent="0.25">
      <c r="A828" s="7"/>
      <c r="E828" s="7"/>
      <c r="F828" s="7"/>
    </row>
    <row r="829" spans="1:6" x14ac:dyDescent="0.25">
      <c r="A829" s="7"/>
      <c r="E829" s="7"/>
      <c r="F829" s="7"/>
    </row>
    <row r="830" spans="1:6" x14ac:dyDescent="0.25">
      <c r="A830" s="7"/>
      <c r="E830" s="7"/>
      <c r="F830" s="7"/>
    </row>
    <row r="831" spans="1:6" x14ac:dyDescent="0.25">
      <c r="A831" s="7"/>
      <c r="E831" s="7"/>
      <c r="F831" s="7"/>
    </row>
    <row r="832" spans="1:6" x14ac:dyDescent="0.25">
      <c r="A832" s="7"/>
      <c r="E832" s="7"/>
      <c r="F832" s="7"/>
    </row>
    <row r="833" spans="1:6" x14ac:dyDescent="0.25">
      <c r="A833" s="7"/>
      <c r="E833" s="7"/>
      <c r="F833" s="7"/>
    </row>
    <row r="834" spans="1:6" x14ac:dyDescent="0.25">
      <c r="A834" s="7"/>
      <c r="E834" s="7"/>
      <c r="F834" s="7"/>
    </row>
    <row r="835" spans="1:6" x14ac:dyDescent="0.25">
      <c r="A835" s="7"/>
      <c r="E835" s="7"/>
      <c r="F835" s="7"/>
    </row>
    <row r="836" spans="1:6" x14ac:dyDescent="0.25">
      <c r="A836" s="7"/>
      <c r="E836" s="7"/>
      <c r="F836" s="7"/>
    </row>
    <row r="837" spans="1:6" x14ac:dyDescent="0.25">
      <c r="A837" s="7"/>
      <c r="E837" s="7"/>
      <c r="F837" s="7"/>
    </row>
    <row r="838" spans="1:6" x14ac:dyDescent="0.25">
      <c r="A838" s="7"/>
      <c r="E838" s="7"/>
      <c r="F838" s="7"/>
    </row>
    <row r="839" spans="1:6" x14ac:dyDescent="0.25">
      <c r="A839" s="7"/>
      <c r="E839" s="7"/>
      <c r="F839" s="7"/>
    </row>
    <row r="840" spans="1:6" x14ac:dyDescent="0.25">
      <c r="A840" s="7"/>
      <c r="E840" s="7"/>
      <c r="F840" s="7"/>
    </row>
    <row r="841" spans="1:6" x14ac:dyDescent="0.25">
      <c r="A841" s="7"/>
      <c r="E841" s="7"/>
      <c r="F841" s="7"/>
    </row>
    <row r="842" spans="1:6" x14ac:dyDescent="0.25">
      <c r="A842" s="7"/>
      <c r="E842" s="7"/>
      <c r="F842" s="7"/>
    </row>
    <row r="843" spans="1:6" x14ac:dyDescent="0.25">
      <c r="A843" s="7"/>
      <c r="E843" s="7"/>
      <c r="F843" s="7"/>
    </row>
    <row r="844" spans="1:6" x14ac:dyDescent="0.25">
      <c r="A844" s="7"/>
      <c r="E844" s="7"/>
      <c r="F844" s="7"/>
    </row>
    <row r="845" spans="1:6" x14ac:dyDescent="0.25">
      <c r="A845" s="7"/>
      <c r="E845" s="7"/>
      <c r="F845" s="7"/>
    </row>
    <row r="846" spans="1:6" x14ac:dyDescent="0.25">
      <c r="A846" s="7"/>
      <c r="E846" s="7"/>
      <c r="F846" s="7"/>
    </row>
    <row r="847" spans="1:6" x14ac:dyDescent="0.25">
      <c r="A847" s="7"/>
      <c r="E847" s="7"/>
      <c r="F847" s="7"/>
    </row>
    <row r="848" spans="1:6" x14ac:dyDescent="0.25">
      <c r="A848" s="7"/>
      <c r="E848" s="7"/>
      <c r="F848" s="7"/>
    </row>
    <row r="849" spans="1:6" x14ac:dyDescent="0.25">
      <c r="A849" s="7"/>
      <c r="E849" s="7"/>
      <c r="F849" s="7"/>
    </row>
    <row r="850" spans="1:6" x14ac:dyDescent="0.25">
      <c r="A850" s="7"/>
      <c r="E850" s="7"/>
      <c r="F850" s="7"/>
    </row>
    <row r="851" spans="1:6" x14ac:dyDescent="0.25">
      <c r="A851" s="7"/>
      <c r="E851" s="7"/>
      <c r="F851" s="7"/>
    </row>
    <row r="852" spans="1:6" x14ac:dyDescent="0.25">
      <c r="A852" s="7"/>
      <c r="E852" s="7"/>
      <c r="F852" s="7"/>
    </row>
    <row r="853" spans="1:6" x14ac:dyDescent="0.25">
      <c r="A853" s="7"/>
      <c r="E853" s="7"/>
      <c r="F853" s="7"/>
    </row>
    <row r="854" spans="1:6" x14ac:dyDescent="0.25">
      <c r="A854" s="7"/>
      <c r="E854" s="7"/>
      <c r="F854" s="7"/>
    </row>
    <row r="855" spans="1:6" x14ac:dyDescent="0.25">
      <c r="A855" s="7"/>
      <c r="E855" s="7"/>
      <c r="F855" s="7"/>
    </row>
    <row r="856" spans="1:6" x14ac:dyDescent="0.25">
      <c r="A856" s="7"/>
      <c r="E856" s="7"/>
      <c r="F856" s="7"/>
    </row>
    <row r="857" spans="1:6" x14ac:dyDescent="0.25">
      <c r="A857" s="7"/>
      <c r="E857" s="7"/>
      <c r="F857" s="7"/>
    </row>
    <row r="858" spans="1:6" x14ac:dyDescent="0.25">
      <c r="A858" s="7"/>
      <c r="E858" s="7"/>
      <c r="F858" s="7"/>
    </row>
    <row r="859" spans="1:6" x14ac:dyDescent="0.25">
      <c r="A859" s="7"/>
      <c r="E859" s="7"/>
      <c r="F859" s="7"/>
    </row>
    <row r="860" spans="1:6" x14ac:dyDescent="0.25">
      <c r="A860" s="7"/>
      <c r="E860" s="7"/>
      <c r="F860" s="7"/>
    </row>
    <row r="861" spans="1:6" x14ac:dyDescent="0.25">
      <c r="A861" s="7"/>
      <c r="E861" s="7"/>
      <c r="F861" s="7"/>
    </row>
    <row r="862" spans="1:6" x14ac:dyDescent="0.25">
      <c r="A862" s="7"/>
      <c r="E862" s="7"/>
      <c r="F862" s="7"/>
    </row>
    <row r="863" spans="1:6" x14ac:dyDescent="0.25">
      <c r="A863" s="7"/>
      <c r="E863" s="7"/>
      <c r="F863" s="7"/>
    </row>
    <row r="864" spans="1:6" x14ac:dyDescent="0.25">
      <c r="A864" s="7"/>
      <c r="E864" s="7"/>
      <c r="F864" s="7"/>
    </row>
    <row r="865" spans="1:6" x14ac:dyDescent="0.25">
      <c r="A865" s="7"/>
      <c r="E865" s="7"/>
      <c r="F865" s="7"/>
    </row>
    <row r="866" spans="1:6" x14ac:dyDescent="0.25">
      <c r="A866" s="7"/>
      <c r="E866" s="7"/>
      <c r="F866" s="7"/>
    </row>
    <row r="867" spans="1:6" x14ac:dyDescent="0.25">
      <c r="A867" s="7"/>
      <c r="E867" s="7"/>
      <c r="F867" s="7"/>
    </row>
    <row r="868" spans="1:6" x14ac:dyDescent="0.25">
      <c r="A868" s="7"/>
      <c r="E868" s="7"/>
      <c r="F868" s="7"/>
    </row>
    <row r="869" spans="1:6" x14ac:dyDescent="0.25">
      <c r="A869" s="7"/>
      <c r="E869" s="7"/>
      <c r="F869" s="7"/>
    </row>
    <row r="870" spans="1:6" x14ac:dyDescent="0.25">
      <c r="A870" s="7"/>
      <c r="E870" s="7"/>
      <c r="F870" s="7"/>
    </row>
    <row r="871" spans="1:6" x14ac:dyDescent="0.25">
      <c r="A871" s="7"/>
      <c r="E871" s="7"/>
      <c r="F871" s="7"/>
    </row>
    <row r="872" spans="1:6" x14ac:dyDescent="0.25">
      <c r="A872" s="7"/>
      <c r="E872" s="7"/>
      <c r="F872" s="7"/>
    </row>
    <row r="873" spans="1:6" x14ac:dyDescent="0.25">
      <c r="A873" s="7"/>
      <c r="E873" s="7"/>
      <c r="F873" s="7"/>
    </row>
    <row r="874" spans="1:6" x14ac:dyDescent="0.25">
      <c r="A874" s="7"/>
      <c r="E874" s="7"/>
      <c r="F874" s="7"/>
    </row>
    <row r="875" spans="1:6" x14ac:dyDescent="0.25">
      <c r="A875" s="7"/>
      <c r="E875" s="7"/>
      <c r="F875" s="7"/>
    </row>
    <row r="876" spans="1:6" x14ac:dyDescent="0.25">
      <c r="A876" s="7"/>
      <c r="E876" s="7"/>
      <c r="F876" s="7"/>
    </row>
    <row r="877" spans="1:6" x14ac:dyDescent="0.25">
      <c r="A877" s="7"/>
      <c r="E877" s="7"/>
      <c r="F877" s="7"/>
    </row>
    <row r="878" spans="1:6" x14ac:dyDescent="0.25">
      <c r="A878" s="7"/>
      <c r="E878" s="7"/>
      <c r="F878" s="7"/>
    </row>
    <row r="879" spans="1:6" x14ac:dyDescent="0.25">
      <c r="A879" s="7"/>
      <c r="E879" s="7"/>
      <c r="F879" s="7"/>
    </row>
    <row r="880" spans="1:6" x14ac:dyDescent="0.25">
      <c r="A880" s="7"/>
      <c r="E880" s="7"/>
      <c r="F880" s="7"/>
    </row>
    <row r="881" spans="1:6" x14ac:dyDescent="0.25">
      <c r="A881" s="7"/>
      <c r="E881" s="7"/>
      <c r="F881" s="7"/>
    </row>
    <row r="882" spans="1:6" x14ac:dyDescent="0.25">
      <c r="A882" s="7"/>
      <c r="E882" s="7"/>
      <c r="F882" s="7"/>
    </row>
    <row r="883" spans="1:6" x14ac:dyDescent="0.25">
      <c r="A883" s="7"/>
      <c r="E883" s="7"/>
      <c r="F883" s="7"/>
    </row>
    <row r="884" spans="1:6" x14ac:dyDescent="0.25">
      <c r="A884" s="7"/>
      <c r="E884" s="7"/>
      <c r="F884" s="7"/>
    </row>
    <row r="885" spans="1:6" x14ac:dyDescent="0.25">
      <c r="A885" s="7"/>
      <c r="E885" s="7"/>
      <c r="F885" s="7"/>
    </row>
    <row r="886" spans="1:6" x14ac:dyDescent="0.25">
      <c r="A886" s="7"/>
      <c r="E886" s="7"/>
      <c r="F886" s="7"/>
    </row>
    <row r="887" spans="1:6" x14ac:dyDescent="0.25">
      <c r="A887" s="7"/>
      <c r="E887" s="7"/>
      <c r="F887" s="7"/>
    </row>
    <row r="888" spans="1:6" x14ac:dyDescent="0.25">
      <c r="A888" s="7"/>
      <c r="E888" s="7"/>
      <c r="F888" s="7"/>
    </row>
    <row r="889" spans="1:6" x14ac:dyDescent="0.25">
      <c r="A889" s="7"/>
      <c r="E889" s="7"/>
      <c r="F889" s="7"/>
    </row>
    <row r="890" spans="1:6" x14ac:dyDescent="0.25">
      <c r="A890" s="7"/>
      <c r="E890" s="7"/>
      <c r="F890" s="7"/>
    </row>
    <row r="891" spans="1:6" x14ac:dyDescent="0.25">
      <c r="A891" s="7"/>
      <c r="E891" s="7"/>
      <c r="F891" s="7"/>
    </row>
    <row r="892" spans="1:6" x14ac:dyDescent="0.25">
      <c r="A892" s="7"/>
      <c r="E892" s="7"/>
      <c r="F892" s="7"/>
    </row>
    <row r="893" spans="1:6" x14ac:dyDescent="0.25">
      <c r="A893" s="7"/>
      <c r="E893" s="7"/>
      <c r="F893" s="7"/>
    </row>
    <row r="894" spans="1:6" x14ac:dyDescent="0.25">
      <c r="A894" s="7"/>
      <c r="E894" s="7"/>
      <c r="F894" s="7"/>
    </row>
    <row r="895" spans="1:6" x14ac:dyDescent="0.25">
      <c r="A895" s="7"/>
      <c r="E895" s="7"/>
      <c r="F895" s="7"/>
    </row>
    <row r="896" spans="1:6" x14ac:dyDescent="0.25">
      <c r="A896" s="7"/>
      <c r="E896" s="7"/>
      <c r="F896" s="7"/>
    </row>
    <row r="897" spans="1:6" x14ac:dyDescent="0.25">
      <c r="A897" s="7"/>
      <c r="E897" s="7"/>
      <c r="F897" s="7"/>
    </row>
    <row r="898" spans="1:6" x14ac:dyDescent="0.25">
      <c r="A898" s="7"/>
      <c r="E898" s="7"/>
      <c r="F898" s="7"/>
    </row>
    <row r="899" spans="1:6" x14ac:dyDescent="0.25">
      <c r="A899" s="7"/>
      <c r="E899" s="7"/>
      <c r="F899" s="7"/>
    </row>
    <row r="900" spans="1:6" x14ac:dyDescent="0.25">
      <c r="A900" s="7"/>
      <c r="E900" s="7"/>
      <c r="F900" s="7"/>
    </row>
    <row r="901" spans="1:6" x14ac:dyDescent="0.25">
      <c r="A901" s="7"/>
      <c r="E901" s="7"/>
      <c r="F901" s="7"/>
    </row>
    <row r="902" spans="1:6" x14ac:dyDescent="0.25">
      <c r="A902" s="7"/>
      <c r="E902" s="7"/>
      <c r="F902" s="7"/>
    </row>
    <row r="903" spans="1:6" x14ac:dyDescent="0.25">
      <c r="A903" s="7"/>
      <c r="E903" s="7"/>
      <c r="F903" s="7"/>
    </row>
    <row r="904" spans="1:6" x14ac:dyDescent="0.25">
      <c r="A904" s="7"/>
      <c r="E904" s="7"/>
      <c r="F904" s="7"/>
    </row>
    <row r="905" spans="1:6" x14ac:dyDescent="0.25">
      <c r="A905" s="7"/>
      <c r="E905" s="7"/>
      <c r="F905" s="7"/>
    </row>
    <row r="906" spans="1:6" x14ac:dyDescent="0.25">
      <c r="A906" s="7"/>
      <c r="E906" s="7"/>
      <c r="F906" s="7"/>
    </row>
    <row r="907" spans="1:6" x14ac:dyDescent="0.25">
      <c r="A907" s="7"/>
      <c r="E907" s="7"/>
      <c r="F907" s="7"/>
    </row>
    <row r="908" spans="1:6" x14ac:dyDescent="0.25">
      <c r="A908" s="7"/>
      <c r="E908" s="7"/>
      <c r="F908" s="7"/>
    </row>
    <row r="909" spans="1:6" x14ac:dyDescent="0.25">
      <c r="A909" s="7"/>
      <c r="E909" s="7"/>
      <c r="F909" s="7"/>
    </row>
    <row r="910" spans="1:6" x14ac:dyDescent="0.25">
      <c r="A910" s="7"/>
      <c r="E910" s="7"/>
      <c r="F910" s="7"/>
    </row>
    <row r="911" spans="1:6" x14ac:dyDescent="0.25">
      <c r="A911" s="7"/>
      <c r="E911" s="7"/>
      <c r="F911" s="7"/>
    </row>
    <row r="912" spans="1:6" x14ac:dyDescent="0.25">
      <c r="A912" s="7"/>
      <c r="E912" s="7"/>
      <c r="F912" s="7"/>
    </row>
    <row r="913" spans="1:6" x14ac:dyDescent="0.25">
      <c r="A913" s="7"/>
      <c r="E913" s="7"/>
      <c r="F913" s="7"/>
    </row>
    <row r="914" spans="1:6" x14ac:dyDescent="0.25">
      <c r="A914" s="7"/>
      <c r="E914" s="7"/>
      <c r="F914" s="7"/>
    </row>
    <row r="915" spans="1:6" x14ac:dyDescent="0.25">
      <c r="A915" s="7"/>
      <c r="E915" s="7"/>
      <c r="F915" s="7"/>
    </row>
    <row r="916" spans="1:6" x14ac:dyDescent="0.25">
      <c r="A916" s="7"/>
      <c r="E916" s="7"/>
      <c r="F916" s="7"/>
    </row>
    <row r="917" spans="1:6" x14ac:dyDescent="0.25">
      <c r="A917" s="7"/>
      <c r="E917" s="7"/>
      <c r="F917" s="7"/>
    </row>
    <row r="918" spans="1:6" x14ac:dyDescent="0.25">
      <c r="A918" s="7"/>
      <c r="E918" s="7"/>
      <c r="F918" s="7"/>
    </row>
    <row r="919" spans="1:6" x14ac:dyDescent="0.25">
      <c r="A919" s="7"/>
      <c r="E919" s="7"/>
      <c r="F919" s="7"/>
    </row>
    <row r="920" spans="1:6" x14ac:dyDescent="0.25">
      <c r="A920" s="7"/>
      <c r="E920" s="7"/>
      <c r="F920" s="7"/>
    </row>
    <row r="921" spans="1:6" x14ac:dyDescent="0.25">
      <c r="A921" s="7"/>
      <c r="E921" s="7"/>
      <c r="F921" s="7"/>
    </row>
    <row r="922" spans="1:6" x14ac:dyDescent="0.25">
      <c r="A922" s="7"/>
      <c r="E922" s="7"/>
      <c r="F922" s="7"/>
    </row>
    <row r="923" spans="1:6" x14ac:dyDescent="0.25">
      <c r="A923" s="7"/>
      <c r="E923" s="7"/>
      <c r="F923" s="7"/>
    </row>
    <row r="924" spans="1:6" x14ac:dyDescent="0.25">
      <c r="A924" s="7"/>
      <c r="E924" s="7"/>
      <c r="F924" s="7"/>
    </row>
    <row r="925" spans="1:6" x14ac:dyDescent="0.25">
      <c r="A925" s="7"/>
      <c r="E925" s="7"/>
      <c r="F925" s="7"/>
    </row>
    <row r="926" spans="1:6" x14ac:dyDescent="0.25">
      <c r="A926" s="7"/>
      <c r="E926" s="7"/>
      <c r="F926" s="7"/>
    </row>
    <row r="927" spans="1:6" x14ac:dyDescent="0.25">
      <c r="A927" s="7"/>
      <c r="E927" s="7"/>
      <c r="F927" s="7"/>
    </row>
    <row r="928" spans="1:6" x14ac:dyDescent="0.25">
      <c r="A928" s="7"/>
      <c r="E928" s="7"/>
      <c r="F928" s="7"/>
    </row>
    <row r="929" spans="1:6" x14ac:dyDescent="0.25">
      <c r="A929" s="7"/>
      <c r="E929" s="7"/>
      <c r="F929" s="7"/>
    </row>
    <row r="930" spans="1:6" x14ac:dyDescent="0.25">
      <c r="A930" s="7"/>
      <c r="E930" s="7"/>
      <c r="F930" s="7"/>
    </row>
    <row r="931" spans="1:6" x14ac:dyDescent="0.25">
      <c r="A931" s="7"/>
      <c r="E931" s="7"/>
      <c r="F931" s="7"/>
    </row>
    <row r="932" spans="1:6" x14ac:dyDescent="0.25">
      <c r="A932" s="7"/>
      <c r="E932" s="7"/>
      <c r="F932" s="7"/>
    </row>
    <row r="933" spans="1:6" x14ac:dyDescent="0.25">
      <c r="A933" s="7"/>
      <c r="E933" s="7"/>
      <c r="F933" s="7"/>
    </row>
    <row r="934" spans="1:6" x14ac:dyDescent="0.25">
      <c r="A934" s="7"/>
      <c r="E934" s="7"/>
      <c r="F934" s="7"/>
    </row>
    <row r="935" spans="1:6" x14ac:dyDescent="0.25">
      <c r="A935" s="7"/>
      <c r="E935" s="7"/>
      <c r="F935" s="7"/>
    </row>
    <row r="936" spans="1:6" x14ac:dyDescent="0.25">
      <c r="A936" s="7"/>
      <c r="E936" s="7"/>
      <c r="F936" s="7"/>
    </row>
    <row r="937" spans="1:6" x14ac:dyDescent="0.25">
      <c r="A937" s="7"/>
      <c r="E937" s="7"/>
      <c r="F937" s="7"/>
    </row>
    <row r="938" spans="1:6" x14ac:dyDescent="0.25">
      <c r="A938" s="7"/>
      <c r="E938" s="7"/>
      <c r="F938" s="7"/>
    </row>
    <row r="939" spans="1:6" x14ac:dyDescent="0.25">
      <c r="A939" s="7"/>
      <c r="E939" s="7"/>
      <c r="F939" s="7"/>
    </row>
    <row r="940" spans="1:6" x14ac:dyDescent="0.25">
      <c r="A940" s="7"/>
      <c r="E940" s="7"/>
      <c r="F940" s="7"/>
    </row>
    <row r="941" spans="1:6" x14ac:dyDescent="0.25">
      <c r="A941" s="7"/>
      <c r="E941" s="7"/>
      <c r="F941" s="7"/>
    </row>
    <row r="942" spans="1:6" x14ac:dyDescent="0.25">
      <c r="A942" s="7"/>
      <c r="E942" s="7"/>
      <c r="F942" s="7"/>
    </row>
    <row r="943" spans="1:6" x14ac:dyDescent="0.25">
      <c r="A943" s="7"/>
      <c r="E943" s="7"/>
      <c r="F943" s="7"/>
    </row>
    <row r="944" spans="1:6" x14ac:dyDescent="0.25">
      <c r="A944" s="7"/>
      <c r="E944" s="7"/>
      <c r="F944" s="7"/>
    </row>
    <row r="945" spans="1:6" x14ac:dyDescent="0.25">
      <c r="A945" s="7"/>
      <c r="E945" s="7"/>
      <c r="F945" s="7"/>
    </row>
    <row r="946" spans="1:6" x14ac:dyDescent="0.25">
      <c r="A946" s="7"/>
      <c r="E946" s="7"/>
      <c r="F946" s="7"/>
    </row>
    <row r="947" spans="1:6" x14ac:dyDescent="0.25">
      <c r="A947" s="7"/>
      <c r="E947" s="7"/>
      <c r="F947" s="7"/>
    </row>
    <row r="948" spans="1:6" x14ac:dyDescent="0.25">
      <c r="A948" s="7"/>
      <c r="E948" s="7"/>
      <c r="F948" s="7"/>
    </row>
    <row r="949" spans="1:6" x14ac:dyDescent="0.25">
      <c r="A949" s="7"/>
      <c r="E949" s="7"/>
      <c r="F949" s="7"/>
    </row>
    <row r="950" spans="1:6" x14ac:dyDescent="0.25">
      <c r="A950" s="7"/>
      <c r="E950" s="7"/>
      <c r="F950" s="7"/>
    </row>
    <row r="951" spans="1:6" x14ac:dyDescent="0.25">
      <c r="A951" s="7"/>
      <c r="E951" s="7"/>
      <c r="F951" s="7"/>
    </row>
    <row r="952" spans="1:6" x14ac:dyDescent="0.25">
      <c r="A952" s="7"/>
      <c r="E952" s="7"/>
      <c r="F952" s="7"/>
    </row>
    <row r="953" spans="1:6" x14ac:dyDescent="0.25">
      <c r="A953" s="7"/>
      <c r="E953" s="7"/>
      <c r="F953" s="7"/>
    </row>
    <row r="954" spans="1:6" x14ac:dyDescent="0.25">
      <c r="A954" s="7"/>
      <c r="E954" s="7"/>
      <c r="F954" s="7"/>
    </row>
    <row r="955" spans="1:6" x14ac:dyDescent="0.25">
      <c r="A955" s="7"/>
      <c r="E955" s="7"/>
      <c r="F955" s="7"/>
    </row>
    <row r="956" spans="1:6" x14ac:dyDescent="0.25">
      <c r="A956" s="7"/>
      <c r="E956" s="7"/>
      <c r="F956" s="7"/>
    </row>
    <row r="957" spans="1:6" x14ac:dyDescent="0.25">
      <c r="A957" s="7"/>
      <c r="E957" s="7"/>
      <c r="F957" s="7"/>
    </row>
    <row r="958" spans="1:6" x14ac:dyDescent="0.25">
      <c r="A958" s="7"/>
      <c r="E958" s="7"/>
      <c r="F958" s="7"/>
    </row>
    <row r="959" spans="1:6" x14ac:dyDescent="0.25">
      <c r="A959" s="7"/>
      <c r="E959" s="7"/>
      <c r="F959" s="7"/>
    </row>
    <row r="960" spans="1:6" x14ac:dyDescent="0.25">
      <c r="A960" s="7"/>
      <c r="E960" s="7"/>
      <c r="F960" s="7"/>
    </row>
    <row r="961" spans="1:6" x14ac:dyDescent="0.25">
      <c r="A961" s="7"/>
      <c r="E961" s="7"/>
      <c r="F961" s="7"/>
    </row>
    <row r="962" spans="1:6" x14ac:dyDescent="0.25">
      <c r="A962" s="7"/>
      <c r="E962" s="7"/>
      <c r="F962" s="7"/>
    </row>
    <row r="963" spans="1:6" x14ac:dyDescent="0.25">
      <c r="A963" s="7"/>
      <c r="E963" s="7"/>
      <c r="F963" s="7"/>
    </row>
    <row r="964" spans="1:6" x14ac:dyDescent="0.25">
      <c r="A964" s="7"/>
      <c r="E964" s="7"/>
      <c r="F964" s="7"/>
    </row>
    <row r="965" spans="1:6" x14ac:dyDescent="0.25">
      <c r="A965" s="7"/>
      <c r="E965" s="7"/>
      <c r="F965" s="7"/>
    </row>
    <row r="966" spans="1:6" x14ac:dyDescent="0.25">
      <c r="A966" s="7"/>
      <c r="E966" s="7"/>
      <c r="F966" s="7"/>
    </row>
    <row r="967" spans="1:6" x14ac:dyDescent="0.25">
      <c r="A967" s="7"/>
      <c r="E967" s="7"/>
      <c r="F967" s="7"/>
    </row>
    <row r="968" spans="1:6" x14ac:dyDescent="0.25">
      <c r="A968" s="7"/>
      <c r="E968" s="7"/>
      <c r="F968" s="7"/>
    </row>
    <row r="969" spans="1:6" x14ac:dyDescent="0.25">
      <c r="A969" s="7"/>
      <c r="E969" s="7"/>
      <c r="F969" s="7"/>
    </row>
    <row r="970" spans="1:6" x14ac:dyDescent="0.25">
      <c r="A970" s="7"/>
      <c r="E970" s="7"/>
      <c r="F970" s="7"/>
    </row>
    <row r="971" spans="1:6" x14ac:dyDescent="0.25">
      <c r="A971" s="7"/>
      <c r="E971" s="7"/>
      <c r="F971" s="7"/>
    </row>
    <row r="972" spans="1:6" x14ac:dyDescent="0.25">
      <c r="A972" s="7"/>
      <c r="E972" s="7"/>
      <c r="F972" s="7"/>
    </row>
    <row r="973" spans="1:6" x14ac:dyDescent="0.25">
      <c r="A973" s="7"/>
      <c r="E973" s="7"/>
      <c r="F973" s="7"/>
    </row>
    <row r="974" spans="1:6" x14ac:dyDescent="0.25">
      <c r="A974" s="7"/>
      <c r="E974" s="7"/>
      <c r="F974" s="7"/>
    </row>
    <row r="975" spans="1:6" x14ac:dyDescent="0.25">
      <c r="A975" s="7"/>
      <c r="E975" s="7"/>
      <c r="F975" s="7"/>
    </row>
    <row r="976" spans="1:6" x14ac:dyDescent="0.25">
      <c r="A976" s="7"/>
      <c r="E976" s="7"/>
      <c r="F976" s="7"/>
    </row>
    <row r="977" spans="1:6" x14ac:dyDescent="0.25">
      <c r="A977" s="7"/>
      <c r="E977" s="7"/>
      <c r="F977" s="7"/>
    </row>
    <row r="978" spans="1:6" x14ac:dyDescent="0.25">
      <c r="A978" s="7"/>
      <c r="E978" s="7"/>
      <c r="F978" s="7"/>
    </row>
    <row r="979" spans="1:6" x14ac:dyDescent="0.25">
      <c r="A979" s="7"/>
      <c r="E979" s="7"/>
      <c r="F979" s="7"/>
    </row>
    <row r="980" spans="1:6" x14ac:dyDescent="0.25">
      <c r="A980" s="7"/>
      <c r="E980" s="7"/>
      <c r="F980" s="7"/>
    </row>
    <row r="981" spans="1:6" x14ac:dyDescent="0.25">
      <c r="A981" s="7"/>
      <c r="E981" s="7"/>
      <c r="F981" s="7"/>
    </row>
    <row r="982" spans="1:6" x14ac:dyDescent="0.25">
      <c r="A982" s="7"/>
      <c r="E982" s="7"/>
      <c r="F982" s="7"/>
    </row>
    <row r="983" spans="1:6" x14ac:dyDescent="0.25">
      <c r="A983" s="7"/>
      <c r="E983" s="7"/>
      <c r="F983" s="7"/>
    </row>
    <row r="984" spans="1:6" x14ac:dyDescent="0.25">
      <c r="A984" s="7"/>
      <c r="E984" s="7"/>
      <c r="F984" s="7"/>
    </row>
    <row r="985" spans="1:6" x14ac:dyDescent="0.25">
      <c r="A985" s="7"/>
      <c r="E985" s="7"/>
      <c r="F985" s="7"/>
    </row>
    <row r="986" spans="1:6" x14ac:dyDescent="0.25">
      <c r="A986" s="7"/>
      <c r="E986" s="7"/>
      <c r="F986" s="7"/>
    </row>
    <row r="987" spans="1:6" x14ac:dyDescent="0.25">
      <c r="A987" s="7"/>
      <c r="E987" s="7"/>
      <c r="F987" s="7"/>
    </row>
    <row r="988" spans="1:6" x14ac:dyDescent="0.25">
      <c r="A988" s="7"/>
      <c r="E988" s="7"/>
      <c r="F988" s="7"/>
    </row>
    <row r="989" spans="1:6" x14ac:dyDescent="0.25">
      <c r="A989" s="7"/>
      <c r="E989" s="7"/>
      <c r="F989" s="7"/>
    </row>
    <row r="990" spans="1:6" x14ac:dyDescent="0.25">
      <c r="A990" s="7"/>
      <c r="E990" s="7"/>
      <c r="F990" s="7"/>
    </row>
    <row r="991" spans="1:6" x14ac:dyDescent="0.25">
      <c r="A991" s="7"/>
      <c r="E991" s="7"/>
      <c r="F991" s="7"/>
    </row>
    <row r="992" spans="1:6" x14ac:dyDescent="0.25">
      <c r="A992" s="7"/>
      <c r="E992" s="7"/>
      <c r="F992" s="7"/>
    </row>
    <row r="993" spans="1:6" x14ac:dyDescent="0.25">
      <c r="A993" s="7"/>
      <c r="E993" s="7"/>
      <c r="F993" s="7"/>
    </row>
    <row r="994" spans="1:6" x14ac:dyDescent="0.25">
      <c r="A994" s="7"/>
      <c r="E994" s="7"/>
      <c r="F994" s="7"/>
    </row>
    <row r="995" spans="1:6" x14ac:dyDescent="0.25">
      <c r="A995" s="7"/>
      <c r="E995" s="7"/>
      <c r="F995" s="7"/>
    </row>
    <row r="996" spans="1:6" x14ac:dyDescent="0.25">
      <c r="A996" s="7"/>
      <c r="E996" s="7"/>
      <c r="F996" s="7"/>
    </row>
    <row r="997" spans="1:6" x14ac:dyDescent="0.25">
      <c r="A997" s="7"/>
      <c r="E997" s="7"/>
      <c r="F997" s="7"/>
    </row>
    <row r="998" spans="1:6" x14ac:dyDescent="0.25">
      <c r="A998" s="7"/>
      <c r="E998" s="7"/>
      <c r="F998" s="7"/>
    </row>
    <row r="999" spans="1:6" x14ac:dyDescent="0.25">
      <c r="A999" s="7"/>
      <c r="E999" s="7"/>
      <c r="F999" s="7"/>
    </row>
    <row r="1000" spans="1:6" x14ac:dyDescent="0.25">
      <c r="A1000" s="7"/>
      <c r="E1000" s="7"/>
      <c r="F1000" s="7"/>
    </row>
    <row r="1001" spans="1:6" x14ac:dyDescent="0.25">
      <c r="A1001" s="7"/>
      <c r="E1001" s="7"/>
      <c r="F1001" s="7"/>
    </row>
    <row r="1002" spans="1:6" x14ac:dyDescent="0.25">
      <c r="A1002" s="7"/>
      <c r="E1002" s="7"/>
      <c r="F1002" s="7"/>
    </row>
  </sheetData>
  <mergeCells count="4">
    <mergeCell ref="A1:I1"/>
    <mergeCell ref="A2:I2"/>
    <mergeCell ref="B3:C3"/>
    <mergeCell ref="A16:I16"/>
  </mergeCells>
  <printOptions horizontalCentered="1" gridLines="1"/>
  <pageMargins left="0.25" right="0.25" top="0.75" bottom="0.75" header="0" footer="0"/>
  <pageSetup fitToHeight="0" pageOrder="overThenDown" orientation="landscape" cellComments="atEnd"/>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outlinePr summaryBelow="0" summaryRight="0"/>
  </sheetPr>
  <dimension ref="A1:W1002"/>
  <sheetViews>
    <sheetView workbookViewId="0">
      <pane ySplit="3" topLeftCell="A4" activePane="bottomLeft" state="frozen"/>
      <selection pane="bottomLeft" activeCell="B5" sqref="B5"/>
    </sheetView>
  </sheetViews>
  <sheetFormatPr defaultColWidth="12.6640625" defaultRowHeight="15.75" customHeight="1" x14ac:dyDescent="0.25"/>
  <cols>
    <col min="1" max="1" width="46.33203125" customWidth="1"/>
    <col min="2" max="2" width="7.33203125" customWidth="1"/>
    <col min="3" max="4" width="7.88671875" customWidth="1"/>
    <col min="5" max="5" width="22.21875" customWidth="1"/>
    <col min="6" max="6" width="14.6640625" customWidth="1"/>
  </cols>
  <sheetData>
    <row r="1" spans="1:23" x14ac:dyDescent="0.25">
      <c r="A1" s="141" t="s">
        <v>1036</v>
      </c>
      <c r="B1" s="142"/>
      <c r="C1" s="142"/>
      <c r="D1" s="142"/>
      <c r="E1" s="142"/>
      <c r="F1" s="142"/>
      <c r="G1" s="142"/>
      <c r="H1" s="142"/>
      <c r="I1" s="143"/>
    </row>
    <row r="2" spans="1:23" x14ac:dyDescent="0.25">
      <c r="A2" s="144" t="s">
        <v>1037</v>
      </c>
      <c r="B2" s="142"/>
      <c r="C2" s="142"/>
      <c r="D2" s="142"/>
      <c r="E2" s="142"/>
      <c r="F2" s="142"/>
      <c r="G2" s="142"/>
      <c r="H2" s="142"/>
      <c r="I2" s="143"/>
    </row>
    <row r="3" spans="1:23" x14ac:dyDescent="0.25">
      <c r="A3" s="43" t="s">
        <v>374</v>
      </c>
      <c r="B3" s="145" t="s">
        <v>408</v>
      </c>
      <c r="C3" s="143"/>
      <c r="D3" s="49" t="s">
        <v>370</v>
      </c>
      <c r="E3" s="50" t="s">
        <v>371</v>
      </c>
      <c r="F3" s="51" t="s">
        <v>372</v>
      </c>
      <c r="G3" s="52" t="s">
        <v>373</v>
      </c>
      <c r="H3" s="53" t="s">
        <v>409</v>
      </c>
      <c r="I3" s="53" t="s">
        <v>410</v>
      </c>
      <c r="J3" s="7"/>
      <c r="K3" s="7"/>
      <c r="L3" s="7"/>
      <c r="M3" s="7"/>
      <c r="N3" s="7"/>
      <c r="O3" s="7"/>
      <c r="P3" s="7"/>
      <c r="Q3" s="7"/>
      <c r="R3" s="7"/>
      <c r="S3" s="7"/>
      <c r="T3" s="7"/>
      <c r="U3" s="7"/>
      <c r="V3" s="7"/>
      <c r="W3" s="7"/>
    </row>
    <row r="4" spans="1:23" x14ac:dyDescent="0.25">
      <c r="A4" s="41" t="s">
        <v>411</v>
      </c>
      <c r="B4" s="54">
        <f>SUM(B5:B8)/4</f>
        <v>1</v>
      </c>
      <c r="C4" s="55">
        <f>D4*B4</f>
        <v>0.7</v>
      </c>
      <c r="D4" s="56">
        <v>0.7</v>
      </c>
      <c r="E4" s="57"/>
      <c r="F4" s="57"/>
      <c r="G4" s="58"/>
      <c r="H4" s="58"/>
      <c r="I4" s="58"/>
    </row>
    <row r="5" spans="1:23" x14ac:dyDescent="0.25">
      <c r="A5" s="42" t="s">
        <v>1008</v>
      </c>
      <c r="B5" s="59">
        <v>1</v>
      </c>
      <c r="C5" s="60"/>
      <c r="D5" s="60"/>
      <c r="E5" s="42"/>
      <c r="F5" s="61"/>
      <c r="G5" s="59">
        <v>1</v>
      </c>
      <c r="H5" s="59">
        <v>1</v>
      </c>
      <c r="I5" s="59">
        <v>1</v>
      </c>
    </row>
    <row r="6" spans="1:23" x14ac:dyDescent="0.25">
      <c r="A6" s="42" t="s">
        <v>1009</v>
      </c>
      <c r="B6" s="59">
        <v>1</v>
      </c>
      <c r="C6" s="60"/>
      <c r="D6" s="60"/>
      <c r="E6" s="42"/>
      <c r="F6" s="61"/>
      <c r="G6" s="59">
        <v>0.8</v>
      </c>
      <c r="H6" s="59">
        <v>0.8</v>
      </c>
      <c r="I6" s="59">
        <v>1</v>
      </c>
    </row>
    <row r="7" spans="1:23" x14ac:dyDescent="0.25">
      <c r="A7" s="42" t="s">
        <v>1010</v>
      </c>
      <c r="B7" s="59">
        <v>1</v>
      </c>
      <c r="C7" s="60"/>
      <c r="D7" s="60"/>
      <c r="E7" s="42"/>
      <c r="F7" s="61"/>
      <c r="G7" s="59">
        <v>0.8</v>
      </c>
      <c r="H7" s="59">
        <v>0.8</v>
      </c>
      <c r="I7" s="59">
        <v>1</v>
      </c>
    </row>
    <row r="8" spans="1:23" x14ac:dyDescent="0.25">
      <c r="A8" s="42" t="s">
        <v>1011</v>
      </c>
      <c r="B8" s="59">
        <v>1</v>
      </c>
      <c r="C8" s="60"/>
      <c r="D8" s="60"/>
      <c r="E8" s="42"/>
      <c r="F8" s="42"/>
      <c r="G8" s="59">
        <v>0.8</v>
      </c>
      <c r="H8" s="59">
        <v>0.8</v>
      </c>
      <c r="I8" s="59">
        <v>1</v>
      </c>
    </row>
    <row r="9" spans="1:23" x14ac:dyDescent="0.25">
      <c r="A9" s="41" t="s">
        <v>415</v>
      </c>
      <c r="B9" s="54">
        <f>SUM(B10:B11)/1</f>
        <v>1</v>
      </c>
      <c r="C9" s="55">
        <f>D9*B9</f>
        <v>0.2</v>
      </c>
      <c r="D9" s="56">
        <v>0.2</v>
      </c>
      <c r="E9" s="57"/>
      <c r="F9" s="57"/>
      <c r="G9" s="58"/>
      <c r="H9" s="58"/>
      <c r="I9" s="58"/>
    </row>
    <row r="10" spans="1:23" x14ac:dyDescent="0.25">
      <c r="A10" s="42" t="s">
        <v>1038</v>
      </c>
      <c r="B10" s="59">
        <v>1</v>
      </c>
      <c r="C10" s="60"/>
      <c r="D10" s="60"/>
      <c r="E10" s="42"/>
      <c r="F10" s="63"/>
      <c r="G10" s="59">
        <v>1</v>
      </c>
      <c r="H10" s="59"/>
      <c r="I10" s="59"/>
    </row>
    <row r="11" spans="1:23" x14ac:dyDescent="0.25">
      <c r="A11" s="42" t="s">
        <v>1039</v>
      </c>
      <c r="B11" s="62"/>
      <c r="C11" s="60"/>
      <c r="D11" s="60"/>
      <c r="E11" s="42"/>
      <c r="F11" s="61"/>
      <c r="G11" s="59"/>
      <c r="H11" s="59"/>
      <c r="I11" s="59"/>
    </row>
    <row r="12" spans="1:23" x14ac:dyDescent="0.25">
      <c r="A12" s="41" t="s">
        <v>385</v>
      </c>
      <c r="B12" s="54">
        <f>SUM(B13:B14)/2</f>
        <v>1</v>
      </c>
      <c r="C12" s="55">
        <f>D12*B12</f>
        <v>0.1</v>
      </c>
      <c r="D12" s="56">
        <v>0.1</v>
      </c>
      <c r="E12" s="57"/>
      <c r="F12" s="57"/>
      <c r="G12" s="58"/>
      <c r="H12" s="58"/>
      <c r="I12" s="58"/>
    </row>
    <row r="13" spans="1:23" x14ac:dyDescent="0.25">
      <c r="A13" s="42" t="s">
        <v>386</v>
      </c>
      <c r="B13" s="59">
        <v>1</v>
      </c>
      <c r="C13" s="60"/>
      <c r="D13" s="53"/>
      <c r="E13" s="42"/>
      <c r="F13" s="42" t="s">
        <v>425</v>
      </c>
      <c r="G13" s="59">
        <v>0.8</v>
      </c>
      <c r="H13" s="59">
        <v>0.8</v>
      </c>
      <c r="I13" s="59">
        <v>1</v>
      </c>
    </row>
    <row r="14" spans="1:23" x14ac:dyDescent="0.25">
      <c r="A14" s="42" t="s">
        <v>387</v>
      </c>
      <c r="B14" s="59">
        <v>1</v>
      </c>
      <c r="C14" s="60"/>
      <c r="D14" s="60"/>
      <c r="E14" s="42"/>
      <c r="F14" s="42" t="s">
        <v>419</v>
      </c>
      <c r="G14" s="59">
        <v>0.8</v>
      </c>
      <c r="H14" s="59">
        <v>0.8</v>
      </c>
      <c r="I14" s="59">
        <v>1</v>
      </c>
    </row>
    <row r="15" spans="1:23" x14ac:dyDescent="0.25">
      <c r="A15" s="42"/>
      <c r="B15" s="60"/>
      <c r="C15" s="64">
        <f t="shared" ref="C15:D15" si="0">SUM(C4+C9+C12)</f>
        <v>0.99999999999999989</v>
      </c>
      <c r="D15" s="64">
        <f t="shared" si="0"/>
        <v>0.99999999999999989</v>
      </c>
      <c r="E15" s="42"/>
      <c r="F15" s="42"/>
      <c r="G15" s="60"/>
      <c r="H15" s="60"/>
      <c r="I15" s="60"/>
    </row>
    <row r="16" spans="1:23" x14ac:dyDescent="0.25">
      <c r="A16" s="152" t="s">
        <v>1040</v>
      </c>
      <c r="B16" s="142"/>
      <c r="C16" s="142"/>
      <c r="D16" s="142"/>
      <c r="E16" s="142"/>
      <c r="F16" s="142"/>
      <c r="G16" s="142"/>
      <c r="H16" s="142"/>
      <c r="I16" s="143"/>
    </row>
    <row r="17" spans="1:9" x14ac:dyDescent="0.25">
      <c r="A17" s="66" t="s">
        <v>1041</v>
      </c>
      <c r="B17" s="67" t="s">
        <v>427</v>
      </c>
      <c r="C17" s="64"/>
      <c r="D17" s="64"/>
      <c r="E17" s="68" t="s">
        <v>193</v>
      </c>
      <c r="F17" s="42" t="s">
        <v>425</v>
      </c>
      <c r="G17" s="42"/>
      <c r="H17" s="60"/>
      <c r="I17" s="60"/>
    </row>
    <row r="18" spans="1:9" x14ac:dyDescent="0.25">
      <c r="A18" s="66" t="s">
        <v>1042</v>
      </c>
      <c r="B18" s="67" t="s">
        <v>427</v>
      </c>
      <c r="C18" s="64"/>
      <c r="D18" s="64"/>
      <c r="E18" s="68" t="s">
        <v>199</v>
      </c>
      <c r="F18" s="42" t="s">
        <v>425</v>
      </c>
      <c r="G18" s="42"/>
      <c r="H18" s="60"/>
      <c r="I18" s="60"/>
    </row>
    <row r="19" spans="1:9" x14ac:dyDescent="0.25">
      <c r="A19" s="66" t="s">
        <v>1043</v>
      </c>
      <c r="B19" s="67" t="s">
        <v>427</v>
      </c>
      <c r="C19" s="64"/>
      <c r="D19" s="64"/>
      <c r="E19" s="68" t="s">
        <v>203</v>
      </c>
      <c r="F19" s="42" t="s">
        <v>425</v>
      </c>
      <c r="G19" s="42"/>
      <c r="H19" s="60"/>
      <c r="I19" s="60"/>
    </row>
    <row r="20" spans="1:9" x14ac:dyDescent="0.25">
      <c r="A20" s="7"/>
      <c r="E20" s="7"/>
      <c r="F20" s="7"/>
    </row>
    <row r="21" spans="1:9" x14ac:dyDescent="0.25">
      <c r="A21" s="7"/>
      <c r="E21" s="7"/>
      <c r="F21" s="7"/>
    </row>
    <row r="22" spans="1:9" x14ac:dyDescent="0.25">
      <c r="A22" s="7"/>
      <c r="E22" s="7"/>
      <c r="F22" s="7"/>
    </row>
    <row r="23" spans="1:9" x14ac:dyDescent="0.25">
      <c r="A23" s="7"/>
      <c r="E23" s="7"/>
      <c r="F23" s="7"/>
    </row>
    <row r="24" spans="1:9" x14ac:dyDescent="0.25">
      <c r="A24" s="7"/>
      <c r="E24" s="7"/>
      <c r="F24" s="7"/>
    </row>
    <row r="25" spans="1:9" x14ac:dyDescent="0.25">
      <c r="A25" s="7"/>
      <c r="E25" s="7"/>
      <c r="F25" s="7"/>
    </row>
    <row r="26" spans="1:9" x14ac:dyDescent="0.25">
      <c r="A26" s="7"/>
      <c r="E26" s="7"/>
      <c r="F26" s="7"/>
    </row>
    <row r="27" spans="1:9" x14ac:dyDescent="0.25">
      <c r="A27" s="7"/>
      <c r="E27" s="7"/>
      <c r="F27" s="7"/>
    </row>
    <row r="28" spans="1:9" x14ac:dyDescent="0.25">
      <c r="A28" s="7"/>
      <c r="E28" s="7"/>
      <c r="F28" s="7"/>
    </row>
    <row r="29" spans="1:9" x14ac:dyDescent="0.25">
      <c r="A29" s="7"/>
      <c r="E29" s="7"/>
      <c r="F29" s="7"/>
    </row>
    <row r="30" spans="1:9" x14ac:dyDescent="0.25">
      <c r="A30" s="7"/>
      <c r="E30" s="7"/>
      <c r="F30" s="7"/>
    </row>
    <row r="31" spans="1:9" x14ac:dyDescent="0.25">
      <c r="A31" s="7"/>
      <c r="E31" s="7"/>
      <c r="F31" s="7"/>
    </row>
    <row r="32" spans="1:9" x14ac:dyDescent="0.25">
      <c r="A32" s="7"/>
      <c r="E32" s="7"/>
      <c r="F32" s="7"/>
    </row>
    <row r="33" spans="1:6" x14ac:dyDescent="0.25">
      <c r="A33" s="7"/>
      <c r="E33" s="7"/>
      <c r="F33" s="7"/>
    </row>
    <row r="34" spans="1:6" x14ac:dyDescent="0.25">
      <c r="A34" s="7"/>
      <c r="E34" s="7"/>
      <c r="F34" s="7"/>
    </row>
    <row r="35" spans="1:6" x14ac:dyDescent="0.25">
      <c r="A35" s="7"/>
      <c r="E35" s="7"/>
      <c r="F35" s="7"/>
    </row>
    <row r="36" spans="1:6" x14ac:dyDescent="0.25">
      <c r="A36" s="7"/>
      <c r="E36" s="7"/>
      <c r="F36" s="7"/>
    </row>
    <row r="37" spans="1:6" x14ac:dyDescent="0.25">
      <c r="A37" s="7"/>
      <c r="E37" s="7"/>
      <c r="F37" s="7"/>
    </row>
    <row r="38" spans="1:6" x14ac:dyDescent="0.25">
      <c r="A38" s="7"/>
      <c r="E38" s="7"/>
      <c r="F38" s="7"/>
    </row>
    <row r="39" spans="1:6" x14ac:dyDescent="0.25">
      <c r="A39" s="7"/>
      <c r="E39" s="7"/>
      <c r="F39" s="7"/>
    </row>
    <row r="40" spans="1:6" x14ac:dyDescent="0.25">
      <c r="A40" s="7"/>
      <c r="E40" s="7"/>
      <c r="F40" s="7"/>
    </row>
    <row r="41" spans="1:6" x14ac:dyDescent="0.25">
      <c r="A41" s="7"/>
      <c r="E41" s="7"/>
      <c r="F41" s="7"/>
    </row>
    <row r="42" spans="1:6" x14ac:dyDescent="0.25">
      <c r="A42" s="7"/>
      <c r="E42" s="7"/>
      <c r="F42" s="7"/>
    </row>
    <row r="43" spans="1:6" x14ac:dyDescent="0.25">
      <c r="A43" s="7"/>
      <c r="E43" s="7"/>
      <c r="F43" s="7"/>
    </row>
    <row r="44" spans="1:6" x14ac:dyDescent="0.25">
      <c r="A44" s="7"/>
      <c r="E44" s="7"/>
      <c r="F44" s="7"/>
    </row>
    <row r="45" spans="1:6" x14ac:dyDescent="0.25">
      <c r="A45" s="7"/>
      <c r="E45" s="7"/>
      <c r="F45" s="7"/>
    </row>
    <row r="46" spans="1:6" x14ac:dyDescent="0.25">
      <c r="A46" s="7"/>
      <c r="E46" s="7"/>
      <c r="F46" s="7"/>
    </row>
    <row r="47" spans="1:6" x14ac:dyDescent="0.25">
      <c r="A47" s="7"/>
      <c r="E47" s="7"/>
      <c r="F47" s="7"/>
    </row>
    <row r="48" spans="1:6" x14ac:dyDescent="0.25">
      <c r="A48" s="7"/>
      <c r="E48" s="7"/>
      <c r="F48" s="7"/>
    </row>
    <row r="49" spans="1:6" x14ac:dyDescent="0.25">
      <c r="A49" s="7"/>
      <c r="E49" s="7"/>
      <c r="F49" s="7"/>
    </row>
    <row r="50" spans="1:6" x14ac:dyDescent="0.25">
      <c r="A50" s="7"/>
      <c r="E50" s="7"/>
      <c r="F50" s="7"/>
    </row>
    <row r="51" spans="1:6" x14ac:dyDescent="0.25">
      <c r="A51" s="7"/>
      <c r="E51" s="7"/>
      <c r="F51" s="7"/>
    </row>
    <row r="52" spans="1:6" x14ac:dyDescent="0.25">
      <c r="A52" s="7"/>
      <c r="E52" s="7"/>
      <c r="F52" s="7"/>
    </row>
    <row r="53" spans="1:6" x14ac:dyDescent="0.25">
      <c r="A53" s="7"/>
      <c r="E53" s="7"/>
      <c r="F53" s="7"/>
    </row>
    <row r="54" spans="1:6" x14ac:dyDescent="0.25">
      <c r="A54" s="7"/>
      <c r="E54" s="7"/>
      <c r="F54" s="7"/>
    </row>
    <row r="55" spans="1:6" x14ac:dyDescent="0.25">
      <c r="A55" s="7"/>
      <c r="E55" s="7"/>
      <c r="F55" s="7"/>
    </row>
    <row r="56" spans="1:6" x14ac:dyDescent="0.25">
      <c r="A56" s="7"/>
      <c r="E56" s="7"/>
      <c r="F56" s="7"/>
    </row>
    <row r="57" spans="1:6" x14ac:dyDescent="0.25">
      <c r="A57" s="7"/>
      <c r="E57" s="7"/>
      <c r="F57" s="7"/>
    </row>
    <row r="58" spans="1:6" x14ac:dyDescent="0.25">
      <c r="A58" s="7"/>
      <c r="E58" s="7"/>
      <c r="F58" s="7"/>
    </row>
    <row r="59" spans="1:6" x14ac:dyDescent="0.25">
      <c r="A59" s="7"/>
      <c r="E59" s="7"/>
      <c r="F59" s="7"/>
    </row>
    <row r="60" spans="1:6" x14ac:dyDescent="0.25">
      <c r="A60" s="7"/>
      <c r="E60" s="7"/>
      <c r="F60" s="7"/>
    </row>
    <row r="61" spans="1:6" x14ac:dyDescent="0.25">
      <c r="A61" s="7"/>
      <c r="E61" s="7"/>
      <c r="F61" s="7"/>
    </row>
    <row r="62" spans="1:6" x14ac:dyDescent="0.25">
      <c r="A62" s="7"/>
      <c r="E62" s="7"/>
      <c r="F62" s="7"/>
    </row>
    <row r="63" spans="1:6" x14ac:dyDescent="0.25">
      <c r="A63" s="7"/>
      <c r="E63" s="7"/>
      <c r="F63" s="7"/>
    </row>
    <row r="64" spans="1:6" x14ac:dyDescent="0.25">
      <c r="A64" s="7"/>
      <c r="E64" s="7"/>
      <c r="F64" s="7"/>
    </row>
    <row r="65" spans="1:6" x14ac:dyDescent="0.25">
      <c r="A65" s="7"/>
      <c r="E65" s="7"/>
      <c r="F65" s="7"/>
    </row>
    <row r="66" spans="1:6" x14ac:dyDescent="0.25">
      <c r="A66" s="7"/>
      <c r="E66" s="7"/>
      <c r="F66" s="7"/>
    </row>
    <row r="67" spans="1:6" x14ac:dyDescent="0.25">
      <c r="A67" s="7"/>
      <c r="E67" s="7"/>
      <c r="F67" s="7"/>
    </row>
    <row r="68" spans="1:6" x14ac:dyDescent="0.25">
      <c r="A68" s="7"/>
      <c r="E68" s="7"/>
      <c r="F68" s="7"/>
    </row>
    <row r="69" spans="1:6" x14ac:dyDescent="0.25">
      <c r="A69" s="7"/>
      <c r="E69" s="7"/>
      <c r="F69" s="7"/>
    </row>
    <row r="70" spans="1:6" x14ac:dyDescent="0.25">
      <c r="A70" s="7"/>
      <c r="E70" s="7"/>
      <c r="F70" s="7"/>
    </row>
    <row r="71" spans="1:6" x14ac:dyDescent="0.25">
      <c r="A71" s="7"/>
      <c r="E71" s="7"/>
      <c r="F71" s="7"/>
    </row>
    <row r="72" spans="1:6" x14ac:dyDescent="0.25">
      <c r="A72" s="7"/>
      <c r="E72" s="7"/>
      <c r="F72" s="7"/>
    </row>
    <row r="73" spans="1:6" x14ac:dyDescent="0.25">
      <c r="A73" s="7"/>
      <c r="E73" s="7"/>
      <c r="F73" s="7"/>
    </row>
    <row r="74" spans="1:6" x14ac:dyDescent="0.25">
      <c r="A74" s="7"/>
      <c r="E74" s="7"/>
      <c r="F74" s="7"/>
    </row>
    <row r="75" spans="1:6" x14ac:dyDescent="0.25">
      <c r="A75" s="7"/>
      <c r="E75" s="7"/>
      <c r="F75" s="7"/>
    </row>
    <row r="76" spans="1:6" x14ac:dyDescent="0.25">
      <c r="A76" s="7"/>
      <c r="E76" s="7"/>
      <c r="F76" s="7"/>
    </row>
    <row r="77" spans="1:6" x14ac:dyDescent="0.25">
      <c r="A77" s="7"/>
      <c r="E77" s="7"/>
      <c r="F77" s="7"/>
    </row>
    <row r="78" spans="1:6" x14ac:dyDescent="0.25">
      <c r="A78" s="7"/>
      <c r="E78" s="7"/>
      <c r="F78" s="7"/>
    </row>
    <row r="79" spans="1:6" x14ac:dyDescent="0.25">
      <c r="A79" s="7"/>
      <c r="E79" s="7"/>
      <c r="F79" s="7"/>
    </row>
    <row r="80" spans="1:6" x14ac:dyDescent="0.25">
      <c r="A80" s="7"/>
      <c r="E80" s="7"/>
      <c r="F80" s="7"/>
    </row>
    <row r="81" spans="1:6" x14ac:dyDescent="0.25">
      <c r="A81" s="7"/>
      <c r="E81" s="7"/>
      <c r="F81" s="7"/>
    </row>
    <row r="82" spans="1:6" x14ac:dyDescent="0.25">
      <c r="A82" s="7"/>
      <c r="E82" s="7"/>
      <c r="F82" s="7"/>
    </row>
    <row r="83" spans="1:6" x14ac:dyDescent="0.25">
      <c r="A83" s="7"/>
      <c r="E83" s="7"/>
      <c r="F83" s="7"/>
    </row>
    <row r="84" spans="1:6" x14ac:dyDescent="0.25">
      <c r="A84" s="7"/>
      <c r="E84" s="7"/>
      <c r="F84" s="7"/>
    </row>
    <row r="85" spans="1:6" x14ac:dyDescent="0.25">
      <c r="A85" s="7"/>
      <c r="E85" s="7"/>
      <c r="F85" s="7"/>
    </row>
    <row r="86" spans="1:6" x14ac:dyDescent="0.25">
      <c r="A86" s="7"/>
      <c r="E86" s="7"/>
      <c r="F86" s="7"/>
    </row>
    <row r="87" spans="1:6" x14ac:dyDescent="0.25">
      <c r="A87" s="7"/>
      <c r="E87" s="7"/>
      <c r="F87" s="7"/>
    </row>
    <row r="88" spans="1:6" x14ac:dyDescent="0.25">
      <c r="A88" s="7"/>
      <c r="E88" s="7"/>
      <c r="F88" s="7"/>
    </row>
    <row r="89" spans="1:6" x14ac:dyDescent="0.25">
      <c r="A89" s="7"/>
      <c r="E89" s="7"/>
      <c r="F89" s="7"/>
    </row>
    <row r="90" spans="1:6" x14ac:dyDescent="0.25">
      <c r="A90" s="7"/>
      <c r="E90" s="7"/>
      <c r="F90" s="7"/>
    </row>
    <row r="91" spans="1:6" x14ac:dyDescent="0.25">
      <c r="A91" s="7"/>
      <c r="E91" s="7"/>
      <c r="F91" s="7"/>
    </row>
    <row r="92" spans="1:6" x14ac:dyDescent="0.25">
      <c r="A92" s="7"/>
      <c r="E92" s="7"/>
      <c r="F92" s="7"/>
    </row>
    <row r="93" spans="1:6" x14ac:dyDescent="0.25">
      <c r="A93" s="7"/>
      <c r="E93" s="7"/>
      <c r="F93" s="7"/>
    </row>
    <row r="94" spans="1:6" x14ac:dyDescent="0.25">
      <c r="A94" s="7"/>
      <c r="E94" s="7"/>
      <c r="F94" s="7"/>
    </row>
    <row r="95" spans="1:6" x14ac:dyDescent="0.25">
      <c r="A95" s="7"/>
      <c r="E95" s="7"/>
      <c r="F95" s="7"/>
    </row>
    <row r="96" spans="1:6" x14ac:dyDescent="0.25">
      <c r="A96" s="7"/>
      <c r="E96" s="7"/>
      <c r="F96" s="7"/>
    </row>
    <row r="97" spans="1:6" x14ac:dyDescent="0.25">
      <c r="A97" s="7"/>
      <c r="E97" s="7"/>
      <c r="F97" s="7"/>
    </row>
    <row r="98" spans="1:6" x14ac:dyDescent="0.25">
      <c r="A98" s="7"/>
      <c r="E98" s="7"/>
      <c r="F98" s="7"/>
    </row>
    <row r="99" spans="1:6" x14ac:dyDescent="0.25">
      <c r="A99" s="7"/>
      <c r="E99" s="7"/>
      <c r="F99" s="7"/>
    </row>
    <row r="100" spans="1:6" x14ac:dyDescent="0.25">
      <c r="A100" s="7"/>
      <c r="E100" s="7"/>
      <c r="F100" s="7"/>
    </row>
    <row r="101" spans="1:6" x14ac:dyDescent="0.25">
      <c r="A101" s="7"/>
      <c r="E101" s="7"/>
      <c r="F101" s="7"/>
    </row>
    <row r="102" spans="1:6" x14ac:dyDescent="0.25">
      <c r="A102" s="7"/>
      <c r="E102" s="7"/>
      <c r="F102" s="7"/>
    </row>
    <row r="103" spans="1:6" x14ac:dyDescent="0.25">
      <c r="A103" s="7"/>
      <c r="E103" s="7"/>
      <c r="F103" s="7"/>
    </row>
    <row r="104" spans="1:6" x14ac:dyDescent="0.25">
      <c r="A104" s="7"/>
      <c r="E104" s="7"/>
      <c r="F104" s="7"/>
    </row>
    <row r="105" spans="1:6" x14ac:dyDescent="0.25">
      <c r="A105" s="7"/>
      <c r="E105" s="7"/>
      <c r="F105" s="7"/>
    </row>
    <row r="106" spans="1:6" x14ac:dyDescent="0.25">
      <c r="A106" s="7"/>
      <c r="E106" s="7"/>
      <c r="F106" s="7"/>
    </row>
    <row r="107" spans="1:6" x14ac:dyDescent="0.25">
      <c r="A107" s="7"/>
      <c r="E107" s="7"/>
      <c r="F107" s="7"/>
    </row>
    <row r="108" spans="1:6" x14ac:dyDescent="0.25">
      <c r="A108" s="7"/>
      <c r="E108" s="7"/>
      <c r="F108" s="7"/>
    </row>
    <row r="109" spans="1:6" x14ac:dyDescent="0.25">
      <c r="A109" s="7"/>
      <c r="E109" s="7"/>
      <c r="F109" s="7"/>
    </row>
    <row r="110" spans="1:6" x14ac:dyDescent="0.25">
      <c r="A110" s="7"/>
      <c r="E110" s="7"/>
      <c r="F110" s="7"/>
    </row>
    <row r="111" spans="1:6" x14ac:dyDescent="0.25">
      <c r="A111" s="7"/>
      <c r="E111" s="7"/>
      <c r="F111" s="7"/>
    </row>
    <row r="112" spans="1:6" x14ac:dyDescent="0.25">
      <c r="A112" s="7"/>
      <c r="E112" s="7"/>
      <c r="F112" s="7"/>
    </row>
    <row r="113" spans="1:6" x14ac:dyDescent="0.25">
      <c r="A113" s="7"/>
      <c r="E113" s="7"/>
      <c r="F113" s="7"/>
    </row>
    <row r="114" spans="1:6" x14ac:dyDescent="0.25">
      <c r="A114" s="7"/>
      <c r="E114" s="7"/>
      <c r="F114" s="7"/>
    </row>
    <row r="115" spans="1:6" x14ac:dyDescent="0.25">
      <c r="A115" s="7"/>
      <c r="E115" s="7"/>
      <c r="F115" s="7"/>
    </row>
    <row r="116" spans="1:6" x14ac:dyDescent="0.25">
      <c r="A116" s="7"/>
      <c r="E116" s="7"/>
      <c r="F116" s="7"/>
    </row>
    <row r="117" spans="1:6" x14ac:dyDescent="0.25">
      <c r="A117" s="7"/>
      <c r="E117" s="7"/>
      <c r="F117" s="7"/>
    </row>
    <row r="118" spans="1:6" x14ac:dyDescent="0.25">
      <c r="A118" s="7"/>
      <c r="E118" s="7"/>
      <c r="F118" s="7"/>
    </row>
    <row r="119" spans="1:6" x14ac:dyDescent="0.25">
      <c r="A119" s="7"/>
      <c r="E119" s="7"/>
      <c r="F119" s="7"/>
    </row>
    <row r="120" spans="1:6" x14ac:dyDescent="0.25">
      <c r="A120" s="7"/>
      <c r="E120" s="7"/>
      <c r="F120" s="7"/>
    </row>
    <row r="121" spans="1:6" x14ac:dyDescent="0.25">
      <c r="A121" s="7"/>
      <c r="E121" s="7"/>
      <c r="F121" s="7"/>
    </row>
    <row r="122" spans="1:6" x14ac:dyDescent="0.25">
      <c r="A122" s="7"/>
      <c r="E122" s="7"/>
      <c r="F122" s="7"/>
    </row>
    <row r="123" spans="1:6" x14ac:dyDescent="0.25">
      <c r="A123" s="7"/>
      <c r="E123" s="7"/>
      <c r="F123" s="7"/>
    </row>
    <row r="124" spans="1:6" x14ac:dyDescent="0.25">
      <c r="A124" s="7"/>
      <c r="E124" s="7"/>
      <c r="F124" s="7"/>
    </row>
    <row r="125" spans="1:6" x14ac:dyDescent="0.25">
      <c r="A125" s="7"/>
      <c r="E125" s="7"/>
      <c r="F125" s="7"/>
    </row>
    <row r="126" spans="1:6" x14ac:dyDescent="0.25">
      <c r="A126" s="7"/>
      <c r="E126" s="7"/>
      <c r="F126" s="7"/>
    </row>
    <row r="127" spans="1:6" x14ac:dyDescent="0.25">
      <c r="A127" s="7"/>
      <c r="E127" s="7"/>
      <c r="F127" s="7"/>
    </row>
    <row r="128" spans="1:6" x14ac:dyDescent="0.25">
      <c r="A128" s="7"/>
      <c r="E128" s="7"/>
      <c r="F128" s="7"/>
    </row>
    <row r="129" spans="1:6" x14ac:dyDescent="0.25">
      <c r="A129" s="7"/>
      <c r="E129" s="7"/>
      <c r="F129" s="7"/>
    </row>
    <row r="130" spans="1:6" x14ac:dyDescent="0.25">
      <c r="A130" s="7"/>
      <c r="E130" s="7"/>
      <c r="F130" s="7"/>
    </row>
    <row r="131" spans="1:6" x14ac:dyDescent="0.25">
      <c r="A131" s="7"/>
      <c r="E131" s="7"/>
      <c r="F131" s="7"/>
    </row>
    <row r="132" spans="1:6" x14ac:dyDescent="0.25">
      <c r="A132" s="7"/>
      <c r="E132" s="7"/>
      <c r="F132" s="7"/>
    </row>
    <row r="133" spans="1:6" x14ac:dyDescent="0.25">
      <c r="A133" s="7"/>
      <c r="E133" s="7"/>
      <c r="F133" s="7"/>
    </row>
    <row r="134" spans="1:6" x14ac:dyDescent="0.25">
      <c r="A134" s="7"/>
      <c r="E134" s="7"/>
      <c r="F134" s="7"/>
    </row>
    <row r="135" spans="1:6" x14ac:dyDescent="0.25">
      <c r="A135" s="7"/>
      <c r="E135" s="7"/>
      <c r="F135" s="7"/>
    </row>
    <row r="136" spans="1:6" x14ac:dyDescent="0.25">
      <c r="A136" s="7"/>
      <c r="E136" s="7"/>
      <c r="F136" s="7"/>
    </row>
    <row r="137" spans="1:6" x14ac:dyDescent="0.25">
      <c r="A137" s="7"/>
      <c r="E137" s="7"/>
      <c r="F137" s="7"/>
    </row>
    <row r="138" spans="1:6" x14ac:dyDescent="0.25">
      <c r="A138" s="7"/>
      <c r="E138" s="7"/>
      <c r="F138" s="7"/>
    </row>
    <row r="139" spans="1:6" x14ac:dyDescent="0.25">
      <c r="A139" s="7"/>
      <c r="E139" s="7"/>
      <c r="F139" s="7"/>
    </row>
    <row r="140" spans="1:6" x14ac:dyDescent="0.25">
      <c r="A140" s="7"/>
      <c r="E140" s="7"/>
      <c r="F140" s="7"/>
    </row>
    <row r="141" spans="1:6" x14ac:dyDescent="0.25">
      <c r="A141" s="7"/>
      <c r="E141" s="7"/>
      <c r="F141" s="7"/>
    </row>
    <row r="142" spans="1:6" x14ac:dyDescent="0.25">
      <c r="A142" s="7"/>
      <c r="E142" s="7"/>
      <c r="F142" s="7"/>
    </row>
    <row r="143" spans="1:6" x14ac:dyDescent="0.25">
      <c r="A143" s="7"/>
      <c r="E143" s="7"/>
      <c r="F143" s="7"/>
    </row>
    <row r="144" spans="1:6" x14ac:dyDescent="0.25">
      <c r="A144" s="7"/>
      <c r="E144" s="7"/>
      <c r="F144" s="7"/>
    </row>
    <row r="145" spans="1:6" x14ac:dyDescent="0.25">
      <c r="A145" s="7"/>
      <c r="E145" s="7"/>
      <c r="F145" s="7"/>
    </row>
    <row r="146" spans="1:6" x14ac:dyDescent="0.25">
      <c r="A146" s="7"/>
      <c r="E146" s="7"/>
      <c r="F146" s="7"/>
    </row>
    <row r="147" spans="1:6" x14ac:dyDescent="0.25">
      <c r="A147" s="7"/>
      <c r="E147" s="7"/>
      <c r="F147" s="7"/>
    </row>
    <row r="148" spans="1:6" x14ac:dyDescent="0.25">
      <c r="A148" s="7"/>
      <c r="E148" s="7"/>
      <c r="F148" s="7"/>
    </row>
    <row r="149" spans="1:6" x14ac:dyDescent="0.25">
      <c r="A149" s="7"/>
      <c r="E149" s="7"/>
      <c r="F149" s="7"/>
    </row>
    <row r="150" spans="1:6" x14ac:dyDescent="0.25">
      <c r="A150" s="7"/>
      <c r="E150" s="7"/>
      <c r="F150" s="7"/>
    </row>
    <row r="151" spans="1:6" x14ac:dyDescent="0.25">
      <c r="A151" s="7"/>
      <c r="E151" s="7"/>
      <c r="F151" s="7"/>
    </row>
    <row r="152" spans="1:6" x14ac:dyDescent="0.25">
      <c r="A152" s="7"/>
      <c r="E152" s="7"/>
      <c r="F152" s="7"/>
    </row>
    <row r="153" spans="1:6" x14ac:dyDescent="0.25">
      <c r="A153" s="7"/>
      <c r="E153" s="7"/>
      <c r="F153" s="7"/>
    </row>
    <row r="154" spans="1:6" x14ac:dyDescent="0.25">
      <c r="A154" s="7"/>
      <c r="E154" s="7"/>
      <c r="F154" s="7"/>
    </row>
    <row r="155" spans="1:6" x14ac:dyDescent="0.25">
      <c r="A155" s="7"/>
      <c r="E155" s="7"/>
      <c r="F155" s="7"/>
    </row>
    <row r="156" spans="1:6" x14ac:dyDescent="0.25">
      <c r="A156" s="7"/>
      <c r="E156" s="7"/>
      <c r="F156" s="7"/>
    </row>
    <row r="157" spans="1:6" x14ac:dyDescent="0.25">
      <c r="A157" s="7"/>
      <c r="E157" s="7"/>
      <c r="F157" s="7"/>
    </row>
    <row r="158" spans="1:6" x14ac:dyDescent="0.25">
      <c r="A158" s="7"/>
      <c r="E158" s="7"/>
      <c r="F158" s="7"/>
    </row>
    <row r="159" spans="1:6" x14ac:dyDescent="0.25">
      <c r="A159" s="7"/>
      <c r="E159" s="7"/>
      <c r="F159" s="7"/>
    </row>
    <row r="160" spans="1:6" x14ac:dyDescent="0.25">
      <c r="A160" s="7"/>
      <c r="E160" s="7"/>
      <c r="F160" s="7"/>
    </row>
    <row r="161" spans="1:6" x14ac:dyDescent="0.25">
      <c r="A161" s="7"/>
      <c r="E161" s="7"/>
      <c r="F161" s="7"/>
    </row>
    <row r="162" spans="1:6" x14ac:dyDescent="0.25">
      <c r="A162" s="7"/>
      <c r="E162" s="7"/>
      <c r="F162" s="7"/>
    </row>
    <row r="163" spans="1:6" x14ac:dyDescent="0.25">
      <c r="A163" s="7"/>
      <c r="E163" s="7"/>
      <c r="F163" s="7"/>
    </row>
    <row r="164" spans="1:6" x14ac:dyDescent="0.25">
      <c r="A164" s="7"/>
      <c r="E164" s="7"/>
      <c r="F164" s="7"/>
    </row>
    <row r="165" spans="1:6" x14ac:dyDescent="0.25">
      <c r="A165" s="7"/>
      <c r="E165" s="7"/>
      <c r="F165" s="7"/>
    </row>
    <row r="166" spans="1:6" x14ac:dyDescent="0.25">
      <c r="A166" s="7"/>
      <c r="E166" s="7"/>
      <c r="F166" s="7"/>
    </row>
    <row r="167" spans="1:6" x14ac:dyDescent="0.25">
      <c r="A167" s="7"/>
      <c r="E167" s="7"/>
      <c r="F167" s="7"/>
    </row>
    <row r="168" spans="1:6" x14ac:dyDescent="0.25">
      <c r="A168" s="7"/>
      <c r="E168" s="7"/>
      <c r="F168" s="7"/>
    </row>
    <row r="169" spans="1:6" x14ac:dyDescent="0.25">
      <c r="A169" s="7"/>
      <c r="E169" s="7"/>
      <c r="F169" s="7"/>
    </row>
    <row r="170" spans="1:6" x14ac:dyDescent="0.25">
      <c r="A170" s="7"/>
      <c r="E170" s="7"/>
      <c r="F170" s="7"/>
    </row>
    <row r="171" spans="1:6" x14ac:dyDescent="0.25">
      <c r="A171" s="7"/>
      <c r="E171" s="7"/>
      <c r="F171" s="7"/>
    </row>
    <row r="172" spans="1:6" x14ac:dyDescent="0.25">
      <c r="A172" s="7"/>
      <c r="E172" s="7"/>
      <c r="F172" s="7"/>
    </row>
    <row r="173" spans="1:6" x14ac:dyDescent="0.25">
      <c r="A173" s="7"/>
      <c r="E173" s="7"/>
      <c r="F173" s="7"/>
    </row>
    <row r="174" spans="1:6" x14ac:dyDescent="0.25">
      <c r="A174" s="7"/>
      <c r="E174" s="7"/>
      <c r="F174" s="7"/>
    </row>
    <row r="175" spans="1:6" x14ac:dyDescent="0.25">
      <c r="A175" s="7"/>
      <c r="E175" s="7"/>
      <c r="F175" s="7"/>
    </row>
    <row r="176" spans="1:6" x14ac:dyDescent="0.25">
      <c r="A176" s="7"/>
      <c r="E176" s="7"/>
      <c r="F176" s="7"/>
    </row>
    <row r="177" spans="1:6" x14ac:dyDescent="0.25">
      <c r="A177" s="7"/>
      <c r="E177" s="7"/>
      <c r="F177" s="7"/>
    </row>
    <row r="178" spans="1:6" x14ac:dyDescent="0.25">
      <c r="A178" s="7"/>
      <c r="E178" s="7"/>
      <c r="F178" s="7"/>
    </row>
    <row r="179" spans="1:6" x14ac:dyDescent="0.25">
      <c r="A179" s="7"/>
      <c r="E179" s="7"/>
      <c r="F179" s="7"/>
    </row>
    <row r="180" spans="1:6" x14ac:dyDescent="0.25">
      <c r="A180" s="7"/>
      <c r="E180" s="7"/>
      <c r="F180" s="7"/>
    </row>
    <row r="181" spans="1:6" x14ac:dyDescent="0.25">
      <c r="A181" s="7"/>
      <c r="E181" s="7"/>
      <c r="F181" s="7"/>
    </row>
    <row r="182" spans="1:6" x14ac:dyDescent="0.25">
      <c r="A182" s="7"/>
      <c r="E182" s="7"/>
      <c r="F182" s="7"/>
    </row>
    <row r="183" spans="1:6" x14ac:dyDescent="0.25">
      <c r="A183" s="7"/>
      <c r="E183" s="7"/>
      <c r="F183" s="7"/>
    </row>
    <row r="184" spans="1:6" x14ac:dyDescent="0.25">
      <c r="A184" s="7"/>
      <c r="E184" s="7"/>
      <c r="F184" s="7"/>
    </row>
    <row r="185" spans="1:6" x14ac:dyDescent="0.25">
      <c r="A185" s="7"/>
      <c r="E185" s="7"/>
      <c r="F185" s="7"/>
    </row>
    <row r="186" spans="1:6" x14ac:dyDescent="0.25">
      <c r="A186" s="7"/>
      <c r="E186" s="7"/>
      <c r="F186" s="7"/>
    </row>
    <row r="187" spans="1:6" x14ac:dyDescent="0.25">
      <c r="A187" s="7"/>
      <c r="E187" s="7"/>
      <c r="F187" s="7"/>
    </row>
    <row r="188" spans="1:6" x14ac:dyDescent="0.25">
      <c r="A188" s="7"/>
      <c r="E188" s="7"/>
      <c r="F188" s="7"/>
    </row>
    <row r="189" spans="1:6" x14ac:dyDescent="0.25">
      <c r="A189" s="7"/>
      <c r="E189" s="7"/>
      <c r="F189" s="7"/>
    </row>
    <row r="190" spans="1:6" x14ac:dyDescent="0.25">
      <c r="A190" s="7"/>
      <c r="E190" s="7"/>
      <c r="F190" s="7"/>
    </row>
    <row r="191" spans="1:6" x14ac:dyDescent="0.25">
      <c r="A191" s="7"/>
      <c r="E191" s="7"/>
      <c r="F191" s="7"/>
    </row>
    <row r="192" spans="1:6" x14ac:dyDescent="0.25">
      <c r="A192" s="7"/>
      <c r="E192" s="7"/>
      <c r="F192" s="7"/>
    </row>
    <row r="193" spans="1:6" x14ac:dyDescent="0.25">
      <c r="A193" s="7"/>
      <c r="E193" s="7"/>
      <c r="F193" s="7"/>
    </row>
    <row r="194" spans="1:6" x14ac:dyDescent="0.25">
      <c r="A194" s="7"/>
      <c r="E194" s="7"/>
      <c r="F194" s="7"/>
    </row>
    <row r="195" spans="1:6" x14ac:dyDescent="0.25">
      <c r="A195" s="7"/>
      <c r="E195" s="7"/>
      <c r="F195" s="7"/>
    </row>
    <row r="196" spans="1:6" x14ac:dyDescent="0.25">
      <c r="A196" s="7"/>
      <c r="E196" s="7"/>
      <c r="F196" s="7"/>
    </row>
    <row r="197" spans="1:6" x14ac:dyDescent="0.25">
      <c r="A197" s="7"/>
      <c r="E197" s="7"/>
      <c r="F197" s="7"/>
    </row>
    <row r="198" spans="1:6" x14ac:dyDescent="0.25">
      <c r="A198" s="7"/>
      <c r="E198" s="7"/>
      <c r="F198" s="7"/>
    </row>
    <row r="199" spans="1:6" x14ac:dyDescent="0.25">
      <c r="A199" s="7"/>
      <c r="E199" s="7"/>
      <c r="F199" s="7"/>
    </row>
    <row r="200" spans="1:6" x14ac:dyDescent="0.25">
      <c r="A200" s="7"/>
      <c r="E200" s="7"/>
      <c r="F200" s="7"/>
    </row>
    <row r="201" spans="1:6" x14ac:dyDescent="0.25">
      <c r="A201" s="7"/>
      <c r="E201" s="7"/>
      <c r="F201" s="7"/>
    </row>
    <row r="202" spans="1:6" x14ac:dyDescent="0.25">
      <c r="A202" s="7"/>
      <c r="E202" s="7"/>
      <c r="F202" s="7"/>
    </row>
    <row r="203" spans="1:6" x14ac:dyDescent="0.25">
      <c r="A203" s="7"/>
      <c r="E203" s="7"/>
      <c r="F203" s="7"/>
    </row>
    <row r="204" spans="1:6" x14ac:dyDescent="0.25">
      <c r="A204" s="7"/>
      <c r="E204" s="7"/>
      <c r="F204" s="7"/>
    </row>
    <row r="205" spans="1:6" x14ac:dyDescent="0.25">
      <c r="A205" s="7"/>
      <c r="E205" s="7"/>
      <c r="F205" s="7"/>
    </row>
    <row r="206" spans="1:6" x14ac:dyDescent="0.25">
      <c r="A206" s="7"/>
      <c r="E206" s="7"/>
      <c r="F206" s="7"/>
    </row>
    <row r="207" spans="1:6" x14ac:dyDescent="0.25">
      <c r="A207" s="7"/>
      <c r="E207" s="7"/>
      <c r="F207" s="7"/>
    </row>
    <row r="208" spans="1:6" x14ac:dyDescent="0.25">
      <c r="A208" s="7"/>
      <c r="E208" s="7"/>
      <c r="F208" s="7"/>
    </row>
    <row r="209" spans="1:6" x14ac:dyDescent="0.25">
      <c r="A209" s="7"/>
      <c r="E209" s="7"/>
      <c r="F209" s="7"/>
    </row>
    <row r="210" spans="1:6" x14ac:dyDescent="0.25">
      <c r="A210" s="7"/>
      <c r="E210" s="7"/>
      <c r="F210" s="7"/>
    </row>
    <row r="211" spans="1:6" x14ac:dyDescent="0.25">
      <c r="A211" s="7"/>
      <c r="E211" s="7"/>
      <c r="F211" s="7"/>
    </row>
    <row r="212" spans="1:6" x14ac:dyDescent="0.25">
      <c r="A212" s="7"/>
      <c r="E212" s="7"/>
      <c r="F212" s="7"/>
    </row>
    <row r="213" spans="1:6" x14ac:dyDescent="0.25">
      <c r="A213" s="7"/>
      <c r="E213" s="7"/>
      <c r="F213" s="7"/>
    </row>
    <row r="214" spans="1:6" x14ac:dyDescent="0.25">
      <c r="A214" s="7"/>
      <c r="E214" s="7"/>
      <c r="F214" s="7"/>
    </row>
    <row r="215" spans="1:6" x14ac:dyDescent="0.25">
      <c r="A215" s="7"/>
      <c r="E215" s="7"/>
      <c r="F215" s="7"/>
    </row>
    <row r="216" spans="1:6" x14ac:dyDescent="0.25">
      <c r="A216" s="7"/>
      <c r="E216" s="7"/>
      <c r="F216" s="7"/>
    </row>
    <row r="217" spans="1:6" x14ac:dyDescent="0.25">
      <c r="A217" s="7"/>
      <c r="E217" s="7"/>
      <c r="F217" s="7"/>
    </row>
    <row r="218" spans="1:6" x14ac:dyDescent="0.25">
      <c r="A218" s="7"/>
      <c r="E218" s="7"/>
      <c r="F218" s="7"/>
    </row>
    <row r="219" spans="1:6" x14ac:dyDescent="0.25">
      <c r="A219" s="7"/>
      <c r="E219" s="7"/>
      <c r="F219" s="7"/>
    </row>
    <row r="220" spans="1:6" x14ac:dyDescent="0.25">
      <c r="A220" s="7"/>
      <c r="E220" s="7"/>
      <c r="F220" s="7"/>
    </row>
    <row r="221" spans="1:6" x14ac:dyDescent="0.25">
      <c r="A221" s="7"/>
      <c r="E221" s="7"/>
      <c r="F221" s="7"/>
    </row>
    <row r="222" spans="1:6" x14ac:dyDescent="0.25">
      <c r="A222" s="7"/>
      <c r="E222" s="7"/>
      <c r="F222" s="7"/>
    </row>
    <row r="223" spans="1:6" x14ac:dyDescent="0.25">
      <c r="A223" s="7"/>
      <c r="E223" s="7"/>
      <c r="F223" s="7"/>
    </row>
    <row r="224" spans="1:6" x14ac:dyDescent="0.25">
      <c r="A224" s="7"/>
      <c r="E224" s="7"/>
      <c r="F224" s="7"/>
    </row>
    <row r="225" spans="1:6" x14ac:dyDescent="0.25">
      <c r="A225" s="7"/>
      <c r="E225" s="7"/>
      <c r="F225" s="7"/>
    </row>
    <row r="226" spans="1:6" x14ac:dyDescent="0.25">
      <c r="A226" s="7"/>
      <c r="E226" s="7"/>
      <c r="F226" s="7"/>
    </row>
    <row r="227" spans="1:6" x14ac:dyDescent="0.25">
      <c r="A227" s="7"/>
      <c r="E227" s="7"/>
      <c r="F227" s="7"/>
    </row>
    <row r="228" spans="1:6" x14ac:dyDescent="0.25">
      <c r="A228" s="7"/>
      <c r="E228" s="7"/>
      <c r="F228" s="7"/>
    </row>
    <row r="229" spans="1:6" x14ac:dyDescent="0.25">
      <c r="A229" s="7"/>
      <c r="E229" s="7"/>
      <c r="F229" s="7"/>
    </row>
    <row r="230" spans="1:6" x14ac:dyDescent="0.25">
      <c r="A230" s="7"/>
      <c r="E230" s="7"/>
      <c r="F230" s="7"/>
    </row>
    <row r="231" spans="1:6" x14ac:dyDescent="0.25">
      <c r="A231" s="7"/>
      <c r="E231" s="7"/>
      <c r="F231" s="7"/>
    </row>
    <row r="232" spans="1:6" x14ac:dyDescent="0.25">
      <c r="A232" s="7"/>
      <c r="E232" s="7"/>
      <c r="F232" s="7"/>
    </row>
    <row r="233" spans="1:6" x14ac:dyDescent="0.25">
      <c r="A233" s="7"/>
      <c r="E233" s="7"/>
      <c r="F233" s="7"/>
    </row>
    <row r="234" spans="1:6" x14ac:dyDescent="0.25">
      <c r="A234" s="7"/>
      <c r="E234" s="7"/>
      <c r="F234" s="7"/>
    </row>
    <row r="235" spans="1:6" x14ac:dyDescent="0.25">
      <c r="A235" s="7"/>
      <c r="E235" s="7"/>
      <c r="F235" s="7"/>
    </row>
    <row r="236" spans="1:6" x14ac:dyDescent="0.25">
      <c r="A236" s="7"/>
      <c r="E236" s="7"/>
      <c r="F236" s="7"/>
    </row>
    <row r="237" spans="1:6" x14ac:dyDescent="0.25">
      <c r="A237" s="7"/>
      <c r="E237" s="7"/>
      <c r="F237" s="7"/>
    </row>
    <row r="238" spans="1:6" x14ac:dyDescent="0.25">
      <c r="A238" s="7"/>
      <c r="E238" s="7"/>
      <c r="F238" s="7"/>
    </row>
    <row r="239" spans="1:6" x14ac:dyDescent="0.25">
      <c r="A239" s="7"/>
      <c r="E239" s="7"/>
      <c r="F239" s="7"/>
    </row>
    <row r="240" spans="1:6" x14ac:dyDescent="0.25">
      <c r="A240" s="7"/>
      <c r="E240" s="7"/>
      <c r="F240" s="7"/>
    </row>
    <row r="241" spans="1:6" x14ac:dyDescent="0.25">
      <c r="A241" s="7"/>
      <c r="E241" s="7"/>
      <c r="F241" s="7"/>
    </row>
    <row r="242" spans="1:6" x14ac:dyDescent="0.25">
      <c r="A242" s="7"/>
      <c r="E242" s="7"/>
      <c r="F242" s="7"/>
    </row>
    <row r="243" spans="1:6" x14ac:dyDescent="0.25">
      <c r="A243" s="7"/>
      <c r="E243" s="7"/>
      <c r="F243" s="7"/>
    </row>
    <row r="244" spans="1:6" x14ac:dyDescent="0.25">
      <c r="A244" s="7"/>
      <c r="E244" s="7"/>
      <c r="F244" s="7"/>
    </row>
    <row r="245" spans="1:6" x14ac:dyDescent="0.25">
      <c r="A245" s="7"/>
      <c r="E245" s="7"/>
      <c r="F245" s="7"/>
    </row>
    <row r="246" spans="1:6" x14ac:dyDescent="0.25">
      <c r="A246" s="7"/>
      <c r="E246" s="7"/>
      <c r="F246" s="7"/>
    </row>
    <row r="247" spans="1:6" x14ac:dyDescent="0.25">
      <c r="A247" s="7"/>
      <c r="E247" s="7"/>
      <c r="F247" s="7"/>
    </row>
    <row r="248" spans="1:6" x14ac:dyDescent="0.25">
      <c r="A248" s="7"/>
      <c r="E248" s="7"/>
      <c r="F248" s="7"/>
    </row>
    <row r="249" spans="1:6" x14ac:dyDescent="0.25">
      <c r="A249" s="7"/>
      <c r="E249" s="7"/>
      <c r="F249" s="7"/>
    </row>
    <row r="250" spans="1:6" x14ac:dyDescent="0.25">
      <c r="A250" s="7"/>
      <c r="E250" s="7"/>
      <c r="F250" s="7"/>
    </row>
    <row r="251" spans="1:6" x14ac:dyDescent="0.25">
      <c r="A251" s="7"/>
      <c r="E251" s="7"/>
      <c r="F251" s="7"/>
    </row>
    <row r="252" spans="1:6" x14ac:dyDescent="0.25">
      <c r="A252" s="7"/>
      <c r="E252" s="7"/>
      <c r="F252" s="7"/>
    </row>
    <row r="253" spans="1:6" x14ac:dyDescent="0.25">
      <c r="A253" s="7"/>
      <c r="E253" s="7"/>
      <c r="F253" s="7"/>
    </row>
    <row r="254" spans="1:6" x14ac:dyDescent="0.25">
      <c r="A254" s="7"/>
      <c r="E254" s="7"/>
      <c r="F254" s="7"/>
    </row>
    <row r="255" spans="1:6" x14ac:dyDescent="0.25">
      <c r="A255" s="7"/>
      <c r="E255" s="7"/>
      <c r="F255" s="7"/>
    </row>
    <row r="256" spans="1:6" x14ac:dyDescent="0.25">
      <c r="A256" s="7"/>
      <c r="E256" s="7"/>
      <c r="F256" s="7"/>
    </row>
    <row r="257" spans="1:6" x14ac:dyDescent="0.25">
      <c r="A257" s="7"/>
      <c r="E257" s="7"/>
      <c r="F257" s="7"/>
    </row>
    <row r="258" spans="1:6" x14ac:dyDescent="0.25">
      <c r="A258" s="7"/>
      <c r="E258" s="7"/>
      <c r="F258" s="7"/>
    </row>
    <row r="259" spans="1:6" x14ac:dyDescent="0.25">
      <c r="A259" s="7"/>
      <c r="E259" s="7"/>
      <c r="F259" s="7"/>
    </row>
    <row r="260" spans="1:6" x14ac:dyDescent="0.25">
      <c r="A260" s="7"/>
      <c r="E260" s="7"/>
      <c r="F260" s="7"/>
    </row>
    <row r="261" spans="1:6" x14ac:dyDescent="0.25">
      <c r="A261" s="7"/>
      <c r="E261" s="7"/>
      <c r="F261" s="7"/>
    </row>
    <row r="262" spans="1:6" x14ac:dyDescent="0.25">
      <c r="A262" s="7"/>
      <c r="E262" s="7"/>
      <c r="F262" s="7"/>
    </row>
    <row r="263" spans="1:6" x14ac:dyDescent="0.25">
      <c r="A263" s="7"/>
      <c r="E263" s="7"/>
      <c r="F263" s="7"/>
    </row>
    <row r="264" spans="1:6" x14ac:dyDescent="0.25">
      <c r="A264" s="7"/>
      <c r="E264" s="7"/>
      <c r="F264" s="7"/>
    </row>
    <row r="265" spans="1:6" x14ac:dyDescent="0.25">
      <c r="A265" s="7"/>
      <c r="E265" s="7"/>
      <c r="F265" s="7"/>
    </row>
    <row r="266" spans="1:6" x14ac:dyDescent="0.25">
      <c r="A266" s="7"/>
      <c r="E266" s="7"/>
      <c r="F266" s="7"/>
    </row>
    <row r="267" spans="1:6" x14ac:dyDescent="0.25">
      <c r="A267" s="7"/>
      <c r="E267" s="7"/>
      <c r="F267" s="7"/>
    </row>
    <row r="268" spans="1:6" x14ac:dyDescent="0.25">
      <c r="A268" s="7"/>
      <c r="E268" s="7"/>
      <c r="F268" s="7"/>
    </row>
    <row r="269" spans="1:6" x14ac:dyDescent="0.25">
      <c r="A269" s="7"/>
      <c r="E269" s="7"/>
      <c r="F269" s="7"/>
    </row>
    <row r="270" spans="1:6" x14ac:dyDescent="0.25">
      <c r="A270" s="7"/>
      <c r="E270" s="7"/>
      <c r="F270" s="7"/>
    </row>
    <row r="271" spans="1:6" x14ac:dyDescent="0.25">
      <c r="A271" s="7"/>
      <c r="E271" s="7"/>
      <c r="F271" s="7"/>
    </row>
    <row r="272" spans="1:6" x14ac:dyDescent="0.25">
      <c r="A272" s="7"/>
      <c r="E272" s="7"/>
      <c r="F272" s="7"/>
    </row>
    <row r="273" spans="1:6" x14ac:dyDescent="0.25">
      <c r="A273" s="7"/>
      <c r="E273" s="7"/>
      <c r="F273" s="7"/>
    </row>
    <row r="274" spans="1:6" x14ac:dyDescent="0.25">
      <c r="A274" s="7"/>
      <c r="E274" s="7"/>
      <c r="F274" s="7"/>
    </row>
    <row r="275" spans="1:6" x14ac:dyDescent="0.25">
      <c r="A275" s="7"/>
      <c r="E275" s="7"/>
      <c r="F275" s="7"/>
    </row>
    <row r="276" spans="1:6" x14ac:dyDescent="0.25">
      <c r="A276" s="7"/>
      <c r="E276" s="7"/>
      <c r="F276" s="7"/>
    </row>
    <row r="277" spans="1:6" x14ac:dyDescent="0.25">
      <c r="A277" s="7"/>
      <c r="E277" s="7"/>
      <c r="F277" s="7"/>
    </row>
    <row r="278" spans="1:6" x14ac:dyDescent="0.25">
      <c r="A278" s="7"/>
      <c r="E278" s="7"/>
      <c r="F278" s="7"/>
    </row>
    <row r="279" spans="1:6" x14ac:dyDescent="0.25">
      <c r="A279" s="7"/>
      <c r="E279" s="7"/>
      <c r="F279" s="7"/>
    </row>
    <row r="280" spans="1:6" x14ac:dyDescent="0.25">
      <c r="A280" s="7"/>
      <c r="E280" s="7"/>
      <c r="F280" s="7"/>
    </row>
    <row r="281" spans="1:6" x14ac:dyDescent="0.25">
      <c r="A281" s="7"/>
      <c r="E281" s="7"/>
      <c r="F281" s="7"/>
    </row>
    <row r="282" spans="1:6" x14ac:dyDescent="0.25">
      <c r="A282" s="7"/>
      <c r="E282" s="7"/>
      <c r="F282" s="7"/>
    </row>
    <row r="283" spans="1:6" x14ac:dyDescent="0.25">
      <c r="A283" s="7"/>
      <c r="E283" s="7"/>
      <c r="F283" s="7"/>
    </row>
    <row r="284" spans="1:6" x14ac:dyDescent="0.25">
      <c r="A284" s="7"/>
      <c r="E284" s="7"/>
      <c r="F284" s="7"/>
    </row>
    <row r="285" spans="1:6" x14ac:dyDescent="0.25">
      <c r="A285" s="7"/>
      <c r="E285" s="7"/>
      <c r="F285" s="7"/>
    </row>
    <row r="286" spans="1:6" x14ac:dyDescent="0.25">
      <c r="A286" s="7"/>
      <c r="E286" s="7"/>
      <c r="F286" s="7"/>
    </row>
    <row r="287" spans="1:6" x14ac:dyDescent="0.25">
      <c r="A287" s="7"/>
      <c r="E287" s="7"/>
      <c r="F287" s="7"/>
    </row>
    <row r="288" spans="1:6" x14ac:dyDescent="0.25">
      <c r="A288" s="7"/>
      <c r="E288" s="7"/>
      <c r="F288" s="7"/>
    </row>
    <row r="289" spans="1:6" x14ac:dyDescent="0.25">
      <c r="A289" s="7"/>
      <c r="E289" s="7"/>
      <c r="F289" s="7"/>
    </row>
    <row r="290" spans="1:6" x14ac:dyDescent="0.25">
      <c r="A290" s="7"/>
      <c r="E290" s="7"/>
      <c r="F290" s="7"/>
    </row>
    <row r="291" spans="1:6" x14ac:dyDescent="0.25">
      <c r="A291" s="7"/>
      <c r="E291" s="7"/>
      <c r="F291" s="7"/>
    </row>
    <row r="292" spans="1:6" x14ac:dyDescent="0.25">
      <c r="A292" s="7"/>
      <c r="E292" s="7"/>
      <c r="F292" s="7"/>
    </row>
    <row r="293" spans="1:6" x14ac:dyDescent="0.25">
      <c r="A293" s="7"/>
      <c r="E293" s="7"/>
      <c r="F293" s="7"/>
    </row>
    <row r="294" spans="1:6" x14ac:dyDescent="0.25">
      <c r="A294" s="7"/>
      <c r="E294" s="7"/>
      <c r="F294" s="7"/>
    </row>
    <row r="295" spans="1:6" x14ac:dyDescent="0.25">
      <c r="A295" s="7"/>
      <c r="E295" s="7"/>
      <c r="F295" s="7"/>
    </row>
    <row r="296" spans="1:6" x14ac:dyDescent="0.25">
      <c r="A296" s="7"/>
      <c r="E296" s="7"/>
      <c r="F296" s="7"/>
    </row>
    <row r="297" spans="1:6" x14ac:dyDescent="0.25">
      <c r="A297" s="7"/>
      <c r="E297" s="7"/>
      <c r="F297" s="7"/>
    </row>
    <row r="298" spans="1:6" x14ac:dyDescent="0.25">
      <c r="A298" s="7"/>
      <c r="E298" s="7"/>
      <c r="F298" s="7"/>
    </row>
    <row r="299" spans="1:6" x14ac:dyDescent="0.25">
      <c r="A299" s="7"/>
      <c r="E299" s="7"/>
      <c r="F299" s="7"/>
    </row>
    <row r="300" spans="1:6" x14ac:dyDescent="0.25">
      <c r="A300" s="7"/>
      <c r="E300" s="7"/>
      <c r="F300" s="7"/>
    </row>
    <row r="301" spans="1:6" x14ac:dyDescent="0.25">
      <c r="A301" s="7"/>
      <c r="E301" s="7"/>
      <c r="F301" s="7"/>
    </row>
    <row r="302" spans="1:6" x14ac:dyDescent="0.25">
      <c r="A302" s="7"/>
      <c r="E302" s="7"/>
      <c r="F302" s="7"/>
    </row>
    <row r="303" spans="1:6" x14ac:dyDescent="0.25">
      <c r="A303" s="7"/>
      <c r="E303" s="7"/>
      <c r="F303" s="7"/>
    </row>
    <row r="304" spans="1:6" x14ac:dyDescent="0.25">
      <c r="A304" s="7"/>
      <c r="E304" s="7"/>
      <c r="F304" s="7"/>
    </row>
    <row r="305" spans="1:6" x14ac:dyDescent="0.25">
      <c r="A305" s="7"/>
      <c r="E305" s="7"/>
      <c r="F305" s="7"/>
    </row>
    <row r="306" spans="1:6" x14ac:dyDescent="0.25">
      <c r="A306" s="7"/>
      <c r="E306" s="7"/>
      <c r="F306" s="7"/>
    </row>
    <row r="307" spans="1:6" x14ac:dyDescent="0.25">
      <c r="A307" s="7"/>
      <c r="E307" s="7"/>
      <c r="F307" s="7"/>
    </row>
    <row r="308" spans="1:6" x14ac:dyDescent="0.25">
      <c r="A308" s="7"/>
      <c r="E308" s="7"/>
      <c r="F308" s="7"/>
    </row>
    <row r="309" spans="1:6" x14ac:dyDescent="0.25">
      <c r="A309" s="7"/>
      <c r="E309" s="7"/>
      <c r="F309" s="7"/>
    </row>
    <row r="310" spans="1:6" x14ac:dyDescent="0.25">
      <c r="A310" s="7"/>
      <c r="E310" s="7"/>
      <c r="F310" s="7"/>
    </row>
    <row r="311" spans="1:6" x14ac:dyDescent="0.25">
      <c r="A311" s="7"/>
      <c r="E311" s="7"/>
      <c r="F311" s="7"/>
    </row>
    <row r="312" spans="1:6" x14ac:dyDescent="0.25">
      <c r="A312" s="7"/>
      <c r="E312" s="7"/>
      <c r="F312" s="7"/>
    </row>
    <row r="313" spans="1:6" x14ac:dyDescent="0.25">
      <c r="A313" s="7"/>
      <c r="E313" s="7"/>
      <c r="F313" s="7"/>
    </row>
    <row r="314" spans="1:6" x14ac:dyDescent="0.25">
      <c r="A314" s="7"/>
      <c r="E314" s="7"/>
      <c r="F314" s="7"/>
    </row>
    <row r="315" spans="1:6" x14ac:dyDescent="0.25">
      <c r="A315" s="7"/>
      <c r="E315" s="7"/>
      <c r="F315" s="7"/>
    </row>
    <row r="316" spans="1:6" x14ac:dyDescent="0.25">
      <c r="A316" s="7"/>
      <c r="E316" s="7"/>
      <c r="F316" s="7"/>
    </row>
    <row r="317" spans="1:6" x14ac:dyDescent="0.25">
      <c r="A317" s="7"/>
      <c r="E317" s="7"/>
      <c r="F317" s="7"/>
    </row>
    <row r="318" spans="1:6" x14ac:dyDescent="0.25">
      <c r="A318" s="7"/>
      <c r="E318" s="7"/>
      <c r="F318" s="7"/>
    </row>
    <row r="319" spans="1:6" x14ac:dyDescent="0.25">
      <c r="A319" s="7"/>
      <c r="E319" s="7"/>
      <c r="F319" s="7"/>
    </row>
    <row r="320" spans="1:6" x14ac:dyDescent="0.25">
      <c r="A320" s="7"/>
      <c r="E320" s="7"/>
      <c r="F320" s="7"/>
    </row>
    <row r="321" spans="1:6" x14ac:dyDescent="0.25">
      <c r="A321" s="7"/>
      <c r="E321" s="7"/>
      <c r="F321" s="7"/>
    </row>
    <row r="322" spans="1:6" x14ac:dyDescent="0.25">
      <c r="A322" s="7"/>
      <c r="E322" s="7"/>
      <c r="F322" s="7"/>
    </row>
    <row r="323" spans="1:6" x14ac:dyDescent="0.25">
      <c r="A323" s="7"/>
      <c r="E323" s="7"/>
      <c r="F323" s="7"/>
    </row>
    <row r="324" spans="1:6" x14ac:dyDescent="0.25">
      <c r="A324" s="7"/>
      <c r="E324" s="7"/>
      <c r="F324" s="7"/>
    </row>
    <row r="325" spans="1:6" x14ac:dyDescent="0.25">
      <c r="A325" s="7"/>
      <c r="E325" s="7"/>
      <c r="F325" s="7"/>
    </row>
    <row r="326" spans="1:6" x14ac:dyDescent="0.25">
      <c r="A326" s="7"/>
      <c r="E326" s="7"/>
      <c r="F326" s="7"/>
    </row>
    <row r="327" spans="1:6" x14ac:dyDescent="0.25">
      <c r="A327" s="7"/>
      <c r="E327" s="7"/>
      <c r="F327" s="7"/>
    </row>
    <row r="328" spans="1:6" x14ac:dyDescent="0.25">
      <c r="A328" s="7"/>
      <c r="E328" s="7"/>
      <c r="F328" s="7"/>
    </row>
    <row r="329" spans="1:6" x14ac:dyDescent="0.25">
      <c r="A329" s="7"/>
      <c r="E329" s="7"/>
      <c r="F329" s="7"/>
    </row>
    <row r="330" spans="1:6" x14ac:dyDescent="0.25">
      <c r="A330" s="7"/>
      <c r="E330" s="7"/>
      <c r="F330" s="7"/>
    </row>
    <row r="331" spans="1:6" x14ac:dyDescent="0.25">
      <c r="A331" s="7"/>
      <c r="E331" s="7"/>
      <c r="F331" s="7"/>
    </row>
    <row r="332" spans="1:6" x14ac:dyDescent="0.25">
      <c r="A332" s="7"/>
      <c r="E332" s="7"/>
      <c r="F332" s="7"/>
    </row>
    <row r="333" spans="1:6" x14ac:dyDescent="0.25">
      <c r="A333" s="7"/>
      <c r="E333" s="7"/>
      <c r="F333" s="7"/>
    </row>
    <row r="334" spans="1:6" x14ac:dyDescent="0.25">
      <c r="A334" s="7"/>
      <c r="E334" s="7"/>
      <c r="F334" s="7"/>
    </row>
    <row r="335" spans="1:6" x14ac:dyDescent="0.25">
      <c r="A335" s="7"/>
      <c r="E335" s="7"/>
      <c r="F335" s="7"/>
    </row>
    <row r="336" spans="1:6" x14ac:dyDescent="0.25">
      <c r="A336" s="7"/>
      <c r="E336" s="7"/>
      <c r="F336" s="7"/>
    </row>
    <row r="337" spans="1:6" x14ac:dyDescent="0.25">
      <c r="A337" s="7"/>
      <c r="E337" s="7"/>
      <c r="F337" s="7"/>
    </row>
    <row r="338" spans="1:6" x14ac:dyDescent="0.25">
      <c r="A338" s="7"/>
      <c r="E338" s="7"/>
      <c r="F338" s="7"/>
    </row>
    <row r="339" spans="1:6" x14ac:dyDescent="0.25">
      <c r="A339" s="7"/>
      <c r="E339" s="7"/>
      <c r="F339" s="7"/>
    </row>
    <row r="340" spans="1:6" x14ac:dyDescent="0.25">
      <c r="A340" s="7"/>
      <c r="E340" s="7"/>
      <c r="F340" s="7"/>
    </row>
    <row r="341" spans="1:6" x14ac:dyDescent="0.25">
      <c r="A341" s="7"/>
      <c r="E341" s="7"/>
      <c r="F341" s="7"/>
    </row>
    <row r="342" spans="1:6" x14ac:dyDescent="0.25">
      <c r="A342" s="7"/>
      <c r="E342" s="7"/>
      <c r="F342" s="7"/>
    </row>
    <row r="343" spans="1:6" x14ac:dyDescent="0.25">
      <c r="A343" s="7"/>
      <c r="E343" s="7"/>
      <c r="F343" s="7"/>
    </row>
    <row r="344" spans="1:6" x14ac:dyDescent="0.25">
      <c r="A344" s="7"/>
      <c r="E344" s="7"/>
      <c r="F344" s="7"/>
    </row>
    <row r="345" spans="1:6" x14ac:dyDescent="0.25">
      <c r="A345" s="7"/>
      <c r="E345" s="7"/>
      <c r="F345" s="7"/>
    </row>
    <row r="346" spans="1:6" x14ac:dyDescent="0.25">
      <c r="A346" s="7"/>
      <c r="E346" s="7"/>
      <c r="F346" s="7"/>
    </row>
    <row r="347" spans="1:6" x14ac:dyDescent="0.25">
      <c r="A347" s="7"/>
      <c r="E347" s="7"/>
      <c r="F347" s="7"/>
    </row>
    <row r="348" spans="1:6" x14ac:dyDescent="0.25">
      <c r="A348" s="7"/>
      <c r="E348" s="7"/>
      <c r="F348" s="7"/>
    </row>
    <row r="349" spans="1:6" x14ac:dyDescent="0.25">
      <c r="A349" s="7"/>
      <c r="E349" s="7"/>
      <c r="F349" s="7"/>
    </row>
    <row r="350" spans="1:6" x14ac:dyDescent="0.25">
      <c r="A350" s="7"/>
      <c r="E350" s="7"/>
      <c r="F350" s="7"/>
    </row>
    <row r="351" spans="1:6" x14ac:dyDescent="0.25">
      <c r="A351" s="7"/>
      <c r="E351" s="7"/>
      <c r="F351" s="7"/>
    </row>
    <row r="352" spans="1:6" x14ac:dyDescent="0.25">
      <c r="A352" s="7"/>
      <c r="E352" s="7"/>
      <c r="F352" s="7"/>
    </row>
    <row r="353" spans="1:6" x14ac:dyDescent="0.25">
      <c r="A353" s="7"/>
      <c r="E353" s="7"/>
      <c r="F353" s="7"/>
    </row>
    <row r="354" spans="1:6" x14ac:dyDescent="0.25">
      <c r="A354" s="7"/>
      <c r="E354" s="7"/>
      <c r="F354" s="7"/>
    </row>
    <row r="355" spans="1:6" x14ac:dyDescent="0.25">
      <c r="A355" s="7"/>
      <c r="E355" s="7"/>
      <c r="F355" s="7"/>
    </row>
    <row r="356" spans="1:6" x14ac:dyDescent="0.25">
      <c r="A356" s="7"/>
      <c r="E356" s="7"/>
      <c r="F356" s="7"/>
    </row>
    <row r="357" spans="1:6" x14ac:dyDescent="0.25">
      <c r="A357" s="7"/>
      <c r="E357" s="7"/>
      <c r="F357" s="7"/>
    </row>
    <row r="358" spans="1:6" x14ac:dyDescent="0.25">
      <c r="A358" s="7"/>
      <c r="E358" s="7"/>
      <c r="F358" s="7"/>
    </row>
    <row r="359" spans="1:6" x14ac:dyDescent="0.25">
      <c r="A359" s="7"/>
      <c r="E359" s="7"/>
      <c r="F359" s="7"/>
    </row>
    <row r="360" spans="1:6" x14ac:dyDescent="0.25">
      <c r="A360" s="7"/>
      <c r="E360" s="7"/>
      <c r="F360" s="7"/>
    </row>
    <row r="361" spans="1:6" x14ac:dyDescent="0.25">
      <c r="A361" s="7"/>
      <c r="E361" s="7"/>
      <c r="F361" s="7"/>
    </row>
    <row r="362" spans="1:6" x14ac:dyDescent="0.25">
      <c r="A362" s="7"/>
      <c r="E362" s="7"/>
      <c r="F362" s="7"/>
    </row>
    <row r="363" spans="1:6" x14ac:dyDescent="0.25">
      <c r="A363" s="7"/>
      <c r="E363" s="7"/>
      <c r="F363" s="7"/>
    </row>
    <row r="364" spans="1:6" x14ac:dyDescent="0.25">
      <c r="A364" s="7"/>
      <c r="E364" s="7"/>
      <c r="F364" s="7"/>
    </row>
    <row r="365" spans="1:6" x14ac:dyDescent="0.25">
      <c r="A365" s="7"/>
      <c r="E365" s="7"/>
      <c r="F365" s="7"/>
    </row>
    <row r="366" spans="1:6" x14ac:dyDescent="0.25">
      <c r="A366" s="7"/>
      <c r="E366" s="7"/>
      <c r="F366" s="7"/>
    </row>
    <row r="367" spans="1:6" x14ac:dyDescent="0.25">
      <c r="A367" s="7"/>
      <c r="E367" s="7"/>
      <c r="F367" s="7"/>
    </row>
    <row r="368" spans="1:6" x14ac:dyDescent="0.25">
      <c r="A368" s="7"/>
      <c r="E368" s="7"/>
      <c r="F368" s="7"/>
    </row>
    <row r="369" spans="1:6" x14ac:dyDescent="0.25">
      <c r="A369" s="7"/>
      <c r="E369" s="7"/>
      <c r="F369" s="7"/>
    </row>
    <row r="370" spans="1:6" x14ac:dyDescent="0.25">
      <c r="A370" s="7"/>
      <c r="E370" s="7"/>
      <c r="F370" s="7"/>
    </row>
    <row r="371" spans="1:6" x14ac:dyDescent="0.25">
      <c r="A371" s="7"/>
      <c r="E371" s="7"/>
      <c r="F371" s="7"/>
    </row>
    <row r="372" spans="1:6" x14ac:dyDescent="0.25">
      <c r="A372" s="7"/>
      <c r="E372" s="7"/>
      <c r="F372" s="7"/>
    </row>
    <row r="373" spans="1:6" x14ac:dyDescent="0.25">
      <c r="A373" s="7"/>
      <c r="E373" s="7"/>
      <c r="F373" s="7"/>
    </row>
    <row r="374" spans="1:6" x14ac:dyDescent="0.25">
      <c r="A374" s="7"/>
      <c r="E374" s="7"/>
      <c r="F374" s="7"/>
    </row>
    <row r="375" spans="1:6" x14ac:dyDescent="0.25">
      <c r="A375" s="7"/>
      <c r="E375" s="7"/>
      <c r="F375" s="7"/>
    </row>
    <row r="376" spans="1:6" x14ac:dyDescent="0.25">
      <c r="A376" s="7"/>
      <c r="E376" s="7"/>
      <c r="F376" s="7"/>
    </row>
    <row r="377" spans="1:6" x14ac:dyDescent="0.25">
      <c r="A377" s="7"/>
      <c r="E377" s="7"/>
      <c r="F377" s="7"/>
    </row>
    <row r="378" spans="1:6" x14ac:dyDescent="0.25">
      <c r="A378" s="7"/>
      <c r="E378" s="7"/>
      <c r="F378" s="7"/>
    </row>
    <row r="379" spans="1:6" x14ac:dyDescent="0.25">
      <c r="A379" s="7"/>
      <c r="E379" s="7"/>
      <c r="F379" s="7"/>
    </row>
    <row r="380" spans="1:6" x14ac:dyDescent="0.25">
      <c r="A380" s="7"/>
      <c r="E380" s="7"/>
      <c r="F380" s="7"/>
    </row>
    <row r="381" spans="1:6" x14ac:dyDescent="0.25">
      <c r="A381" s="7"/>
      <c r="E381" s="7"/>
      <c r="F381" s="7"/>
    </row>
    <row r="382" spans="1:6" x14ac:dyDescent="0.25">
      <c r="A382" s="7"/>
      <c r="E382" s="7"/>
      <c r="F382" s="7"/>
    </row>
    <row r="383" spans="1:6" x14ac:dyDescent="0.25">
      <c r="A383" s="7"/>
      <c r="E383" s="7"/>
      <c r="F383" s="7"/>
    </row>
    <row r="384" spans="1:6" x14ac:dyDescent="0.25">
      <c r="A384" s="7"/>
      <c r="E384" s="7"/>
      <c r="F384" s="7"/>
    </row>
    <row r="385" spans="1:6" x14ac:dyDescent="0.25">
      <c r="A385" s="7"/>
      <c r="E385" s="7"/>
      <c r="F385" s="7"/>
    </row>
    <row r="386" spans="1:6" x14ac:dyDescent="0.25">
      <c r="A386" s="7"/>
      <c r="E386" s="7"/>
      <c r="F386" s="7"/>
    </row>
    <row r="387" spans="1:6" x14ac:dyDescent="0.25">
      <c r="A387" s="7"/>
      <c r="E387" s="7"/>
      <c r="F387" s="7"/>
    </row>
    <row r="388" spans="1:6" x14ac:dyDescent="0.25">
      <c r="A388" s="7"/>
      <c r="E388" s="7"/>
      <c r="F388" s="7"/>
    </row>
    <row r="389" spans="1:6" x14ac:dyDescent="0.25">
      <c r="A389" s="7"/>
      <c r="E389" s="7"/>
      <c r="F389" s="7"/>
    </row>
    <row r="390" spans="1:6" x14ac:dyDescent="0.25">
      <c r="A390" s="7"/>
      <c r="E390" s="7"/>
      <c r="F390" s="7"/>
    </row>
    <row r="391" spans="1:6" x14ac:dyDescent="0.25">
      <c r="A391" s="7"/>
      <c r="E391" s="7"/>
      <c r="F391" s="7"/>
    </row>
    <row r="392" spans="1:6" x14ac:dyDescent="0.25">
      <c r="A392" s="7"/>
      <c r="E392" s="7"/>
      <c r="F392" s="7"/>
    </row>
    <row r="393" spans="1:6" x14ac:dyDescent="0.25">
      <c r="A393" s="7"/>
      <c r="E393" s="7"/>
      <c r="F393" s="7"/>
    </row>
    <row r="394" spans="1:6" x14ac:dyDescent="0.25">
      <c r="A394" s="7"/>
      <c r="E394" s="7"/>
      <c r="F394" s="7"/>
    </row>
    <row r="395" spans="1:6" x14ac:dyDescent="0.25">
      <c r="A395" s="7"/>
      <c r="E395" s="7"/>
      <c r="F395" s="7"/>
    </row>
    <row r="396" spans="1:6" x14ac:dyDescent="0.25">
      <c r="A396" s="7"/>
      <c r="E396" s="7"/>
      <c r="F396" s="7"/>
    </row>
    <row r="397" spans="1:6" x14ac:dyDescent="0.25">
      <c r="A397" s="7"/>
      <c r="E397" s="7"/>
      <c r="F397" s="7"/>
    </row>
    <row r="398" spans="1:6" x14ac:dyDescent="0.25">
      <c r="A398" s="7"/>
      <c r="E398" s="7"/>
      <c r="F398" s="7"/>
    </row>
    <row r="399" spans="1:6" x14ac:dyDescent="0.25">
      <c r="A399" s="7"/>
      <c r="E399" s="7"/>
      <c r="F399" s="7"/>
    </row>
    <row r="400" spans="1:6" x14ac:dyDescent="0.25">
      <c r="A400" s="7"/>
      <c r="E400" s="7"/>
      <c r="F400" s="7"/>
    </row>
    <row r="401" spans="1:6" x14ac:dyDescent="0.25">
      <c r="A401" s="7"/>
      <c r="E401" s="7"/>
      <c r="F401" s="7"/>
    </row>
    <row r="402" spans="1:6" x14ac:dyDescent="0.25">
      <c r="A402" s="7"/>
      <c r="E402" s="7"/>
      <c r="F402" s="7"/>
    </row>
    <row r="403" spans="1:6" x14ac:dyDescent="0.25">
      <c r="A403" s="7"/>
      <c r="E403" s="7"/>
      <c r="F403" s="7"/>
    </row>
    <row r="404" spans="1:6" x14ac:dyDescent="0.25">
      <c r="A404" s="7"/>
      <c r="E404" s="7"/>
      <c r="F404" s="7"/>
    </row>
    <row r="405" spans="1:6" x14ac:dyDescent="0.25">
      <c r="A405" s="7"/>
      <c r="E405" s="7"/>
      <c r="F405" s="7"/>
    </row>
    <row r="406" spans="1:6" x14ac:dyDescent="0.25">
      <c r="A406" s="7"/>
      <c r="E406" s="7"/>
      <c r="F406" s="7"/>
    </row>
    <row r="407" spans="1:6" x14ac:dyDescent="0.25">
      <c r="A407" s="7"/>
      <c r="E407" s="7"/>
      <c r="F407" s="7"/>
    </row>
    <row r="408" spans="1:6" x14ac:dyDescent="0.25">
      <c r="A408" s="7"/>
      <c r="E408" s="7"/>
      <c r="F408" s="7"/>
    </row>
    <row r="409" spans="1:6" x14ac:dyDescent="0.25">
      <c r="A409" s="7"/>
      <c r="E409" s="7"/>
      <c r="F409" s="7"/>
    </row>
    <row r="410" spans="1:6" x14ac:dyDescent="0.25">
      <c r="A410" s="7"/>
      <c r="E410" s="7"/>
      <c r="F410" s="7"/>
    </row>
    <row r="411" spans="1:6" x14ac:dyDescent="0.25">
      <c r="A411" s="7"/>
      <c r="E411" s="7"/>
      <c r="F411" s="7"/>
    </row>
    <row r="412" spans="1:6" x14ac:dyDescent="0.25">
      <c r="A412" s="7"/>
      <c r="E412" s="7"/>
      <c r="F412" s="7"/>
    </row>
    <row r="413" spans="1:6" x14ac:dyDescent="0.25">
      <c r="A413" s="7"/>
      <c r="E413" s="7"/>
      <c r="F413" s="7"/>
    </row>
    <row r="414" spans="1:6" x14ac:dyDescent="0.25">
      <c r="A414" s="7"/>
      <c r="E414" s="7"/>
      <c r="F414" s="7"/>
    </row>
    <row r="415" spans="1:6" x14ac:dyDescent="0.25">
      <c r="A415" s="7"/>
      <c r="E415" s="7"/>
      <c r="F415" s="7"/>
    </row>
    <row r="416" spans="1:6" x14ac:dyDescent="0.25">
      <c r="A416" s="7"/>
      <c r="E416" s="7"/>
      <c r="F416" s="7"/>
    </row>
    <row r="417" spans="1:6" x14ac:dyDescent="0.25">
      <c r="A417" s="7"/>
      <c r="E417" s="7"/>
      <c r="F417" s="7"/>
    </row>
    <row r="418" spans="1:6" x14ac:dyDescent="0.25">
      <c r="A418" s="7"/>
      <c r="E418" s="7"/>
      <c r="F418" s="7"/>
    </row>
    <row r="419" spans="1:6" x14ac:dyDescent="0.25">
      <c r="A419" s="7"/>
      <c r="E419" s="7"/>
      <c r="F419" s="7"/>
    </row>
    <row r="420" spans="1:6" x14ac:dyDescent="0.25">
      <c r="A420" s="7"/>
      <c r="E420" s="7"/>
      <c r="F420" s="7"/>
    </row>
    <row r="421" spans="1:6" x14ac:dyDescent="0.25">
      <c r="A421" s="7"/>
      <c r="E421" s="7"/>
      <c r="F421" s="7"/>
    </row>
    <row r="422" spans="1:6" x14ac:dyDescent="0.25">
      <c r="A422" s="7"/>
      <c r="E422" s="7"/>
      <c r="F422" s="7"/>
    </row>
    <row r="423" spans="1:6" x14ac:dyDescent="0.25">
      <c r="A423" s="7"/>
      <c r="E423" s="7"/>
      <c r="F423" s="7"/>
    </row>
    <row r="424" spans="1:6" x14ac:dyDescent="0.25">
      <c r="A424" s="7"/>
      <c r="E424" s="7"/>
      <c r="F424" s="7"/>
    </row>
    <row r="425" spans="1:6" x14ac:dyDescent="0.25">
      <c r="A425" s="7"/>
      <c r="E425" s="7"/>
      <c r="F425" s="7"/>
    </row>
    <row r="426" spans="1:6" x14ac:dyDescent="0.25">
      <c r="A426" s="7"/>
      <c r="E426" s="7"/>
      <c r="F426" s="7"/>
    </row>
    <row r="427" spans="1:6" x14ac:dyDescent="0.25">
      <c r="A427" s="7"/>
      <c r="E427" s="7"/>
      <c r="F427" s="7"/>
    </row>
    <row r="428" spans="1:6" x14ac:dyDescent="0.25">
      <c r="A428" s="7"/>
      <c r="E428" s="7"/>
      <c r="F428" s="7"/>
    </row>
    <row r="429" spans="1:6" x14ac:dyDescent="0.25">
      <c r="A429" s="7"/>
      <c r="E429" s="7"/>
      <c r="F429" s="7"/>
    </row>
    <row r="430" spans="1:6" x14ac:dyDescent="0.25">
      <c r="A430" s="7"/>
      <c r="E430" s="7"/>
      <c r="F430" s="7"/>
    </row>
    <row r="431" spans="1:6" x14ac:dyDescent="0.25">
      <c r="A431" s="7"/>
      <c r="E431" s="7"/>
      <c r="F431" s="7"/>
    </row>
    <row r="432" spans="1:6" x14ac:dyDescent="0.25">
      <c r="A432" s="7"/>
      <c r="E432" s="7"/>
      <c r="F432" s="7"/>
    </row>
    <row r="433" spans="1:6" x14ac:dyDescent="0.25">
      <c r="A433" s="7"/>
      <c r="E433" s="7"/>
      <c r="F433" s="7"/>
    </row>
    <row r="434" spans="1:6" x14ac:dyDescent="0.25">
      <c r="A434" s="7"/>
      <c r="E434" s="7"/>
      <c r="F434" s="7"/>
    </row>
    <row r="435" spans="1:6" x14ac:dyDescent="0.25">
      <c r="A435" s="7"/>
      <c r="E435" s="7"/>
      <c r="F435" s="7"/>
    </row>
    <row r="436" spans="1:6" x14ac:dyDescent="0.25">
      <c r="A436" s="7"/>
      <c r="E436" s="7"/>
      <c r="F436" s="7"/>
    </row>
    <row r="437" spans="1:6" x14ac:dyDescent="0.25">
      <c r="A437" s="7"/>
      <c r="E437" s="7"/>
      <c r="F437" s="7"/>
    </row>
    <row r="438" spans="1:6" x14ac:dyDescent="0.25">
      <c r="A438" s="7"/>
      <c r="E438" s="7"/>
      <c r="F438" s="7"/>
    </row>
    <row r="439" spans="1:6" x14ac:dyDescent="0.25">
      <c r="A439" s="7"/>
      <c r="E439" s="7"/>
      <c r="F439" s="7"/>
    </row>
    <row r="440" spans="1:6" x14ac:dyDescent="0.25">
      <c r="A440" s="7"/>
      <c r="E440" s="7"/>
      <c r="F440" s="7"/>
    </row>
    <row r="441" spans="1:6" x14ac:dyDescent="0.25">
      <c r="A441" s="7"/>
      <c r="E441" s="7"/>
      <c r="F441" s="7"/>
    </row>
    <row r="442" spans="1:6" x14ac:dyDescent="0.25">
      <c r="A442" s="7"/>
      <c r="E442" s="7"/>
      <c r="F442" s="7"/>
    </row>
    <row r="443" spans="1:6" x14ac:dyDescent="0.25">
      <c r="A443" s="7"/>
      <c r="E443" s="7"/>
      <c r="F443" s="7"/>
    </row>
    <row r="444" spans="1:6" x14ac:dyDescent="0.25">
      <c r="A444" s="7"/>
      <c r="E444" s="7"/>
      <c r="F444" s="7"/>
    </row>
    <row r="445" spans="1:6" x14ac:dyDescent="0.25">
      <c r="A445" s="7"/>
      <c r="E445" s="7"/>
      <c r="F445" s="7"/>
    </row>
    <row r="446" spans="1:6" x14ac:dyDescent="0.25">
      <c r="A446" s="7"/>
      <c r="E446" s="7"/>
      <c r="F446" s="7"/>
    </row>
    <row r="447" spans="1:6" x14ac:dyDescent="0.25">
      <c r="A447" s="7"/>
      <c r="E447" s="7"/>
      <c r="F447" s="7"/>
    </row>
    <row r="448" spans="1:6" x14ac:dyDescent="0.25">
      <c r="A448" s="7"/>
      <c r="E448" s="7"/>
      <c r="F448" s="7"/>
    </row>
    <row r="449" spans="1:6" x14ac:dyDescent="0.25">
      <c r="A449" s="7"/>
      <c r="E449" s="7"/>
      <c r="F449" s="7"/>
    </row>
    <row r="450" spans="1:6" x14ac:dyDescent="0.25">
      <c r="A450" s="7"/>
      <c r="E450" s="7"/>
      <c r="F450" s="7"/>
    </row>
    <row r="451" spans="1:6" x14ac:dyDescent="0.25">
      <c r="A451" s="7"/>
      <c r="E451" s="7"/>
      <c r="F451" s="7"/>
    </row>
    <row r="452" spans="1:6" x14ac:dyDescent="0.25">
      <c r="A452" s="7"/>
      <c r="E452" s="7"/>
      <c r="F452" s="7"/>
    </row>
    <row r="453" spans="1:6" x14ac:dyDescent="0.25">
      <c r="A453" s="7"/>
      <c r="E453" s="7"/>
      <c r="F453" s="7"/>
    </row>
    <row r="454" spans="1:6" x14ac:dyDescent="0.25">
      <c r="A454" s="7"/>
      <c r="E454" s="7"/>
      <c r="F454" s="7"/>
    </row>
    <row r="455" spans="1:6" x14ac:dyDescent="0.25">
      <c r="A455" s="7"/>
      <c r="E455" s="7"/>
      <c r="F455" s="7"/>
    </row>
    <row r="456" spans="1:6" x14ac:dyDescent="0.25">
      <c r="A456" s="7"/>
      <c r="E456" s="7"/>
      <c r="F456" s="7"/>
    </row>
    <row r="457" spans="1:6" x14ac:dyDescent="0.25">
      <c r="A457" s="7"/>
      <c r="E457" s="7"/>
      <c r="F457" s="7"/>
    </row>
    <row r="458" spans="1:6" x14ac:dyDescent="0.25">
      <c r="A458" s="7"/>
      <c r="E458" s="7"/>
      <c r="F458" s="7"/>
    </row>
    <row r="459" spans="1:6" x14ac:dyDescent="0.25">
      <c r="A459" s="7"/>
      <c r="E459" s="7"/>
      <c r="F459" s="7"/>
    </row>
    <row r="460" spans="1:6" x14ac:dyDescent="0.25">
      <c r="A460" s="7"/>
      <c r="E460" s="7"/>
      <c r="F460" s="7"/>
    </row>
    <row r="461" spans="1:6" x14ac:dyDescent="0.25">
      <c r="A461" s="7"/>
      <c r="E461" s="7"/>
      <c r="F461" s="7"/>
    </row>
    <row r="462" spans="1:6" x14ac:dyDescent="0.25">
      <c r="A462" s="7"/>
      <c r="E462" s="7"/>
      <c r="F462" s="7"/>
    </row>
    <row r="463" spans="1:6" x14ac:dyDescent="0.25">
      <c r="A463" s="7"/>
      <c r="E463" s="7"/>
      <c r="F463" s="7"/>
    </row>
    <row r="464" spans="1:6" x14ac:dyDescent="0.25">
      <c r="A464" s="7"/>
      <c r="E464" s="7"/>
      <c r="F464" s="7"/>
    </row>
    <row r="465" spans="1:6" x14ac:dyDescent="0.25">
      <c r="A465" s="7"/>
      <c r="E465" s="7"/>
      <c r="F465" s="7"/>
    </row>
    <row r="466" spans="1:6" x14ac:dyDescent="0.25">
      <c r="A466" s="7"/>
      <c r="E466" s="7"/>
      <c r="F466" s="7"/>
    </row>
    <row r="467" spans="1:6" x14ac:dyDescent="0.25">
      <c r="A467" s="7"/>
      <c r="E467" s="7"/>
      <c r="F467" s="7"/>
    </row>
    <row r="468" spans="1:6" x14ac:dyDescent="0.25">
      <c r="A468" s="7"/>
      <c r="E468" s="7"/>
      <c r="F468" s="7"/>
    </row>
    <row r="469" spans="1:6" x14ac:dyDescent="0.25">
      <c r="A469" s="7"/>
      <c r="E469" s="7"/>
      <c r="F469" s="7"/>
    </row>
    <row r="470" spans="1:6" x14ac:dyDescent="0.25">
      <c r="A470" s="7"/>
      <c r="E470" s="7"/>
      <c r="F470" s="7"/>
    </row>
    <row r="471" spans="1:6" x14ac:dyDescent="0.25">
      <c r="A471" s="7"/>
      <c r="E471" s="7"/>
      <c r="F471" s="7"/>
    </row>
    <row r="472" spans="1:6" x14ac:dyDescent="0.25">
      <c r="A472" s="7"/>
      <c r="E472" s="7"/>
      <c r="F472" s="7"/>
    </row>
    <row r="473" spans="1:6" x14ac:dyDescent="0.25">
      <c r="A473" s="7"/>
      <c r="E473" s="7"/>
      <c r="F473" s="7"/>
    </row>
    <row r="474" spans="1:6" x14ac:dyDescent="0.25">
      <c r="A474" s="7"/>
      <c r="E474" s="7"/>
      <c r="F474" s="7"/>
    </row>
    <row r="475" spans="1:6" x14ac:dyDescent="0.25">
      <c r="A475" s="7"/>
      <c r="E475" s="7"/>
      <c r="F475" s="7"/>
    </row>
    <row r="476" spans="1:6" x14ac:dyDescent="0.25">
      <c r="A476" s="7"/>
      <c r="E476" s="7"/>
      <c r="F476" s="7"/>
    </row>
    <row r="477" spans="1:6" x14ac:dyDescent="0.25">
      <c r="A477" s="7"/>
      <c r="E477" s="7"/>
      <c r="F477" s="7"/>
    </row>
    <row r="478" spans="1:6" x14ac:dyDescent="0.25">
      <c r="A478" s="7"/>
      <c r="E478" s="7"/>
      <c r="F478" s="7"/>
    </row>
    <row r="479" spans="1:6" x14ac:dyDescent="0.25">
      <c r="A479" s="7"/>
      <c r="E479" s="7"/>
      <c r="F479" s="7"/>
    </row>
    <row r="480" spans="1:6" x14ac:dyDescent="0.25">
      <c r="A480" s="7"/>
      <c r="E480" s="7"/>
      <c r="F480" s="7"/>
    </row>
    <row r="481" spans="1:6" x14ac:dyDescent="0.25">
      <c r="A481" s="7"/>
      <c r="E481" s="7"/>
      <c r="F481" s="7"/>
    </row>
    <row r="482" spans="1:6" x14ac:dyDescent="0.25">
      <c r="A482" s="7"/>
      <c r="E482" s="7"/>
      <c r="F482" s="7"/>
    </row>
    <row r="483" spans="1:6" x14ac:dyDescent="0.25">
      <c r="A483" s="7"/>
      <c r="E483" s="7"/>
      <c r="F483" s="7"/>
    </row>
    <row r="484" spans="1:6" x14ac:dyDescent="0.25">
      <c r="A484" s="7"/>
      <c r="E484" s="7"/>
      <c r="F484" s="7"/>
    </row>
    <row r="485" spans="1:6" x14ac:dyDescent="0.25">
      <c r="A485" s="7"/>
      <c r="E485" s="7"/>
      <c r="F485" s="7"/>
    </row>
    <row r="486" spans="1:6" x14ac:dyDescent="0.25">
      <c r="A486" s="7"/>
      <c r="E486" s="7"/>
      <c r="F486" s="7"/>
    </row>
    <row r="487" spans="1:6" x14ac:dyDescent="0.25">
      <c r="A487" s="7"/>
      <c r="E487" s="7"/>
      <c r="F487" s="7"/>
    </row>
    <row r="488" spans="1:6" x14ac:dyDescent="0.25">
      <c r="A488" s="7"/>
      <c r="E488" s="7"/>
      <c r="F488" s="7"/>
    </row>
    <row r="489" spans="1:6" x14ac:dyDescent="0.25">
      <c r="A489" s="7"/>
      <c r="E489" s="7"/>
      <c r="F489" s="7"/>
    </row>
    <row r="490" spans="1:6" x14ac:dyDescent="0.25">
      <c r="A490" s="7"/>
      <c r="E490" s="7"/>
      <c r="F490" s="7"/>
    </row>
    <row r="491" spans="1:6" x14ac:dyDescent="0.25">
      <c r="A491" s="7"/>
      <c r="E491" s="7"/>
      <c r="F491" s="7"/>
    </row>
    <row r="492" spans="1:6" x14ac:dyDescent="0.25">
      <c r="A492" s="7"/>
      <c r="E492" s="7"/>
      <c r="F492" s="7"/>
    </row>
    <row r="493" spans="1:6" x14ac:dyDescent="0.25">
      <c r="A493" s="7"/>
      <c r="E493" s="7"/>
      <c r="F493" s="7"/>
    </row>
    <row r="494" spans="1:6" x14ac:dyDescent="0.25">
      <c r="A494" s="7"/>
      <c r="E494" s="7"/>
      <c r="F494" s="7"/>
    </row>
    <row r="495" spans="1:6" x14ac:dyDescent="0.25">
      <c r="A495" s="7"/>
      <c r="E495" s="7"/>
      <c r="F495" s="7"/>
    </row>
    <row r="496" spans="1:6" x14ac:dyDescent="0.25">
      <c r="A496" s="7"/>
      <c r="E496" s="7"/>
      <c r="F496" s="7"/>
    </row>
    <row r="497" spans="1:6" x14ac:dyDescent="0.25">
      <c r="A497" s="7"/>
      <c r="E497" s="7"/>
      <c r="F497" s="7"/>
    </row>
    <row r="498" spans="1:6" x14ac:dyDescent="0.25">
      <c r="A498" s="7"/>
      <c r="E498" s="7"/>
      <c r="F498" s="7"/>
    </row>
    <row r="499" spans="1:6" x14ac:dyDescent="0.25">
      <c r="A499" s="7"/>
      <c r="E499" s="7"/>
      <c r="F499" s="7"/>
    </row>
    <row r="500" spans="1:6" x14ac:dyDescent="0.25">
      <c r="A500" s="7"/>
      <c r="E500" s="7"/>
      <c r="F500" s="7"/>
    </row>
    <row r="501" spans="1:6" x14ac:dyDescent="0.25">
      <c r="A501" s="7"/>
      <c r="E501" s="7"/>
      <c r="F501" s="7"/>
    </row>
    <row r="502" spans="1:6" x14ac:dyDescent="0.25">
      <c r="A502" s="7"/>
      <c r="E502" s="7"/>
      <c r="F502" s="7"/>
    </row>
    <row r="503" spans="1:6" x14ac:dyDescent="0.25">
      <c r="A503" s="7"/>
      <c r="E503" s="7"/>
      <c r="F503" s="7"/>
    </row>
    <row r="504" spans="1:6" x14ac:dyDescent="0.25">
      <c r="A504" s="7"/>
      <c r="E504" s="7"/>
      <c r="F504" s="7"/>
    </row>
    <row r="505" spans="1:6" x14ac:dyDescent="0.25">
      <c r="A505" s="7"/>
      <c r="E505" s="7"/>
      <c r="F505" s="7"/>
    </row>
    <row r="506" spans="1:6" x14ac:dyDescent="0.25">
      <c r="A506" s="7"/>
      <c r="E506" s="7"/>
      <c r="F506" s="7"/>
    </row>
    <row r="507" spans="1:6" x14ac:dyDescent="0.25">
      <c r="A507" s="7"/>
      <c r="E507" s="7"/>
      <c r="F507" s="7"/>
    </row>
    <row r="508" spans="1:6" x14ac:dyDescent="0.25">
      <c r="A508" s="7"/>
      <c r="E508" s="7"/>
      <c r="F508" s="7"/>
    </row>
    <row r="509" spans="1:6" x14ac:dyDescent="0.25">
      <c r="A509" s="7"/>
      <c r="E509" s="7"/>
      <c r="F509" s="7"/>
    </row>
    <row r="510" spans="1:6" x14ac:dyDescent="0.25">
      <c r="A510" s="7"/>
      <c r="E510" s="7"/>
      <c r="F510" s="7"/>
    </row>
    <row r="511" spans="1:6" x14ac:dyDescent="0.25">
      <c r="A511" s="7"/>
      <c r="E511" s="7"/>
      <c r="F511" s="7"/>
    </row>
    <row r="512" spans="1:6" x14ac:dyDescent="0.25">
      <c r="A512" s="7"/>
      <c r="E512" s="7"/>
      <c r="F512" s="7"/>
    </row>
    <row r="513" spans="1:6" x14ac:dyDescent="0.25">
      <c r="A513" s="7"/>
      <c r="E513" s="7"/>
      <c r="F513" s="7"/>
    </row>
    <row r="514" spans="1:6" x14ac:dyDescent="0.25">
      <c r="A514" s="7"/>
      <c r="E514" s="7"/>
      <c r="F514" s="7"/>
    </row>
    <row r="515" spans="1:6" x14ac:dyDescent="0.25">
      <c r="A515" s="7"/>
      <c r="E515" s="7"/>
      <c r="F515" s="7"/>
    </row>
    <row r="516" spans="1:6" x14ac:dyDescent="0.25">
      <c r="A516" s="7"/>
      <c r="E516" s="7"/>
      <c r="F516" s="7"/>
    </row>
    <row r="517" spans="1:6" x14ac:dyDescent="0.25">
      <c r="A517" s="7"/>
      <c r="E517" s="7"/>
      <c r="F517" s="7"/>
    </row>
    <row r="518" spans="1:6" x14ac:dyDescent="0.25">
      <c r="A518" s="7"/>
      <c r="E518" s="7"/>
      <c r="F518" s="7"/>
    </row>
    <row r="519" spans="1:6" x14ac:dyDescent="0.25">
      <c r="A519" s="7"/>
      <c r="E519" s="7"/>
      <c r="F519" s="7"/>
    </row>
    <row r="520" spans="1:6" x14ac:dyDescent="0.25">
      <c r="A520" s="7"/>
      <c r="E520" s="7"/>
      <c r="F520" s="7"/>
    </row>
    <row r="521" spans="1:6" x14ac:dyDescent="0.25">
      <c r="A521" s="7"/>
      <c r="E521" s="7"/>
      <c r="F521" s="7"/>
    </row>
    <row r="522" spans="1:6" x14ac:dyDescent="0.25">
      <c r="A522" s="7"/>
      <c r="E522" s="7"/>
      <c r="F522" s="7"/>
    </row>
    <row r="523" spans="1:6" x14ac:dyDescent="0.25">
      <c r="A523" s="7"/>
      <c r="E523" s="7"/>
      <c r="F523" s="7"/>
    </row>
    <row r="524" spans="1:6" x14ac:dyDescent="0.25">
      <c r="A524" s="7"/>
      <c r="E524" s="7"/>
      <c r="F524" s="7"/>
    </row>
    <row r="525" spans="1:6" x14ac:dyDescent="0.25">
      <c r="A525" s="7"/>
      <c r="E525" s="7"/>
      <c r="F525" s="7"/>
    </row>
    <row r="526" spans="1:6" x14ac:dyDescent="0.25">
      <c r="A526" s="7"/>
      <c r="E526" s="7"/>
      <c r="F526" s="7"/>
    </row>
    <row r="527" spans="1:6" x14ac:dyDescent="0.25">
      <c r="A527" s="7"/>
      <c r="E527" s="7"/>
      <c r="F527" s="7"/>
    </row>
    <row r="528" spans="1:6" x14ac:dyDescent="0.25">
      <c r="A528" s="7"/>
      <c r="E528" s="7"/>
      <c r="F528" s="7"/>
    </row>
    <row r="529" spans="1:6" x14ac:dyDescent="0.25">
      <c r="A529" s="7"/>
      <c r="E529" s="7"/>
      <c r="F529" s="7"/>
    </row>
    <row r="530" spans="1:6" x14ac:dyDescent="0.25">
      <c r="A530" s="7"/>
      <c r="E530" s="7"/>
      <c r="F530" s="7"/>
    </row>
    <row r="531" spans="1:6" x14ac:dyDescent="0.25">
      <c r="A531" s="7"/>
      <c r="E531" s="7"/>
      <c r="F531" s="7"/>
    </row>
    <row r="532" spans="1:6" x14ac:dyDescent="0.25">
      <c r="A532" s="7"/>
      <c r="E532" s="7"/>
      <c r="F532" s="7"/>
    </row>
    <row r="533" spans="1:6" x14ac:dyDescent="0.25">
      <c r="A533" s="7"/>
      <c r="E533" s="7"/>
      <c r="F533" s="7"/>
    </row>
    <row r="534" spans="1:6" x14ac:dyDescent="0.25">
      <c r="A534" s="7"/>
      <c r="E534" s="7"/>
      <c r="F534" s="7"/>
    </row>
    <row r="535" spans="1:6" x14ac:dyDescent="0.25">
      <c r="A535" s="7"/>
      <c r="E535" s="7"/>
      <c r="F535" s="7"/>
    </row>
    <row r="536" spans="1:6" x14ac:dyDescent="0.25">
      <c r="A536" s="7"/>
      <c r="E536" s="7"/>
      <c r="F536" s="7"/>
    </row>
    <row r="537" spans="1:6" x14ac:dyDescent="0.25">
      <c r="A537" s="7"/>
      <c r="E537" s="7"/>
      <c r="F537" s="7"/>
    </row>
    <row r="538" spans="1:6" x14ac:dyDescent="0.25">
      <c r="A538" s="7"/>
      <c r="E538" s="7"/>
      <c r="F538" s="7"/>
    </row>
    <row r="539" spans="1:6" x14ac:dyDescent="0.25">
      <c r="A539" s="7"/>
      <c r="E539" s="7"/>
      <c r="F539" s="7"/>
    </row>
    <row r="540" spans="1:6" x14ac:dyDescent="0.25">
      <c r="A540" s="7"/>
      <c r="E540" s="7"/>
      <c r="F540" s="7"/>
    </row>
    <row r="541" spans="1:6" x14ac:dyDescent="0.25">
      <c r="A541" s="7"/>
      <c r="E541" s="7"/>
      <c r="F541" s="7"/>
    </row>
    <row r="542" spans="1:6" x14ac:dyDescent="0.25">
      <c r="A542" s="7"/>
      <c r="E542" s="7"/>
      <c r="F542" s="7"/>
    </row>
    <row r="543" spans="1:6" x14ac:dyDescent="0.25">
      <c r="A543" s="7"/>
      <c r="E543" s="7"/>
      <c r="F543" s="7"/>
    </row>
    <row r="544" spans="1:6" x14ac:dyDescent="0.25">
      <c r="A544" s="7"/>
      <c r="E544" s="7"/>
      <c r="F544" s="7"/>
    </row>
    <row r="545" spans="1:6" x14ac:dyDescent="0.25">
      <c r="A545" s="7"/>
      <c r="E545" s="7"/>
      <c r="F545" s="7"/>
    </row>
    <row r="546" spans="1:6" x14ac:dyDescent="0.25">
      <c r="A546" s="7"/>
      <c r="E546" s="7"/>
      <c r="F546" s="7"/>
    </row>
    <row r="547" spans="1:6" x14ac:dyDescent="0.25">
      <c r="A547" s="7"/>
      <c r="E547" s="7"/>
      <c r="F547" s="7"/>
    </row>
    <row r="548" spans="1:6" x14ac:dyDescent="0.25">
      <c r="A548" s="7"/>
      <c r="E548" s="7"/>
      <c r="F548" s="7"/>
    </row>
    <row r="549" spans="1:6" x14ac:dyDescent="0.25">
      <c r="A549" s="7"/>
      <c r="E549" s="7"/>
      <c r="F549" s="7"/>
    </row>
    <row r="550" spans="1:6" x14ac:dyDescent="0.25">
      <c r="A550" s="7"/>
      <c r="E550" s="7"/>
      <c r="F550" s="7"/>
    </row>
    <row r="551" spans="1:6" x14ac:dyDescent="0.25">
      <c r="A551" s="7"/>
      <c r="E551" s="7"/>
      <c r="F551" s="7"/>
    </row>
    <row r="552" spans="1:6" x14ac:dyDescent="0.25">
      <c r="A552" s="7"/>
      <c r="E552" s="7"/>
      <c r="F552" s="7"/>
    </row>
    <row r="553" spans="1:6" x14ac:dyDescent="0.25">
      <c r="A553" s="7"/>
      <c r="E553" s="7"/>
      <c r="F553" s="7"/>
    </row>
    <row r="554" spans="1:6" x14ac:dyDescent="0.25">
      <c r="A554" s="7"/>
      <c r="E554" s="7"/>
      <c r="F554" s="7"/>
    </row>
    <row r="555" spans="1:6" x14ac:dyDescent="0.25">
      <c r="A555" s="7"/>
      <c r="E555" s="7"/>
      <c r="F555" s="7"/>
    </row>
    <row r="556" spans="1:6" x14ac:dyDescent="0.25">
      <c r="A556" s="7"/>
      <c r="E556" s="7"/>
      <c r="F556" s="7"/>
    </row>
    <row r="557" spans="1:6" x14ac:dyDescent="0.25">
      <c r="A557" s="7"/>
      <c r="E557" s="7"/>
      <c r="F557" s="7"/>
    </row>
    <row r="558" spans="1:6" x14ac:dyDescent="0.25">
      <c r="A558" s="7"/>
      <c r="E558" s="7"/>
      <c r="F558" s="7"/>
    </row>
    <row r="559" spans="1:6" x14ac:dyDescent="0.25">
      <c r="A559" s="7"/>
      <c r="E559" s="7"/>
      <c r="F559" s="7"/>
    </row>
    <row r="560" spans="1:6" x14ac:dyDescent="0.25">
      <c r="A560" s="7"/>
      <c r="E560" s="7"/>
      <c r="F560" s="7"/>
    </row>
    <row r="561" spans="1:6" x14ac:dyDescent="0.25">
      <c r="A561" s="7"/>
      <c r="E561" s="7"/>
      <c r="F561" s="7"/>
    </row>
    <row r="562" spans="1:6" x14ac:dyDescent="0.25">
      <c r="A562" s="7"/>
      <c r="E562" s="7"/>
      <c r="F562" s="7"/>
    </row>
    <row r="563" spans="1:6" x14ac:dyDescent="0.25">
      <c r="A563" s="7"/>
      <c r="E563" s="7"/>
      <c r="F563" s="7"/>
    </row>
    <row r="564" spans="1:6" x14ac:dyDescent="0.25">
      <c r="A564" s="7"/>
      <c r="E564" s="7"/>
      <c r="F564" s="7"/>
    </row>
    <row r="565" spans="1:6" x14ac:dyDescent="0.25">
      <c r="A565" s="7"/>
      <c r="E565" s="7"/>
      <c r="F565" s="7"/>
    </row>
    <row r="566" spans="1:6" x14ac:dyDescent="0.25">
      <c r="A566" s="7"/>
      <c r="E566" s="7"/>
      <c r="F566" s="7"/>
    </row>
    <row r="567" spans="1:6" x14ac:dyDescent="0.25">
      <c r="A567" s="7"/>
      <c r="E567" s="7"/>
      <c r="F567" s="7"/>
    </row>
    <row r="568" spans="1:6" x14ac:dyDescent="0.25">
      <c r="A568" s="7"/>
      <c r="E568" s="7"/>
      <c r="F568" s="7"/>
    </row>
    <row r="569" spans="1:6" x14ac:dyDescent="0.25">
      <c r="A569" s="7"/>
      <c r="E569" s="7"/>
      <c r="F569" s="7"/>
    </row>
    <row r="570" spans="1:6" x14ac:dyDescent="0.25">
      <c r="A570" s="7"/>
      <c r="E570" s="7"/>
      <c r="F570" s="7"/>
    </row>
    <row r="571" spans="1:6" x14ac:dyDescent="0.25">
      <c r="A571" s="7"/>
      <c r="E571" s="7"/>
      <c r="F571" s="7"/>
    </row>
    <row r="572" spans="1:6" x14ac:dyDescent="0.25">
      <c r="A572" s="7"/>
      <c r="E572" s="7"/>
      <c r="F572" s="7"/>
    </row>
    <row r="573" spans="1:6" x14ac:dyDescent="0.25">
      <c r="A573" s="7"/>
      <c r="E573" s="7"/>
      <c r="F573" s="7"/>
    </row>
    <row r="574" spans="1:6" x14ac:dyDescent="0.25">
      <c r="A574" s="7"/>
      <c r="E574" s="7"/>
      <c r="F574" s="7"/>
    </row>
    <row r="575" spans="1:6" x14ac:dyDescent="0.25">
      <c r="A575" s="7"/>
      <c r="E575" s="7"/>
      <c r="F575" s="7"/>
    </row>
    <row r="576" spans="1:6" x14ac:dyDescent="0.25">
      <c r="A576" s="7"/>
      <c r="E576" s="7"/>
      <c r="F576" s="7"/>
    </row>
    <row r="577" spans="1:6" x14ac:dyDescent="0.25">
      <c r="A577" s="7"/>
      <c r="E577" s="7"/>
      <c r="F577" s="7"/>
    </row>
    <row r="578" spans="1:6" x14ac:dyDescent="0.25">
      <c r="A578" s="7"/>
      <c r="E578" s="7"/>
      <c r="F578" s="7"/>
    </row>
    <row r="579" spans="1:6" x14ac:dyDescent="0.25">
      <c r="A579" s="7"/>
      <c r="E579" s="7"/>
      <c r="F579" s="7"/>
    </row>
    <row r="580" spans="1:6" x14ac:dyDescent="0.25">
      <c r="A580" s="7"/>
      <c r="E580" s="7"/>
      <c r="F580" s="7"/>
    </row>
    <row r="581" spans="1:6" x14ac:dyDescent="0.25">
      <c r="A581" s="7"/>
      <c r="E581" s="7"/>
      <c r="F581" s="7"/>
    </row>
    <row r="582" spans="1:6" x14ac:dyDescent="0.25">
      <c r="A582" s="7"/>
      <c r="E582" s="7"/>
      <c r="F582" s="7"/>
    </row>
    <row r="583" spans="1:6" x14ac:dyDescent="0.25">
      <c r="A583" s="7"/>
      <c r="E583" s="7"/>
      <c r="F583" s="7"/>
    </row>
    <row r="584" spans="1:6" x14ac:dyDescent="0.25">
      <c r="A584" s="7"/>
      <c r="E584" s="7"/>
      <c r="F584" s="7"/>
    </row>
    <row r="585" spans="1:6" x14ac:dyDescent="0.25">
      <c r="A585" s="7"/>
      <c r="E585" s="7"/>
      <c r="F585" s="7"/>
    </row>
    <row r="586" spans="1:6" x14ac:dyDescent="0.25">
      <c r="A586" s="7"/>
      <c r="E586" s="7"/>
      <c r="F586" s="7"/>
    </row>
    <row r="587" spans="1:6" x14ac:dyDescent="0.25">
      <c r="A587" s="7"/>
      <c r="E587" s="7"/>
      <c r="F587" s="7"/>
    </row>
    <row r="588" spans="1:6" x14ac:dyDescent="0.25">
      <c r="A588" s="7"/>
      <c r="E588" s="7"/>
      <c r="F588" s="7"/>
    </row>
    <row r="589" spans="1:6" x14ac:dyDescent="0.25">
      <c r="A589" s="7"/>
      <c r="E589" s="7"/>
      <c r="F589" s="7"/>
    </row>
    <row r="590" spans="1:6" x14ac:dyDescent="0.25">
      <c r="A590" s="7"/>
      <c r="E590" s="7"/>
      <c r="F590" s="7"/>
    </row>
    <row r="591" spans="1:6" x14ac:dyDescent="0.25">
      <c r="A591" s="7"/>
      <c r="E591" s="7"/>
      <c r="F591" s="7"/>
    </row>
    <row r="592" spans="1:6" x14ac:dyDescent="0.25">
      <c r="A592" s="7"/>
      <c r="E592" s="7"/>
      <c r="F592" s="7"/>
    </row>
    <row r="593" spans="1:6" x14ac:dyDescent="0.25">
      <c r="A593" s="7"/>
      <c r="E593" s="7"/>
      <c r="F593" s="7"/>
    </row>
    <row r="594" spans="1:6" x14ac:dyDescent="0.25">
      <c r="A594" s="7"/>
      <c r="E594" s="7"/>
      <c r="F594" s="7"/>
    </row>
    <row r="595" spans="1:6" x14ac:dyDescent="0.25">
      <c r="A595" s="7"/>
      <c r="E595" s="7"/>
      <c r="F595" s="7"/>
    </row>
    <row r="596" spans="1:6" x14ac:dyDescent="0.25">
      <c r="A596" s="7"/>
      <c r="E596" s="7"/>
      <c r="F596" s="7"/>
    </row>
    <row r="597" spans="1:6" x14ac:dyDescent="0.25">
      <c r="A597" s="7"/>
      <c r="E597" s="7"/>
      <c r="F597" s="7"/>
    </row>
    <row r="598" spans="1:6" x14ac:dyDescent="0.25">
      <c r="A598" s="7"/>
      <c r="E598" s="7"/>
      <c r="F598" s="7"/>
    </row>
    <row r="599" spans="1:6" x14ac:dyDescent="0.25">
      <c r="A599" s="7"/>
      <c r="E599" s="7"/>
      <c r="F599" s="7"/>
    </row>
    <row r="600" spans="1:6" x14ac:dyDescent="0.25">
      <c r="A600" s="7"/>
      <c r="E600" s="7"/>
      <c r="F600" s="7"/>
    </row>
    <row r="601" spans="1:6" x14ac:dyDescent="0.25">
      <c r="A601" s="7"/>
      <c r="E601" s="7"/>
      <c r="F601" s="7"/>
    </row>
    <row r="602" spans="1:6" x14ac:dyDescent="0.25">
      <c r="A602" s="7"/>
      <c r="E602" s="7"/>
      <c r="F602" s="7"/>
    </row>
    <row r="603" spans="1:6" x14ac:dyDescent="0.25">
      <c r="A603" s="7"/>
      <c r="E603" s="7"/>
      <c r="F603" s="7"/>
    </row>
    <row r="604" spans="1:6" x14ac:dyDescent="0.25">
      <c r="A604" s="7"/>
      <c r="E604" s="7"/>
      <c r="F604" s="7"/>
    </row>
    <row r="605" spans="1:6" x14ac:dyDescent="0.25">
      <c r="A605" s="7"/>
      <c r="E605" s="7"/>
      <c r="F605" s="7"/>
    </row>
    <row r="606" spans="1:6" x14ac:dyDescent="0.25">
      <c r="A606" s="7"/>
      <c r="E606" s="7"/>
      <c r="F606" s="7"/>
    </row>
    <row r="607" spans="1:6" x14ac:dyDescent="0.25">
      <c r="A607" s="7"/>
      <c r="E607" s="7"/>
      <c r="F607" s="7"/>
    </row>
    <row r="608" spans="1:6" x14ac:dyDescent="0.25">
      <c r="A608" s="7"/>
      <c r="E608" s="7"/>
      <c r="F608" s="7"/>
    </row>
    <row r="609" spans="1:6" x14ac:dyDescent="0.25">
      <c r="A609" s="7"/>
      <c r="E609" s="7"/>
      <c r="F609" s="7"/>
    </row>
    <row r="610" spans="1:6" x14ac:dyDescent="0.25">
      <c r="A610" s="7"/>
      <c r="E610" s="7"/>
      <c r="F610" s="7"/>
    </row>
    <row r="611" spans="1:6" x14ac:dyDescent="0.25">
      <c r="A611" s="7"/>
      <c r="E611" s="7"/>
      <c r="F611" s="7"/>
    </row>
    <row r="612" spans="1:6" x14ac:dyDescent="0.25">
      <c r="A612" s="7"/>
      <c r="E612" s="7"/>
      <c r="F612" s="7"/>
    </row>
    <row r="613" spans="1:6" x14ac:dyDescent="0.25">
      <c r="A613" s="7"/>
      <c r="E613" s="7"/>
      <c r="F613" s="7"/>
    </row>
    <row r="614" spans="1:6" x14ac:dyDescent="0.25">
      <c r="A614" s="7"/>
      <c r="E614" s="7"/>
      <c r="F614" s="7"/>
    </row>
    <row r="615" spans="1:6" x14ac:dyDescent="0.25">
      <c r="A615" s="7"/>
      <c r="E615" s="7"/>
      <c r="F615" s="7"/>
    </row>
    <row r="616" spans="1:6" x14ac:dyDescent="0.25">
      <c r="A616" s="7"/>
      <c r="E616" s="7"/>
      <c r="F616" s="7"/>
    </row>
    <row r="617" spans="1:6" x14ac:dyDescent="0.25">
      <c r="A617" s="7"/>
      <c r="E617" s="7"/>
      <c r="F617" s="7"/>
    </row>
    <row r="618" spans="1:6" x14ac:dyDescent="0.25">
      <c r="A618" s="7"/>
      <c r="E618" s="7"/>
      <c r="F618" s="7"/>
    </row>
    <row r="619" spans="1:6" x14ac:dyDescent="0.25">
      <c r="A619" s="7"/>
      <c r="E619" s="7"/>
      <c r="F619" s="7"/>
    </row>
    <row r="620" spans="1:6" x14ac:dyDescent="0.25">
      <c r="A620" s="7"/>
      <c r="E620" s="7"/>
      <c r="F620" s="7"/>
    </row>
    <row r="621" spans="1:6" x14ac:dyDescent="0.25">
      <c r="A621" s="7"/>
      <c r="E621" s="7"/>
      <c r="F621" s="7"/>
    </row>
    <row r="622" spans="1:6" x14ac:dyDescent="0.25">
      <c r="A622" s="7"/>
      <c r="E622" s="7"/>
      <c r="F622" s="7"/>
    </row>
    <row r="623" spans="1:6" x14ac:dyDescent="0.25">
      <c r="A623" s="7"/>
      <c r="E623" s="7"/>
      <c r="F623" s="7"/>
    </row>
    <row r="624" spans="1:6" x14ac:dyDescent="0.25">
      <c r="A624" s="7"/>
      <c r="E624" s="7"/>
      <c r="F624" s="7"/>
    </row>
    <row r="625" spans="1:6" x14ac:dyDescent="0.25">
      <c r="A625" s="7"/>
      <c r="E625" s="7"/>
      <c r="F625" s="7"/>
    </row>
    <row r="626" spans="1:6" x14ac:dyDescent="0.25">
      <c r="A626" s="7"/>
      <c r="E626" s="7"/>
      <c r="F626" s="7"/>
    </row>
    <row r="627" spans="1:6" x14ac:dyDescent="0.25">
      <c r="A627" s="7"/>
      <c r="E627" s="7"/>
      <c r="F627" s="7"/>
    </row>
    <row r="628" spans="1:6" x14ac:dyDescent="0.25">
      <c r="A628" s="7"/>
      <c r="E628" s="7"/>
      <c r="F628" s="7"/>
    </row>
    <row r="629" spans="1:6" x14ac:dyDescent="0.25">
      <c r="A629" s="7"/>
      <c r="E629" s="7"/>
      <c r="F629" s="7"/>
    </row>
    <row r="630" spans="1:6" x14ac:dyDescent="0.25">
      <c r="A630" s="7"/>
      <c r="E630" s="7"/>
      <c r="F630" s="7"/>
    </row>
    <row r="631" spans="1:6" x14ac:dyDescent="0.25">
      <c r="A631" s="7"/>
      <c r="E631" s="7"/>
      <c r="F631" s="7"/>
    </row>
    <row r="632" spans="1:6" x14ac:dyDescent="0.25">
      <c r="A632" s="7"/>
      <c r="E632" s="7"/>
      <c r="F632" s="7"/>
    </row>
    <row r="633" spans="1:6" x14ac:dyDescent="0.25">
      <c r="A633" s="7"/>
      <c r="E633" s="7"/>
      <c r="F633" s="7"/>
    </row>
    <row r="634" spans="1:6" x14ac:dyDescent="0.25">
      <c r="A634" s="7"/>
      <c r="E634" s="7"/>
      <c r="F634" s="7"/>
    </row>
    <row r="635" spans="1:6" x14ac:dyDescent="0.25">
      <c r="A635" s="7"/>
      <c r="E635" s="7"/>
      <c r="F635" s="7"/>
    </row>
    <row r="636" spans="1:6" x14ac:dyDescent="0.25">
      <c r="A636" s="7"/>
      <c r="E636" s="7"/>
      <c r="F636" s="7"/>
    </row>
    <row r="637" spans="1:6" x14ac:dyDescent="0.25">
      <c r="A637" s="7"/>
      <c r="E637" s="7"/>
      <c r="F637" s="7"/>
    </row>
    <row r="638" spans="1:6" x14ac:dyDescent="0.25">
      <c r="A638" s="7"/>
      <c r="E638" s="7"/>
      <c r="F638" s="7"/>
    </row>
    <row r="639" spans="1:6" x14ac:dyDescent="0.25">
      <c r="A639" s="7"/>
      <c r="E639" s="7"/>
      <c r="F639" s="7"/>
    </row>
    <row r="640" spans="1:6" x14ac:dyDescent="0.25">
      <c r="A640" s="7"/>
      <c r="E640" s="7"/>
      <c r="F640" s="7"/>
    </row>
    <row r="641" spans="1:6" x14ac:dyDescent="0.25">
      <c r="A641" s="7"/>
      <c r="E641" s="7"/>
      <c r="F641" s="7"/>
    </row>
    <row r="642" spans="1:6" x14ac:dyDescent="0.25">
      <c r="A642" s="7"/>
      <c r="E642" s="7"/>
      <c r="F642" s="7"/>
    </row>
    <row r="643" spans="1:6" x14ac:dyDescent="0.25">
      <c r="A643" s="7"/>
      <c r="E643" s="7"/>
      <c r="F643" s="7"/>
    </row>
    <row r="644" spans="1:6" x14ac:dyDescent="0.25">
      <c r="A644" s="7"/>
      <c r="E644" s="7"/>
      <c r="F644" s="7"/>
    </row>
    <row r="645" spans="1:6" x14ac:dyDescent="0.25">
      <c r="A645" s="7"/>
      <c r="E645" s="7"/>
      <c r="F645" s="7"/>
    </row>
    <row r="646" spans="1:6" x14ac:dyDescent="0.25">
      <c r="A646" s="7"/>
      <c r="E646" s="7"/>
      <c r="F646" s="7"/>
    </row>
    <row r="647" spans="1:6" x14ac:dyDescent="0.25">
      <c r="A647" s="7"/>
      <c r="E647" s="7"/>
      <c r="F647" s="7"/>
    </row>
    <row r="648" spans="1:6" x14ac:dyDescent="0.25">
      <c r="A648" s="7"/>
      <c r="E648" s="7"/>
      <c r="F648" s="7"/>
    </row>
    <row r="649" spans="1:6" x14ac:dyDescent="0.25">
      <c r="A649" s="7"/>
      <c r="E649" s="7"/>
      <c r="F649" s="7"/>
    </row>
    <row r="650" spans="1:6" x14ac:dyDescent="0.25">
      <c r="A650" s="7"/>
      <c r="E650" s="7"/>
      <c r="F650" s="7"/>
    </row>
    <row r="651" spans="1:6" x14ac:dyDescent="0.25">
      <c r="A651" s="7"/>
      <c r="E651" s="7"/>
      <c r="F651" s="7"/>
    </row>
    <row r="652" spans="1:6" x14ac:dyDescent="0.25">
      <c r="A652" s="7"/>
      <c r="E652" s="7"/>
      <c r="F652" s="7"/>
    </row>
    <row r="653" spans="1:6" x14ac:dyDescent="0.25">
      <c r="A653" s="7"/>
      <c r="E653" s="7"/>
      <c r="F653" s="7"/>
    </row>
    <row r="654" spans="1:6" x14ac:dyDescent="0.25">
      <c r="A654" s="7"/>
      <c r="E654" s="7"/>
      <c r="F654" s="7"/>
    </row>
    <row r="655" spans="1:6" x14ac:dyDescent="0.25">
      <c r="A655" s="7"/>
      <c r="E655" s="7"/>
      <c r="F655" s="7"/>
    </row>
    <row r="656" spans="1:6" x14ac:dyDescent="0.25">
      <c r="A656" s="7"/>
      <c r="E656" s="7"/>
      <c r="F656" s="7"/>
    </row>
    <row r="657" spans="1:6" x14ac:dyDescent="0.25">
      <c r="A657" s="7"/>
      <c r="E657" s="7"/>
      <c r="F657" s="7"/>
    </row>
    <row r="658" spans="1:6" x14ac:dyDescent="0.25">
      <c r="A658" s="7"/>
      <c r="E658" s="7"/>
      <c r="F658" s="7"/>
    </row>
    <row r="659" spans="1:6" x14ac:dyDescent="0.25">
      <c r="A659" s="7"/>
      <c r="E659" s="7"/>
      <c r="F659" s="7"/>
    </row>
    <row r="660" spans="1:6" x14ac:dyDescent="0.25">
      <c r="A660" s="7"/>
      <c r="E660" s="7"/>
      <c r="F660" s="7"/>
    </row>
    <row r="661" spans="1:6" x14ac:dyDescent="0.25">
      <c r="A661" s="7"/>
      <c r="E661" s="7"/>
      <c r="F661" s="7"/>
    </row>
    <row r="662" spans="1:6" x14ac:dyDescent="0.25">
      <c r="A662" s="7"/>
      <c r="E662" s="7"/>
      <c r="F662" s="7"/>
    </row>
    <row r="663" spans="1:6" x14ac:dyDescent="0.25">
      <c r="A663" s="7"/>
      <c r="E663" s="7"/>
      <c r="F663" s="7"/>
    </row>
    <row r="664" spans="1:6" x14ac:dyDescent="0.25">
      <c r="A664" s="7"/>
      <c r="E664" s="7"/>
      <c r="F664" s="7"/>
    </row>
    <row r="665" spans="1:6" x14ac:dyDescent="0.25">
      <c r="A665" s="7"/>
      <c r="E665" s="7"/>
      <c r="F665" s="7"/>
    </row>
    <row r="666" spans="1:6" x14ac:dyDescent="0.25">
      <c r="A666" s="7"/>
      <c r="E666" s="7"/>
      <c r="F666" s="7"/>
    </row>
    <row r="667" spans="1:6" x14ac:dyDescent="0.25">
      <c r="A667" s="7"/>
      <c r="E667" s="7"/>
      <c r="F667" s="7"/>
    </row>
    <row r="668" spans="1:6" x14ac:dyDescent="0.25">
      <c r="A668" s="7"/>
      <c r="E668" s="7"/>
      <c r="F668" s="7"/>
    </row>
    <row r="669" spans="1:6" x14ac:dyDescent="0.25">
      <c r="A669" s="7"/>
      <c r="E669" s="7"/>
      <c r="F669" s="7"/>
    </row>
    <row r="670" spans="1:6" x14ac:dyDescent="0.25">
      <c r="A670" s="7"/>
      <c r="E670" s="7"/>
      <c r="F670" s="7"/>
    </row>
    <row r="671" spans="1:6" x14ac:dyDescent="0.25">
      <c r="A671" s="7"/>
      <c r="E671" s="7"/>
      <c r="F671" s="7"/>
    </row>
    <row r="672" spans="1:6" x14ac:dyDescent="0.25">
      <c r="A672" s="7"/>
      <c r="E672" s="7"/>
      <c r="F672" s="7"/>
    </row>
    <row r="673" spans="1:6" x14ac:dyDescent="0.25">
      <c r="A673" s="7"/>
      <c r="E673" s="7"/>
      <c r="F673" s="7"/>
    </row>
    <row r="674" spans="1:6" x14ac:dyDescent="0.25">
      <c r="A674" s="7"/>
      <c r="E674" s="7"/>
      <c r="F674" s="7"/>
    </row>
    <row r="675" spans="1:6" x14ac:dyDescent="0.25">
      <c r="A675" s="7"/>
      <c r="E675" s="7"/>
      <c r="F675" s="7"/>
    </row>
    <row r="676" spans="1:6" x14ac:dyDescent="0.25">
      <c r="A676" s="7"/>
      <c r="E676" s="7"/>
      <c r="F676" s="7"/>
    </row>
    <row r="677" spans="1:6" x14ac:dyDescent="0.25">
      <c r="A677" s="7"/>
      <c r="E677" s="7"/>
      <c r="F677" s="7"/>
    </row>
    <row r="678" spans="1:6" x14ac:dyDescent="0.25">
      <c r="A678" s="7"/>
      <c r="E678" s="7"/>
      <c r="F678" s="7"/>
    </row>
    <row r="679" spans="1:6" x14ac:dyDescent="0.25">
      <c r="A679" s="7"/>
      <c r="E679" s="7"/>
      <c r="F679" s="7"/>
    </row>
    <row r="680" spans="1:6" x14ac:dyDescent="0.25">
      <c r="A680" s="7"/>
      <c r="E680" s="7"/>
      <c r="F680" s="7"/>
    </row>
    <row r="681" spans="1:6" x14ac:dyDescent="0.25">
      <c r="A681" s="7"/>
      <c r="E681" s="7"/>
      <c r="F681" s="7"/>
    </row>
    <row r="682" spans="1:6" x14ac:dyDescent="0.25">
      <c r="A682" s="7"/>
      <c r="E682" s="7"/>
      <c r="F682" s="7"/>
    </row>
    <row r="683" spans="1:6" x14ac:dyDescent="0.25">
      <c r="A683" s="7"/>
      <c r="E683" s="7"/>
      <c r="F683" s="7"/>
    </row>
    <row r="684" spans="1:6" x14ac:dyDescent="0.25">
      <c r="A684" s="7"/>
      <c r="E684" s="7"/>
      <c r="F684" s="7"/>
    </row>
    <row r="685" spans="1:6" x14ac:dyDescent="0.25">
      <c r="A685" s="7"/>
      <c r="E685" s="7"/>
      <c r="F685" s="7"/>
    </row>
    <row r="686" spans="1:6" x14ac:dyDescent="0.25">
      <c r="A686" s="7"/>
      <c r="E686" s="7"/>
      <c r="F686" s="7"/>
    </row>
    <row r="687" spans="1:6" x14ac:dyDescent="0.25">
      <c r="A687" s="7"/>
      <c r="E687" s="7"/>
      <c r="F687" s="7"/>
    </row>
    <row r="688" spans="1:6" x14ac:dyDescent="0.25">
      <c r="A688" s="7"/>
      <c r="E688" s="7"/>
      <c r="F688" s="7"/>
    </row>
    <row r="689" spans="1:6" x14ac:dyDescent="0.25">
      <c r="A689" s="7"/>
      <c r="E689" s="7"/>
      <c r="F689" s="7"/>
    </row>
    <row r="690" spans="1:6" x14ac:dyDescent="0.25">
      <c r="A690" s="7"/>
      <c r="E690" s="7"/>
      <c r="F690" s="7"/>
    </row>
    <row r="691" spans="1:6" x14ac:dyDescent="0.25">
      <c r="A691" s="7"/>
      <c r="E691" s="7"/>
      <c r="F691" s="7"/>
    </row>
    <row r="692" spans="1:6" x14ac:dyDescent="0.25">
      <c r="A692" s="7"/>
      <c r="E692" s="7"/>
      <c r="F692" s="7"/>
    </row>
    <row r="693" spans="1:6" x14ac:dyDescent="0.25">
      <c r="A693" s="7"/>
      <c r="E693" s="7"/>
      <c r="F693" s="7"/>
    </row>
    <row r="694" spans="1:6" x14ac:dyDescent="0.25">
      <c r="A694" s="7"/>
      <c r="E694" s="7"/>
      <c r="F694" s="7"/>
    </row>
    <row r="695" spans="1:6" x14ac:dyDescent="0.25">
      <c r="A695" s="7"/>
      <c r="E695" s="7"/>
      <c r="F695" s="7"/>
    </row>
    <row r="696" spans="1:6" x14ac:dyDescent="0.25">
      <c r="A696" s="7"/>
      <c r="E696" s="7"/>
      <c r="F696" s="7"/>
    </row>
    <row r="697" spans="1:6" x14ac:dyDescent="0.25">
      <c r="A697" s="7"/>
      <c r="E697" s="7"/>
      <c r="F697" s="7"/>
    </row>
    <row r="698" spans="1:6" x14ac:dyDescent="0.25">
      <c r="A698" s="7"/>
      <c r="E698" s="7"/>
      <c r="F698" s="7"/>
    </row>
    <row r="699" spans="1:6" x14ac:dyDescent="0.25">
      <c r="A699" s="7"/>
      <c r="E699" s="7"/>
      <c r="F699" s="7"/>
    </row>
    <row r="700" spans="1:6" x14ac:dyDescent="0.25">
      <c r="A700" s="7"/>
      <c r="E700" s="7"/>
      <c r="F700" s="7"/>
    </row>
    <row r="701" spans="1:6" x14ac:dyDescent="0.25">
      <c r="A701" s="7"/>
      <c r="E701" s="7"/>
      <c r="F701" s="7"/>
    </row>
    <row r="702" spans="1:6" x14ac:dyDescent="0.25">
      <c r="A702" s="7"/>
      <c r="E702" s="7"/>
      <c r="F702" s="7"/>
    </row>
    <row r="703" spans="1:6" x14ac:dyDescent="0.25">
      <c r="A703" s="7"/>
      <c r="E703" s="7"/>
      <c r="F703" s="7"/>
    </row>
    <row r="704" spans="1:6" x14ac:dyDescent="0.25">
      <c r="A704" s="7"/>
      <c r="E704" s="7"/>
      <c r="F704" s="7"/>
    </row>
    <row r="705" spans="1:6" x14ac:dyDescent="0.25">
      <c r="A705" s="7"/>
      <c r="E705" s="7"/>
      <c r="F705" s="7"/>
    </row>
    <row r="706" spans="1:6" x14ac:dyDescent="0.25">
      <c r="A706" s="7"/>
      <c r="E706" s="7"/>
      <c r="F706" s="7"/>
    </row>
    <row r="707" spans="1:6" x14ac:dyDescent="0.25">
      <c r="A707" s="7"/>
      <c r="E707" s="7"/>
      <c r="F707" s="7"/>
    </row>
    <row r="708" spans="1:6" x14ac:dyDescent="0.25">
      <c r="A708" s="7"/>
      <c r="E708" s="7"/>
      <c r="F708" s="7"/>
    </row>
    <row r="709" spans="1:6" x14ac:dyDescent="0.25">
      <c r="A709" s="7"/>
      <c r="E709" s="7"/>
      <c r="F709" s="7"/>
    </row>
    <row r="710" spans="1:6" x14ac:dyDescent="0.25">
      <c r="A710" s="7"/>
      <c r="E710" s="7"/>
      <c r="F710" s="7"/>
    </row>
    <row r="711" spans="1:6" x14ac:dyDescent="0.25">
      <c r="A711" s="7"/>
      <c r="E711" s="7"/>
      <c r="F711" s="7"/>
    </row>
    <row r="712" spans="1:6" x14ac:dyDescent="0.25">
      <c r="A712" s="7"/>
      <c r="E712" s="7"/>
      <c r="F712" s="7"/>
    </row>
    <row r="713" spans="1:6" x14ac:dyDescent="0.25">
      <c r="A713" s="7"/>
      <c r="E713" s="7"/>
      <c r="F713" s="7"/>
    </row>
    <row r="714" spans="1:6" x14ac:dyDescent="0.25">
      <c r="A714" s="7"/>
      <c r="E714" s="7"/>
      <c r="F714" s="7"/>
    </row>
    <row r="715" spans="1:6" x14ac:dyDescent="0.25">
      <c r="A715" s="7"/>
      <c r="E715" s="7"/>
      <c r="F715" s="7"/>
    </row>
    <row r="716" spans="1:6" x14ac:dyDescent="0.25">
      <c r="A716" s="7"/>
      <c r="E716" s="7"/>
      <c r="F716" s="7"/>
    </row>
    <row r="717" spans="1:6" x14ac:dyDescent="0.25">
      <c r="A717" s="7"/>
      <c r="E717" s="7"/>
      <c r="F717" s="7"/>
    </row>
    <row r="718" spans="1:6" x14ac:dyDescent="0.25">
      <c r="A718" s="7"/>
      <c r="E718" s="7"/>
      <c r="F718" s="7"/>
    </row>
    <row r="719" spans="1:6" x14ac:dyDescent="0.25">
      <c r="A719" s="7"/>
      <c r="E719" s="7"/>
      <c r="F719" s="7"/>
    </row>
    <row r="720" spans="1:6" x14ac:dyDescent="0.25">
      <c r="A720" s="7"/>
      <c r="E720" s="7"/>
      <c r="F720" s="7"/>
    </row>
    <row r="721" spans="1:6" x14ac:dyDescent="0.25">
      <c r="A721" s="7"/>
      <c r="E721" s="7"/>
      <c r="F721" s="7"/>
    </row>
    <row r="722" spans="1:6" x14ac:dyDescent="0.25">
      <c r="A722" s="7"/>
      <c r="E722" s="7"/>
      <c r="F722" s="7"/>
    </row>
    <row r="723" spans="1:6" x14ac:dyDescent="0.25">
      <c r="A723" s="7"/>
      <c r="E723" s="7"/>
      <c r="F723" s="7"/>
    </row>
    <row r="724" spans="1:6" x14ac:dyDescent="0.25">
      <c r="A724" s="7"/>
      <c r="E724" s="7"/>
      <c r="F724" s="7"/>
    </row>
    <row r="725" spans="1:6" x14ac:dyDescent="0.25">
      <c r="A725" s="7"/>
      <c r="E725" s="7"/>
      <c r="F725" s="7"/>
    </row>
    <row r="726" spans="1:6" x14ac:dyDescent="0.25">
      <c r="A726" s="7"/>
      <c r="E726" s="7"/>
      <c r="F726" s="7"/>
    </row>
    <row r="727" spans="1:6" x14ac:dyDescent="0.25">
      <c r="A727" s="7"/>
      <c r="E727" s="7"/>
      <c r="F727" s="7"/>
    </row>
    <row r="728" spans="1:6" x14ac:dyDescent="0.25">
      <c r="A728" s="7"/>
      <c r="E728" s="7"/>
      <c r="F728" s="7"/>
    </row>
    <row r="729" spans="1:6" x14ac:dyDescent="0.25">
      <c r="A729" s="7"/>
      <c r="E729" s="7"/>
      <c r="F729" s="7"/>
    </row>
    <row r="730" spans="1:6" x14ac:dyDescent="0.25">
      <c r="A730" s="7"/>
      <c r="E730" s="7"/>
      <c r="F730" s="7"/>
    </row>
    <row r="731" spans="1:6" x14ac:dyDescent="0.25">
      <c r="A731" s="7"/>
      <c r="E731" s="7"/>
      <c r="F731" s="7"/>
    </row>
    <row r="732" spans="1:6" x14ac:dyDescent="0.25">
      <c r="A732" s="7"/>
      <c r="E732" s="7"/>
      <c r="F732" s="7"/>
    </row>
    <row r="733" spans="1:6" x14ac:dyDescent="0.25">
      <c r="A733" s="7"/>
      <c r="E733" s="7"/>
      <c r="F733" s="7"/>
    </row>
    <row r="734" spans="1:6" x14ac:dyDescent="0.25">
      <c r="A734" s="7"/>
      <c r="E734" s="7"/>
      <c r="F734" s="7"/>
    </row>
    <row r="735" spans="1:6" x14ac:dyDescent="0.25">
      <c r="A735" s="7"/>
      <c r="E735" s="7"/>
      <c r="F735" s="7"/>
    </row>
    <row r="736" spans="1:6" x14ac:dyDescent="0.25">
      <c r="A736" s="7"/>
      <c r="E736" s="7"/>
      <c r="F736" s="7"/>
    </row>
    <row r="737" spans="1:6" x14ac:dyDescent="0.25">
      <c r="A737" s="7"/>
      <c r="E737" s="7"/>
      <c r="F737" s="7"/>
    </row>
    <row r="738" spans="1:6" x14ac:dyDescent="0.25">
      <c r="A738" s="7"/>
      <c r="E738" s="7"/>
      <c r="F738" s="7"/>
    </row>
    <row r="739" spans="1:6" x14ac:dyDescent="0.25">
      <c r="A739" s="7"/>
      <c r="E739" s="7"/>
      <c r="F739" s="7"/>
    </row>
    <row r="740" spans="1:6" x14ac:dyDescent="0.25">
      <c r="A740" s="7"/>
      <c r="E740" s="7"/>
      <c r="F740" s="7"/>
    </row>
    <row r="741" spans="1:6" x14ac:dyDescent="0.25">
      <c r="A741" s="7"/>
      <c r="E741" s="7"/>
      <c r="F741" s="7"/>
    </row>
    <row r="742" spans="1:6" x14ac:dyDescent="0.25">
      <c r="A742" s="7"/>
      <c r="E742" s="7"/>
      <c r="F742" s="7"/>
    </row>
    <row r="743" spans="1:6" x14ac:dyDescent="0.25">
      <c r="A743" s="7"/>
      <c r="E743" s="7"/>
      <c r="F743" s="7"/>
    </row>
    <row r="744" spans="1:6" x14ac:dyDescent="0.25">
      <c r="A744" s="7"/>
      <c r="E744" s="7"/>
      <c r="F744" s="7"/>
    </row>
    <row r="745" spans="1:6" x14ac:dyDescent="0.25">
      <c r="A745" s="7"/>
      <c r="E745" s="7"/>
      <c r="F745" s="7"/>
    </row>
    <row r="746" spans="1:6" x14ac:dyDescent="0.25">
      <c r="A746" s="7"/>
      <c r="E746" s="7"/>
      <c r="F746" s="7"/>
    </row>
    <row r="747" spans="1:6" x14ac:dyDescent="0.25">
      <c r="A747" s="7"/>
      <c r="E747" s="7"/>
      <c r="F747" s="7"/>
    </row>
    <row r="748" spans="1:6" x14ac:dyDescent="0.25">
      <c r="A748" s="7"/>
      <c r="E748" s="7"/>
      <c r="F748" s="7"/>
    </row>
    <row r="749" spans="1:6" x14ac:dyDescent="0.25">
      <c r="A749" s="7"/>
      <c r="E749" s="7"/>
      <c r="F749" s="7"/>
    </row>
    <row r="750" spans="1:6" x14ac:dyDescent="0.25">
      <c r="A750" s="7"/>
      <c r="E750" s="7"/>
      <c r="F750" s="7"/>
    </row>
    <row r="751" spans="1:6" x14ac:dyDescent="0.25">
      <c r="A751" s="7"/>
      <c r="E751" s="7"/>
      <c r="F751" s="7"/>
    </row>
    <row r="752" spans="1:6" x14ac:dyDescent="0.25">
      <c r="A752" s="7"/>
      <c r="E752" s="7"/>
      <c r="F752" s="7"/>
    </row>
    <row r="753" spans="1:6" x14ac:dyDescent="0.25">
      <c r="A753" s="7"/>
      <c r="E753" s="7"/>
      <c r="F753" s="7"/>
    </row>
    <row r="754" spans="1:6" x14ac:dyDescent="0.25">
      <c r="A754" s="7"/>
      <c r="E754" s="7"/>
      <c r="F754" s="7"/>
    </row>
    <row r="755" spans="1:6" x14ac:dyDescent="0.25">
      <c r="A755" s="7"/>
      <c r="E755" s="7"/>
      <c r="F755" s="7"/>
    </row>
    <row r="756" spans="1:6" x14ac:dyDescent="0.25">
      <c r="A756" s="7"/>
      <c r="E756" s="7"/>
      <c r="F756" s="7"/>
    </row>
    <row r="757" spans="1:6" x14ac:dyDescent="0.25">
      <c r="A757" s="7"/>
      <c r="E757" s="7"/>
      <c r="F757" s="7"/>
    </row>
    <row r="758" spans="1:6" x14ac:dyDescent="0.25">
      <c r="A758" s="7"/>
      <c r="E758" s="7"/>
      <c r="F758" s="7"/>
    </row>
    <row r="759" spans="1:6" x14ac:dyDescent="0.25">
      <c r="A759" s="7"/>
      <c r="E759" s="7"/>
      <c r="F759" s="7"/>
    </row>
    <row r="760" spans="1:6" x14ac:dyDescent="0.25">
      <c r="A760" s="7"/>
      <c r="E760" s="7"/>
      <c r="F760" s="7"/>
    </row>
    <row r="761" spans="1:6" x14ac:dyDescent="0.25">
      <c r="A761" s="7"/>
      <c r="E761" s="7"/>
      <c r="F761" s="7"/>
    </row>
    <row r="762" spans="1:6" x14ac:dyDescent="0.25">
      <c r="A762" s="7"/>
      <c r="E762" s="7"/>
      <c r="F762" s="7"/>
    </row>
    <row r="763" spans="1:6" x14ac:dyDescent="0.25">
      <c r="A763" s="7"/>
      <c r="E763" s="7"/>
      <c r="F763" s="7"/>
    </row>
    <row r="764" spans="1:6" x14ac:dyDescent="0.25">
      <c r="A764" s="7"/>
      <c r="E764" s="7"/>
      <c r="F764" s="7"/>
    </row>
    <row r="765" spans="1:6" x14ac:dyDescent="0.25">
      <c r="A765" s="7"/>
      <c r="E765" s="7"/>
      <c r="F765" s="7"/>
    </row>
    <row r="766" spans="1:6" x14ac:dyDescent="0.25">
      <c r="A766" s="7"/>
      <c r="E766" s="7"/>
      <c r="F766" s="7"/>
    </row>
    <row r="767" spans="1:6" x14ac:dyDescent="0.25">
      <c r="A767" s="7"/>
      <c r="E767" s="7"/>
      <c r="F767" s="7"/>
    </row>
    <row r="768" spans="1:6" x14ac:dyDescent="0.25">
      <c r="A768" s="7"/>
      <c r="E768" s="7"/>
      <c r="F768" s="7"/>
    </row>
    <row r="769" spans="1:6" x14ac:dyDescent="0.25">
      <c r="A769" s="7"/>
      <c r="E769" s="7"/>
      <c r="F769" s="7"/>
    </row>
    <row r="770" spans="1:6" x14ac:dyDescent="0.25">
      <c r="A770" s="7"/>
      <c r="E770" s="7"/>
      <c r="F770" s="7"/>
    </row>
    <row r="771" spans="1:6" x14ac:dyDescent="0.25">
      <c r="A771" s="7"/>
      <c r="E771" s="7"/>
      <c r="F771" s="7"/>
    </row>
    <row r="772" spans="1:6" x14ac:dyDescent="0.25">
      <c r="A772" s="7"/>
      <c r="E772" s="7"/>
      <c r="F772" s="7"/>
    </row>
    <row r="773" spans="1:6" x14ac:dyDescent="0.25">
      <c r="A773" s="7"/>
      <c r="E773" s="7"/>
      <c r="F773" s="7"/>
    </row>
    <row r="774" spans="1:6" x14ac:dyDescent="0.25">
      <c r="A774" s="7"/>
      <c r="E774" s="7"/>
      <c r="F774" s="7"/>
    </row>
    <row r="775" spans="1:6" x14ac:dyDescent="0.25">
      <c r="A775" s="7"/>
      <c r="E775" s="7"/>
      <c r="F775" s="7"/>
    </row>
    <row r="776" spans="1:6" x14ac:dyDescent="0.25">
      <c r="A776" s="7"/>
      <c r="E776" s="7"/>
      <c r="F776" s="7"/>
    </row>
    <row r="777" spans="1:6" x14ac:dyDescent="0.25">
      <c r="A777" s="7"/>
      <c r="E777" s="7"/>
      <c r="F777" s="7"/>
    </row>
    <row r="778" spans="1:6" x14ac:dyDescent="0.25">
      <c r="A778" s="7"/>
      <c r="E778" s="7"/>
      <c r="F778" s="7"/>
    </row>
    <row r="779" spans="1:6" x14ac:dyDescent="0.25">
      <c r="A779" s="7"/>
      <c r="E779" s="7"/>
      <c r="F779" s="7"/>
    </row>
    <row r="780" spans="1:6" x14ac:dyDescent="0.25">
      <c r="A780" s="7"/>
      <c r="E780" s="7"/>
      <c r="F780" s="7"/>
    </row>
    <row r="781" spans="1:6" x14ac:dyDescent="0.25">
      <c r="A781" s="7"/>
      <c r="E781" s="7"/>
      <c r="F781" s="7"/>
    </row>
    <row r="782" spans="1:6" x14ac:dyDescent="0.25">
      <c r="A782" s="7"/>
      <c r="E782" s="7"/>
      <c r="F782" s="7"/>
    </row>
    <row r="783" spans="1:6" x14ac:dyDescent="0.25">
      <c r="A783" s="7"/>
      <c r="E783" s="7"/>
      <c r="F783" s="7"/>
    </row>
    <row r="784" spans="1:6" x14ac:dyDescent="0.25">
      <c r="A784" s="7"/>
      <c r="E784" s="7"/>
      <c r="F784" s="7"/>
    </row>
    <row r="785" spans="1:6" x14ac:dyDescent="0.25">
      <c r="A785" s="7"/>
      <c r="E785" s="7"/>
      <c r="F785" s="7"/>
    </row>
    <row r="786" spans="1:6" x14ac:dyDescent="0.25">
      <c r="A786" s="7"/>
      <c r="E786" s="7"/>
      <c r="F786" s="7"/>
    </row>
    <row r="787" spans="1:6" x14ac:dyDescent="0.25">
      <c r="A787" s="7"/>
      <c r="E787" s="7"/>
      <c r="F787" s="7"/>
    </row>
    <row r="788" spans="1:6" x14ac:dyDescent="0.25">
      <c r="A788" s="7"/>
      <c r="E788" s="7"/>
      <c r="F788" s="7"/>
    </row>
    <row r="789" spans="1:6" x14ac:dyDescent="0.25">
      <c r="A789" s="7"/>
      <c r="E789" s="7"/>
      <c r="F789" s="7"/>
    </row>
    <row r="790" spans="1:6" x14ac:dyDescent="0.25">
      <c r="A790" s="7"/>
      <c r="E790" s="7"/>
      <c r="F790" s="7"/>
    </row>
    <row r="791" spans="1:6" x14ac:dyDescent="0.25">
      <c r="A791" s="7"/>
      <c r="E791" s="7"/>
      <c r="F791" s="7"/>
    </row>
    <row r="792" spans="1:6" x14ac:dyDescent="0.25">
      <c r="A792" s="7"/>
      <c r="E792" s="7"/>
      <c r="F792" s="7"/>
    </row>
    <row r="793" spans="1:6" x14ac:dyDescent="0.25">
      <c r="A793" s="7"/>
      <c r="E793" s="7"/>
      <c r="F793" s="7"/>
    </row>
    <row r="794" spans="1:6" x14ac:dyDescent="0.25">
      <c r="A794" s="7"/>
      <c r="E794" s="7"/>
      <c r="F794" s="7"/>
    </row>
    <row r="795" spans="1:6" x14ac:dyDescent="0.25">
      <c r="A795" s="7"/>
      <c r="E795" s="7"/>
      <c r="F795" s="7"/>
    </row>
    <row r="796" spans="1:6" x14ac:dyDescent="0.25">
      <c r="A796" s="7"/>
      <c r="E796" s="7"/>
      <c r="F796" s="7"/>
    </row>
    <row r="797" spans="1:6" x14ac:dyDescent="0.25">
      <c r="A797" s="7"/>
      <c r="E797" s="7"/>
      <c r="F797" s="7"/>
    </row>
    <row r="798" spans="1:6" x14ac:dyDescent="0.25">
      <c r="A798" s="7"/>
      <c r="E798" s="7"/>
      <c r="F798" s="7"/>
    </row>
    <row r="799" spans="1:6" x14ac:dyDescent="0.25">
      <c r="A799" s="7"/>
      <c r="E799" s="7"/>
      <c r="F799" s="7"/>
    </row>
    <row r="800" spans="1:6" x14ac:dyDescent="0.25">
      <c r="A800" s="7"/>
      <c r="E800" s="7"/>
      <c r="F800" s="7"/>
    </row>
    <row r="801" spans="1:6" x14ac:dyDescent="0.25">
      <c r="A801" s="7"/>
      <c r="E801" s="7"/>
      <c r="F801" s="7"/>
    </row>
    <row r="802" spans="1:6" x14ac:dyDescent="0.25">
      <c r="A802" s="7"/>
      <c r="E802" s="7"/>
      <c r="F802" s="7"/>
    </row>
    <row r="803" spans="1:6" x14ac:dyDescent="0.25">
      <c r="A803" s="7"/>
      <c r="E803" s="7"/>
      <c r="F803" s="7"/>
    </row>
    <row r="804" spans="1:6" x14ac:dyDescent="0.25">
      <c r="A804" s="7"/>
      <c r="E804" s="7"/>
      <c r="F804" s="7"/>
    </row>
    <row r="805" spans="1:6" x14ac:dyDescent="0.25">
      <c r="A805" s="7"/>
      <c r="E805" s="7"/>
      <c r="F805" s="7"/>
    </row>
    <row r="806" spans="1:6" x14ac:dyDescent="0.25">
      <c r="A806" s="7"/>
      <c r="E806" s="7"/>
      <c r="F806" s="7"/>
    </row>
    <row r="807" spans="1:6" x14ac:dyDescent="0.25">
      <c r="A807" s="7"/>
      <c r="E807" s="7"/>
      <c r="F807" s="7"/>
    </row>
    <row r="808" spans="1:6" x14ac:dyDescent="0.25">
      <c r="A808" s="7"/>
      <c r="E808" s="7"/>
      <c r="F808" s="7"/>
    </row>
    <row r="809" spans="1:6" x14ac:dyDescent="0.25">
      <c r="A809" s="7"/>
      <c r="E809" s="7"/>
      <c r="F809" s="7"/>
    </row>
    <row r="810" spans="1:6" x14ac:dyDescent="0.25">
      <c r="A810" s="7"/>
      <c r="E810" s="7"/>
      <c r="F810" s="7"/>
    </row>
    <row r="811" spans="1:6" x14ac:dyDescent="0.25">
      <c r="A811" s="7"/>
      <c r="E811" s="7"/>
      <c r="F811" s="7"/>
    </row>
    <row r="812" spans="1:6" x14ac:dyDescent="0.25">
      <c r="A812" s="7"/>
      <c r="E812" s="7"/>
      <c r="F812" s="7"/>
    </row>
    <row r="813" spans="1:6" x14ac:dyDescent="0.25">
      <c r="A813" s="7"/>
      <c r="E813" s="7"/>
      <c r="F813" s="7"/>
    </row>
    <row r="814" spans="1:6" x14ac:dyDescent="0.25">
      <c r="A814" s="7"/>
      <c r="E814" s="7"/>
      <c r="F814" s="7"/>
    </row>
    <row r="815" spans="1:6" x14ac:dyDescent="0.25">
      <c r="A815" s="7"/>
      <c r="E815" s="7"/>
      <c r="F815" s="7"/>
    </row>
    <row r="816" spans="1:6" x14ac:dyDescent="0.25">
      <c r="A816" s="7"/>
      <c r="E816" s="7"/>
      <c r="F816" s="7"/>
    </row>
    <row r="817" spans="1:6" x14ac:dyDescent="0.25">
      <c r="A817" s="7"/>
      <c r="E817" s="7"/>
      <c r="F817" s="7"/>
    </row>
    <row r="818" spans="1:6" x14ac:dyDescent="0.25">
      <c r="A818" s="7"/>
      <c r="E818" s="7"/>
      <c r="F818" s="7"/>
    </row>
    <row r="819" spans="1:6" x14ac:dyDescent="0.25">
      <c r="A819" s="7"/>
      <c r="E819" s="7"/>
      <c r="F819" s="7"/>
    </row>
    <row r="820" spans="1:6" x14ac:dyDescent="0.25">
      <c r="A820" s="7"/>
      <c r="E820" s="7"/>
      <c r="F820" s="7"/>
    </row>
    <row r="821" spans="1:6" x14ac:dyDescent="0.25">
      <c r="A821" s="7"/>
      <c r="E821" s="7"/>
      <c r="F821" s="7"/>
    </row>
    <row r="822" spans="1:6" x14ac:dyDescent="0.25">
      <c r="A822" s="7"/>
      <c r="E822" s="7"/>
      <c r="F822" s="7"/>
    </row>
    <row r="823" spans="1:6" x14ac:dyDescent="0.25">
      <c r="A823" s="7"/>
      <c r="E823" s="7"/>
      <c r="F823" s="7"/>
    </row>
    <row r="824" spans="1:6" x14ac:dyDescent="0.25">
      <c r="A824" s="7"/>
      <c r="E824" s="7"/>
      <c r="F824" s="7"/>
    </row>
    <row r="825" spans="1:6" x14ac:dyDescent="0.25">
      <c r="A825" s="7"/>
      <c r="E825" s="7"/>
      <c r="F825" s="7"/>
    </row>
    <row r="826" spans="1:6" x14ac:dyDescent="0.25">
      <c r="A826" s="7"/>
      <c r="E826" s="7"/>
      <c r="F826" s="7"/>
    </row>
    <row r="827" spans="1:6" x14ac:dyDescent="0.25">
      <c r="A827" s="7"/>
      <c r="E827" s="7"/>
      <c r="F827" s="7"/>
    </row>
    <row r="828" spans="1:6" x14ac:dyDescent="0.25">
      <c r="A828" s="7"/>
      <c r="E828" s="7"/>
      <c r="F828" s="7"/>
    </row>
    <row r="829" spans="1:6" x14ac:dyDescent="0.25">
      <c r="A829" s="7"/>
      <c r="E829" s="7"/>
      <c r="F829" s="7"/>
    </row>
    <row r="830" spans="1:6" x14ac:dyDescent="0.25">
      <c r="A830" s="7"/>
      <c r="E830" s="7"/>
      <c r="F830" s="7"/>
    </row>
    <row r="831" spans="1:6" x14ac:dyDescent="0.25">
      <c r="A831" s="7"/>
      <c r="E831" s="7"/>
      <c r="F831" s="7"/>
    </row>
    <row r="832" spans="1:6" x14ac:dyDescent="0.25">
      <c r="A832" s="7"/>
      <c r="E832" s="7"/>
      <c r="F832" s="7"/>
    </row>
    <row r="833" spans="1:6" x14ac:dyDescent="0.25">
      <c r="A833" s="7"/>
      <c r="E833" s="7"/>
      <c r="F833" s="7"/>
    </row>
    <row r="834" spans="1:6" x14ac:dyDescent="0.25">
      <c r="A834" s="7"/>
      <c r="E834" s="7"/>
      <c r="F834" s="7"/>
    </row>
    <row r="835" spans="1:6" x14ac:dyDescent="0.25">
      <c r="A835" s="7"/>
      <c r="E835" s="7"/>
      <c r="F835" s="7"/>
    </row>
    <row r="836" spans="1:6" x14ac:dyDescent="0.25">
      <c r="A836" s="7"/>
      <c r="E836" s="7"/>
      <c r="F836" s="7"/>
    </row>
    <row r="837" spans="1:6" x14ac:dyDescent="0.25">
      <c r="A837" s="7"/>
      <c r="E837" s="7"/>
      <c r="F837" s="7"/>
    </row>
    <row r="838" spans="1:6" x14ac:dyDescent="0.25">
      <c r="A838" s="7"/>
      <c r="E838" s="7"/>
      <c r="F838" s="7"/>
    </row>
    <row r="839" spans="1:6" x14ac:dyDescent="0.25">
      <c r="A839" s="7"/>
      <c r="E839" s="7"/>
      <c r="F839" s="7"/>
    </row>
    <row r="840" spans="1:6" x14ac:dyDescent="0.25">
      <c r="A840" s="7"/>
      <c r="E840" s="7"/>
      <c r="F840" s="7"/>
    </row>
    <row r="841" spans="1:6" x14ac:dyDescent="0.25">
      <c r="A841" s="7"/>
      <c r="E841" s="7"/>
      <c r="F841" s="7"/>
    </row>
    <row r="842" spans="1:6" x14ac:dyDescent="0.25">
      <c r="A842" s="7"/>
      <c r="E842" s="7"/>
      <c r="F842" s="7"/>
    </row>
    <row r="843" spans="1:6" x14ac:dyDescent="0.25">
      <c r="A843" s="7"/>
      <c r="E843" s="7"/>
      <c r="F843" s="7"/>
    </row>
    <row r="844" spans="1:6" x14ac:dyDescent="0.25">
      <c r="A844" s="7"/>
      <c r="E844" s="7"/>
      <c r="F844" s="7"/>
    </row>
    <row r="845" spans="1:6" x14ac:dyDescent="0.25">
      <c r="A845" s="7"/>
      <c r="E845" s="7"/>
      <c r="F845" s="7"/>
    </row>
    <row r="846" spans="1:6" x14ac:dyDescent="0.25">
      <c r="A846" s="7"/>
      <c r="E846" s="7"/>
      <c r="F846" s="7"/>
    </row>
    <row r="847" spans="1:6" x14ac:dyDescent="0.25">
      <c r="A847" s="7"/>
      <c r="E847" s="7"/>
      <c r="F847" s="7"/>
    </row>
    <row r="848" spans="1:6" x14ac:dyDescent="0.25">
      <c r="A848" s="7"/>
      <c r="E848" s="7"/>
      <c r="F848" s="7"/>
    </row>
    <row r="849" spans="1:6" x14ac:dyDescent="0.25">
      <c r="A849" s="7"/>
      <c r="E849" s="7"/>
      <c r="F849" s="7"/>
    </row>
    <row r="850" spans="1:6" x14ac:dyDescent="0.25">
      <c r="A850" s="7"/>
      <c r="E850" s="7"/>
      <c r="F850" s="7"/>
    </row>
    <row r="851" spans="1:6" x14ac:dyDescent="0.25">
      <c r="A851" s="7"/>
      <c r="E851" s="7"/>
      <c r="F851" s="7"/>
    </row>
    <row r="852" spans="1:6" x14ac:dyDescent="0.25">
      <c r="A852" s="7"/>
      <c r="E852" s="7"/>
      <c r="F852" s="7"/>
    </row>
    <row r="853" spans="1:6" x14ac:dyDescent="0.25">
      <c r="A853" s="7"/>
      <c r="E853" s="7"/>
      <c r="F853" s="7"/>
    </row>
    <row r="854" spans="1:6" x14ac:dyDescent="0.25">
      <c r="A854" s="7"/>
      <c r="E854" s="7"/>
      <c r="F854" s="7"/>
    </row>
    <row r="855" spans="1:6" x14ac:dyDescent="0.25">
      <c r="A855" s="7"/>
      <c r="E855" s="7"/>
      <c r="F855" s="7"/>
    </row>
    <row r="856" spans="1:6" x14ac:dyDescent="0.25">
      <c r="A856" s="7"/>
      <c r="E856" s="7"/>
      <c r="F856" s="7"/>
    </row>
    <row r="857" spans="1:6" x14ac:dyDescent="0.25">
      <c r="A857" s="7"/>
      <c r="E857" s="7"/>
      <c r="F857" s="7"/>
    </row>
    <row r="858" spans="1:6" x14ac:dyDescent="0.25">
      <c r="A858" s="7"/>
      <c r="E858" s="7"/>
      <c r="F858" s="7"/>
    </row>
    <row r="859" spans="1:6" x14ac:dyDescent="0.25">
      <c r="A859" s="7"/>
      <c r="E859" s="7"/>
      <c r="F859" s="7"/>
    </row>
    <row r="860" spans="1:6" x14ac:dyDescent="0.25">
      <c r="A860" s="7"/>
      <c r="E860" s="7"/>
      <c r="F860" s="7"/>
    </row>
    <row r="861" spans="1:6" x14ac:dyDescent="0.25">
      <c r="A861" s="7"/>
      <c r="E861" s="7"/>
      <c r="F861" s="7"/>
    </row>
    <row r="862" spans="1:6" x14ac:dyDescent="0.25">
      <c r="A862" s="7"/>
      <c r="E862" s="7"/>
      <c r="F862" s="7"/>
    </row>
    <row r="863" spans="1:6" x14ac:dyDescent="0.25">
      <c r="A863" s="7"/>
      <c r="E863" s="7"/>
      <c r="F863" s="7"/>
    </row>
    <row r="864" spans="1:6" x14ac:dyDescent="0.25">
      <c r="A864" s="7"/>
      <c r="E864" s="7"/>
      <c r="F864" s="7"/>
    </row>
    <row r="865" spans="1:6" x14ac:dyDescent="0.25">
      <c r="A865" s="7"/>
      <c r="E865" s="7"/>
      <c r="F865" s="7"/>
    </row>
    <row r="866" spans="1:6" x14ac:dyDescent="0.25">
      <c r="A866" s="7"/>
      <c r="E866" s="7"/>
      <c r="F866" s="7"/>
    </row>
    <row r="867" spans="1:6" x14ac:dyDescent="0.25">
      <c r="A867" s="7"/>
      <c r="E867" s="7"/>
      <c r="F867" s="7"/>
    </row>
    <row r="868" spans="1:6" x14ac:dyDescent="0.25">
      <c r="A868" s="7"/>
      <c r="E868" s="7"/>
      <c r="F868" s="7"/>
    </row>
    <row r="869" spans="1:6" x14ac:dyDescent="0.25">
      <c r="A869" s="7"/>
      <c r="E869" s="7"/>
      <c r="F869" s="7"/>
    </row>
    <row r="870" spans="1:6" x14ac:dyDescent="0.25">
      <c r="A870" s="7"/>
      <c r="E870" s="7"/>
      <c r="F870" s="7"/>
    </row>
    <row r="871" spans="1:6" x14ac:dyDescent="0.25">
      <c r="A871" s="7"/>
      <c r="E871" s="7"/>
      <c r="F871" s="7"/>
    </row>
    <row r="872" spans="1:6" x14ac:dyDescent="0.25">
      <c r="A872" s="7"/>
      <c r="E872" s="7"/>
      <c r="F872" s="7"/>
    </row>
    <row r="873" spans="1:6" x14ac:dyDescent="0.25">
      <c r="A873" s="7"/>
      <c r="E873" s="7"/>
      <c r="F873" s="7"/>
    </row>
    <row r="874" spans="1:6" x14ac:dyDescent="0.25">
      <c r="A874" s="7"/>
      <c r="E874" s="7"/>
      <c r="F874" s="7"/>
    </row>
    <row r="875" spans="1:6" x14ac:dyDescent="0.25">
      <c r="A875" s="7"/>
      <c r="E875" s="7"/>
      <c r="F875" s="7"/>
    </row>
    <row r="876" spans="1:6" x14ac:dyDescent="0.25">
      <c r="A876" s="7"/>
      <c r="E876" s="7"/>
      <c r="F876" s="7"/>
    </row>
    <row r="877" spans="1:6" x14ac:dyDescent="0.25">
      <c r="A877" s="7"/>
      <c r="E877" s="7"/>
      <c r="F877" s="7"/>
    </row>
    <row r="878" spans="1:6" x14ac:dyDescent="0.25">
      <c r="A878" s="7"/>
      <c r="E878" s="7"/>
      <c r="F878" s="7"/>
    </row>
    <row r="879" spans="1:6" x14ac:dyDescent="0.25">
      <c r="A879" s="7"/>
      <c r="E879" s="7"/>
      <c r="F879" s="7"/>
    </row>
    <row r="880" spans="1:6" x14ac:dyDescent="0.25">
      <c r="A880" s="7"/>
      <c r="E880" s="7"/>
      <c r="F880" s="7"/>
    </row>
    <row r="881" spans="1:6" x14ac:dyDescent="0.25">
      <c r="A881" s="7"/>
      <c r="E881" s="7"/>
      <c r="F881" s="7"/>
    </row>
    <row r="882" spans="1:6" x14ac:dyDescent="0.25">
      <c r="A882" s="7"/>
      <c r="E882" s="7"/>
      <c r="F882" s="7"/>
    </row>
    <row r="883" spans="1:6" x14ac:dyDescent="0.25">
      <c r="A883" s="7"/>
      <c r="E883" s="7"/>
      <c r="F883" s="7"/>
    </row>
    <row r="884" spans="1:6" x14ac:dyDescent="0.25">
      <c r="A884" s="7"/>
      <c r="E884" s="7"/>
      <c r="F884" s="7"/>
    </row>
    <row r="885" spans="1:6" x14ac:dyDescent="0.25">
      <c r="A885" s="7"/>
      <c r="E885" s="7"/>
      <c r="F885" s="7"/>
    </row>
    <row r="886" spans="1:6" x14ac:dyDescent="0.25">
      <c r="A886" s="7"/>
      <c r="E886" s="7"/>
      <c r="F886" s="7"/>
    </row>
    <row r="887" spans="1:6" x14ac:dyDescent="0.25">
      <c r="A887" s="7"/>
      <c r="E887" s="7"/>
      <c r="F887" s="7"/>
    </row>
    <row r="888" spans="1:6" x14ac:dyDescent="0.25">
      <c r="A888" s="7"/>
      <c r="E888" s="7"/>
      <c r="F888" s="7"/>
    </row>
    <row r="889" spans="1:6" x14ac:dyDescent="0.25">
      <c r="A889" s="7"/>
      <c r="E889" s="7"/>
      <c r="F889" s="7"/>
    </row>
    <row r="890" spans="1:6" x14ac:dyDescent="0.25">
      <c r="A890" s="7"/>
      <c r="E890" s="7"/>
      <c r="F890" s="7"/>
    </row>
    <row r="891" spans="1:6" x14ac:dyDescent="0.25">
      <c r="A891" s="7"/>
      <c r="E891" s="7"/>
      <c r="F891" s="7"/>
    </row>
    <row r="892" spans="1:6" x14ac:dyDescent="0.25">
      <c r="A892" s="7"/>
      <c r="E892" s="7"/>
      <c r="F892" s="7"/>
    </row>
    <row r="893" spans="1:6" x14ac:dyDescent="0.25">
      <c r="A893" s="7"/>
      <c r="E893" s="7"/>
      <c r="F893" s="7"/>
    </row>
    <row r="894" spans="1:6" x14ac:dyDescent="0.25">
      <c r="A894" s="7"/>
      <c r="E894" s="7"/>
      <c r="F894" s="7"/>
    </row>
    <row r="895" spans="1:6" x14ac:dyDescent="0.25">
      <c r="A895" s="7"/>
      <c r="E895" s="7"/>
      <c r="F895" s="7"/>
    </row>
    <row r="896" spans="1:6" x14ac:dyDescent="0.25">
      <c r="A896" s="7"/>
      <c r="E896" s="7"/>
      <c r="F896" s="7"/>
    </row>
    <row r="897" spans="1:6" x14ac:dyDescent="0.25">
      <c r="A897" s="7"/>
      <c r="E897" s="7"/>
      <c r="F897" s="7"/>
    </row>
    <row r="898" spans="1:6" x14ac:dyDescent="0.25">
      <c r="A898" s="7"/>
      <c r="E898" s="7"/>
      <c r="F898" s="7"/>
    </row>
    <row r="899" spans="1:6" x14ac:dyDescent="0.25">
      <c r="A899" s="7"/>
      <c r="E899" s="7"/>
      <c r="F899" s="7"/>
    </row>
    <row r="900" spans="1:6" x14ac:dyDescent="0.25">
      <c r="A900" s="7"/>
      <c r="E900" s="7"/>
      <c r="F900" s="7"/>
    </row>
    <row r="901" spans="1:6" x14ac:dyDescent="0.25">
      <c r="A901" s="7"/>
      <c r="E901" s="7"/>
      <c r="F901" s="7"/>
    </row>
    <row r="902" spans="1:6" x14ac:dyDescent="0.25">
      <c r="A902" s="7"/>
      <c r="E902" s="7"/>
      <c r="F902" s="7"/>
    </row>
    <row r="903" spans="1:6" x14ac:dyDescent="0.25">
      <c r="A903" s="7"/>
      <c r="E903" s="7"/>
      <c r="F903" s="7"/>
    </row>
    <row r="904" spans="1:6" x14ac:dyDescent="0.25">
      <c r="A904" s="7"/>
      <c r="E904" s="7"/>
      <c r="F904" s="7"/>
    </row>
    <row r="905" spans="1:6" x14ac:dyDescent="0.25">
      <c r="A905" s="7"/>
      <c r="E905" s="7"/>
      <c r="F905" s="7"/>
    </row>
    <row r="906" spans="1:6" x14ac:dyDescent="0.25">
      <c r="A906" s="7"/>
      <c r="E906" s="7"/>
      <c r="F906" s="7"/>
    </row>
    <row r="907" spans="1:6" x14ac:dyDescent="0.25">
      <c r="A907" s="7"/>
      <c r="E907" s="7"/>
      <c r="F907" s="7"/>
    </row>
    <row r="908" spans="1:6" x14ac:dyDescent="0.25">
      <c r="A908" s="7"/>
      <c r="E908" s="7"/>
      <c r="F908" s="7"/>
    </row>
    <row r="909" spans="1:6" x14ac:dyDescent="0.25">
      <c r="A909" s="7"/>
      <c r="E909" s="7"/>
      <c r="F909" s="7"/>
    </row>
    <row r="910" spans="1:6" x14ac:dyDescent="0.25">
      <c r="A910" s="7"/>
      <c r="E910" s="7"/>
      <c r="F910" s="7"/>
    </row>
    <row r="911" spans="1:6" x14ac:dyDescent="0.25">
      <c r="A911" s="7"/>
      <c r="E911" s="7"/>
      <c r="F911" s="7"/>
    </row>
    <row r="912" spans="1:6" x14ac:dyDescent="0.25">
      <c r="A912" s="7"/>
      <c r="E912" s="7"/>
      <c r="F912" s="7"/>
    </row>
    <row r="913" spans="1:6" x14ac:dyDescent="0.25">
      <c r="A913" s="7"/>
      <c r="E913" s="7"/>
      <c r="F913" s="7"/>
    </row>
    <row r="914" spans="1:6" x14ac:dyDescent="0.25">
      <c r="A914" s="7"/>
      <c r="E914" s="7"/>
      <c r="F914" s="7"/>
    </row>
    <row r="915" spans="1:6" x14ac:dyDescent="0.25">
      <c r="A915" s="7"/>
      <c r="E915" s="7"/>
      <c r="F915" s="7"/>
    </row>
    <row r="916" spans="1:6" x14ac:dyDescent="0.25">
      <c r="A916" s="7"/>
      <c r="E916" s="7"/>
      <c r="F916" s="7"/>
    </row>
    <row r="917" spans="1:6" x14ac:dyDescent="0.25">
      <c r="A917" s="7"/>
      <c r="E917" s="7"/>
      <c r="F917" s="7"/>
    </row>
    <row r="918" spans="1:6" x14ac:dyDescent="0.25">
      <c r="A918" s="7"/>
      <c r="E918" s="7"/>
      <c r="F918" s="7"/>
    </row>
    <row r="919" spans="1:6" x14ac:dyDescent="0.25">
      <c r="A919" s="7"/>
      <c r="E919" s="7"/>
      <c r="F919" s="7"/>
    </row>
    <row r="920" spans="1:6" x14ac:dyDescent="0.25">
      <c r="A920" s="7"/>
      <c r="E920" s="7"/>
      <c r="F920" s="7"/>
    </row>
    <row r="921" spans="1:6" x14ac:dyDescent="0.25">
      <c r="A921" s="7"/>
      <c r="E921" s="7"/>
      <c r="F921" s="7"/>
    </row>
    <row r="922" spans="1:6" x14ac:dyDescent="0.25">
      <c r="A922" s="7"/>
      <c r="E922" s="7"/>
      <c r="F922" s="7"/>
    </row>
    <row r="923" spans="1:6" x14ac:dyDescent="0.25">
      <c r="A923" s="7"/>
      <c r="E923" s="7"/>
      <c r="F923" s="7"/>
    </row>
    <row r="924" spans="1:6" x14ac:dyDescent="0.25">
      <c r="A924" s="7"/>
      <c r="E924" s="7"/>
      <c r="F924" s="7"/>
    </row>
    <row r="925" spans="1:6" x14ac:dyDescent="0.25">
      <c r="A925" s="7"/>
      <c r="E925" s="7"/>
      <c r="F925" s="7"/>
    </row>
    <row r="926" spans="1:6" x14ac:dyDescent="0.25">
      <c r="A926" s="7"/>
      <c r="E926" s="7"/>
      <c r="F926" s="7"/>
    </row>
    <row r="927" spans="1:6" x14ac:dyDescent="0.25">
      <c r="A927" s="7"/>
      <c r="E927" s="7"/>
      <c r="F927" s="7"/>
    </row>
    <row r="928" spans="1:6" x14ac:dyDescent="0.25">
      <c r="A928" s="7"/>
      <c r="E928" s="7"/>
      <c r="F928" s="7"/>
    </row>
    <row r="929" spans="1:6" x14ac:dyDescent="0.25">
      <c r="A929" s="7"/>
      <c r="E929" s="7"/>
      <c r="F929" s="7"/>
    </row>
    <row r="930" spans="1:6" x14ac:dyDescent="0.25">
      <c r="A930" s="7"/>
      <c r="E930" s="7"/>
      <c r="F930" s="7"/>
    </row>
    <row r="931" spans="1:6" x14ac:dyDescent="0.25">
      <c r="A931" s="7"/>
      <c r="E931" s="7"/>
      <c r="F931" s="7"/>
    </row>
    <row r="932" spans="1:6" x14ac:dyDescent="0.25">
      <c r="A932" s="7"/>
      <c r="E932" s="7"/>
      <c r="F932" s="7"/>
    </row>
    <row r="933" spans="1:6" x14ac:dyDescent="0.25">
      <c r="A933" s="7"/>
      <c r="E933" s="7"/>
      <c r="F933" s="7"/>
    </row>
    <row r="934" spans="1:6" x14ac:dyDescent="0.25">
      <c r="A934" s="7"/>
      <c r="E934" s="7"/>
      <c r="F934" s="7"/>
    </row>
    <row r="935" spans="1:6" x14ac:dyDescent="0.25">
      <c r="A935" s="7"/>
      <c r="E935" s="7"/>
      <c r="F935" s="7"/>
    </row>
    <row r="936" spans="1:6" x14ac:dyDescent="0.25">
      <c r="A936" s="7"/>
      <c r="E936" s="7"/>
      <c r="F936" s="7"/>
    </row>
    <row r="937" spans="1:6" x14ac:dyDescent="0.25">
      <c r="A937" s="7"/>
      <c r="E937" s="7"/>
      <c r="F937" s="7"/>
    </row>
    <row r="938" spans="1:6" x14ac:dyDescent="0.25">
      <c r="A938" s="7"/>
      <c r="E938" s="7"/>
      <c r="F938" s="7"/>
    </row>
    <row r="939" spans="1:6" x14ac:dyDescent="0.25">
      <c r="A939" s="7"/>
      <c r="E939" s="7"/>
      <c r="F939" s="7"/>
    </row>
    <row r="940" spans="1:6" x14ac:dyDescent="0.25">
      <c r="A940" s="7"/>
      <c r="E940" s="7"/>
      <c r="F940" s="7"/>
    </row>
    <row r="941" spans="1:6" x14ac:dyDescent="0.25">
      <c r="A941" s="7"/>
      <c r="E941" s="7"/>
      <c r="F941" s="7"/>
    </row>
    <row r="942" spans="1:6" x14ac:dyDescent="0.25">
      <c r="A942" s="7"/>
      <c r="E942" s="7"/>
      <c r="F942" s="7"/>
    </row>
    <row r="943" spans="1:6" x14ac:dyDescent="0.25">
      <c r="A943" s="7"/>
      <c r="E943" s="7"/>
      <c r="F943" s="7"/>
    </row>
    <row r="944" spans="1:6" x14ac:dyDescent="0.25">
      <c r="A944" s="7"/>
      <c r="E944" s="7"/>
      <c r="F944" s="7"/>
    </row>
    <row r="945" spans="1:6" x14ac:dyDescent="0.25">
      <c r="A945" s="7"/>
      <c r="E945" s="7"/>
      <c r="F945" s="7"/>
    </row>
    <row r="946" spans="1:6" x14ac:dyDescent="0.25">
      <c r="A946" s="7"/>
      <c r="E946" s="7"/>
      <c r="F946" s="7"/>
    </row>
    <row r="947" spans="1:6" x14ac:dyDescent="0.25">
      <c r="A947" s="7"/>
      <c r="E947" s="7"/>
      <c r="F947" s="7"/>
    </row>
    <row r="948" spans="1:6" x14ac:dyDescent="0.25">
      <c r="A948" s="7"/>
      <c r="E948" s="7"/>
      <c r="F948" s="7"/>
    </row>
    <row r="949" spans="1:6" x14ac:dyDescent="0.25">
      <c r="A949" s="7"/>
      <c r="E949" s="7"/>
      <c r="F949" s="7"/>
    </row>
    <row r="950" spans="1:6" x14ac:dyDescent="0.25">
      <c r="A950" s="7"/>
      <c r="E950" s="7"/>
      <c r="F950" s="7"/>
    </row>
    <row r="951" spans="1:6" x14ac:dyDescent="0.25">
      <c r="A951" s="7"/>
      <c r="E951" s="7"/>
      <c r="F951" s="7"/>
    </row>
    <row r="952" spans="1:6" x14ac:dyDescent="0.25">
      <c r="A952" s="7"/>
      <c r="E952" s="7"/>
      <c r="F952" s="7"/>
    </row>
    <row r="953" spans="1:6" x14ac:dyDescent="0.25">
      <c r="A953" s="7"/>
      <c r="E953" s="7"/>
      <c r="F953" s="7"/>
    </row>
    <row r="954" spans="1:6" x14ac:dyDescent="0.25">
      <c r="A954" s="7"/>
      <c r="E954" s="7"/>
      <c r="F954" s="7"/>
    </row>
    <row r="955" spans="1:6" x14ac:dyDescent="0.25">
      <c r="A955" s="7"/>
      <c r="E955" s="7"/>
      <c r="F955" s="7"/>
    </row>
    <row r="956" spans="1:6" x14ac:dyDescent="0.25">
      <c r="A956" s="7"/>
      <c r="E956" s="7"/>
      <c r="F956" s="7"/>
    </row>
    <row r="957" spans="1:6" x14ac:dyDescent="0.25">
      <c r="A957" s="7"/>
      <c r="E957" s="7"/>
      <c r="F957" s="7"/>
    </row>
    <row r="958" spans="1:6" x14ac:dyDescent="0.25">
      <c r="A958" s="7"/>
      <c r="E958" s="7"/>
      <c r="F958" s="7"/>
    </row>
    <row r="959" spans="1:6" x14ac:dyDescent="0.25">
      <c r="A959" s="7"/>
      <c r="E959" s="7"/>
      <c r="F959" s="7"/>
    </row>
    <row r="960" spans="1:6" x14ac:dyDescent="0.25">
      <c r="A960" s="7"/>
      <c r="E960" s="7"/>
      <c r="F960" s="7"/>
    </row>
    <row r="961" spans="1:6" x14ac:dyDescent="0.25">
      <c r="A961" s="7"/>
      <c r="E961" s="7"/>
      <c r="F961" s="7"/>
    </row>
    <row r="962" spans="1:6" x14ac:dyDescent="0.25">
      <c r="A962" s="7"/>
      <c r="E962" s="7"/>
      <c r="F962" s="7"/>
    </row>
    <row r="963" spans="1:6" x14ac:dyDescent="0.25">
      <c r="A963" s="7"/>
      <c r="E963" s="7"/>
      <c r="F963" s="7"/>
    </row>
    <row r="964" spans="1:6" x14ac:dyDescent="0.25">
      <c r="A964" s="7"/>
      <c r="E964" s="7"/>
      <c r="F964" s="7"/>
    </row>
    <row r="965" spans="1:6" x14ac:dyDescent="0.25">
      <c r="A965" s="7"/>
      <c r="E965" s="7"/>
      <c r="F965" s="7"/>
    </row>
    <row r="966" spans="1:6" x14ac:dyDescent="0.25">
      <c r="A966" s="7"/>
      <c r="E966" s="7"/>
      <c r="F966" s="7"/>
    </row>
    <row r="967" spans="1:6" x14ac:dyDescent="0.25">
      <c r="A967" s="7"/>
      <c r="E967" s="7"/>
      <c r="F967" s="7"/>
    </row>
    <row r="968" spans="1:6" x14ac:dyDescent="0.25">
      <c r="A968" s="7"/>
      <c r="E968" s="7"/>
      <c r="F968" s="7"/>
    </row>
    <row r="969" spans="1:6" x14ac:dyDescent="0.25">
      <c r="A969" s="7"/>
      <c r="E969" s="7"/>
      <c r="F969" s="7"/>
    </row>
    <row r="970" spans="1:6" x14ac:dyDescent="0.25">
      <c r="A970" s="7"/>
      <c r="E970" s="7"/>
      <c r="F970" s="7"/>
    </row>
    <row r="971" spans="1:6" x14ac:dyDescent="0.25">
      <c r="A971" s="7"/>
      <c r="E971" s="7"/>
      <c r="F971" s="7"/>
    </row>
    <row r="972" spans="1:6" x14ac:dyDescent="0.25">
      <c r="A972" s="7"/>
      <c r="E972" s="7"/>
      <c r="F972" s="7"/>
    </row>
    <row r="973" spans="1:6" x14ac:dyDescent="0.25">
      <c r="A973" s="7"/>
      <c r="E973" s="7"/>
      <c r="F973" s="7"/>
    </row>
    <row r="974" spans="1:6" x14ac:dyDescent="0.25">
      <c r="A974" s="7"/>
      <c r="E974" s="7"/>
      <c r="F974" s="7"/>
    </row>
    <row r="975" spans="1:6" x14ac:dyDescent="0.25">
      <c r="A975" s="7"/>
      <c r="E975" s="7"/>
      <c r="F975" s="7"/>
    </row>
    <row r="976" spans="1:6" x14ac:dyDescent="0.25">
      <c r="A976" s="7"/>
      <c r="E976" s="7"/>
      <c r="F976" s="7"/>
    </row>
    <row r="977" spans="1:6" x14ac:dyDescent="0.25">
      <c r="A977" s="7"/>
      <c r="E977" s="7"/>
      <c r="F977" s="7"/>
    </row>
    <row r="978" spans="1:6" x14ac:dyDescent="0.25">
      <c r="A978" s="7"/>
      <c r="E978" s="7"/>
      <c r="F978" s="7"/>
    </row>
    <row r="979" spans="1:6" x14ac:dyDescent="0.25">
      <c r="A979" s="7"/>
      <c r="E979" s="7"/>
      <c r="F979" s="7"/>
    </row>
    <row r="980" spans="1:6" x14ac:dyDescent="0.25">
      <c r="A980" s="7"/>
      <c r="E980" s="7"/>
      <c r="F980" s="7"/>
    </row>
    <row r="981" spans="1:6" x14ac:dyDescent="0.25">
      <c r="A981" s="7"/>
      <c r="E981" s="7"/>
      <c r="F981" s="7"/>
    </row>
    <row r="982" spans="1:6" x14ac:dyDescent="0.25">
      <c r="A982" s="7"/>
      <c r="E982" s="7"/>
      <c r="F982" s="7"/>
    </row>
    <row r="983" spans="1:6" x14ac:dyDescent="0.25">
      <c r="A983" s="7"/>
      <c r="E983" s="7"/>
      <c r="F983" s="7"/>
    </row>
    <row r="984" spans="1:6" x14ac:dyDescent="0.25">
      <c r="A984" s="7"/>
      <c r="E984" s="7"/>
      <c r="F984" s="7"/>
    </row>
    <row r="985" spans="1:6" x14ac:dyDescent="0.25">
      <c r="A985" s="7"/>
      <c r="E985" s="7"/>
      <c r="F985" s="7"/>
    </row>
    <row r="986" spans="1:6" x14ac:dyDescent="0.25">
      <c r="A986" s="7"/>
      <c r="E986" s="7"/>
      <c r="F986" s="7"/>
    </row>
    <row r="987" spans="1:6" x14ac:dyDescent="0.25">
      <c r="A987" s="7"/>
      <c r="E987" s="7"/>
      <c r="F987" s="7"/>
    </row>
    <row r="988" spans="1:6" x14ac:dyDescent="0.25">
      <c r="A988" s="7"/>
      <c r="E988" s="7"/>
      <c r="F988" s="7"/>
    </row>
    <row r="989" spans="1:6" x14ac:dyDescent="0.25">
      <c r="A989" s="7"/>
      <c r="E989" s="7"/>
      <c r="F989" s="7"/>
    </row>
    <row r="990" spans="1:6" x14ac:dyDescent="0.25">
      <c r="A990" s="7"/>
      <c r="E990" s="7"/>
      <c r="F990" s="7"/>
    </row>
    <row r="991" spans="1:6" x14ac:dyDescent="0.25">
      <c r="A991" s="7"/>
      <c r="E991" s="7"/>
      <c r="F991" s="7"/>
    </row>
    <row r="992" spans="1:6" x14ac:dyDescent="0.25">
      <c r="A992" s="7"/>
      <c r="E992" s="7"/>
      <c r="F992" s="7"/>
    </row>
    <row r="993" spans="1:6" x14ac:dyDescent="0.25">
      <c r="A993" s="7"/>
      <c r="E993" s="7"/>
      <c r="F993" s="7"/>
    </row>
    <row r="994" spans="1:6" x14ac:dyDescent="0.25">
      <c r="A994" s="7"/>
      <c r="E994" s="7"/>
      <c r="F994" s="7"/>
    </row>
    <row r="995" spans="1:6" x14ac:dyDescent="0.25">
      <c r="A995" s="7"/>
      <c r="E995" s="7"/>
      <c r="F995" s="7"/>
    </row>
    <row r="996" spans="1:6" x14ac:dyDescent="0.25">
      <c r="A996" s="7"/>
      <c r="E996" s="7"/>
      <c r="F996" s="7"/>
    </row>
    <row r="997" spans="1:6" x14ac:dyDescent="0.25">
      <c r="A997" s="7"/>
      <c r="E997" s="7"/>
      <c r="F997" s="7"/>
    </row>
    <row r="998" spans="1:6" x14ac:dyDescent="0.25">
      <c r="A998" s="7"/>
      <c r="E998" s="7"/>
      <c r="F998" s="7"/>
    </row>
    <row r="999" spans="1:6" x14ac:dyDescent="0.25">
      <c r="A999" s="7"/>
      <c r="E999" s="7"/>
      <c r="F999" s="7"/>
    </row>
    <row r="1000" spans="1:6" x14ac:dyDescent="0.25">
      <c r="A1000" s="7"/>
      <c r="E1000" s="7"/>
      <c r="F1000" s="7"/>
    </row>
    <row r="1001" spans="1:6" x14ac:dyDescent="0.25">
      <c r="A1001" s="7"/>
      <c r="E1001" s="7"/>
      <c r="F1001" s="7"/>
    </row>
    <row r="1002" spans="1:6" x14ac:dyDescent="0.25">
      <c r="A1002" s="7"/>
      <c r="E1002" s="7"/>
      <c r="F1002" s="7"/>
    </row>
  </sheetData>
  <mergeCells count="4">
    <mergeCell ref="A1:I1"/>
    <mergeCell ref="A2:I2"/>
    <mergeCell ref="B3:C3"/>
    <mergeCell ref="A16:I16"/>
  </mergeCells>
  <printOptions horizontalCentered="1" gridLines="1"/>
  <pageMargins left="1" right="0" top="0.75" bottom="0.75" header="0" footer="0"/>
  <pageSetup scale="80" pageOrder="overThenDown" orientation="landscape" cellComments="atEnd"/>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37</vt:i4>
      </vt:variant>
    </vt:vector>
  </HeadingPairs>
  <TitlesOfParts>
    <vt:vector size="37" baseType="lpstr">
      <vt:lpstr>GJSG Indicators</vt:lpstr>
      <vt:lpstr>CASG HDI ++</vt:lpstr>
      <vt:lpstr>Department Targets</vt:lpstr>
      <vt:lpstr>Measure</vt:lpstr>
      <vt:lpstr>PIO</vt:lpstr>
      <vt:lpstr>PEO</vt:lpstr>
      <vt:lpstr>PG-ENRO</vt:lpstr>
      <vt:lpstr>PDRMMO</vt:lpstr>
      <vt:lpstr>PHRMO</vt:lpstr>
      <vt:lpstr>PPO</vt:lpstr>
      <vt:lpstr>PPDC</vt:lpstr>
      <vt:lpstr>BHSO</vt:lpstr>
      <vt:lpstr>BPPPIC</vt:lpstr>
      <vt:lpstr>ADMIN</vt:lpstr>
      <vt:lpstr>LEGAL</vt:lpstr>
      <vt:lpstr>OSSP</vt:lpstr>
      <vt:lpstr>OMSP</vt:lpstr>
      <vt:lpstr>OVG</vt:lpstr>
      <vt:lpstr> ACCTNG</vt:lpstr>
      <vt:lpstr>BUDGET</vt:lpstr>
      <vt:lpstr>PTO</vt:lpstr>
      <vt:lpstr>PCEDO</vt:lpstr>
      <vt:lpstr>PESO</vt:lpstr>
      <vt:lpstr>ASSESSOR</vt:lpstr>
      <vt:lpstr>PGSO</vt:lpstr>
      <vt:lpstr>PITO</vt:lpstr>
      <vt:lpstr>PGO</vt:lpstr>
      <vt:lpstr>OPA</vt:lpstr>
      <vt:lpstr>PHO</vt:lpstr>
      <vt:lpstr>VET</vt:lpstr>
      <vt:lpstr>PSWDO</vt:lpstr>
      <vt:lpstr>TOURISM</vt:lpstr>
      <vt:lpstr>MBDA</vt:lpstr>
      <vt:lpstr>JCPMH</vt:lpstr>
      <vt:lpstr>ODH</vt:lpstr>
      <vt:lpstr>BCMH</vt:lpstr>
      <vt:lpstr>MDH</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bacani family</cp:lastModifiedBy>
  <dcterms:modified xsi:type="dcterms:W3CDTF">2026-02-19T08:45:13Z</dcterms:modified>
</cp:coreProperties>
</file>